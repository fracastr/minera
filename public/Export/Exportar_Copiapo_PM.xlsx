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rnando/Documents/GitHub/minera/public/Export/"/>
    </mc:Choice>
  </mc:AlternateContent>
  <xr:revisionPtr revIDLastSave="0" documentId="13_ncr:1_{CD2730C7-FF8B-0E42-8A48-8EAB4C847B25}" xr6:coauthVersionLast="47" xr6:coauthVersionMax="47" xr10:uidLastSave="{00000000-0000-0000-0000-000000000000}"/>
  <bookViews>
    <workbookView xWindow="0" yWindow="0" windowWidth="38400" windowHeight="21600" tabRatio="500" activeTab="4" xr2:uid="{00000000-000D-0000-FFFF-FFFF00000000}"/>
  </bookViews>
  <sheets>
    <sheet name="Utilidad" sheetId="1" r:id="rId1"/>
    <sheet name="Diagrama Fe T" sheetId="2" r:id="rId2"/>
    <sheet name="Flujos" sheetId="3" r:id="rId3"/>
    <sheet name="Datos Extra" sheetId="4" r:id="rId4"/>
    <sheet name="Reporte" sheetId="5" r:id="rId5"/>
  </sheets>
  <definedNames>
    <definedName name="_xlnm.Print_Area" localSheetId="4">Reporte!$A$1:$O$33</definedName>
    <definedName name="solver_adj" localSheetId="0">Utilidad!$O$68:$P$120</definedName>
    <definedName name="solver_cvg" localSheetId="0">0.0001</definedName>
    <definedName name="solver_drv" localSheetId="0">1</definedName>
    <definedName name="solver_eng" localSheetId="1">1</definedName>
    <definedName name="solver_eng" localSheetId="0">1</definedName>
    <definedName name="solver_est" localSheetId="0">1</definedName>
    <definedName name="solver_itr" localSheetId="0">2147483647</definedName>
    <definedName name="solver_lhs1" localSheetId="0">Utilidad!$AC$68:$AC$89</definedName>
    <definedName name="solver_lhs10" localSheetId="0">Utilidad!$W$113</definedName>
    <definedName name="solver_lhs11" localSheetId="0">Utilidad!$W$95</definedName>
    <definedName name="solver_lhs12" localSheetId="0">Utilidad!$AA$63</definedName>
    <definedName name="solver_lhs13" localSheetId="0">Utilidad!$AA$64</definedName>
    <definedName name="solver_lhs14" localSheetId="0">Utilidad!$AA$65</definedName>
    <definedName name="solver_lhs15" localSheetId="0">Utilidad!$AA$66</definedName>
    <definedName name="solver_lhs16" localSheetId="0">Utilidad!$AA$67</definedName>
    <definedName name="solver_lhs17" localSheetId="0">Utilidad!$AA$68</definedName>
    <definedName name="solver_lhs18" localSheetId="0">Utilidad!$AA$69</definedName>
    <definedName name="solver_lhs19" localSheetId="0">Utilidad!$AB$52</definedName>
    <definedName name="solver_lhs2" localSheetId="0">Utilidad!$AD$68:$AD$89</definedName>
    <definedName name="solver_lhs20" localSheetId="0">Utilidad!$AB$53</definedName>
    <definedName name="solver_lhs21" localSheetId="0">Utilidad!$AB$54</definedName>
    <definedName name="solver_lhs22" localSheetId="0">Utilidad!$AB$55</definedName>
    <definedName name="solver_lhs23" localSheetId="0">Utilidad!$AB$56</definedName>
    <definedName name="solver_lhs24" localSheetId="0">Utilidad!$AB$57</definedName>
    <definedName name="solver_lhs25" localSheetId="0">Utilidad!$AB$58</definedName>
    <definedName name="solver_lhs26" localSheetId="0">Utilidad!$AB$59</definedName>
    <definedName name="solver_lhs27" localSheetId="0">Utilidad!$AB$60</definedName>
    <definedName name="solver_lhs28" localSheetId="0">Utilidad!$AB$61</definedName>
    <definedName name="solver_lhs29" localSheetId="0">Utilidad!$AB$62</definedName>
    <definedName name="solver_lhs3" localSheetId="0">Utilidad!$U$113</definedName>
    <definedName name="solver_lhs30" localSheetId="0">Utilidad!$AB$63</definedName>
    <definedName name="solver_lhs31" localSheetId="0">Utilidad!$AB$64</definedName>
    <definedName name="solver_lhs32" localSheetId="0">Utilidad!$AB$65</definedName>
    <definedName name="solver_lhs33" localSheetId="0">Utilidad!$AB$66</definedName>
    <definedName name="solver_lhs34" localSheetId="0">Utilidad!$AB$67</definedName>
    <definedName name="solver_lhs35" localSheetId="0">Utilidad!$AB$68</definedName>
    <definedName name="solver_lhs36" localSheetId="0">Utilidad!$AB$69</definedName>
    <definedName name="solver_lhs37" localSheetId="0">Utilidad!$U$52</definedName>
    <definedName name="solver_lhs38" localSheetId="0">Utilidad!$U$54</definedName>
    <definedName name="solver_lhs39" localSheetId="0">Utilidad!$U$55</definedName>
    <definedName name="solver_lhs4" localSheetId="0">Utilidad!$U$120</definedName>
    <definedName name="solver_lhs40" localSheetId="0">Utilidad!$U$58</definedName>
    <definedName name="solver_lhs41" localSheetId="0">Utilidad!$U$60</definedName>
    <definedName name="solver_lhs42" localSheetId="0">Utilidad!$U$61</definedName>
    <definedName name="solver_lhs43" localSheetId="0">Utilidad!$U$64</definedName>
    <definedName name="solver_lhs44" localSheetId="0">Utilidad!$U$67</definedName>
    <definedName name="solver_lhs45" localSheetId="0">Utilidad!$U$70</definedName>
    <definedName name="solver_lhs46" localSheetId="0">Utilidad!$U$73</definedName>
    <definedName name="solver_lhs47" localSheetId="0">Utilidad!$U$79</definedName>
    <definedName name="solver_lhs48" localSheetId="0">Utilidad!$U$95</definedName>
    <definedName name="solver_lhs49" localSheetId="0">Utilidad!$W$79</definedName>
    <definedName name="solver_lhs5" localSheetId="0">Utilidad!$U$68:$U$95</definedName>
    <definedName name="solver_lhs50" localSheetId="0">Utilidad!$W$95</definedName>
    <definedName name="solver_lhs6" localSheetId="0">Utilidad!$W$102:$W$111</definedName>
    <definedName name="solver_lhs7" localSheetId="0">Utilidad!$W$113</definedName>
    <definedName name="solver_lhs8" localSheetId="0">Utilidad!$W$95</definedName>
    <definedName name="solver_lhs9" localSheetId="0">Utilidad!$U$68:$U$95</definedName>
    <definedName name="solver_lin" localSheetId="1">2</definedName>
    <definedName name="solver_lin" localSheetId="0">2</definedName>
    <definedName name="solver_mip" localSheetId="0">2147483647</definedName>
    <definedName name="solver_mni" localSheetId="0">30</definedName>
    <definedName name="solver_mrt" localSheetId="0">0.075</definedName>
    <definedName name="solver_msl" localSheetId="0">2</definedName>
    <definedName name="solver_neg" localSheetId="1">1</definedName>
    <definedName name="solver_neg" localSheetId="0">1</definedName>
    <definedName name="solver_nod" localSheetId="0">2147483647</definedName>
    <definedName name="solver_num" localSheetId="1">0</definedName>
    <definedName name="solver_num" localSheetId="0">8</definedName>
    <definedName name="solver_nwt" localSheetId="0">1</definedName>
    <definedName name="solver_opt" localSheetId="1">'Diagrama Fe T'!$AB$57</definedName>
    <definedName name="solver_opt" localSheetId="0">Utilidad!$AC$93</definedName>
    <definedName name="solver_pre" localSheetId="0">0.00001</definedName>
    <definedName name="solver_rbv" localSheetId="0">1</definedName>
    <definedName name="solver_rel1" localSheetId="0">2</definedName>
    <definedName name="solver_rel10" localSheetId="0">2</definedName>
    <definedName name="solver_rel11" localSheetId="0">1</definedName>
    <definedName name="solver_rel12" localSheetId="0">2</definedName>
    <definedName name="solver_rel13" localSheetId="0">2</definedName>
    <definedName name="solver_rel14" localSheetId="0">2</definedName>
    <definedName name="solver_rel15" localSheetId="0">2</definedName>
    <definedName name="solver_rel16" localSheetId="0">2</definedName>
    <definedName name="solver_rel17" localSheetId="0">2</definedName>
    <definedName name="solver_rel18" localSheetId="0">2</definedName>
    <definedName name="solver_rel19" localSheetId="0">2</definedName>
    <definedName name="solver_rel2" localSheetId="0">2</definedName>
    <definedName name="solver_rel20" localSheetId="0">2</definedName>
    <definedName name="solver_rel21" localSheetId="0">2</definedName>
    <definedName name="solver_rel22" localSheetId="0">2</definedName>
    <definedName name="solver_rel23" localSheetId="0">2</definedName>
    <definedName name="solver_rel24" localSheetId="0">2</definedName>
    <definedName name="solver_rel25" localSheetId="0">2</definedName>
    <definedName name="solver_rel26" localSheetId="0">2</definedName>
    <definedName name="solver_rel27" localSheetId="0">2</definedName>
    <definedName name="solver_rel28" localSheetId="0">2</definedName>
    <definedName name="solver_rel29" localSheetId="0">2</definedName>
    <definedName name="solver_rel3" localSheetId="0">2</definedName>
    <definedName name="solver_rel30" localSheetId="0">2</definedName>
    <definedName name="solver_rel31" localSheetId="0">2</definedName>
    <definedName name="solver_rel32" localSheetId="0">2</definedName>
    <definedName name="solver_rel33" localSheetId="0">2</definedName>
    <definedName name="solver_rel34" localSheetId="0">2</definedName>
    <definedName name="solver_rel35" localSheetId="0">2</definedName>
    <definedName name="solver_rel36" localSheetId="0">2</definedName>
    <definedName name="solver_rel37" localSheetId="0">1</definedName>
    <definedName name="solver_rel38" localSheetId="0">1</definedName>
    <definedName name="solver_rel39" localSheetId="0">1</definedName>
    <definedName name="solver_rel4" localSheetId="0">1</definedName>
    <definedName name="solver_rel40" localSheetId="0">1</definedName>
    <definedName name="solver_rel41" localSheetId="0">1</definedName>
    <definedName name="solver_rel42" localSheetId="0">1</definedName>
    <definedName name="solver_rel43" localSheetId="0">1</definedName>
    <definedName name="solver_rel44" localSheetId="0">1</definedName>
    <definedName name="solver_rel45" localSheetId="0">1</definedName>
    <definedName name="solver_rel46" localSheetId="0">1</definedName>
    <definedName name="solver_rel47" localSheetId="0">2</definedName>
    <definedName name="solver_rel48" localSheetId="0">2</definedName>
    <definedName name="solver_rel49" localSheetId="0">1</definedName>
    <definedName name="solver_rel5" localSheetId="0">1</definedName>
    <definedName name="solver_rel50" localSheetId="0">2</definedName>
    <definedName name="solver_rel6" localSheetId="0">1</definedName>
    <definedName name="solver_rel7" localSheetId="0">2</definedName>
    <definedName name="solver_rel8" localSheetId="0">1</definedName>
    <definedName name="solver_rel9" localSheetId="0">1</definedName>
    <definedName name="solver_rhs1" localSheetId="0">Utilidad!$AE$68:$AE$89</definedName>
    <definedName name="solver_rhs10" localSheetId="0">Utilidad!$X$113</definedName>
    <definedName name="solver_rhs11" localSheetId="0">Utilidad!$X$95</definedName>
    <definedName name="solver_rhs12" localSheetId="0">0</definedName>
    <definedName name="solver_rhs13" localSheetId="0">0</definedName>
    <definedName name="solver_rhs14" localSheetId="0">0</definedName>
    <definedName name="solver_rhs15" localSheetId="0">0</definedName>
    <definedName name="solver_rhs16" localSheetId="0">0</definedName>
    <definedName name="solver_rhs17" localSheetId="0">0</definedName>
    <definedName name="solver_rhs18" localSheetId="0">0</definedName>
    <definedName name="solver_rhs19" localSheetId="0">0</definedName>
    <definedName name="solver_rhs2" localSheetId="0">Utilidad!$AE$68:$AE$89</definedName>
    <definedName name="solver_rhs20" localSheetId="0">0</definedName>
    <definedName name="solver_rhs21" localSheetId="0">0</definedName>
    <definedName name="solver_rhs22" localSheetId="0">0</definedName>
    <definedName name="solver_rhs23" localSheetId="0">0</definedName>
    <definedName name="solver_rhs24" localSheetId="0">0</definedName>
    <definedName name="solver_rhs25" localSheetId="0">0</definedName>
    <definedName name="solver_rhs26" localSheetId="0">0</definedName>
    <definedName name="solver_rhs27" localSheetId="0">0</definedName>
    <definedName name="solver_rhs28" localSheetId="0">0</definedName>
    <definedName name="solver_rhs29" localSheetId="0">0</definedName>
    <definedName name="solver_rhs3" localSheetId="0">Utilidad!$V$113</definedName>
    <definedName name="solver_rhs30" localSheetId="0">0</definedName>
    <definedName name="solver_rhs31" localSheetId="0">0</definedName>
    <definedName name="solver_rhs32" localSheetId="0">0</definedName>
    <definedName name="solver_rhs33" localSheetId="0">0</definedName>
    <definedName name="solver_rhs34" localSheetId="0">0</definedName>
    <definedName name="solver_rhs35" localSheetId="0">0</definedName>
    <definedName name="solver_rhs36" localSheetId="0">0</definedName>
    <definedName name="solver_rhs37" localSheetId="0">Utilidad!$V$52</definedName>
    <definedName name="solver_rhs38" localSheetId="0">Utilidad!$V$54</definedName>
    <definedName name="solver_rhs39" localSheetId="0">Utilidad!$V$55</definedName>
    <definedName name="solver_rhs4" localSheetId="0">Utilidad!$V$120</definedName>
    <definedName name="solver_rhs40" localSheetId="0">Utilidad!$V$58</definedName>
    <definedName name="solver_rhs41" localSheetId="0">Utilidad!$V$60</definedName>
    <definedName name="solver_rhs42" localSheetId="0">Utilidad!$V$61</definedName>
    <definedName name="solver_rhs43" localSheetId="0">Utilidad!$V$64</definedName>
    <definedName name="solver_rhs44" localSheetId="0">Utilidad!$V$67</definedName>
    <definedName name="solver_rhs45" localSheetId="0">Utilidad!$V$70</definedName>
    <definedName name="solver_rhs46" localSheetId="0">Utilidad!$V$73</definedName>
    <definedName name="solver_rhs47" localSheetId="0">Utilidad!$V$79</definedName>
    <definedName name="solver_rhs48" localSheetId="0">Utilidad!$V$95</definedName>
    <definedName name="solver_rhs49" localSheetId="0">Utilidad!$X$79</definedName>
    <definedName name="solver_rhs5" localSheetId="0">Utilidad!$V$68:$V$95</definedName>
    <definedName name="solver_rhs50" localSheetId="0">Utilidad!$X$95</definedName>
    <definedName name="solver_rhs6" localSheetId="0">Utilidad!$X$102:$X$111</definedName>
    <definedName name="solver_rhs7" localSheetId="0">Utilidad!$X$113</definedName>
    <definedName name="solver_rhs8" localSheetId="0">Utilidad!$X$95</definedName>
    <definedName name="solver_rhs9" localSheetId="0">Utilidad!$V$68:$V$95</definedName>
    <definedName name="solver_rlx" localSheetId="0">2</definedName>
    <definedName name="solver_rsd" localSheetId="0">0</definedName>
    <definedName name="solver_scl" localSheetId="0">1</definedName>
    <definedName name="solver_sho" localSheetId="0">2</definedName>
    <definedName name="solver_ssz" localSheetId="0">100</definedName>
    <definedName name="solver_tim" localSheetId="0">2147483647</definedName>
    <definedName name="solver_tol" localSheetId="0">0.01</definedName>
    <definedName name="solver_typ" localSheetId="1">1</definedName>
    <definedName name="solver_typ" localSheetId="0">2</definedName>
    <definedName name="solver_val" localSheetId="1">0</definedName>
    <definedName name="solver_val" localSheetId="0">0</definedName>
    <definedName name="solver_ver" localSheetId="1">2</definedName>
    <definedName name="solver_ver" localSheetId="0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6" i="5" l="1"/>
  <c r="R15" i="5"/>
  <c r="R14" i="5"/>
  <c r="R13" i="5"/>
  <c r="R12" i="5"/>
  <c r="H11" i="5"/>
  <c r="F11" i="5"/>
  <c r="E11" i="5"/>
  <c r="H17" i="5"/>
  <c r="F17" i="5"/>
  <c r="E17" i="5"/>
  <c r="R11" i="5"/>
  <c r="R10" i="5" l="1"/>
  <c r="E88" i="3"/>
  <c r="E87" i="3"/>
  <c r="E86" i="3"/>
  <c r="E85" i="3"/>
  <c r="D85" i="3"/>
  <c r="L4" i="5"/>
  <c r="H20" i="5" l="1"/>
  <c r="F20" i="5"/>
  <c r="E20" i="5"/>
  <c r="G20" i="5" s="1"/>
  <c r="G19" i="5"/>
  <c r="H19" i="5"/>
  <c r="F19" i="5"/>
  <c r="E19" i="5"/>
  <c r="H15" i="5"/>
  <c r="H14" i="5"/>
  <c r="F14" i="5"/>
  <c r="E14" i="5"/>
  <c r="G14" i="5" s="1"/>
  <c r="L25" i="5"/>
  <c r="L26" i="5" s="1"/>
  <c r="K25" i="5"/>
  <c r="K26" i="5" s="1"/>
  <c r="F25" i="5"/>
  <c r="F26" i="5" s="1"/>
  <c r="E25" i="5"/>
  <c r="E18" i="5"/>
  <c r="G18" i="5" s="1"/>
  <c r="F15" i="5"/>
  <c r="E15" i="5"/>
  <c r="G15" i="5" s="1"/>
  <c r="H12" i="5"/>
  <c r="N11" i="5"/>
  <c r="L11" i="5"/>
  <c r="M11" i="5" s="1"/>
  <c r="K11" i="5"/>
  <c r="L10" i="5"/>
  <c r="K10" i="5"/>
  <c r="I80" i="3"/>
  <c r="H80" i="3"/>
  <c r="G80" i="3"/>
  <c r="F80" i="3"/>
  <c r="E80" i="3"/>
  <c r="G79" i="3"/>
  <c r="F79" i="3"/>
  <c r="E79" i="3"/>
  <c r="C79" i="3"/>
  <c r="H78" i="3"/>
  <c r="E78" i="3"/>
  <c r="D78" i="3"/>
  <c r="E73" i="3"/>
  <c r="C73" i="3"/>
  <c r="I72" i="3"/>
  <c r="G72" i="3"/>
  <c r="F72" i="3"/>
  <c r="D72" i="3"/>
  <c r="C72" i="3"/>
  <c r="D71" i="3" s="1"/>
  <c r="I71" i="3"/>
  <c r="I74" i="3" s="1"/>
  <c r="T65" i="3"/>
  <c r="J65" i="3"/>
  <c r="N65" i="3" s="1"/>
  <c r="I65" i="3"/>
  <c r="R21" i="2" s="1"/>
  <c r="H65" i="3"/>
  <c r="R20" i="2" s="1"/>
  <c r="E65" i="3"/>
  <c r="D65" i="3"/>
  <c r="C65" i="3"/>
  <c r="L64" i="3"/>
  <c r="J64" i="3"/>
  <c r="N64" i="3" s="1"/>
  <c r="I64" i="3"/>
  <c r="P19" i="2" s="1"/>
  <c r="H64" i="3"/>
  <c r="P18" i="2" s="1"/>
  <c r="E64" i="3"/>
  <c r="D64" i="3"/>
  <c r="C64" i="3"/>
  <c r="J63" i="3"/>
  <c r="I63" i="3"/>
  <c r="O30" i="2" s="1"/>
  <c r="H63" i="3"/>
  <c r="O29" i="2" s="1"/>
  <c r="E63" i="3"/>
  <c r="N63" i="3" s="1"/>
  <c r="D63" i="3"/>
  <c r="M63" i="3" s="1"/>
  <c r="R63" i="3" s="1"/>
  <c r="C63" i="3"/>
  <c r="L63" i="3" s="1"/>
  <c r="T62" i="3"/>
  <c r="R62" i="3"/>
  <c r="Q62" i="3"/>
  <c r="J62" i="3"/>
  <c r="I62" i="3"/>
  <c r="H62" i="3"/>
  <c r="E62" i="3"/>
  <c r="N62" i="3" s="1"/>
  <c r="D62" i="3"/>
  <c r="M62" i="3" s="1"/>
  <c r="C62" i="3"/>
  <c r="L62" i="3" s="1"/>
  <c r="P62" i="3" s="1"/>
  <c r="T61" i="3"/>
  <c r="N61" i="3"/>
  <c r="M61" i="3"/>
  <c r="R61" i="3" s="1"/>
  <c r="J61" i="3"/>
  <c r="N10" i="5" s="1"/>
  <c r="I61" i="3"/>
  <c r="H61" i="3"/>
  <c r="E61" i="3"/>
  <c r="D61" i="3"/>
  <c r="C61" i="3"/>
  <c r="L61" i="3" s="1"/>
  <c r="N60" i="3"/>
  <c r="M60" i="3"/>
  <c r="R60" i="3" s="1"/>
  <c r="L60" i="3"/>
  <c r="Q60" i="3" s="1"/>
  <c r="J60" i="3"/>
  <c r="T60" i="3" s="1"/>
  <c r="I60" i="3"/>
  <c r="H60" i="3"/>
  <c r="E60" i="3"/>
  <c r="D60" i="3"/>
  <c r="C60" i="3"/>
  <c r="N59" i="3"/>
  <c r="J59" i="3"/>
  <c r="I59" i="3"/>
  <c r="I73" i="3" s="1"/>
  <c r="H59" i="3"/>
  <c r="P45" i="2" s="1"/>
  <c r="E59" i="3"/>
  <c r="D59" i="3"/>
  <c r="M59" i="3" s="1"/>
  <c r="R59" i="3" s="1"/>
  <c r="C59" i="3"/>
  <c r="J58" i="3"/>
  <c r="I58" i="3"/>
  <c r="H72" i="3" s="1"/>
  <c r="H58" i="3"/>
  <c r="R49" i="2" s="1"/>
  <c r="T49" i="2" s="1"/>
  <c r="E58" i="3"/>
  <c r="D58" i="3"/>
  <c r="C58" i="3"/>
  <c r="J57" i="3"/>
  <c r="I57" i="3"/>
  <c r="H73" i="3" s="1"/>
  <c r="H57" i="3"/>
  <c r="U45" i="2" s="1"/>
  <c r="E57" i="3"/>
  <c r="N57" i="3" s="1"/>
  <c r="D57" i="3"/>
  <c r="M57" i="3" s="1"/>
  <c r="R57" i="3" s="1"/>
  <c r="C57" i="3"/>
  <c r="L57" i="3" s="1"/>
  <c r="T56" i="3"/>
  <c r="Q56" i="3"/>
  <c r="P56" i="3"/>
  <c r="N56" i="3"/>
  <c r="R56" i="3" s="1"/>
  <c r="J56" i="3"/>
  <c r="I56" i="3"/>
  <c r="H56" i="3"/>
  <c r="E56" i="3"/>
  <c r="D56" i="3"/>
  <c r="M56" i="3" s="1"/>
  <c r="C56" i="3"/>
  <c r="L56" i="3" s="1"/>
  <c r="M55" i="3"/>
  <c r="L55" i="3"/>
  <c r="Q55" i="3" s="1"/>
  <c r="J55" i="3"/>
  <c r="I55" i="3"/>
  <c r="G73" i="3" s="1"/>
  <c r="H55" i="3"/>
  <c r="E55" i="3"/>
  <c r="D55" i="3"/>
  <c r="C55" i="3"/>
  <c r="J54" i="3"/>
  <c r="G78" i="3" s="1"/>
  <c r="I54" i="3"/>
  <c r="R39" i="2" s="1"/>
  <c r="R40" i="2" s="1"/>
  <c r="H54" i="3"/>
  <c r="R38" i="2" s="1"/>
  <c r="E54" i="3"/>
  <c r="N54" i="3" s="1"/>
  <c r="D54" i="3"/>
  <c r="C54" i="3"/>
  <c r="N53" i="3"/>
  <c r="M53" i="3"/>
  <c r="R53" i="3" s="1"/>
  <c r="L53" i="3"/>
  <c r="Q53" i="3" s="1"/>
  <c r="J53" i="3"/>
  <c r="I53" i="3"/>
  <c r="F73" i="3" s="1"/>
  <c r="H53" i="3"/>
  <c r="E53" i="3"/>
  <c r="D53" i="3"/>
  <c r="C53" i="3"/>
  <c r="J52" i="3"/>
  <c r="T52" i="3" s="1"/>
  <c r="I52" i="3"/>
  <c r="R32" i="2" s="1"/>
  <c r="H52" i="3"/>
  <c r="R31" i="2" s="1"/>
  <c r="R33" i="2" s="1"/>
  <c r="E52" i="3"/>
  <c r="N52" i="3" s="1"/>
  <c r="D52" i="3"/>
  <c r="M52" i="3" s="1"/>
  <c r="R52" i="3" s="1"/>
  <c r="C52" i="3"/>
  <c r="T51" i="3"/>
  <c r="R51" i="3"/>
  <c r="J51" i="3"/>
  <c r="I51" i="3"/>
  <c r="H51" i="3"/>
  <c r="E51" i="3"/>
  <c r="N51" i="3" s="1"/>
  <c r="D51" i="3"/>
  <c r="M51" i="3" s="1"/>
  <c r="C51" i="3"/>
  <c r="L51" i="3" s="1"/>
  <c r="Q51" i="3" s="1"/>
  <c r="T50" i="3"/>
  <c r="N50" i="3"/>
  <c r="M50" i="3"/>
  <c r="R50" i="3" s="1"/>
  <c r="L50" i="3"/>
  <c r="Q50" i="3" s="1"/>
  <c r="J50" i="3"/>
  <c r="I50" i="3"/>
  <c r="E71" i="3" s="1"/>
  <c r="H50" i="3"/>
  <c r="E50" i="3"/>
  <c r="D50" i="3"/>
  <c r="C50" i="3"/>
  <c r="J49" i="3"/>
  <c r="I49" i="3"/>
  <c r="N25" i="2" s="1"/>
  <c r="H49" i="3"/>
  <c r="N24" i="2" s="1"/>
  <c r="N26" i="2" s="1"/>
  <c r="E49" i="3"/>
  <c r="D49" i="3"/>
  <c r="C49" i="3"/>
  <c r="J48" i="3"/>
  <c r="I48" i="3"/>
  <c r="H48" i="3"/>
  <c r="E48" i="3"/>
  <c r="N48" i="3" s="1"/>
  <c r="D48" i="3"/>
  <c r="M48" i="3" s="1"/>
  <c r="R48" i="3" s="1"/>
  <c r="C48" i="3"/>
  <c r="L48" i="3" s="1"/>
  <c r="M47" i="3"/>
  <c r="L47" i="3"/>
  <c r="J47" i="3"/>
  <c r="I47" i="3"/>
  <c r="R18" i="2" s="1"/>
  <c r="H47" i="3"/>
  <c r="E47" i="3"/>
  <c r="D47" i="3"/>
  <c r="C47" i="3"/>
  <c r="J46" i="3"/>
  <c r="D80" i="3" s="1"/>
  <c r="I46" i="3"/>
  <c r="T46" i="3" s="1"/>
  <c r="H46" i="3"/>
  <c r="S14" i="2" s="1"/>
  <c r="E46" i="3"/>
  <c r="N46" i="3" s="1"/>
  <c r="D46" i="3"/>
  <c r="M46" i="3" s="1"/>
  <c r="R46" i="3" s="1"/>
  <c r="C46" i="3"/>
  <c r="T45" i="3"/>
  <c r="N45" i="3"/>
  <c r="J45" i="3"/>
  <c r="I45" i="3"/>
  <c r="H45" i="3"/>
  <c r="E45" i="3"/>
  <c r="D45" i="3"/>
  <c r="M45" i="3" s="1"/>
  <c r="R45" i="3" s="1"/>
  <c r="C45" i="3"/>
  <c r="L45" i="3" s="1"/>
  <c r="Q45" i="3" s="1"/>
  <c r="T44" i="3"/>
  <c r="P44" i="3"/>
  <c r="N44" i="3"/>
  <c r="M44" i="3"/>
  <c r="Q44" i="3" s="1"/>
  <c r="L44" i="3"/>
  <c r="J44" i="3"/>
  <c r="C80" i="3" s="1"/>
  <c r="I44" i="3"/>
  <c r="H44" i="3"/>
  <c r="E44" i="3"/>
  <c r="D44" i="3"/>
  <c r="C44" i="3"/>
  <c r="J43" i="3"/>
  <c r="I43" i="3"/>
  <c r="C71" i="3" s="1"/>
  <c r="H43" i="3"/>
  <c r="R5" i="2" s="1"/>
  <c r="AB57" i="2" s="1"/>
  <c r="E43" i="3"/>
  <c r="D43" i="3"/>
  <c r="C43" i="3"/>
  <c r="J42" i="3"/>
  <c r="I42" i="3"/>
  <c r="O55" i="2" s="1"/>
  <c r="H42" i="3"/>
  <c r="O54" i="2" s="1"/>
  <c r="E42" i="3"/>
  <c r="N42" i="3" s="1"/>
  <c r="D42" i="3"/>
  <c r="M42" i="3" s="1"/>
  <c r="R42" i="3" s="1"/>
  <c r="C42" i="3"/>
  <c r="L42" i="3" s="1"/>
  <c r="R41" i="3"/>
  <c r="J41" i="3"/>
  <c r="T41" i="3" s="1"/>
  <c r="I41" i="3"/>
  <c r="O62" i="2" s="1"/>
  <c r="H41" i="3"/>
  <c r="E41" i="3"/>
  <c r="N41" i="3" s="1"/>
  <c r="D41" i="3"/>
  <c r="M41" i="3" s="1"/>
  <c r="C41" i="3"/>
  <c r="L41" i="3" s="1"/>
  <c r="T40" i="3"/>
  <c r="J40" i="3"/>
  <c r="I40" i="3"/>
  <c r="H40" i="3"/>
  <c r="E40" i="3"/>
  <c r="N40" i="3" s="1"/>
  <c r="D40" i="3"/>
  <c r="M40" i="3" s="1"/>
  <c r="R40" i="3" s="1"/>
  <c r="C40" i="3"/>
  <c r="L40" i="3" s="1"/>
  <c r="T39" i="3"/>
  <c r="N39" i="3"/>
  <c r="M39" i="3"/>
  <c r="R39" i="3" s="1"/>
  <c r="L39" i="3"/>
  <c r="Q39" i="3" s="1"/>
  <c r="J39" i="3"/>
  <c r="I39" i="3"/>
  <c r="H39" i="3"/>
  <c r="E39" i="3"/>
  <c r="D39" i="3"/>
  <c r="C39" i="3"/>
  <c r="T38" i="3"/>
  <c r="M38" i="3"/>
  <c r="J38" i="3"/>
  <c r="I38" i="3"/>
  <c r="H38" i="3"/>
  <c r="L38" i="3" s="1"/>
  <c r="Q38" i="3" s="1"/>
  <c r="E38" i="3"/>
  <c r="N38" i="3" s="1"/>
  <c r="R38" i="3" s="1"/>
  <c r="D38" i="3"/>
  <c r="C38" i="3"/>
  <c r="N37" i="3"/>
  <c r="M37" i="3"/>
  <c r="R37" i="3" s="1"/>
  <c r="J37" i="3"/>
  <c r="I37" i="3"/>
  <c r="D59" i="2" s="1"/>
  <c r="H37" i="3"/>
  <c r="D58" i="2" s="1"/>
  <c r="E37" i="3"/>
  <c r="D37" i="3"/>
  <c r="C37" i="3"/>
  <c r="J36" i="3"/>
  <c r="T36" i="3" s="1"/>
  <c r="I36" i="3"/>
  <c r="G52" i="2" s="1"/>
  <c r="H36" i="3"/>
  <c r="G51" i="2" s="1"/>
  <c r="E36" i="3"/>
  <c r="N36" i="3" s="1"/>
  <c r="D36" i="3"/>
  <c r="M36" i="3" s="1"/>
  <c r="R36" i="3" s="1"/>
  <c r="C36" i="3"/>
  <c r="L36" i="3" s="1"/>
  <c r="T35" i="3"/>
  <c r="R35" i="3"/>
  <c r="Q35" i="3"/>
  <c r="P35" i="3"/>
  <c r="J35" i="3"/>
  <c r="I35" i="3"/>
  <c r="H35" i="3"/>
  <c r="E35" i="3"/>
  <c r="N35" i="3" s="1"/>
  <c r="D35" i="3"/>
  <c r="M35" i="3" s="1"/>
  <c r="C35" i="3"/>
  <c r="L35" i="3" s="1"/>
  <c r="T34" i="3"/>
  <c r="N34" i="3"/>
  <c r="M34" i="3"/>
  <c r="R34" i="3" s="1"/>
  <c r="L34" i="3"/>
  <c r="J34" i="3"/>
  <c r="I34" i="3"/>
  <c r="H34" i="3"/>
  <c r="E34" i="3"/>
  <c r="D34" i="3"/>
  <c r="C34" i="3"/>
  <c r="J33" i="3"/>
  <c r="I33" i="3"/>
  <c r="H33" i="3"/>
  <c r="E33" i="3"/>
  <c r="D33" i="3"/>
  <c r="C33" i="3"/>
  <c r="J32" i="3"/>
  <c r="I32" i="3"/>
  <c r="F47" i="2" s="1"/>
  <c r="AD89" i="2" s="1"/>
  <c r="H32" i="3"/>
  <c r="E32" i="3"/>
  <c r="N32" i="3" s="1"/>
  <c r="D32" i="3"/>
  <c r="M32" i="3" s="1"/>
  <c r="R32" i="3" s="1"/>
  <c r="C32" i="3"/>
  <c r="L32" i="3" s="1"/>
  <c r="P32" i="3" s="1"/>
  <c r="J31" i="3"/>
  <c r="I31" i="3"/>
  <c r="D45" i="2" s="1"/>
  <c r="H31" i="3"/>
  <c r="D44" i="2" s="1"/>
  <c r="E31" i="3"/>
  <c r="N31" i="3" s="1"/>
  <c r="D31" i="3"/>
  <c r="C31" i="3"/>
  <c r="J30" i="3"/>
  <c r="I30" i="3"/>
  <c r="G39" i="2" s="1"/>
  <c r="G40" i="2" s="1"/>
  <c r="H30" i="3"/>
  <c r="G38" i="2" s="1"/>
  <c r="E30" i="3"/>
  <c r="N30" i="3" s="1"/>
  <c r="D30" i="3"/>
  <c r="M30" i="3" s="1"/>
  <c r="R30" i="3" s="1"/>
  <c r="C30" i="3"/>
  <c r="L30" i="3" s="1"/>
  <c r="T29" i="3"/>
  <c r="Q29" i="3"/>
  <c r="P29" i="3"/>
  <c r="N29" i="3"/>
  <c r="R29" i="3" s="1"/>
  <c r="J29" i="3"/>
  <c r="I29" i="3"/>
  <c r="H29" i="3"/>
  <c r="E29" i="3"/>
  <c r="D29" i="3"/>
  <c r="M29" i="3" s="1"/>
  <c r="C29" i="3"/>
  <c r="L29" i="3" s="1"/>
  <c r="L28" i="3"/>
  <c r="P28" i="3" s="1"/>
  <c r="J28" i="3"/>
  <c r="I28" i="3"/>
  <c r="D37" i="2" s="1"/>
  <c r="H28" i="3"/>
  <c r="E28" i="3"/>
  <c r="D28" i="3"/>
  <c r="C28" i="3"/>
  <c r="J27" i="3"/>
  <c r="I27" i="3"/>
  <c r="H27" i="3"/>
  <c r="L27" i="3" s="1"/>
  <c r="E27" i="3"/>
  <c r="D27" i="3"/>
  <c r="C27" i="3"/>
  <c r="J26" i="3"/>
  <c r="I26" i="3"/>
  <c r="H26" i="3"/>
  <c r="E26" i="3"/>
  <c r="N26" i="3" s="1"/>
  <c r="D26" i="3"/>
  <c r="M26" i="3" s="1"/>
  <c r="R26" i="3" s="1"/>
  <c r="C26" i="3"/>
  <c r="L26" i="3" s="1"/>
  <c r="J25" i="3"/>
  <c r="I25" i="3"/>
  <c r="H25" i="3"/>
  <c r="E25" i="3"/>
  <c r="N25" i="3" s="1"/>
  <c r="D25" i="3"/>
  <c r="M25" i="3" s="1"/>
  <c r="R25" i="3" s="1"/>
  <c r="C25" i="3"/>
  <c r="T24" i="3"/>
  <c r="J24" i="3"/>
  <c r="I24" i="3"/>
  <c r="H24" i="3"/>
  <c r="E24" i="3"/>
  <c r="N24" i="3" s="1"/>
  <c r="D24" i="3"/>
  <c r="M24" i="3" s="1"/>
  <c r="R24" i="3" s="1"/>
  <c r="C24" i="3"/>
  <c r="L24" i="3" s="1"/>
  <c r="T23" i="3"/>
  <c r="Q23" i="3"/>
  <c r="P23" i="3"/>
  <c r="M23" i="3"/>
  <c r="L23" i="3"/>
  <c r="J23" i="3"/>
  <c r="N23" i="3" s="1"/>
  <c r="R23" i="3" s="1"/>
  <c r="I23" i="3"/>
  <c r="H23" i="3"/>
  <c r="E23" i="3"/>
  <c r="D23" i="3"/>
  <c r="C23" i="3"/>
  <c r="T22" i="3"/>
  <c r="N22" i="3"/>
  <c r="M22" i="3"/>
  <c r="R22" i="3" s="1"/>
  <c r="L22" i="3"/>
  <c r="P22" i="3" s="1"/>
  <c r="J22" i="3"/>
  <c r="I22" i="3"/>
  <c r="H22" i="3"/>
  <c r="E22" i="3"/>
  <c r="D22" i="3"/>
  <c r="C22" i="3"/>
  <c r="J21" i="3"/>
  <c r="I21" i="3"/>
  <c r="H21" i="3"/>
  <c r="E21" i="3"/>
  <c r="N21" i="3" s="1"/>
  <c r="D21" i="3"/>
  <c r="M21" i="3" s="1"/>
  <c r="C21" i="3"/>
  <c r="L21" i="3" s="1"/>
  <c r="J20" i="3"/>
  <c r="T20" i="3" s="1"/>
  <c r="I20" i="3"/>
  <c r="H20" i="3"/>
  <c r="E20" i="3"/>
  <c r="N20" i="3" s="1"/>
  <c r="D20" i="3"/>
  <c r="M20" i="3" s="1"/>
  <c r="R20" i="3" s="1"/>
  <c r="C20" i="3"/>
  <c r="L20" i="3" s="1"/>
  <c r="T19" i="3"/>
  <c r="J19" i="3"/>
  <c r="I19" i="3"/>
  <c r="H19" i="3"/>
  <c r="E19" i="3"/>
  <c r="N19" i="3" s="1"/>
  <c r="R19" i="3" s="1"/>
  <c r="D19" i="3"/>
  <c r="M19" i="3" s="1"/>
  <c r="C19" i="3"/>
  <c r="T18" i="3"/>
  <c r="N18" i="3"/>
  <c r="M18" i="3"/>
  <c r="R18" i="3" s="1"/>
  <c r="J18" i="3"/>
  <c r="I18" i="3"/>
  <c r="H18" i="3"/>
  <c r="E18" i="3"/>
  <c r="D18" i="3"/>
  <c r="C18" i="3"/>
  <c r="L18" i="3" s="1"/>
  <c r="T17" i="3"/>
  <c r="J17" i="3"/>
  <c r="N17" i="3" s="1"/>
  <c r="I17" i="3"/>
  <c r="M17" i="3" s="1"/>
  <c r="H17" i="3"/>
  <c r="L17" i="3" s="1"/>
  <c r="E17" i="3"/>
  <c r="D17" i="3"/>
  <c r="C17" i="3"/>
  <c r="N16" i="3"/>
  <c r="M16" i="3"/>
  <c r="R16" i="3" s="1"/>
  <c r="J16" i="3"/>
  <c r="T16" i="3" s="1"/>
  <c r="I16" i="3"/>
  <c r="H16" i="3"/>
  <c r="E16" i="3"/>
  <c r="D16" i="3"/>
  <c r="C16" i="3"/>
  <c r="L16" i="3" s="1"/>
  <c r="P16" i="3" s="1"/>
  <c r="J15" i="3"/>
  <c r="I15" i="3"/>
  <c r="H15" i="3"/>
  <c r="E15" i="3"/>
  <c r="N15" i="3" s="1"/>
  <c r="D15" i="3"/>
  <c r="C15" i="3"/>
  <c r="T14" i="3"/>
  <c r="J14" i="3"/>
  <c r="I14" i="3"/>
  <c r="H14" i="3"/>
  <c r="E14" i="3"/>
  <c r="N14" i="3" s="1"/>
  <c r="D14" i="3"/>
  <c r="M14" i="3" s="1"/>
  <c r="R14" i="3" s="1"/>
  <c r="C14" i="3"/>
  <c r="L14" i="3" s="1"/>
  <c r="P14" i="3" s="1"/>
  <c r="T13" i="3"/>
  <c r="Q13" i="3"/>
  <c r="P13" i="3"/>
  <c r="N13" i="3"/>
  <c r="M13" i="3"/>
  <c r="J13" i="3"/>
  <c r="I13" i="3"/>
  <c r="H13" i="3"/>
  <c r="E13" i="3"/>
  <c r="D13" i="3"/>
  <c r="C13" i="3"/>
  <c r="L13" i="3" s="1"/>
  <c r="L12" i="3"/>
  <c r="J12" i="3"/>
  <c r="I12" i="3"/>
  <c r="H12" i="3"/>
  <c r="E12" i="3"/>
  <c r="D12" i="3"/>
  <c r="C12" i="3"/>
  <c r="J11" i="3"/>
  <c r="I11" i="3"/>
  <c r="H11" i="3"/>
  <c r="L11" i="3" s="1"/>
  <c r="E11" i="3"/>
  <c r="N11" i="3" s="1"/>
  <c r="D11" i="3"/>
  <c r="M11" i="3" s="1"/>
  <c r="R11" i="3" s="1"/>
  <c r="C11" i="3"/>
  <c r="N10" i="3"/>
  <c r="M10" i="3"/>
  <c r="R10" i="3" s="1"/>
  <c r="L10" i="3"/>
  <c r="J10" i="3"/>
  <c r="I10" i="3"/>
  <c r="H10" i="3"/>
  <c r="E10" i="3"/>
  <c r="D10" i="3"/>
  <c r="C10" i="3"/>
  <c r="J9" i="3"/>
  <c r="H18" i="5" s="1"/>
  <c r="I9" i="3"/>
  <c r="F18" i="5" s="1"/>
  <c r="H9" i="3"/>
  <c r="E9" i="3"/>
  <c r="N9" i="3" s="1"/>
  <c r="D9" i="3"/>
  <c r="M9" i="3" s="1"/>
  <c r="R9" i="3" s="1"/>
  <c r="C9" i="3"/>
  <c r="T8" i="3"/>
  <c r="J8" i="3"/>
  <c r="I8" i="3"/>
  <c r="H8" i="3"/>
  <c r="E8" i="3"/>
  <c r="N8" i="3" s="1"/>
  <c r="R8" i="3" s="1"/>
  <c r="D8" i="3"/>
  <c r="M8" i="3" s="1"/>
  <c r="C8" i="3"/>
  <c r="L8" i="3" s="1"/>
  <c r="Q8" i="3" s="1"/>
  <c r="T7" i="3"/>
  <c r="Q7" i="3"/>
  <c r="P7" i="3"/>
  <c r="N7" i="3"/>
  <c r="R7" i="3" s="1"/>
  <c r="M7" i="3"/>
  <c r="L7" i="3"/>
  <c r="J7" i="3"/>
  <c r="I7" i="3"/>
  <c r="H7" i="3"/>
  <c r="E7" i="3"/>
  <c r="D7" i="3"/>
  <c r="C7" i="3"/>
  <c r="J6" i="3"/>
  <c r="I6" i="3"/>
  <c r="M6" i="3" s="1"/>
  <c r="H6" i="3"/>
  <c r="L6" i="3" s="1"/>
  <c r="E6" i="3"/>
  <c r="D6" i="3"/>
  <c r="C6" i="3"/>
  <c r="J5" i="3"/>
  <c r="I5" i="3"/>
  <c r="H5" i="3"/>
  <c r="E5" i="3"/>
  <c r="N5" i="3" s="1"/>
  <c r="D5" i="3"/>
  <c r="M5" i="3" s="1"/>
  <c r="R5" i="3" s="1"/>
  <c r="C5" i="3"/>
  <c r="L5" i="3" s="1"/>
  <c r="L4" i="3"/>
  <c r="J4" i="3"/>
  <c r="T4" i="3" s="1"/>
  <c r="I4" i="3"/>
  <c r="H4" i="3"/>
  <c r="E4" i="3"/>
  <c r="D4" i="3"/>
  <c r="M4" i="3" s="1"/>
  <c r="C4" i="3"/>
  <c r="AD88" i="2"/>
  <c r="AB86" i="2"/>
  <c r="L76" i="2"/>
  <c r="AD64" i="2" s="1"/>
  <c r="J75" i="2"/>
  <c r="AB87" i="2" s="1"/>
  <c r="M74" i="2"/>
  <c r="J74" i="2"/>
  <c r="AB68" i="2"/>
  <c r="AD67" i="2"/>
  <c r="AD66" i="2"/>
  <c r="J66" i="2"/>
  <c r="AB64" i="2" s="1"/>
  <c r="AB65" i="2"/>
  <c r="AD63" i="2"/>
  <c r="S61" i="2"/>
  <c r="O61" i="2"/>
  <c r="M61" i="2"/>
  <c r="L61" i="2"/>
  <c r="AD62" i="2" s="1"/>
  <c r="F61" i="2"/>
  <c r="AD69" i="2" s="1"/>
  <c r="S60" i="2"/>
  <c r="M60" i="2"/>
  <c r="G59" i="2"/>
  <c r="G58" i="2"/>
  <c r="G60" i="2" s="1"/>
  <c r="AD57" i="2"/>
  <c r="Q56" i="2"/>
  <c r="O56" i="2"/>
  <c r="Q55" i="2"/>
  <c r="F55" i="2"/>
  <c r="AD90" i="2" s="1"/>
  <c r="Q54" i="2"/>
  <c r="L54" i="2"/>
  <c r="AD61" i="2" s="1"/>
  <c r="F54" i="2"/>
  <c r="AD68" i="2" s="1"/>
  <c r="M53" i="2"/>
  <c r="G53" i="2"/>
  <c r="D53" i="2"/>
  <c r="AB90" i="2" s="1"/>
  <c r="J52" i="2"/>
  <c r="D52" i="2"/>
  <c r="D51" i="2"/>
  <c r="S49" i="2"/>
  <c r="U47" i="2"/>
  <c r="U46" i="2"/>
  <c r="P46" i="2"/>
  <c r="P47" i="2" s="1"/>
  <c r="F46" i="2"/>
  <c r="R45" i="2"/>
  <c r="R44" i="2"/>
  <c r="S45" i="2" s="1"/>
  <c r="S42" i="2"/>
  <c r="S41" i="2"/>
  <c r="S43" i="2" s="1"/>
  <c r="F40" i="2"/>
  <c r="F39" i="2"/>
  <c r="S37" i="2"/>
  <c r="S36" i="2"/>
  <c r="S38" i="2" s="1"/>
  <c r="D36" i="2"/>
  <c r="AB66" i="2" s="1"/>
  <c r="M34" i="2"/>
  <c r="S30" i="2"/>
  <c r="S29" i="2"/>
  <c r="R25" i="2"/>
  <c r="R26" i="2" s="1"/>
  <c r="R24" i="2"/>
  <c r="L24" i="2"/>
  <c r="AD58" i="2" s="1"/>
  <c r="S23" i="2"/>
  <c r="M23" i="2"/>
  <c r="S22" i="2"/>
  <c r="S24" i="2" s="1"/>
  <c r="R17" i="2"/>
  <c r="S15" i="2"/>
  <c r="O14" i="2"/>
  <c r="R13" i="2"/>
  <c r="O13" i="2"/>
  <c r="O15" i="2" s="1"/>
  <c r="R12" i="2"/>
  <c r="R11" i="2"/>
  <c r="U10" i="2"/>
  <c r="J10" i="2"/>
  <c r="U9" i="2"/>
  <c r="O9" i="2"/>
  <c r="AD82" i="2" s="1"/>
  <c r="J9" i="2"/>
  <c r="AB58" i="2" s="1"/>
  <c r="O8" i="2"/>
  <c r="AD60" i="2" s="1"/>
  <c r="Q129" i="1"/>
  <c r="P129" i="1"/>
  <c r="R129" i="1" s="1"/>
  <c r="O129" i="1"/>
  <c r="Q128" i="1"/>
  <c r="P128" i="1"/>
  <c r="R128" i="1" s="1"/>
  <c r="O128" i="1"/>
  <c r="Q127" i="1"/>
  <c r="P127" i="1"/>
  <c r="R127" i="1" s="1"/>
  <c r="O127" i="1"/>
  <c r="Q126" i="1"/>
  <c r="P126" i="1"/>
  <c r="R126" i="1" s="1"/>
  <c r="O126" i="1"/>
  <c r="Q125" i="1"/>
  <c r="P125" i="1"/>
  <c r="O125" i="1"/>
  <c r="R125" i="1" s="1"/>
  <c r="R124" i="1"/>
  <c r="Q124" i="1"/>
  <c r="P124" i="1"/>
  <c r="O124" i="1"/>
  <c r="Q123" i="1"/>
  <c r="P123" i="1"/>
  <c r="R123" i="1" s="1"/>
  <c r="O123" i="1"/>
  <c r="Q122" i="1"/>
  <c r="G100" i="1" s="1"/>
  <c r="P122" i="1"/>
  <c r="H89" i="1" s="1"/>
  <c r="O122" i="1"/>
  <c r="Q121" i="1"/>
  <c r="P121" i="1"/>
  <c r="O121" i="1"/>
  <c r="R121" i="1" s="1"/>
  <c r="R120" i="1"/>
  <c r="Q120" i="1"/>
  <c r="F100" i="1" s="1"/>
  <c r="F104" i="1" s="1"/>
  <c r="P120" i="1"/>
  <c r="O120" i="1"/>
  <c r="Q119" i="1"/>
  <c r="P119" i="1"/>
  <c r="R119" i="1" s="1"/>
  <c r="O119" i="1"/>
  <c r="Q118" i="1"/>
  <c r="E100" i="1" s="1"/>
  <c r="P118" i="1"/>
  <c r="E90" i="1" s="1"/>
  <c r="O118" i="1"/>
  <c r="Q117" i="1"/>
  <c r="P117" i="1"/>
  <c r="R117" i="1" s="1"/>
  <c r="O117" i="1"/>
  <c r="Q116" i="1"/>
  <c r="P116" i="1"/>
  <c r="D90" i="1" s="1"/>
  <c r="O116" i="1"/>
  <c r="Q115" i="1"/>
  <c r="P115" i="1"/>
  <c r="D91" i="1" s="1"/>
  <c r="O115" i="1"/>
  <c r="Q114" i="1"/>
  <c r="D99" i="1" s="1"/>
  <c r="P114" i="1"/>
  <c r="R114" i="1" s="1"/>
  <c r="O114" i="1"/>
  <c r="Q113" i="1"/>
  <c r="P113" i="1"/>
  <c r="O113" i="1"/>
  <c r="R113" i="1" s="1"/>
  <c r="Q112" i="1"/>
  <c r="P112" i="1"/>
  <c r="R112" i="1" s="1"/>
  <c r="O112" i="1"/>
  <c r="Q111" i="1"/>
  <c r="P111" i="1"/>
  <c r="R111" i="1" s="1"/>
  <c r="O111" i="1"/>
  <c r="C105" i="1" s="1"/>
  <c r="I105" i="1" s="1"/>
  <c r="Q110" i="1"/>
  <c r="P110" i="1"/>
  <c r="C91" i="1" s="1"/>
  <c r="O110" i="1"/>
  <c r="Q109" i="1"/>
  <c r="P109" i="1"/>
  <c r="O109" i="1"/>
  <c r="R109" i="1" s="1"/>
  <c r="Q108" i="1"/>
  <c r="P108" i="1"/>
  <c r="B91" i="1" s="1"/>
  <c r="B94" i="1" s="1"/>
  <c r="O108" i="1"/>
  <c r="R107" i="1"/>
  <c r="Q107" i="1"/>
  <c r="B99" i="1" s="1"/>
  <c r="P107" i="1"/>
  <c r="O107" i="1"/>
  <c r="Q106" i="1"/>
  <c r="P106" i="1"/>
  <c r="R106" i="1" s="1"/>
  <c r="O106" i="1"/>
  <c r="Q105" i="1"/>
  <c r="P105" i="1"/>
  <c r="O105" i="1"/>
  <c r="R105" i="1" s="1"/>
  <c r="H105" i="1"/>
  <c r="G105" i="1"/>
  <c r="F105" i="1"/>
  <c r="E105" i="1"/>
  <c r="D105" i="1"/>
  <c r="B105" i="1"/>
  <c r="Q104" i="1"/>
  <c r="P104" i="1"/>
  <c r="R104" i="1" s="1"/>
  <c r="O104" i="1"/>
  <c r="Q103" i="1"/>
  <c r="P103" i="1"/>
  <c r="R103" i="1" s="1"/>
  <c r="O103" i="1"/>
  <c r="I103" i="1"/>
  <c r="R102" i="1"/>
  <c r="Q102" i="1"/>
  <c r="P102" i="1"/>
  <c r="O102" i="1"/>
  <c r="Q101" i="1"/>
  <c r="P101" i="1"/>
  <c r="O101" i="1"/>
  <c r="H101" i="1"/>
  <c r="G101" i="1"/>
  <c r="F101" i="1"/>
  <c r="E101" i="1"/>
  <c r="D101" i="1"/>
  <c r="C101" i="1"/>
  <c r="C104" i="1" s="1"/>
  <c r="B101" i="1"/>
  <c r="B104" i="1" s="1"/>
  <c r="Q100" i="1"/>
  <c r="P100" i="1"/>
  <c r="R100" i="1" s="1"/>
  <c r="O100" i="1"/>
  <c r="H100" i="1"/>
  <c r="C100" i="1"/>
  <c r="B100" i="1"/>
  <c r="Q99" i="1"/>
  <c r="P99" i="1"/>
  <c r="O99" i="1"/>
  <c r="H99" i="1"/>
  <c r="F99" i="1"/>
  <c r="C99" i="1"/>
  <c r="Q98" i="1"/>
  <c r="P98" i="1"/>
  <c r="O98" i="1"/>
  <c r="Q97" i="1"/>
  <c r="P97" i="1"/>
  <c r="R97" i="1" s="1"/>
  <c r="O97" i="1"/>
  <c r="Q96" i="1"/>
  <c r="P96" i="1"/>
  <c r="O96" i="1"/>
  <c r="R95" i="1"/>
  <c r="Q95" i="1"/>
  <c r="P95" i="1"/>
  <c r="O95" i="1"/>
  <c r="Q94" i="1"/>
  <c r="P94" i="1"/>
  <c r="R94" i="1" s="1"/>
  <c r="O94" i="1"/>
  <c r="R93" i="1"/>
  <c r="Q93" i="1"/>
  <c r="P93" i="1"/>
  <c r="O93" i="1"/>
  <c r="I93" i="1"/>
  <c r="R92" i="1"/>
  <c r="Q92" i="1"/>
  <c r="P92" i="1"/>
  <c r="O92" i="1"/>
  <c r="Q91" i="1"/>
  <c r="P91" i="1"/>
  <c r="R91" i="1" s="1"/>
  <c r="M75" i="2" s="1"/>
  <c r="O91" i="1"/>
  <c r="M73" i="2" s="1"/>
  <c r="H91" i="1"/>
  <c r="G91" i="1"/>
  <c r="F91" i="1"/>
  <c r="E91" i="1"/>
  <c r="Q90" i="1"/>
  <c r="P90" i="1"/>
  <c r="O90" i="1"/>
  <c r="H90" i="1"/>
  <c r="G90" i="1"/>
  <c r="F90" i="1"/>
  <c r="C90" i="1"/>
  <c r="B90" i="1"/>
  <c r="R89" i="1"/>
  <c r="Q89" i="1"/>
  <c r="P89" i="1"/>
  <c r="O89" i="1"/>
  <c r="J73" i="2" s="1"/>
  <c r="G89" i="1"/>
  <c r="F89" i="1"/>
  <c r="E89" i="1"/>
  <c r="D89" i="1"/>
  <c r="C89" i="1"/>
  <c r="C94" i="1" s="1"/>
  <c r="B89" i="1"/>
  <c r="R88" i="1"/>
  <c r="M68" i="2" s="1"/>
  <c r="Q88" i="1"/>
  <c r="P88" i="1"/>
  <c r="M67" i="2" s="1"/>
  <c r="O88" i="1"/>
  <c r="M66" i="2" s="1"/>
  <c r="Q87" i="1"/>
  <c r="P87" i="1"/>
  <c r="R87" i="1" s="1"/>
  <c r="L70" i="2" s="1"/>
  <c r="AD85" i="2" s="1"/>
  <c r="O87" i="1"/>
  <c r="L69" i="2" s="1"/>
  <c r="R86" i="1"/>
  <c r="J68" i="2" s="1"/>
  <c r="Q86" i="1"/>
  <c r="P86" i="1"/>
  <c r="J67" i="2" s="1"/>
  <c r="O86" i="1"/>
  <c r="R85" i="1"/>
  <c r="M62" i="2" s="1"/>
  <c r="Q85" i="1"/>
  <c r="P85" i="1"/>
  <c r="O85" i="1"/>
  <c r="Q84" i="1"/>
  <c r="P84" i="1"/>
  <c r="O84" i="1"/>
  <c r="Q83" i="1"/>
  <c r="P83" i="1"/>
  <c r="J60" i="2" s="1"/>
  <c r="O83" i="1"/>
  <c r="J59" i="2" s="1"/>
  <c r="AB63" i="2" s="1"/>
  <c r="Q82" i="1"/>
  <c r="P82" i="1"/>
  <c r="M54" i="2" s="1"/>
  <c r="O82" i="1"/>
  <c r="R81" i="1"/>
  <c r="L55" i="2" s="1"/>
  <c r="AD83" i="2" s="1"/>
  <c r="Q81" i="1"/>
  <c r="P81" i="1"/>
  <c r="O81" i="1"/>
  <c r="Q80" i="1"/>
  <c r="P80" i="1"/>
  <c r="O80" i="1"/>
  <c r="J51" i="2" s="1"/>
  <c r="AB62" i="2" s="1"/>
  <c r="Q79" i="1"/>
  <c r="P79" i="1"/>
  <c r="O79" i="1"/>
  <c r="R78" i="1"/>
  <c r="Q78" i="1"/>
  <c r="P78" i="1"/>
  <c r="O78" i="1"/>
  <c r="R77" i="1"/>
  <c r="Q77" i="1"/>
  <c r="P77" i="1"/>
  <c r="O77" i="1"/>
  <c r="Q76" i="1"/>
  <c r="P76" i="1"/>
  <c r="O76" i="1"/>
  <c r="M33" i="2" s="1"/>
  <c r="Q75" i="1"/>
  <c r="P75" i="1"/>
  <c r="O75" i="1"/>
  <c r="L34" i="2" s="1"/>
  <c r="AD59" i="2" s="1"/>
  <c r="Q74" i="1"/>
  <c r="P74" i="1"/>
  <c r="J32" i="2" s="1"/>
  <c r="O74" i="1"/>
  <c r="J31" i="2" s="1"/>
  <c r="AB60" i="2" s="1"/>
  <c r="R73" i="1"/>
  <c r="M25" i="2" s="1"/>
  <c r="Q73" i="1"/>
  <c r="P73" i="1"/>
  <c r="M24" i="2" s="1"/>
  <c r="O73" i="1"/>
  <c r="Q72" i="1"/>
  <c r="P72" i="1"/>
  <c r="O72" i="1"/>
  <c r="Q71" i="1"/>
  <c r="P71" i="1"/>
  <c r="J22" i="2" s="1"/>
  <c r="O71" i="1"/>
  <c r="J21" i="2" s="1"/>
  <c r="AB59" i="2" s="1"/>
  <c r="Q70" i="1"/>
  <c r="P70" i="1"/>
  <c r="M12" i="2" s="1"/>
  <c r="O70" i="1"/>
  <c r="M11" i="2" s="1"/>
  <c r="R69" i="1"/>
  <c r="L13" i="2" s="1"/>
  <c r="AD79" i="2" s="1"/>
  <c r="Q69" i="1"/>
  <c r="P69" i="1"/>
  <c r="O69" i="1"/>
  <c r="L12" i="2" s="1"/>
  <c r="Q68" i="1"/>
  <c r="P68" i="1"/>
  <c r="R68" i="1" s="1"/>
  <c r="J11" i="2" s="1"/>
  <c r="AB80" i="2" s="1"/>
  <c r="O68" i="1"/>
  <c r="AO2" i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G25" i="5" l="1"/>
  <c r="G26" i="5" s="1"/>
  <c r="S16" i="2"/>
  <c r="Y15" i="2"/>
  <c r="Y33" i="2"/>
  <c r="D46" i="2"/>
  <c r="AB89" i="2" s="1"/>
  <c r="AB67" i="2"/>
  <c r="AB71" i="2" s="1"/>
  <c r="P6" i="3"/>
  <c r="Q6" i="3"/>
  <c r="AD71" i="2"/>
  <c r="P27" i="3"/>
  <c r="T58" i="3"/>
  <c r="H79" i="3"/>
  <c r="H81" i="3" s="1"/>
  <c r="R79" i="1"/>
  <c r="Q20" i="3"/>
  <c r="P20" i="3"/>
  <c r="G81" i="3"/>
  <c r="G82" i="3" s="1"/>
  <c r="R70" i="1"/>
  <c r="M13" i="2" s="1"/>
  <c r="C78" i="3"/>
  <c r="C81" i="3" s="1"/>
  <c r="T43" i="3"/>
  <c r="H10" i="5"/>
  <c r="Q12" i="3"/>
  <c r="P12" i="3"/>
  <c r="T28" i="3"/>
  <c r="Q16" i="3"/>
  <c r="Q22" i="3"/>
  <c r="M28" i="3"/>
  <c r="R28" i="3" s="1"/>
  <c r="P42" i="3"/>
  <c r="Q42" i="3"/>
  <c r="N55" i="3"/>
  <c r="R55" i="3" s="1"/>
  <c r="T55" i="3"/>
  <c r="N18" i="2"/>
  <c r="L15" i="3"/>
  <c r="R21" i="3"/>
  <c r="N28" i="3"/>
  <c r="P40" i="3"/>
  <c r="Q40" i="3"/>
  <c r="Q47" i="3"/>
  <c r="P47" i="3"/>
  <c r="G46" i="2"/>
  <c r="M33" i="3"/>
  <c r="R33" i="3" s="1"/>
  <c r="F94" i="1"/>
  <c r="T27" i="3"/>
  <c r="T33" i="3"/>
  <c r="D94" i="1"/>
  <c r="T31" i="3"/>
  <c r="E99" i="1"/>
  <c r="E104" i="1" s="1"/>
  <c r="D100" i="1"/>
  <c r="D104" i="1" s="1"/>
  <c r="S62" i="2"/>
  <c r="AF79" i="2" s="1"/>
  <c r="AF57" i="2"/>
  <c r="R75" i="1"/>
  <c r="L35" i="2" s="1"/>
  <c r="AD81" i="2" s="1"/>
  <c r="R116" i="1"/>
  <c r="M31" i="3"/>
  <c r="R31" i="3" s="1"/>
  <c r="Q61" i="3"/>
  <c r="P61" i="3"/>
  <c r="M43" i="3"/>
  <c r="R43" i="3" s="1"/>
  <c r="P30" i="3"/>
  <c r="Q30" i="3"/>
  <c r="N43" i="3"/>
  <c r="Q5" i="3"/>
  <c r="P5" i="3"/>
  <c r="Q24" i="3"/>
  <c r="P24" i="3"/>
  <c r="P34" i="3"/>
  <c r="Q34" i="3"/>
  <c r="E94" i="1"/>
  <c r="I94" i="1" s="1"/>
  <c r="G31" i="5" s="1"/>
  <c r="Q21" i="3"/>
  <c r="P21" i="3"/>
  <c r="M49" i="3"/>
  <c r="R49" i="3" s="1"/>
  <c r="N19" i="2"/>
  <c r="M15" i="3"/>
  <c r="R15" i="3" s="1"/>
  <c r="Q32" i="3"/>
  <c r="R47" i="3"/>
  <c r="L33" i="3"/>
  <c r="G45" i="2"/>
  <c r="M64" i="3"/>
  <c r="R64" i="3" s="1"/>
  <c r="T25" i="3"/>
  <c r="F12" i="5"/>
  <c r="M12" i="3"/>
  <c r="L43" i="3"/>
  <c r="P64" i="3"/>
  <c r="Q4" i="3"/>
  <c r="P4" i="3"/>
  <c r="T12" i="3"/>
  <c r="N12" i="3"/>
  <c r="T49" i="3"/>
  <c r="N49" i="3"/>
  <c r="L9" i="3"/>
  <c r="P38" i="3"/>
  <c r="Q48" i="3"/>
  <c r="P48" i="3"/>
  <c r="L58" i="3"/>
  <c r="C75" i="3"/>
  <c r="E10" i="5"/>
  <c r="E82" i="3"/>
  <c r="F78" i="3"/>
  <c r="F81" i="3" s="1"/>
  <c r="R74" i="1"/>
  <c r="J33" i="2" s="1"/>
  <c r="AB82" i="2" s="1"/>
  <c r="G99" i="1"/>
  <c r="G104" i="1" s="1"/>
  <c r="L37" i="3"/>
  <c r="T6" i="3"/>
  <c r="L31" i="3"/>
  <c r="C74" i="3"/>
  <c r="R44" i="3"/>
  <c r="P50" i="3"/>
  <c r="R99" i="1"/>
  <c r="Q63" i="3"/>
  <c r="P63" i="3"/>
  <c r="G94" i="1"/>
  <c r="R108" i="1"/>
  <c r="H94" i="1"/>
  <c r="Q17" i="3"/>
  <c r="P17" i="3"/>
  <c r="M27" i="3"/>
  <c r="P53" i="3"/>
  <c r="M58" i="3"/>
  <c r="R58" i="3" s="1"/>
  <c r="F10" i="5"/>
  <c r="D60" i="2"/>
  <c r="AB91" i="2" s="1"/>
  <c r="AB69" i="2"/>
  <c r="Q18" i="3"/>
  <c r="P18" i="3"/>
  <c r="T37" i="3"/>
  <c r="T64" i="3"/>
  <c r="R83" i="1"/>
  <c r="J61" i="2" s="1"/>
  <c r="N6" i="3"/>
  <c r="R6" i="3" s="1"/>
  <c r="P26" i="3"/>
  <c r="Q26" i="3"/>
  <c r="Q36" i="3"/>
  <c r="P36" i="3"/>
  <c r="R96" i="1"/>
  <c r="P10" i="3"/>
  <c r="Q10" i="3"/>
  <c r="L49" i="3"/>
  <c r="T47" i="3"/>
  <c r="D79" i="3"/>
  <c r="R82" i="1"/>
  <c r="M55" i="2" s="1"/>
  <c r="R90" i="1"/>
  <c r="L77" i="2" s="1"/>
  <c r="AD86" i="2" s="1"/>
  <c r="R6" i="2"/>
  <c r="R7" i="2" s="1"/>
  <c r="AB79" i="2" s="1"/>
  <c r="Q11" i="3"/>
  <c r="P11" i="3"/>
  <c r="R13" i="3"/>
  <c r="R17" i="3"/>
  <c r="T21" i="3"/>
  <c r="N27" i="3"/>
  <c r="L46" i="3"/>
  <c r="E74" i="3"/>
  <c r="L52" i="3"/>
  <c r="N58" i="3"/>
  <c r="E81" i="3"/>
  <c r="T15" i="3"/>
  <c r="R72" i="1"/>
  <c r="L25" i="2" s="1"/>
  <c r="AD80" i="2" s="1"/>
  <c r="AD93" i="2" s="1"/>
  <c r="R101" i="1"/>
  <c r="R110" i="1"/>
  <c r="D38" i="2"/>
  <c r="AB88" i="2" s="1"/>
  <c r="T32" i="3"/>
  <c r="F62" i="2"/>
  <c r="AD91" i="2" s="1"/>
  <c r="M54" i="3"/>
  <c r="R54" i="3" s="1"/>
  <c r="T48" i="3"/>
  <c r="Q57" i="3"/>
  <c r="P57" i="3"/>
  <c r="H71" i="3"/>
  <c r="H74" i="3" s="1"/>
  <c r="R80" i="1"/>
  <c r="J53" i="2" s="1"/>
  <c r="N33" i="3"/>
  <c r="T54" i="3"/>
  <c r="I75" i="3"/>
  <c r="R4" i="3"/>
  <c r="T26" i="3"/>
  <c r="Q41" i="3"/>
  <c r="P41" i="3"/>
  <c r="P60" i="3"/>
  <c r="L65" i="3"/>
  <c r="D73" i="3"/>
  <c r="D74" i="3" s="1"/>
  <c r="D75" i="3" s="1"/>
  <c r="M25" i="5"/>
  <c r="M26" i="5" s="1"/>
  <c r="R122" i="1"/>
  <c r="T5" i="3"/>
  <c r="T11" i="3"/>
  <c r="P55" i="3"/>
  <c r="L54" i="3"/>
  <c r="H104" i="1"/>
  <c r="N4" i="3"/>
  <c r="T30" i="3"/>
  <c r="P39" i="3"/>
  <c r="N47" i="3"/>
  <c r="T59" i="3"/>
  <c r="M65" i="3"/>
  <c r="R65" i="3" s="1"/>
  <c r="E12" i="5"/>
  <c r="E26" i="5"/>
  <c r="E72" i="3"/>
  <c r="G71" i="3"/>
  <c r="G74" i="3" s="1"/>
  <c r="R118" i="1"/>
  <c r="R115" i="1"/>
  <c r="S31" i="2"/>
  <c r="P8" i="3"/>
  <c r="Q14" i="3"/>
  <c r="L19" i="3"/>
  <c r="P45" i="3"/>
  <c r="P51" i="3"/>
  <c r="L59" i="3"/>
  <c r="C82" i="3"/>
  <c r="R84" i="1"/>
  <c r="L62" i="2" s="1"/>
  <c r="AD84" i="2" s="1"/>
  <c r="M10" i="5"/>
  <c r="R71" i="1"/>
  <c r="J23" i="2" s="1"/>
  <c r="AB81" i="2" s="1"/>
  <c r="T9" i="3"/>
  <c r="T42" i="3"/>
  <c r="R76" i="1"/>
  <c r="M35" i="2" s="1"/>
  <c r="U11" i="2"/>
  <c r="T63" i="3"/>
  <c r="R98" i="1"/>
  <c r="T10" i="3"/>
  <c r="L25" i="3"/>
  <c r="T53" i="3"/>
  <c r="T57" i="3"/>
  <c r="I79" i="3"/>
  <c r="G12" i="5" l="1"/>
  <c r="I104" i="1"/>
  <c r="K31" i="5" s="1"/>
  <c r="H75" i="3"/>
  <c r="F82" i="3"/>
  <c r="P59" i="3"/>
  <c r="Q59" i="3"/>
  <c r="Q37" i="3"/>
  <c r="P37" i="3"/>
  <c r="F71" i="3"/>
  <c r="E75" i="3"/>
  <c r="P65" i="3"/>
  <c r="Q65" i="3"/>
  <c r="E23" i="5"/>
  <c r="H23" i="5" s="1"/>
  <c r="G10" i="5"/>
  <c r="G23" i="5" s="1"/>
  <c r="P19" i="3"/>
  <c r="Q19" i="3"/>
  <c r="Q9" i="3"/>
  <c r="P9" i="3"/>
  <c r="R27" i="3"/>
  <c r="Q43" i="3"/>
  <c r="P43" i="3"/>
  <c r="R12" i="3"/>
  <c r="Q15" i="3"/>
  <c r="P15" i="3"/>
  <c r="Q49" i="3"/>
  <c r="P49" i="3"/>
  <c r="Q28" i="3"/>
  <c r="G47" i="2"/>
  <c r="Q54" i="3"/>
  <c r="P54" i="3"/>
  <c r="Q64" i="3"/>
  <c r="Y16" i="2"/>
  <c r="Y17" i="2" s="1"/>
  <c r="AF80" i="2" s="1"/>
  <c r="AF93" i="2" s="1"/>
  <c r="AF58" i="2"/>
  <c r="AF71" i="2" s="1"/>
  <c r="AE73" i="2" s="1"/>
  <c r="H82" i="3"/>
  <c r="I78" i="3"/>
  <c r="I81" i="3" s="1"/>
  <c r="P46" i="3"/>
  <c r="Q46" i="3"/>
  <c r="Q27" i="3"/>
  <c r="AB85" i="2"/>
  <c r="AB93" i="2" s="1"/>
  <c r="J63" i="2"/>
  <c r="Q58" i="3"/>
  <c r="P58" i="3"/>
  <c r="N20" i="2"/>
  <c r="Q25" i="3"/>
  <c r="P25" i="3"/>
  <c r="J55" i="2"/>
  <c r="AB84" i="2"/>
  <c r="P33" i="3"/>
  <c r="Q33" i="3"/>
  <c r="G75" i="3"/>
  <c r="Q52" i="3"/>
  <c r="P52" i="3"/>
  <c r="D81" i="3"/>
  <c r="D82" i="3" s="1"/>
  <c r="Q31" i="3"/>
  <c r="P31" i="3"/>
  <c r="AE95" i="2" l="1"/>
  <c r="F74" i="3"/>
  <c r="J74" i="3" s="1"/>
  <c r="B31" i="5" s="1"/>
  <c r="J81" i="3"/>
  <c r="I82" i="3"/>
  <c r="J82" i="3" s="1"/>
  <c r="F23" i="5"/>
  <c r="F75" i="3" l="1"/>
  <c r="J7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tc={84E29C2B-6F94-4652-B83F-C9448CC6CB8D}</author>
  </authors>
  <commentList>
    <comment ref="E11" authorId="0" shapeId="0" xr:uid="{84E29C2B-6F94-4652-B83F-C9448CC6CB8D}">
      <text>
        <r>
          <rPr>
            <sz val="11"/>
            <color rgb="FF000000"/>
            <rFont val="Calibri"/>
            <family val="2"/>
            <charset val="1"/>
          </rPr>
          <t xml:space="preserve">[Comentario encadenado]
</t>
        </r>
        <r>
          <rPr>
            <sz val="11"/>
            <color rgb="FF000000"/>
            <rFont val="Calibri"/>
            <family val="2"/>
            <charset val="1"/>
          </rPr>
          <t xml:space="preserve">
</t>
        </r>
        <r>
          <rPr>
            <sz val="11"/>
            <color rgb="FF000000"/>
            <rFont val="Calibri"/>
            <family val="2"/>
            <charset val="1"/>
          </rPr>
          <t xml:space="preserve">Su versión de Excel le permite leer este comentario encadenado; sin embargo, las ediciones que se apliquen se quitarán si el archivo se abre en una versión más reciente de Excel. Más información: https://go.microsoft.com/fwlink/?linkid=870924
</t>
        </r>
        <r>
          <rPr>
            <sz val="11"/>
            <color rgb="FF000000"/>
            <rFont val="Calibri"/>
            <family val="2"/>
            <charset val="1"/>
          </rPr>
          <t xml:space="preserve">
</t>
        </r>
        <r>
          <rPr>
            <sz val="11"/>
            <color rgb="FF000000"/>
            <rFont val="Calibri"/>
            <family val="2"/>
            <charset val="1"/>
          </rPr>
          <t xml:space="preserve">Comentario:
</t>
        </r>
        <r>
          <rPr>
            <sz val="11"/>
            <color rgb="FF000000"/>
            <rFont val="Calibri"/>
            <family val="2"/>
            <charset val="1"/>
          </rPr>
          <t xml:space="preserve">    Linkear las alimentaciones con sus respectivas leyes a los nombres correspondientes.</t>
        </r>
      </text>
    </comment>
  </commentList>
</comments>
</file>

<file path=xl/sharedStrings.xml><?xml version="1.0" encoding="utf-8"?>
<sst xmlns="http://schemas.openxmlformats.org/spreadsheetml/2006/main" count="385" uniqueCount="156">
  <si>
    <t>Valores Calculados</t>
  </si>
  <si>
    <t>TMS</t>
  </si>
  <si>
    <t>%FeT</t>
  </si>
  <si>
    <t>%FeMag</t>
  </si>
  <si>
    <t>Recepción P55</t>
  </si>
  <si>
    <t>Delta Stock P55</t>
  </si>
  <si>
    <t>Alim P55</t>
  </si>
  <si>
    <t>Recepción Alianza</t>
  </si>
  <si>
    <t>Delta Stock Alianza</t>
  </si>
  <si>
    <t>Alim Alianza</t>
  </si>
  <si>
    <t>Recepción P40</t>
  </si>
  <si>
    <t>Delta Stock P40</t>
  </si>
  <si>
    <t>Alim P40</t>
  </si>
  <si>
    <t>Recepción Repulpeo</t>
  </si>
  <si>
    <t>Delta Stock Repulpeo</t>
  </si>
  <si>
    <t>Alim Repulpeo</t>
  </si>
  <si>
    <t>Recepción Hnos araya</t>
  </si>
  <si>
    <t>Delta Stock Hnos Araya</t>
  </si>
  <si>
    <t>Alim Hnos Araya</t>
  </si>
  <si>
    <t>Recep San Andrés</t>
  </si>
  <si>
    <t>Delta Stock San Andrés</t>
  </si>
  <si>
    <t>Alim San Andrés</t>
  </si>
  <si>
    <t>Recep A&amp;Q</t>
  </si>
  <si>
    <t>Delta Stock A&amp;Q</t>
  </si>
  <si>
    <t>Alim A&amp;Q</t>
  </si>
  <si>
    <t>Alimentación</t>
  </si>
  <si>
    <t>Recep Autech</t>
  </si>
  <si>
    <t>Concentrado</t>
  </si>
  <si>
    <t>Delta Stock Autech</t>
  </si>
  <si>
    <t>Cola</t>
  </si>
  <si>
    <t>Alim Autech</t>
  </si>
  <si>
    <t>Recepción 1</t>
  </si>
  <si>
    <t>Delta Stock 1</t>
  </si>
  <si>
    <t>Rec Met Calc</t>
  </si>
  <si>
    <t>Alim 1</t>
  </si>
  <si>
    <t>Recepción 2</t>
  </si>
  <si>
    <t>Delta Stock 2</t>
  </si>
  <si>
    <t>Alim 2</t>
  </si>
  <si>
    <t>Recepción 3</t>
  </si>
  <si>
    <t>Delta Stock 3</t>
  </si>
  <si>
    <t>Alim 3</t>
  </si>
  <si>
    <t>Recepción 4</t>
  </si>
  <si>
    <t>Delta Stock 4</t>
  </si>
  <si>
    <t>Alim 4</t>
  </si>
  <si>
    <t>Espesador a Bz Intermedio</t>
  </si>
  <si>
    <t>Rp Etapa</t>
  </si>
  <si>
    <t>Delta Stock Intermedio</t>
  </si>
  <si>
    <t>Descarga Intermedio</t>
  </si>
  <si>
    <t>Alimentación CMCC</t>
  </si>
  <si>
    <t>Cola Rougher 1</t>
  </si>
  <si>
    <t>Conc Rougher 1</t>
  </si>
  <si>
    <t>Cola Rougher 2</t>
  </si>
  <si>
    <t>Conc Rougher  2</t>
  </si>
  <si>
    <t>Rechazos Gruesos</t>
  </si>
  <si>
    <t>Alimentaciones consolidades Stocks</t>
  </si>
  <si>
    <t>Alim Hidro</t>
  </si>
  <si>
    <t>Cola Hidro</t>
  </si>
  <si>
    <t>Conc Hidro</t>
  </si>
  <si>
    <t>Cola Finisher</t>
  </si>
  <si>
    <t>Conc Finisher</t>
  </si>
  <si>
    <t>Cola Flotación Magnética</t>
  </si>
  <si>
    <t>Conc Flotación Magnética</t>
  </si>
  <si>
    <t>Cola Flotación Neumática</t>
  </si>
  <si>
    <t>Conc Flotación Neumática</t>
  </si>
  <si>
    <t>Cola Espesador</t>
  </si>
  <si>
    <t>Delta INV Espesador</t>
  </si>
  <si>
    <t>Producción PM</t>
  </si>
  <si>
    <t>Relave Final</t>
  </si>
  <si>
    <t>Rebose ciclones a hidro</t>
  </si>
  <si>
    <t>CR2 a Desaguado</t>
  </si>
  <si>
    <t>CR2 a Molienda</t>
  </si>
  <si>
    <t>Repulpeo</t>
  </si>
  <si>
    <t>T2</t>
  </si>
  <si>
    <t>T3</t>
  </si>
  <si>
    <t>BALANCE GLOBAL MASA</t>
  </si>
  <si>
    <t>ENTRADAS</t>
  </si>
  <si>
    <t>VARIACIONES DE INVENTARIOS</t>
  </si>
  <si>
    <t>SALIDAS</t>
  </si>
  <si>
    <t>T4</t>
  </si>
  <si>
    <t>San Andres</t>
  </si>
  <si>
    <t>Relaves</t>
  </si>
  <si>
    <r>
      <rPr>
        <sz val="11"/>
        <color rgb="FF000000"/>
        <rFont val="Calibri"/>
        <family val="2"/>
        <charset val="1"/>
      </rPr>
      <t xml:space="preserve">PRODUCCIÓN </t>
    </r>
    <r>
      <rPr>
        <b/>
        <sz val="11"/>
        <color rgb="FF000000"/>
        <rFont val="Calibri"/>
        <family val="2"/>
        <charset val="1"/>
      </rPr>
      <t>PM</t>
    </r>
  </si>
  <si>
    <t>A&amp;Q</t>
  </si>
  <si>
    <t>Delta Invent Cancha/Repulpeo</t>
  </si>
  <si>
    <t>T1</t>
  </si>
  <si>
    <t>Delta T1</t>
  </si>
  <si>
    <t>Delta T2</t>
  </si>
  <si>
    <t>Delta T3</t>
  </si>
  <si>
    <t>Delta T4</t>
  </si>
  <si>
    <t>TOTAL ENTRADAS</t>
  </si>
  <si>
    <t xml:space="preserve">VAR NETA </t>
  </si>
  <si>
    <t>Autech</t>
  </si>
  <si>
    <t>ENTRADAS - VAR INVENTARIO - SALIDAS</t>
  </si>
  <si>
    <t>BALANCE GLOBAL FINOS</t>
  </si>
  <si>
    <t>Mediciones</t>
  </si>
  <si>
    <t>Balance</t>
  </si>
  <si>
    <t>% Cambio relativo</t>
  </si>
  <si>
    <t>Max Var Ton</t>
  </si>
  <si>
    <t>Max Var  FeT</t>
  </si>
  <si>
    <t>Max Var  FeMag</t>
  </si>
  <si>
    <t>FeMag &lt; FeT</t>
  </si>
  <si>
    <t>Flujos</t>
  </si>
  <si>
    <t>Ley FeT</t>
  </si>
  <si>
    <t>Ley FeMag</t>
  </si>
  <si>
    <t>TMSD</t>
  </si>
  <si>
    <t>%Fe T</t>
  </si>
  <si>
    <t>%Fe M</t>
  </si>
  <si>
    <t>Fe total (%)</t>
  </si>
  <si>
    <t>R1</t>
  </si>
  <si>
    <t>R2</t>
  </si>
  <si>
    <t>Hidro</t>
  </si>
  <si>
    <t>Finisher</t>
  </si>
  <si>
    <t>Flot. Magnética</t>
  </si>
  <si>
    <t>Flot Neumática</t>
  </si>
  <si>
    <t>Esp. Concentrado</t>
  </si>
  <si>
    <t>Total (Planta)</t>
  </si>
  <si>
    <t xml:space="preserve">Alimentación </t>
  </si>
  <si>
    <t xml:space="preserve">Concentrado </t>
  </si>
  <si>
    <t>Rp</t>
  </si>
  <si>
    <t>Rm</t>
  </si>
  <si>
    <t>Fe Magnético (%)</t>
  </si>
  <si>
    <t>Rmm</t>
  </si>
  <si>
    <t>Pellet Feed</t>
  </si>
  <si>
    <t>Produccion Filtrado</t>
  </si>
  <si>
    <t>BALANCE METALÚRGICO - VALLE COPIAPO</t>
  </si>
  <si>
    <t>REPORTE DE PLANTA MAGNETITA</t>
  </si>
  <si>
    <t>TONELAJE</t>
  </si>
  <si>
    <t>LEY</t>
  </si>
  <si>
    <t>FINO</t>
  </si>
  <si>
    <t>% FeT</t>
  </si>
  <si>
    <t>TMF</t>
  </si>
  <si>
    <t>% Fe Mag</t>
  </si>
  <si>
    <t>SALIDA</t>
  </si>
  <si>
    <t>Relaves CCMC</t>
  </si>
  <si>
    <t>Produccion Planta</t>
  </si>
  <si>
    <t>TOTAL</t>
  </si>
  <si>
    <t>EMBARQUES</t>
  </si>
  <si>
    <t xml:space="preserve">PÉRDIDAS </t>
  </si>
  <si>
    <t>INDICADORES PLANTA MAGNETITA</t>
  </si>
  <si>
    <t>RECUPERACIÓN EN PESO</t>
  </si>
  <si>
    <t>RECUPERACIÓN METALÚRGICA</t>
  </si>
  <si>
    <t>RECUPERACIÓN MAGNÉTICA METALÚRGICA</t>
  </si>
  <si>
    <t>Alim Marcela</t>
  </si>
  <si>
    <t>Alim Ema</t>
  </si>
  <si>
    <t>Alim San Andres</t>
  </si>
  <si>
    <t>Alim Rajos de Hierro</t>
  </si>
  <si>
    <t>Flot Magn</t>
  </si>
  <si>
    <t>Flot Neum</t>
  </si>
  <si>
    <t>Esp. Conc</t>
  </si>
  <si>
    <t>RP R1XR2</t>
  </si>
  <si>
    <t>ALIM CCMCXRPR1R2</t>
  </si>
  <si>
    <t>ALIM TERCEROS</t>
  </si>
  <si>
    <t>ALIM TOTAL MOLIENDA</t>
  </si>
  <si>
    <t>RP MOLIENDA</t>
  </si>
  <si>
    <t>RP GLOBAL</t>
  </si>
  <si>
    <t>RP ARCHIVO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</si>
</sst>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 * #,##0_ ;_ * \-#,##0_ ;_ * &quot;-&quot;_ ;_ @_ "/>
    <numFmt numFmtId="165" formatCode="_-* #,##0.00_-;\-* #,##0.00_-;_-* \-??_-;_-@_-"/>
    <numFmt numFmtId="166" formatCode="0.00\ %"/>
    <numFmt numFmtId="167" formatCode="0.0%"/>
    <numFmt numFmtId="168" formatCode="0\ %"/>
    <numFmt numFmtId="169" formatCode="#,##0_ ;\-#,##0\ "/>
    <numFmt numFmtId="170" formatCode="dd/mm/yyyy;@"/>
    <numFmt numFmtId="171" formatCode="#,##0.00_ ;\-#,##0.00\ "/>
    <numFmt numFmtId="172" formatCode="_ * #,##0.00_ ;_ * \-#,##0.00_ ;_ * &quot;-&quot;_ ;_ @_ "/>
  </numFmts>
  <fonts count="36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2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1"/>
      <color rgb="FF843C0B"/>
      <name val="Calibri"/>
      <family val="2"/>
      <charset val="1"/>
    </font>
    <font>
      <b/>
      <sz val="11"/>
      <color rgb="FF2E75B6"/>
      <name val="Calibri"/>
      <family val="2"/>
      <charset val="1"/>
    </font>
    <font>
      <sz val="11"/>
      <color rgb="FF7F7F7F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4"/>
      <name val="Calibri"/>
      <family val="2"/>
      <charset val="1"/>
    </font>
    <font>
      <sz val="10"/>
      <color rgb="FF44546A"/>
      <name val="Calibri"/>
      <family val="2"/>
      <charset val="1"/>
    </font>
    <font>
      <sz val="11"/>
      <color rgb="FF44546A"/>
      <name val="Calibri"/>
      <family val="2"/>
      <charset val="1"/>
    </font>
    <font>
      <b/>
      <sz val="12"/>
      <color rgb="FF44546A"/>
      <name val="Calibri"/>
      <family val="2"/>
      <charset val="1"/>
    </font>
    <font>
      <sz val="8"/>
      <color rgb="FF44546A"/>
      <name val="Calibri"/>
      <family val="2"/>
      <charset val="1"/>
    </font>
    <font>
      <b/>
      <sz val="8"/>
      <color rgb="FF44546A"/>
      <name val="Calibri"/>
      <family val="2"/>
      <charset val="1"/>
    </font>
    <font>
      <b/>
      <sz val="8"/>
      <color rgb="FFFFFFFF"/>
      <name val="Calibri"/>
      <family val="2"/>
      <charset val="1"/>
    </font>
    <font>
      <sz val="8"/>
      <name val="Calibri"/>
      <family val="2"/>
      <charset val="1"/>
    </font>
    <font>
      <b/>
      <sz val="8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8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 (Body)"/>
      <charset val="1"/>
    </font>
    <font>
      <b/>
      <sz val="14"/>
      <name val="Calibri (Body)"/>
      <charset val="1"/>
    </font>
    <font>
      <b/>
      <sz val="12"/>
      <name val="Calibri (Body)"/>
      <charset val="1"/>
    </font>
    <font>
      <b/>
      <sz val="14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1"/>
      <name val="Calibri (Body)"/>
      <charset val="1"/>
    </font>
    <font>
      <sz val="18"/>
      <name val="Calibri"/>
      <family val="2"/>
      <charset val="1"/>
    </font>
    <font>
      <b/>
      <sz val="11"/>
      <name val="Calibri"/>
      <family val="2"/>
      <charset val="1"/>
    </font>
    <font>
      <sz val="14"/>
      <name val="Calibri (Body)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5E0B4"/>
        <bgColor rgb="FFC6EFCE"/>
      </patternFill>
    </fill>
    <fill>
      <patternFill patternType="solid">
        <fgColor rgb="FFE2F0D9"/>
        <bgColor rgb="FFE7E6E6"/>
      </patternFill>
    </fill>
    <fill>
      <patternFill patternType="solid">
        <fgColor rgb="FF767171"/>
        <bgColor rgb="FF7F7F7F"/>
      </patternFill>
    </fill>
    <fill>
      <patternFill patternType="solid">
        <fgColor rgb="FFFFF2CC"/>
        <bgColor rgb="FFF2F2F2"/>
      </patternFill>
    </fill>
    <fill>
      <patternFill patternType="solid">
        <fgColor rgb="FFADB9CA"/>
        <bgColor rgb="FFD0CECE"/>
      </patternFill>
    </fill>
    <fill>
      <patternFill patternType="solid">
        <fgColor rgb="FFBDD7EE"/>
        <bgColor rgb="FFD0CECE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7E6E6"/>
      </patternFill>
    </fill>
    <fill>
      <patternFill patternType="solid">
        <fgColor rgb="FF44546A"/>
        <bgColor rgb="FF333333"/>
      </patternFill>
    </fill>
    <fill>
      <patternFill patternType="solid">
        <fgColor rgb="FFE7E6E6"/>
        <bgColor rgb="FFE2F0D9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rgb="FFFFFFFF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6">
    <xf numFmtId="0" fontId="0" fillId="0" borderId="0"/>
    <xf numFmtId="168" fontId="24" fillId="0" borderId="0" applyBorder="0" applyProtection="0"/>
    <xf numFmtId="165" fontId="24" fillId="0" borderId="0" applyBorder="0" applyProtection="0"/>
    <xf numFmtId="0" fontId="24" fillId="0" borderId="0"/>
    <xf numFmtId="0" fontId="1" fillId="0" borderId="0"/>
    <xf numFmtId="164" fontId="24" fillId="0" borderId="0" applyFont="0" applyFill="0" applyBorder="0" applyAlignment="0" applyProtection="0"/>
  </cellStyleXfs>
  <cellXfs count="230">
    <xf numFmtId="0" fontId="0" fillId="0" borderId="0" xfId="0"/>
    <xf numFmtId="0" fontId="0" fillId="0" borderId="0" xfId="0" applyAlignment="1">
      <alignment horizontal="center" wrapText="1"/>
    </xf>
    <xf numFmtId="0" fontId="3" fillId="0" borderId="0" xfId="0" applyFont="1"/>
    <xf numFmtId="0" fontId="0" fillId="0" borderId="0" xfId="0" applyAlignment="1">
      <alignment wrapText="1"/>
    </xf>
    <xf numFmtId="3" fontId="0" fillId="0" borderId="0" xfId="0" applyNumberFormat="1"/>
    <xf numFmtId="166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6" fillId="0" borderId="0" xfId="0" applyFont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4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3" fontId="7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3" fontId="7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3" fontId="4" fillId="0" borderId="8" xfId="0" applyNumberFormat="1" applyFont="1" applyBorder="1" applyAlignment="1">
      <alignment horizontal="left"/>
    </xf>
    <xf numFmtId="166" fontId="0" fillId="0" borderId="8" xfId="0" applyNumberFormat="1" applyBorder="1" applyAlignment="1">
      <alignment horizontal="left"/>
    </xf>
    <xf numFmtId="3" fontId="7" fillId="0" borderId="8" xfId="0" applyNumberFormat="1" applyFont="1" applyBorder="1" applyAlignment="1">
      <alignment horizontal="left"/>
    </xf>
    <xf numFmtId="3" fontId="0" fillId="0" borderId="8" xfId="0" applyNumberFormat="1" applyBorder="1"/>
    <xf numFmtId="3" fontId="4" fillId="0" borderId="0" xfId="0" applyNumberFormat="1" applyFont="1"/>
    <xf numFmtId="0" fontId="3" fillId="4" borderId="1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0" borderId="9" xfId="0" applyBorder="1" applyAlignment="1">
      <alignment vertical="center" wrapText="1"/>
    </xf>
    <xf numFmtId="3" fontId="0" fillId="0" borderId="1" xfId="0" applyNumberFormat="1" applyBorder="1" applyAlignment="1">
      <alignment horizontal="right" vertical="center" indent="1"/>
    </xf>
    <xf numFmtId="3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9" xfId="0" applyBorder="1" applyAlignment="1">
      <alignment vertical="center"/>
    </xf>
    <xf numFmtId="0" fontId="9" fillId="5" borderId="9" xfId="0" applyFont="1" applyFill="1" applyBorder="1" applyAlignment="1">
      <alignment vertical="center" wrapText="1"/>
    </xf>
    <xf numFmtId="0" fontId="0" fillId="0" borderId="9" xfId="0" applyBorder="1" applyAlignment="1">
      <alignment horizontal="left" vertical="center" indent="1"/>
    </xf>
    <xf numFmtId="0" fontId="9" fillId="5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3" fontId="6" fillId="0" borderId="1" xfId="0" applyNumberFormat="1" applyFont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9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8" borderId="1" xfId="0" applyFont="1" applyFill="1" applyBorder="1"/>
    <xf numFmtId="0" fontId="3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3" fillId="7" borderId="1" xfId="0" applyFont="1" applyFill="1" applyBorder="1"/>
    <xf numFmtId="0" fontId="5" fillId="2" borderId="1" xfId="3" applyFont="1" applyFill="1" applyBorder="1" applyAlignment="1">
      <alignment horizontal="center"/>
    </xf>
    <xf numFmtId="166" fontId="3" fillId="6" borderId="1" xfId="0" applyNumberFormat="1" applyFont="1" applyFill="1" applyBorder="1"/>
    <xf numFmtId="0" fontId="0" fillId="7" borderId="1" xfId="0" applyFill="1" applyBorder="1"/>
    <xf numFmtId="3" fontId="5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0" fontId="11" fillId="0" borderId="1" xfId="0" applyFont="1" applyBorder="1" applyAlignment="1">
      <alignment horizontal="center"/>
    </xf>
    <xf numFmtId="166" fontId="0" fillId="0" borderId="14" xfId="0" applyNumberFormat="1" applyBorder="1"/>
    <xf numFmtId="167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6" borderId="15" xfId="0" applyFill="1" applyBorder="1"/>
    <xf numFmtId="0" fontId="0" fillId="6" borderId="15" xfId="0" applyFill="1" applyBorder="1" applyAlignment="1">
      <alignment horizontal="center"/>
    </xf>
    <xf numFmtId="166" fontId="0" fillId="6" borderId="15" xfId="0" applyNumberFormat="1" applyFill="1" applyBorder="1" applyAlignment="1">
      <alignment horizontal="center"/>
    </xf>
    <xf numFmtId="0" fontId="0" fillId="6" borderId="16" xfId="0" applyFill="1" applyBorder="1"/>
    <xf numFmtId="166" fontId="0" fillId="0" borderId="16" xfId="0" applyNumberFormat="1" applyBorder="1" applyAlignment="1">
      <alignment horizontal="center"/>
    </xf>
    <xf numFmtId="0" fontId="0" fillId="0" borderId="17" xfId="0" applyBorder="1"/>
    <xf numFmtId="0" fontId="0" fillId="0" borderId="16" xfId="0" applyBorder="1"/>
    <xf numFmtId="0" fontId="0" fillId="6" borderId="18" xfId="0" applyFill="1" applyBorder="1"/>
    <xf numFmtId="166" fontId="0" fillId="0" borderId="18" xfId="0" applyNumberFormat="1" applyBorder="1" applyAlignment="1">
      <alignment horizontal="center"/>
    </xf>
    <xf numFmtId="0" fontId="0" fillId="0" borderId="18" xfId="0" applyBorder="1"/>
    <xf numFmtId="2" fontId="0" fillId="0" borderId="15" xfId="0" applyNumberFormat="1" applyBorder="1" applyAlignment="1">
      <alignment horizontal="center"/>
    </xf>
    <xf numFmtId="1" fontId="0" fillId="0" borderId="0" xfId="0" applyNumberFormat="1"/>
    <xf numFmtId="0" fontId="4" fillId="0" borderId="1" xfId="0" applyFont="1" applyBorder="1"/>
    <xf numFmtId="1" fontId="12" fillId="0" borderId="19" xfId="2" applyNumberFormat="1" applyFont="1" applyBorder="1" applyAlignment="1" applyProtection="1">
      <alignment horizontal="right" vertical="center"/>
    </xf>
    <xf numFmtId="166" fontId="12" fillId="0" borderId="19" xfId="2" applyNumberFormat="1" applyFont="1" applyBorder="1" applyAlignment="1" applyProtection="1">
      <alignment horizontal="right" vertical="center"/>
    </xf>
    <xf numFmtId="166" fontId="0" fillId="0" borderId="1" xfId="0" applyNumberFormat="1" applyBorder="1"/>
    <xf numFmtId="1" fontId="5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0" fontId="13" fillId="9" borderId="5" xfId="4" applyFont="1" applyFill="1" applyBorder="1" applyAlignment="1">
      <alignment horizontal="center" vertical="center"/>
    </xf>
    <xf numFmtId="169" fontId="13" fillId="9" borderId="6" xfId="2" applyNumberFormat="1" applyFont="1" applyFill="1" applyBorder="1" applyAlignment="1" applyProtection="1">
      <alignment horizontal="center"/>
    </xf>
    <xf numFmtId="169" fontId="13" fillId="9" borderId="8" xfId="2" applyNumberFormat="1" applyFont="1" applyFill="1" applyBorder="1" applyAlignment="1" applyProtection="1">
      <alignment horizontal="center"/>
    </xf>
    <xf numFmtId="166" fontId="16" fillId="0" borderId="1" xfId="1" applyNumberFormat="1" applyFont="1" applyBorder="1" applyAlignment="1" applyProtection="1">
      <alignment horizontal="center" vertical="center"/>
    </xf>
    <xf numFmtId="169" fontId="19" fillId="0" borderId="1" xfId="2" applyNumberFormat="1" applyFont="1" applyBorder="1" applyAlignment="1" applyProtection="1">
      <alignment horizontal="center" vertical="center"/>
    </xf>
    <xf numFmtId="166" fontId="19" fillId="0" borderId="1" xfId="1" applyNumberFormat="1" applyFont="1" applyBorder="1" applyAlignment="1" applyProtection="1">
      <alignment horizontal="center" vertical="center"/>
    </xf>
    <xf numFmtId="3" fontId="16" fillId="9" borderId="1" xfId="2" applyNumberFormat="1" applyFont="1" applyFill="1" applyBorder="1" applyAlignment="1" applyProtection="1">
      <alignment horizontal="center" vertical="center"/>
    </xf>
    <xf numFmtId="166" fontId="16" fillId="9" borderId="1" xfId="2" applyNumberFormat="1" applyFont="1" applyFill="1" applyBorder="1" applyAlignment="1" applyProtection="1">
      <alignment horizontal="center" vertical="center"/>
    </xf>
    <xf numFmtId="3" fontId="16" fillId="0" borderId="1" xfId="1" applyNumberFormat="1" applyFont="1" applyBorder="1" applyAlignment="1" applyProtection="1">
      <alignment horizontal="center" vertical="center"/>
    </xf>
    <xf numFmtId="166" fontId="17" fillId="12" borderId="3" xfId="1" applyNumberFormat="1" applyFont="1" applyFill="1" applyBorder="1" applyAlignment="1" applyProtection="1">
      <alignment horizontal="center" vertical="center"/>
    </xf>
    <xf numFmtId="169" fontId="17" fillId="12" borderId="26" xfId="4" applyNumberFormat="1" applyFont="1" applyFill="1" applyBorder="1" applyAlignment="1">
      <alignment horizontal="center" vertical="center" wrapText="1"/>
    </xf>
    <xf numFmtId="169" fontId="19" fillId="0" borderId="19" xfId="2" applyNumberFormat="1" applyFont="1" applyBorder="1" applyAlignment="1" applyProtection="1">
      <alignment horizontal="center" vertical="center"/>
    </xf>
    <xf numFmtId="169" fontId="16" fillId="9" borderId="1" xfId="2" applyNumberFormat="1" applyFont="1" applyFill="1" applyBorder="1" applyAlignment="1" applyProtection="1">
      <alignment horizontal="center" vertical="center"/>
    </xf>
    <xf numFmtId="166" fontId="16" fillId="9" borderId="1" xfId="1" applyNumberFormat="1" applyFont="1" applyFill="1" applyBorder="1" applyAlignment="1" applyProtection="1">
      <alignment horizontal="center" vertical="center"/>
    </xf>
    <xf numFmtId="169" fontId="17" fillId="12" borderId="3" xfId="4" applyNumberFormat="1" applyFont="1" applyFill="1" applyBorder="1" applyAlignment="1">
      <alignment horizontal="center" vertical="center" wrapText="1"/>
    </xf>
    <xf numFmtId="169" fontId="13" fillId="9" borderId="0" xfId="2" applyNumberFormat="1" applyFont="1" applyFill="1" applyBorder="1" applyAlignment="1" applyProtection="1">
      <alignment horizontal="center"/>
    </xf>
    <xf numFmtId="171" fontId="23" fillId="0" borderId="0" xfId="2" applyNumberFormat="1" applyFont="1" applyBorder="1" applyAlignment="1" applyProtection="1">
      <alignment horizontal="center" vertical="center"/>
    </xf>
    <xf numFmtId="169" fontId="13" fillId="0" borderId="0" xfId="2" applyNumberFormat="1" applyFont="1" applyBorder="1" applyAlignment="1" applyProtection="1">
      <alignment horizontal="center"/>
    </xf>
    <xf numFmtId="169" fontId="20" fillId="12" borderId="1" xfId="4" applyNumberFormat="1" applyFont="1" applyFill="1" applyBorder="1" applyAlignment="1">
      <alignment horizontal="center" vertical="center" wrapText="1"/>
    </xf>
    <xf numFmtId="166" fontId="20" fillId="12" borderId="1" xfId="4" applyNumberFormat="1" applyFont="1" applyFill="1" applyBorder="1" applyAlignment="1">
      <alignment horizontal="center" vertical="center" wrapText="1"/>
    </xf>
    <xf numFmtId="169" fontId="17" fillId="12" borderId="1" xfId="4" applyNumberFormat="1" applyFont="1" applyFill="1" applyBorder="1" applyAlignment="1">
      <alignment horizontal="center" vertical="center" wrapText="1"/>
    </xf>
    <xf numFmtId="169" fontId="17" fillId="12" borderId="1" xfId="2" applyNumberFormat="1" applyFont="1" applyFill="1" applyBorder="1" applyAlignment="1" applyProtection="1">
      <alignment horizontal="center" vertical="center"/>
    </xf>
    <xf numFmtId="166" fontId="17" fillId="12" borderId="1" xfId="1" applyNumberFormat="1" applyFont="1" applyFill="1" applyBorder="1" applyAlignment="1" applyProtection="1">
      <alignment horizontal="center" vertical="center"/>
    </xf>
    <xf numFmtId="169" fontId="13" fillId="9" borderId="5" xfId="2" applyNumberFormat="1" applyFont="1" applyFill="1" applyBorder="1" applyAlignment="1" applyProtection="1">
      <alignment horizontal="center"/>
    </xf>
    <xf numFmtId="0" fontId="13" fillId="9" borderId="4" xfId="4" applyFont="1" applyFill="1" applyBorder="1" applyAlignment="1">
      <alignment horizontal="center" vertical="center"/>
    </xf>
    <xf numFmtId="0" fontId="13" fillId="9" borderId="7" xfId="4" applyFont="1" applyFill="1" applyBorder="1" applyAlignment="1">
      <alignment horizontal="center" vertical="center"/>
    </xf>
    <xf numFmtId="169" fontId="13" fillId="9" borderId="7" xfId="2" applyNumberFormat="1" applyFont="1" applyFill="1" applyBorder="1" applyAlignment="1" applyProtection="1">
      <alignment horizontal="center"/>
    </xf>
    <xf numFmtId="0" fontId="13" fillId="9" borderId="0" xfId="4" applyFont="1" applyFill="1"/>
    <xf numFmtId="14" fontId="13" fillId="9" borderId="0" xfId="4" applyNumberFormat="1" applyFont="1" applyFill="1"/>
    <xf numFmtId="0" fontId="13" fillId="9" borderId="0" xfId="4" applyFont="1" applyFill="1" applyAlignment="1">
      <alignment horizontal="center" vertical="center"/>
    </xf>
    <xf numFmtId="0" fontId="13" fillId="0" borderId="0" xfId="4" applyFont="1"/>
    <xf numFmtId="169" fontId="13" fillId="9" borderId="35" xfId="2" applyNumberFormat="1" applyFont="1" applyFill="1" applyBorder="1" applyAlignment="1" applyProtection="1">
      <alignment horizontal="center"/>
    </xf>
    <xf numFmtId="171" fontId="23" fillId="0" borderId="8" xfId="2" applyNumberFormat="1" applyFont="1" applyBorder="1" applyAlignment="1" applyProtection="1">
      <alignment horizontal="center" vertical="center"/>
    </xf>
    <xf numFmtId="169" fontId="13" fillId="9" borderId="11" xfId="2" applyNumberFormat="1" applyFont="1" applyFill="1" applyBorder="1" applyAlignment="1" applyProtection="1">
      <alignment horizontal="center"/>
    </xf>
    <xf numFmtId="169" fontId="13" fillId="9" borderId="12" xfId="2" applyNumberFormat="1" applyFont="1" applyFill="1" applyBorder="1" applyAlignment="1" applyProtection="1">
      <alignment horizontal="center"/>
    </xf>
    <xf numFmtId="0" fontId="13" fillId="0" borderId="12" xfId="4" applyFont="1" applyBorder="1"/>
    <xf numFmtId="171" fontId="23" fillId="0" borderId="13" xfId="2" applyNumberFormat="1" applyFont="1" applyBorder="1" applyAlignment="1" applyProtection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9" borderId="1" xfId="4" applyFont="1" applyFill="1" applyBorder="1" applyAlignment="1">
      <alignment horizontal="center" vertical="center"/>
    </xf>
    <xf numFmtId="3" fontId="16" fillId="0" borderId="1" xfId="2" applyNumberFormat="1" applyFont="1" applyBorder="1" applyAlignment="1" applyProtection="1">
      <alignment horizontal="center" vertical="center"/>
    </xf>
    <xf numFmtId="166" fontId="19" fillId="0" borderId="1" xfId="2" applyNumberFormat="1" applyFont="1" applyBorder="1" applyAlignment="1" applyProtection="1">
      <alignment horizontal="center" vertical="center"/>
    </xf>
    <xf numFmtId="166" fontId="19" fillId="0" borderId="19" xfId="1" applyNumberFormat="1" applyFont="1" applyBorder="1" applyAlignment="1" applyProtection="1">
      <alignment horizontal="center" vertical="center"/>
    </xf>
    <xf numFmtId="3" fontId="16" fillId="0" borderId="19" xfId="1" applyNumberFormat="1" applyFont="1" applyBorder="1" applyAlignment="1" applyProtection="1">
      <alignment horizontal="center" vertical="center"/>
    </xf>
    <xf numFmtId="10" fontId="17" fillId="12" borderId="30" xfId="4" applyNumberFormat="1" applyFont="1" applyFill="1" applyBorder="1" applyAlignment="1">
      <alignment horizontal="center" vertical="center" wrapText="1"/>
    </xf>
    <xf numFmtId="171" fontId="23" fillId="0" borderId="38" xfId="2" applyNumberFormat="1" applyFont="1" applyBorder="1" applyAlignment="1" applyProtection="1">
      <alignment horizontal="center" vertical="center"/>
    </xf>
    <xf numFmtId="169" fontId="16" fillId="0" borderId="0" xfId="2" applyNumberFormat="1" applyFont="1" applyBorder="1" applyAlignment="1" applyProtection="1">
      <alignment vertical="center"/>
    </xf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7" fillId="0" borderId="0" xfId="0" applyFont="1"/>
    <xf numFmtId="0" fontId="27" fillId="0" borderId="0" xfId="0" applyFont="1" applyAlignment="1">
      <alignment wrapText="1"/>
    </xf>
    <xf numFmtId="0" fontId="29" fillId="0" borderId="0" xfId="0" applyFont="1"/>
    <xf numFmtId="0" fontId="12" fillId="0" borderId="0" xfId="0" applyFont="1"/>
    <xf numFmtId="0" fontId="30" fillId="0" borderId="0" xfId="0" applyFont="1"/>
    <xf numFmtId="0" fontId="26" fillId="0" borderId="0" xfId="0" applyFont="1" applyAlignment="1">
      <alignment horizontal="center"/>
    </xf>
    <xf numFmtId="3" fontId="26" fillId="0" borderId="0" xfId="0" applyNumberFormat="1" applyFont="1"/>
    <xf numFmtId="166" fontId="26" fillId="0" borderId="0" xfId="0" applyNumberFormat="1" applyFont="1"/>
    <xf numFmtId="3" fontId="25" fillId="0" borderId="0" xfId="0" applyNumberFormat="1" applyFont="1"/>
    <xf numFmtId="168" fontId="25" fillId="0" borderId="0" xfId="0" applyNumberFormat="1" applyFont="1"/>
    <xf numFmtId="3" fontId="31" fillId="0" borderId="0" xfId="0" applyNumberFormat="1" applyFont="1"/>
    <xf numFmtId="168" fontId="31" fillId="0" borderId="0" xfId="0" applyNumberFormat="1" applyFont="1"/>
    <xf numFmtId="3" fontId="5" fillId="13" borderId="1" xfId="0" applyNumberFormat="1" applyFont="1" applyFill="1" applyBorder="1"/>
    <xf numFmtId="166" fontId="5" fillId="13" borderId="1" xfId="0" applyNumberFormat="1" applyFont="1" applyFill="1" applyBorder="1"/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25" fillId="0" borderId="0" xfId="0" applyFont="1" applyAlignment="1">
      <alignment horizontal="center" wrapText="1"/>
    </xf>
    <xf numFmtId="0" fontId="32" fillId="0" borderId="0" xfId="0" applyFont="1" applyAlignment="1">
      <alignment horizontal="center"/>
    </xf>
    <xf numFmtId="0" fontId="25" fillId="0" borderId="0" xfId="0" applyFont="1" applyAlignment="1">
      <alignment wrapText="1"/>
    </xf>
    <xf numFmtId="0" fontId="25" fillId="0" borderId="0" xfId="3" applyFont="1" applyAlignment="1">
      <alignment horizontal="center"/>
    </xf>
    <xf numFmtId="166" fontId="34" fillId="0" borderId="0" xfId="0" applyNumberFormat="1" applyFont="1"/>
    <xf numFmtId="167" fontId="25" fillId="0" borderId="0" xfId="0" applyNumberFormat="1" applyFont="1"/>
    <xf numFmtId="166" fontId="25" fillId="0" borderId="0" xfId="0" applyNumberFormat="1" applyFont="1"/>
    <xf numFmtId="166" fontId="31" fillId="0" borderId="0" xfId="0" applyNumberFormat="1" applyFont="1"/>
    <xf numFmtId="166" fontId="26" fillId="0" borderId="0" xfId="0" applyNumberFormat="1" applyFont="1" applyAlignment="1">
      <alignment horizontal="center"/>
    </xf>
    <xf numFmtId="2" fontId="26" fillId="0" borderId="0" xfId="0" applyNumberFormat="1" applyFont="1" applyAlignment="1">
      <alignment horizontal="center"/>
    </xf>
    <xf numFmtId="0" fontId="32" fillId="0" borderId="0" xfId="0" applyFont="1"/>
    <xf numFmtId="166" fontId="26" fillId="2" borderId="0" xfId="0" applyNumberFormat="1" applyFont="1" applyFill="1"/>
    <xf numFmtId="3" fontId="27" fillId="0" borderId="0" xfId="0" applyNumberFormat="1" applyFont="1"/>
    <xf numFmtId="166" fontId="27" fillId="0" borderId="0" xfId="0" applyNumberFormat="1" applyFont="1"/>
    <xf numFmtId="0" fontId="26" fillId="0" borderId="0" xfId="0" applyFont="1" applyAlignment="1">
      <alignment horizontal="right"/>
    </xf>
    <xf numFmtId="0" fontId="26" fillId="0" borderId="0" xfId="0" applyFont="1" applyAlignment="1">
      <alignment wrapText="1"/>
    </xf>
    <xf numFmtId="166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center"/>
    </xf>
    <xf numFmtId="0" fontId="35" fillId="0" borderId="0" xfId="0" applyFont="1"/>
    <xf numFmtId="1" fontId="26" fillId="0" borderId="0" xfId="0" applyNumberFormat="1" applyFont="1"/>
    <xf numFmtId="0" fontId="25" fillId="0" borderId="0" xfId="0" applyFont="1" applyAlignment="1">
      <alignment horizontal="center"/>
    </xf>
    <xf numFmtId="3" fontId="25" fillId="0" borderId="0" xfId="0" applyNumberFormat="1" applyFont="1" applyAlignment="1">
      <alignment horizontal="center"/>
    </xf>
    <xf numFmtId="0" fontId="31" fillId="0" borderId="0" xfId="0" applyFont="1"/>
    <xf numFmtId="169" fontId="0" fillId="0" borderId="0" xfId="0" applyNumberFormat="1"/>
    <xf numFmtId="164" fontId="0" fillId="0" borderId="0" xfId="0" applyNumberFormat="1"/>
    <xf numFmtId="172" fontId="0" fillId="0" borderId="0" xfId="5" applyNumberFormat="1" applyFont="1"/>
    <xf numFmtId="172" fontId="0" fillId="0" borderId="0" xfId="0" applyNumberFormat="1"/>
    <xf numFmtId="2" fontId="0" fillId="14" borderId="0" xfId="0" applyNumberFormat="1" applyFill="1"/>
    <xf numFmtId="0" fontId="6" fillId="13" borderId="1" xfId="0" applyFont="1" applyFill="1" applyBorder="1"/>
    <xf numFmtId="172" fontId="0" fillId="13" borderId="1" xfId="5" applyNumberFormat="1" applyFont="1" applyFill="1" applyBorder="1"/>
    <xf numFmtId="164" fontId="0" fillId="13" borderId="1" xfId="0" applyNumberFormat="1" applyFill="1" applyBorder="1"/>
    <xf numFmtId="169" fontId="0" fillId="13" borderId="1" xfId="0" applyNumberFormat="1" applyFill="1" applyBorder="1"/>
    <xf numFmtId="172" fontId="0" fillId="13" borderId="1" xfId="0" applyNumberFormat="1" applyFill="1" applyBorder="1"/>
    <xf numFmtId="2" fontId="0" fillId="13" borderId="1" xfId="0" applyNumberFormat="1" applyFill="1" applyBorder="1"/>
    <xf numFmtId="0" fontId="33" fillId="0" borderId="0" xfId="0" applyFont="1" applyAlignment="1">
      <alignment horizontal="center"/>
    </xf>
    <xf numFmtId="0" fontId="26" fillId="0" borderId="0" xfId="3" applyFont="1" applyAlignment="1">
      <alignment horizontal="center"/>
    </xf>
    <xf numFmtId="0" fontId="25" fillId="0" borderId="0" xfId="0" applyFont="1" applyAlignment="1">
      <alignment horizontal="left" wrapText="1"/>
    </xf>
    <xf numFmtId="0" fontId="25" fillId="0" borderId="0" xfId="3" applyFont="1" applyAlignment="1">
      <alignment horizontal="center"/>
    </xf>
    <xf numFmtId="0" fontId="32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31" fillId="0" borderId="0" xfId="3" applyFont="1" applyAlignment="1">
      <alignment horizontal="center" wrapText="1"/>
    </xf>
    <xf numFmtId="0" fontId="3" fillId="7" borderId="1" xfId="0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 wrapText="1"/>
    </xf>
    <xf numFmtId="166" fontId="13" fillId="0" borderId="18" xfId="1" applyNumberFormat="1" applyFont="1" applyBorder="1" applyAlignment="1" applyProtection="1">
      <alignment horizontal="center" vertical="center"/>
    </xf>
    <xf numFmtId="166" fontId="13" fillId="0" borderId="15" xfId="1" applyNumberFormat="1" applyFont="1" applyBorder="1" applyAlignment="1" applyProtection="1">
      <alignment horizontal="center" vertical="center"/>
    </xf>
    <xf numFmtId="166" fontId="13" fillId="0" borderId="31" xfId="1" applyNumberFormat="1" applyFont="1" applyBorder="1" applyAlignment="1" applyProtection="1">
      <alignment horizontal="center" vertical="center" wrapText="1"/>
    </xf>
    <xf numFmtId="166" fontId="13" fillId="0" borderId="1" xfId="1" applyNumberFormat="1" applyFont="1" applyBorder="1" applyAlignment="1" applyProtection="1">
      <alignment horizontal="center" vertical="center" wrapText="1"/>
    </xf>
    <xf numFmtId="166" fontId="13" fillId="0" borderId="25" xfId="1" applyNumberFormat="1" applyFont="1" applyBorder="1" applyAlignment="1" applyProtection="1">
      <alignment horizontal="center" vertical="center" wrapText="1"/>
    </xf>
    <xf numFmtId="166" fontId="13" fillId="0" borderId="39" xfId="1" applyNumberFormat="1" applyFont="1" applyBorder="1" applyAlignment="1" applyProtection="1">
      <alignment horizontal="center" vertical="center" wrapText="1"/>
    </xf>
    <xf numFmtId="166" fontId="13" fillId="0" borderId="22" xfId="1" applyNumberFormat="1" applyFont="1" applyBorder="1" applyAlignment="1" applyProtection="1">
      <alignment horizontal="center" vertical="center" wrapText="1"/>
    </xf>
    <xf numFmtId="166" fontId="13" fillId="0" borderId="23" xfId="1" applyNumberFormat="1" applyFont="1" applyBorder="1" applyAlignment="1" applyProtection="1">
      <alignment horizontal="center" vertical="center" wrapText="1"/>
    </xf>
    <xf numFmtId="0" fontId="18" fillId="11" borderId="1" xfId="4" applyFont="1" applyFill="1" applyBorder="1" applyAlignment="1">
      <alignment horizontal="center" vertical="center"/>
    </xf>
    <xf numFmtId="0" fontId="17" fillId="12" borderId="1" xfId="4" applyFont="1" applyFill="1" applyBorder="1" applyAlignment="1">
      <alignment horizontal="left" vertical="center" wrapText="1"/>
    </xf>
    <xf numFmtId="0" fontId="21" fillId="11" borderId="11" xfId="4" applyFont="1" applyFill="1" applyBorder="1" applyAlignment="1">
      <alignment horizontal="center" vertical="center"/>
    </xf>
    <xf numFmtId="0" fontId="22" fillId="11" borderId="29" xfId="4" applyFont="1" applyFill="1" applyBorder="1" applyAlignment="1">
      <alignment horizontal="center"/>
    </xf>
    <xf numFmtId="0" fontId="22" fillId="11" borderId="24" xfId="4" applyFont="1" applyFill="1" applyBorder="1" applyAlignment="1">
      <alignment horizontal="center"/>
    </xf>
    <xf numFmtId="0" fontId="22" fillId="11" borderId="21" xfId="4" applyFont="1" applyFill="1" applyBorder="1" applyAlignment="1">
      <alignment horizontal="center"/>
    </xf>
    <xf numFmtId="0" fontId="22" fillId="11" borderId="32" xfId="4" applyFont="1" applyFill="1" applyBorder="1" applyAlignment="1">
      <alignment horizontal="center"/>
    </xf>
    <xf numFmtId="0" fontId="22" fillId="11" borderId="33" xfId="4" applyFont="1" applyFill="1" applyBorder="1" applyAlignment="1">
      <alignment horizontal="center"/>
    </xf>
    <xf numFmtId="0" fontId="22" fillId="11" borderId="34" xfId="4" applyFont="1" applyFill="1" applyBorder="1" applyAlignment="1">
      <alignment horizontal="center"/>
    </xf>
    <xf numFmtId="0" fontId="17" fillId="12" borderId="2" xfId="4" applyFont="1" applyFill="1" applyBorder="1" applyAlignment="1">
      <alignment horizontal="left" vertical="center" wrapText="1"/>
    </xf>
    <xf numFmtId="0" fontId="18" fillId="11" borderId="37" xfId="4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0" fontId="16" fillId="0" borderId="1" xfId="4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4" fillId="10" borderId="2" xfId="0" applyFont="1" applyFill="1" applyBorder="1" applyAlignment="1">
      <alignment horizontal="center"/>
    </xf>
    <xf numFmtId="0" fontId="14" fillId="10" borderId="32" xfId="0" applyFont="1" applyFill="1" applyBorder="1" applyAlignment="1">
      <alignment horizontal="center"/>
    </xf>
    <xf numFmtId="49" fontId="15" fillId="10" borderId="36" xfId="0" applyNumberFormat="1" applyFont="1" applyFill="1" applyBorder="1" applyAlignment="1">
      <alignment horizontal="center" vertical="center" wrapText="1"/>
    </xf>
    <xf numFmtId="49" fontId="15" fillId="10" borderId="21" xfId="0" applyNumberFormat="1" applyFont="1" applyFill="1" applyBorder="1" applyAlignment="1">
      <alignment horizontal="center" vertical="center" wrapText="1"/>
    </xf>
    <xf numFmtId="49" fontId="15" fillId="10" borderId="15" xfId="0" applyNumberFormat="1" applyFont="1" applyFill="1" applyBorder="1" applyAlignment="1">
      <alignment horizontal="center" vertical="center" wrapText="1"/>
    </xf>
    <xf numFmtId="49" fontId="15" fillId="10" borderId="30" xfId="0" applyNumberFormat="1" applyFont="1" applyFill="1" applyBorder="1" applyAlignment="1">
      <alignment horizontal="center" vertical="center" wrapText="1"/>
    </xf>
    <xf numFmtId="49" fontId="15" fillId="10" borderId="27" xfId="0" applyNumberFormat="1" applyFont="1" applyFill="1" applyBorder="1" applyAlignment="1">
      <alignment horizontal="center" vertical="center" wrapText="1"/>
    </xf>
    <xf numFmtId="49" fontId="15" fillId="10" borderId="22" xfId="0" applyNumberFormat="1" applyFont="1" applyFill="1" applyBorder="1" applyAlignment="1">
      <alignment horizontal="center" vertical="center" wrapText="1"/>
    </xf>
    <xf numFmtId="170" fontId="15" fillId="10" borderId="28" xfId="0" applyNumberFormat="1" applyFont="1" applyFill="1" applyBorder="1" applyAlignment="1">
      <alignment horizontal="center" vertical="center" wrapText="1"/>
    </xf>
    <xf numFmtId="170" fontId="15" fillId="10" borderId="23" xfId="0" applyNumberFormat="1" applyFont="1" applyFill="1" applyBorder="1" applyAlignment="1">
      <alignment horizontal="center" vertical="center" wrapText="1"/>
    </xf>
  </cellXfs>
  <cellStyles count="6">
    <cellStyle name="Comma [0]" xfId="5" builtinId="6"/>
    <cellStyle name="Millares 2" xfId="2" xr:uid="{00000000-0005-0000-0000-000006000000}"/>
    <cellStyle name="Normal" xfId="0" builtinId="0"/>
    <cellStyle name="Normal 2" xfId="3" xr:uid="{00000000-0005-0000-0000-000007000000}"/>
    <cellStyle name="Normal 2 2" xfId="4" xr:uid="{00000000-0005-0000-0000-000008000000}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</dxfs>
  <tableStyles count="1" defaultTableStyle="TableStyleMedium2" defaultPivotStyle="PivotStyleLight16">
    <tableStyle name="Invisible" pivot="0" table="0" count="0" xr9:uid="{D6D1E9ED-C982-4752-95AC-DC9F0CC7A30F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ADB9CA"/>
      <rgbColor rgb="FF7F7F7F"/>
      <rgbColor rgb="FF9999FF"/>
      <rgbColor rgb="FF993366"/>
      <rgbColor rgb="FFFFF2CC"/>
      <rgbColor rgb="FFE2F0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E7E6E6"/>
      <rgbColor rgb="FFD0CECE"/>
      <rgbColor rgb="FFFF99CC"/>
      <rgbColor rgb="FFC5E0B4"/>
      <rgbColor rgb="FFFFC7CE"/>
      <rgbColor rgb="FF2E75B6"/>
      <rgbColor rgb="FF33CCCC"/>
      <rgbColor rgb="FF99CC00"/>
      <rgbColor rgb="FFFFCC00"/>
      <rgbColor rgb="FFFF9900"/>
      <rgbColor rgb="FFFF6600"/>
      <rgbColor rgb="FF767171"/>
      <rgbColor rgb="FF969696"/>
      <rgbColor rgb="FF003366"/>
      <rgbColor rgb="FF339966"/>
      <rgbColor rgb="FF003300"/>
      <rgbColor rgb="FF333300"/>
      <rgbColor rgb="FF843C0B"/>
      <rgbColor rgb="FF993366"/>
      <rgbColor rgb="FF44546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523800</xdr:colOff>
      <xdr:row>12</xdr:row>
      <xdr:rowOff>1080</xdr:rowOff>
    </xdr:from>
    <xdr:to>
      <xdr:col>23</xdr:col>
      <xdr:colOff>38880</xdr:colOff>
      <xdr:row>14</xdr:row>
      <xdr:rowOff>126720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7816040" y="2296440"/>
          <a:ext cx="2287440" cy="506880"/>
        </a:xfrm>
        <a:prstGeom prst="rect">
          <a:avLst/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Relaves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13</xdr:col>
      <xdr:colOff>423000</xdr:colOff>
      <xdr:row>26</xdr:row>
      <xdr:rowOff>104040</xdr:rowOff>
    </xdr:from>
    <xdr:to>
      <xdr:col>13</xdr:col>
      <xdr:colOff>645120</xdr:colOff>
      <xdr:row>27</xdr:row>
      <xdr:rowOff>116640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0614240" y="5066640"/>
          <a:ext cx="222120" cy="203040"/>
        </a:xfrm>
        <a:prstGeom prst="ellipse">
          <a:avLst/>
        </a:prstGeom>
        <a:solidFill>
          <a:schemeClr val="accent1">
            <a:lumMod val="50000"/>
          </a:schemeClr>
        </a:solidFill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16</xdr:col>
      <xdr:colOff>612360</xdr:colOff>
      <xdr:row>3</xdr:row>
      <xdr:rowOff>61560</xdr:rowOff>
    </xdr:from>
    <xdr:to>
      <xdr:col>16</xdr:col>
      <xdr:colOff>630000</xdr:colOff>
      <xdr:row>7</xdr:row>
      <xdr:rowOff>38520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H="1">
          <a:off x="13032360" y="642600"/>
          <a:ext cx="18000" cy="73944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10</xdr:col>
      <xdr:colOff>750960</xdr:colOff>
      <xdr:row>8</xdr:row>
      <xdr:rowOff>8280</xdr:rowOff>
    </xdr:from>
    <xdr:to>
      <xdr:col>11</xdr:col>
      <xdr:colOff>567000</xdr:colOff>
      <xdr:row>10</xdr:row>
      <xdr:rowOff>160200</xdr:rowOff>
    </xdr:to>
    <xdr:sp macro="" textlink="">
      <xdr:nvSpPr>
        <xdr:cNvPr id="5" name="Triángulo isósceles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8157600" y="1541880"/>
          <a:ext cx="732240" cy="532800"/>
        </a:xfrm>
        <a:prstGeom prst="triangle">
          <a:avLst>
            <a:gd name="adj" fmla="val 50000"/>
          </a:avLst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10</xdr:col>
      <xdr:colOff>282240</xdr:colOff>
      <xdr:row>6</xdr:row>
      <xdr:rowOff>174960</xdr:rowOff>
    </xdr:from>
    <xdr:to>
      <xdr:col>11</xdr:col>
      <xdr:colOff>534600</xdr:colOff>
      <xdr:row>8</xdr:row>
      <xdr:rowOff>158760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688880" y="1327320"/>
          <a:ext cx="1168560" cy="3650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P55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10</xdr:col>
      <xdr:colOff>750960</xdr:colOff>
      <xdr:row>19</xdr:row>
      <xdr:rowOff>165960</xdr:rowOff>
    </xdr:from>
    <xdr:to>
      <xdr:col>11</xdr:col>
      <xdr:colOff>567000</xdr:colOff>
      <xdr:row>22</xdr:row>
      <xdr:rowOff>133560</xdr:rowOff>
    </xdr:to>
    <xdr:sp macro="" textlink="">
      <xdr:nvSpPr>
        <xdr:cNvPr id="7" name="Triángulo isósceles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157600" y="3795120"/>
          <a:ext cx="732240" cy="538920"/>
        </a:xfrm>
        <a:prstGeom prst="triangle">
          <a:avLst>
            <a:gd name="adj" fmla="val 50000"/>
          </a:avLst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10</xdr:col>
      <xdr:colOff>243720</xdr:colOff>
      <xdr:row>18</xdr:row>
      <xdr:rowOff>173880</xdr:rowOff>
    </xdr:from>
    <xdr:to>
      <xdr:col>11</xdr:col>
      <xdr:colOff>496080</xdr:colOff>
      <xdr:row>20</xdr:row>
      <xdr:rowOff>157680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7650360" y="3612240"/>
          <a:ext cx="1168560" cy="3650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Alianza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10</xdr:col>
      <xdr:colOff>743400</xdr:colOff>
      <xdr:row>30</xdr:row>
      <xdr:rowOff>1440</xdr:rowOff>
    </xdr:from>
    <xdr:to>
      <xdr:col>11</xdr:col>
      <xdr:colOff>559440</xdr:colOff>
      <xdr:row>32</xdr:row>
      <xdr:rowOff>154080</xdr:rowOff>
    </xdr:to>
    <xdr:sp macro="" textlink="">
      <xdr:nvSpPr>
        <xdr:cNvPr id="9" name="Triángulo isósceles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8150040" y="5725800"/>
          <a:ext cx="732240" cy="533880"/>
        </a:xfrm>
        <a:prstGeom prst="triangle">
          <a:avLst>
            <a:gd name="adj" fmla="val 50000"/>
          </a:avLst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10</xdr:col>
      <xdr:colOff>224280</xdr:colOff>
      <xdr:row>29</xdr:row>
      <xdr:rowOff>90360</xdr:rowOff>
    </xdr:from>
    <xdr:to>
      <xdr:col>11</xdr:col>
      <xdr:colOff>476640</xdr:colOff>
      <xdr:row>31</xdr:row>
      <xdr:rowOff>74160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7630920" y="5624280"/>
          <a:ext cx="1168560" cy="3650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P40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11</xdr:col>
      <xdr:colOff>9720</xdr:colOff>
      <xdr:row>50</xdr:row>
      <xdr:rowOff>37440</xdr:rowOff>
    </xdr:from>
    <xdr:to>
      <xdr:col>11</xdr:col>
      <xdr:colOff>587880</xdr:colOff>
      <xdr:row>53</xdr:row>
      <xdr:rowOff>5040</xdr:rowOff>
    </xdr:to>
    <xdr:sp macro="" textlink="">
      <xdr:nvSpPr>
        <xdr:cNvPr id="11" name="Triángulo isósceles 1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8332560" y="9572040"/>
          <a:ext cx="578160" cy="538920"/>
        </a:xfrm>
        <a:prstGeom prst="triangle">
          <a:avLst>
            <a:gd name="adj" fmla="val 50000"/>
          </a:avLst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10</xdr:col>
      <xdr:colOff>282240</xdr:colOff>
      <xdr:row>50</xdr:row>
      <xdr:rowOff>42840</xdr:rowOff>
    </xdr:from>
    <xdr:to>
      <xdr:col>11</xdr:col>
      <xdr:colOff>98280</xdr:colOff>
      <xdr:row>51</xdr:row>
      <xdr:rowOff>132120</xdr:rowOff>
    </xdr:to>
    <xdr:sp macro="" textlink="">
      <xdr:nvSpPr>
        <xdr:cNvPr id="12" name="Rectángulo 1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7688880" y="9577440"/>
          <a:ext cx="732240" cy="279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GC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16</xdr:col>
      <xdr:colOff>19080</xdr:colOff>
      <xdr:row>7</xdr:row>
      <xdr:rowOff>38880</xdr:rowOff>
    </xdr:from>
    <xdr:to>
      <xdr:col>17</xdr:col>
      <xdr:colOff>443880</xdr:colOff>
      <xdr:row>9</xdr:row>
      <xdr:rowOff>164520</xdr:rowOff>
    </xdr:to>
    <xdr:sp macro="" textlink="">
      <xdr:nvSpPr>
        <xdr:cNvPr id="13" name="Rectángulo 1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2439080" y="1382040"/>
          <a:ext cx="1167840" cy="506520"/>
        </a:xfrm>
        <a:prstGeom prst="rect">
          <a:avLst/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Rougher 1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16</xdr:col>
      <xdr:colOff>9360</xdr:colOff>
      <xdr:row>12</xdr:row>
      <xdr:rowOff>163440</xdr:rowOff>
    </xdr:from>
    <xdr:to>
      <xdr:col>17</xdr:col>
      <xdr:colOff>434160</xdr:colOff>
      <xdr:row>15</xdr:row>
      <xdr:rowOff>87840</xdr:rowOff>
    </xdr:to>
    <xdr:sp macro="" textlink="">
      <xdr:nvSpPr>
        <xdr:cNvPr id="14" name="Rectángulo 15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2429360" y="2458800"/>
          <a:ext cx="1167840" cy="496080"/>
        </a:xfrm>
        <a:prstGeom prst="rect">
          <a:avLst/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Rougher 2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15</xdr:col>
      <xdr:colOff>711000</xdr:colOff>
      <xdr:row>26</xdr:row>
      <xdr:rowOff>114120</xdr:rowOff>
    </xdr:from>
    <xdr:to>
      <xdr:col>17</xdr:col>
      <xdr:colOff>489240</xdr:colOff>
      <xdr:row>29</xdr:row>
      <xdr:rowOff>58320</xdr:rowOff>
    </xdr:to>
    <xdr:sp macro="" textlink="">
      <xdr:nvSpPr>
        <xdr:cNvPr id="15" name="Rectángulo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12387960" y="5076720"/>
          <a:ext cx="1264320" cy="515520"/>
        </a:xfrm>
        <a:prstGeom prst="rect">
          <a:avLst/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HIDROSEPARACIÓN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15</xdr:col>
      <xdr:colOff>709200</xdr:colOff>
      <xdr:row>33</xdr:row>
      <xdr:rowOff>110880</xdr:rowOff>
    </xdr:from>
    <xdr:to>
      <xdr:col>17</xdr:col>
      <xdr:colOff>487440</xdr:colOff>
      <xdr:row>36</xdr:row>
      <xdr:rowOff>55080</xdr:rowOff>
    </xdr:to>
    <xdr:sp macro="" textlink="">
      <xdr:nvSpPr>
        <xdr:cNvPr id="16" name="Rectángulo 17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2386160" y="6406920"/>
          <a:ext cx="1264320" cy="515520"/>
        </a:xfrm>
        <a:prstGeom prst="rect">
          <a:avLst/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FINISHER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15</xdr:col>
      <xdr:colOff>716760</xdr:colOff>
      <xdr:row>40</xdr:row>
      <xdr:rowOff>1800</xdr:rowOff>
    </xdr:from>
    <xdr:to>
      <xdr:col>17</xdr:col>
      <xdr:colOff>495000</xdr:colOff>
      <xdr:row>42</xdr:row>
      <xdr:rowOff>126000</xdr:rowOff>
    </xdr:to>
    <xdr:sp macro="" textlink="">
      <xdr:nvSpPr>
        <xdr:cNvPr id="17" name="Rectángulo 18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12393720" y="7631280"/>
          <a:ext cx="1264320" cy="505080"/>
        </a:xfrm>
        <a:prstGeom prst="rect">
          <a:avLst/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FLOTACIÓN MAGNETICA 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15</xdr:col>
      <xdr:colOff>640080</xdr:colOff>
      <xdr:row>49</xdr:row>
      <xdr:rowOff>64440</xdr:rowOff>
    </xdr:from>
    <xdr:to>
      <xdr:col>17</xdr:col>
      <xdr:colOff>418320</xdr:colOff>
      <xdr:row>52</xdr:row>
      <xdr:rowOff>8640</xdr:rowOff>
    </xdr:to>
    <xdr:sp macro="" textlink="">
      <xdr:nvSpPr>
        <xdr:cNvPr id="18" name="Rectángulo 19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2317040" y="9408600"/>
          <a:ext cx="1264320" cy="515520"/>
        </a:xfrm>
        <a:prstGeom prst="rect">
          <a:avLst/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ESPESADOR 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13</xdr:col>
      <xdr:colOff>14040</xdr:colOff>
      <xdr:row>56</xdr:row>
      <xdr:rowOff>114480</xdr:rowOff>
    </xdr:from>
    <xdr:to>
      <xdr:col>14</xdr:col>
      <xdr:colOff>64440</xdr:colOff>
      <xdr:row>57</xdr:row>
      <xdr:rowOff>267840</xdr:rowOff>
    </xdr:to>
    <xdr:sp macro="" textlink="">
      <xdr:nvSpPr>
        <xdr:cNvPr id="19" name="Triángulo isósceles 20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0205280" y="10849320"/>
          <a:ext cx="793080" cy="553320"/>
        </a:xfrm>
        <a:prstGeom prst="triangle">
          <a:avLst>
            <a:gd name="adj" fmla="val 50000"/>
          </a:avLst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12</xdr:col>
      <xdr:colOff>702360</xdr:colOff>
      <xdr:row>57</xdr:row>
      <xdr:rowOff>91440</xdr:rowOff>
    </xdr:from>
    <xdr:to>
      <xdr:col>14</xdr:col>
      <xdr:colOff>77400</xdr:colOff>
      <xdr:row>59</xdr:row>
      <xdr:rowOff>75240</xdr:rowOff>
    </xdr:to>
    <xdr:sp macro="" textlink="">
      <xdr:nvSpPr>
        <xdr:cNvPr id="20" name="Rectángulo 2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9941760" y="11226240"/>
          <a:ext cx="1069560" cy="783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INTERMEDIO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16</xdr:col>
      <xdr:colOff>122760</xdr:colOff>
      <xdr:row>1</xdr:row>
      <xdr:rowOff>83880</xdr:rowOff>
    </xdr:from>
    <xdr:to>
      <xdr:col>17</xdr:col>
      <xdr:colOff>375120</xdr:colOff>
      <xdr:row>3</xdr:row>
      <xdr:rowOff>61560</xdr:rowOff>
    </xdr:to>
    <xdr:sp macro="" textlink="">
      <xdr:nvSpPr>
        <xdr:cNvPr id="21" name="Rectángulo 2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2542760" y="284040"/>
          <a:ext cx="995400" cy="358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1" strike="noStrike" spc="-1">
              <a:solidFill>
                <a:srgbClr val="000000"/>
              </a:solidFill>
              <a:latin typeface="Calibri"/>
            </a:rPr>
            <a:t>ALIMENTACIÓN CMCC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10</xdr:col>
      <xdr:colOff>194040</xdr:colOff>
      <xdr:row>9</xdr:row>
      <xdr:rowOff>74520</xdr:rowOff>
    </xdr:from>
    <xdr:to>
      <xdr:col>11</xdr:col>
      <xdr:colOff>133560</xdr:colOff>
      <xdr:row>9</xdr:row>
      <xdr:rowOff>84240</xdr:rowOff>
    </xdr:to>
    <xdr:cxnSp macro="">
      <xdr:nvCxnSpPr>
        <xdr:cNvPr id="22" name="Conector recto de flecha 2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7600680" y="1798560"/>
          <a:ext cx="856080" cy="1008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10</xdr:col>
      <xdr:colOff>117720</xdr:colOff>
      <xdr:row>21</xdr:row>
      <xdr:rowOff>54360</xdr:rowOff>
    </xdr:from>
    <xdr:to>
      <xdr:col>11</xdr:col>
      <xdr:colOff>133560</xdr:colOff>
      <xdr:row>21</xdr:row>
      <xdr:rowOff>59040</xdr:rowOff>
    </xdr:to>
    <xdr:cxnSp macro="">
      <xdr:nvCxnSpPr>
        <xdr:cNvPr id="23" name="Conector recto de flecha 24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>
          <a:off x="7524360" y="4064400"/>
          <a:ext cx="932400" cy="504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10</xdr:col>
      <xdr:colOff>11520</xdr:colOff>
      <xdr:row>31</xdr:row>
      <xdr:rowOff>77400</xdr:rowOff>
    </xdr:from>
    <xdr:to>
      <xdr:col>11</xdr:col>
      <xdr:colOff>125640</xdr:colOff>
      <xdr:row>31</xdr:row>
      <xdr:rowOff>87120</xdr:rowOff>
    </xdr:to>
    <xdr:cxnSp macro="">
      <xdr:nvCxnSpPr>
        <xdr:cNvPr id="24" name="Conector recto de flecha 25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>
        <a:xfrm flipV="1">
          <a:off x="7418160" y="5992560"/>
          <a:ext cx="1030680" cy="1008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11</xdr:col>
      <xdr:colOff>422640</xdr:colOff>
      <xdr:row>21</xdr:row>
      <xdr:rowOff>59040</xdr:rowOff>
    </xdr:from>
    <xdr:to>
      <xdr:col>13</xdr:col>
      <xdr:colOff>423000</xdr:colOff>
      <xdr:row>27</xdr:row>
      <xdr:rowOff>19440</xdr:rowOff>
    </xdr:to>
    <xdr:cxnSp macro="">
      <xdr:nvCxnSpPr>
        <xdr:cNvPr id="25" name="Conector: angular 27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/>
      </xdr:nvCxnSpPr>
      <xdr:spPr>
        <a:xfrm>
          <a:off x="8745480" y="4069080"/>
          <a:ext cx="1869120" cy="1103760"/>
        </a:xfrm>
        <a:prstGeom prst="bentConnector3">
          <a:avLst>
            <a:gd name="adj1" fmla="val 50009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11</xdr:col>
      <xdr:colOff>415080</xdr:colOff>
      <xdr:row>27</xdr:row>
      <xdr:rowOff>19440</xdr:rowOff>
    </xdr:from>
    <xdr:to>
      <xdr:col>13</xdr:col>
      <xdr:colOff>423000</xdr:colOff>
      <xdr:row>31</xdr:row>
      <xdr:rowOff>77760</xdr:rowOff>
    </xdr:to>
    <xdr:cxnSp macro="">
      <xdr:nvCxnSpPr>
        <xdr:cNvPr id="26" name="Conector: angular 28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 flipV="1">
          <a:off x="8737920" y="5172480"/>
          <a:ext cx="1876680" cy="820800"/>
        </a:xfrm>
        <a:prstGeom prst="bentConnector3">
          <a:avLst>
            <a:gd name="adj1" fmla="val 50000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11</xdr:col>
      <xdr:colOff>443520</xdr:colOff>
      <xdr:row>27</xdr:row>
      <xdr:rowOff>19440</xdr:rowOff>
    </xdr:from>
    <xdr:to>
      <xdr:col>13</xdr:col>
      <xdr:colOff>423000</xdr:colOff>
      <xdr:row>51</xdr:row>
      <xdr:rowOff>111960</xdr:rowOff>
    </xdr:to>
    <xdr:cxnSp macro="">
      <xdr:nvCxnSpPr>
        <xdr:cNvPr id="27" name="Conector: angular 30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 rot="5400000" flipH="1" flipV="1">
          <a:off x="7357680" y="6580800"/>
          <a:ext cx="4664880" cy="1848240"/>
        </a:xfrm>
        <a:prstGeom prst="bentConnector3">
          <a:avLst>
            <a:gd name="adj1" fmla="val 49996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11</xdr:col>
      <xdr:colOff>422640</xdr:colOff>
      <xdr:row>9</xdr:row>
      <xdr:rowOff>84240</xdr:rowOff>
    </xdr:from>
    <xdr:to>
      <xdr:col>13</xdr:col>
      <xdr:colOff>423000</xdr:colOff>
      <xdr:row>27</xdr:row>
      <xdr:rowOff>19440</xdr:rowOff>
    </xdr:to>
    <xdr:cxnSp macro="">
      <xdr:nvCxnSpPr>
        <xdr:cNvPr id="28" name="Conector: angular 3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/>
      </xdr:nvCxnSpPr>
      <xdr:spPr>
        <a:xfrm rot="16200000" flipH="1">
          <a:off x="7997760" y="2555640"/>
          <a:ext cx="3364560" cy="1869120"/>
        </a:xfrm>
        <a:prstGeom prst="bentConnector3">
          <a:avLst>
            <a:gd name="adj1" fmla="val 50005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10</xdr:col>
      <xdr:colOff>95040</xdr:colOff>
      <xdr:row>51</xdr:row>
      <xdr:rowOff>113400</xdr:rowOff>
    </xdr:from>
    <xdr:to>
      <xdr:col>11</xdr:col>
      <xdr:colOff>154440</xdr:colOff>
      <xdr:row>51</xdr:row>
      <xdr:rowOff>113400</xdr:rowOff>
    </xdr:to>
    <xdr:cxnSp macro="">
      <xdr:nvCxnSpPr>
        <xdr:cNvPr id="29" name="Conector recto de flecha 32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/>
      </xdr:nvCxnSpPr>
      <xdr:spPr>
        <a:xfrm>
          <a:off x="7501680" y="9838440"/>
          <a:ext cx="975960" cy="36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13</xdr:col>
      <xdr:colOff>455760</xdr:colOff>
      <xdr:row>27</xdr:row>
      <xdr:rowOff>116640</xdr:rowOff>
    </xdr:from>
    <xdr:to>
      <xdr:col>13</xdr:col>
      <xdr:colOff>534240</xdr:colOff>
      <xdr:row>56</xdr:row>
      <xdr:rowOff>114120</xdr:rowOff>
    </xdr:to>
    <xdr:cxnSp macro="">
      <xdr:nvCxnSpPr>
        <xdr:cNvPr id="30" name="Conector recto de flecha 33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/>
      </xdr:nvCxnSpPr>
      <xdr:spPr>
        <a:xfrm flipV="1">
          <a:off x="10647000" y="5269680"/>
          <a:ext cx="78840" cy="557964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16</xdr:col>
      <xdr:colOff>600120</xdr:colOff>
      <xdr:row>23</xdr:row>
      <xdr:rowOff>36000</xdr:rowOff>
    </xdr:from>
    <xdr:to>
      <xdr:col>16</xdr:col>
      <xdr:colOff>603000</xdr:colOff>
      <xdr:row>26</xdr:row>
      <xdr:rowOff>113760</xdr:rowOff>
    </xdr:to>
    <xdr:cxnSp macro="">
      <xdr:nvCxnSpPr>
        <xdr:cNvPr id="31" name="Conector: angular 34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/>
      </xdr:nvCxnSpPr>
      <xdr:spPr>
        <a:xfrm rot="5400000">
          <a:off x="12696840" y="4750200"/>
          <a:ext cx="649800" cy="3240"/>
        </a:xfrm>
        <a:prstGeom prst="bentConnector3">
          <a:avLst>
            <a:gd name="adj1" fmla="val 50000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16</xdr:col>
      <xdr:colOff>646200</xdr:colOff>
      <xdr:row>9</xdr:row>
      <xdr:rowOff>164520</xdr:rowOff>
    </xdr:from>
    <xdr:to>
      <xdr:col>16</xdr:col>
      <xdr:colOff>651600</xdr:colOff>
      <xdr:row>12</xdr:row>
      <xdr:rowOff>67680</xdr:rowOff>
    </xdr:to>
    <xdr:cxnSp macro="">
      <xdr:nvCxnSpPr>
        <xdr:cNvPr id="32" name="Conector recto de flecha 35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>
          <a:off x="13066200" y="1888560"/>
          <a:ext cx="5760" cy="47484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16</xdr:col>
      <xdr:colOff>636840</xdr:colOff>
      <xdr:row>15</xdr:row>
      <xdr:rowOff>88200</xdr:rowOff>
    </xdr:from>
    <xdr:to>
      <xdr:col>16</xdr:col>
      <xdr:colOff>636840</xdr:colOff>
      <xdr:row>21</xdr:row>
      <xdr:rowOff>36720</xdr:rowOff>
    </xdr:to>
    <xdr:cxnSp macro="">
      <xdr:nvCxnSpPr>
        <xdr:cNvPr id="33" name="Conector recto de flecha 36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>
          <a:off x="13056840" y="2955240"/>
          <a:ext cx="360" cy="109188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16</xdr:col>
      <xdr:colOff>598320</xdr:colOff>
      <xdr:row>29</xdr:row>
      <xdr:rowOff>58320</xdr:rowOff>
    </xdr:from>
    <xdr:to>
      <xdr:col>16</xdr:col>
      <xdr:colOff>600120</xdr:colOff>
      <xdr:row>33</xdr:row>
      <xdr:rowOff>110880</xdr:rowOff>
    </xdr:to>
    <xdr:cxnSp macro="">
      <xdr:nvCxnSpPr>
        <xdr:cNvPr id="34" name="Conector recto de flecha 37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 flipH="1">
          <a:off x="13018320" y="5592240"/>
          <a:ext cx="2160" cy="81504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16</xdr:col>
      <xdr:colOff>598320</xdr:colOff>
      <xdr:row>36</xdr:row>
      <xdr:rowOff>55440</xdr:rowOff>
    </xdr:from>
    <xdr:to>
      <xdr:col>16</xdr:col>
      <xdr:colOff>606240</xdr:colOff>
      <xdr:row>40</xdr:row>
      <xdr:rowOff>1440</xdr:rowOff>
    </xdr:to>
    <xdr:cxnSp macro="">
      <xdr:nvCxnSpPr>
        <xdr:cNvPr id="35" name="Conector recto de flecha 38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CxnSpPr/>
      </xdr:nvCxnSpPr>
      <xdr:spPr>
        <a:xfrm>
          <a:off x="13018320" y="6922800"/>
          <a:ext cx="8280" cy="70848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16</xdr:col>
      <xdr:colOff>589320</xdr:colOff>
      <xdr:row>42</xdr:row>
      <xdr:rowOff>126000</xdr:rowOff>
    </xdr:from>
    <xdr:to>
      <xdr:col>16</xdr:col>
      <xdr:colOff>606240</xdr:colOff>
      <xdr:row>45</xdr:row>
      <xdr:rowOff>82080</xdr:rowOff>
    </xdr:to>
    <xdr:cxnSp macro="">
      <xdr:nvCxnSpPr>
        <xdr:cNvPr id="36" name="Conector recto de flecha 39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/>
      </xdr:nvCxnSpPr>
      <xdr:spPr>
        <a:xfrm flipH="1">
          <a:off x="13009320" y="8136360"/>
          <a:ext cx="17280" cy="52812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15</xdr:col>
      <xdr:colOff>640080</xdr:colOff>
      <xdr:row>46</xdr:row>
      <xdr:rowOff>87120</xdr:rowOff>
    </xdr:from>
    <xdr:to>
      <xdr:col>15</xdr:col>
      <xdr:colOff>674280</xdr:colOff>
      <xdr:row>50</xdr:row>
      <xdr:rowOff>133920</xdr:rowOff>
    </xdr:to>
    <xdr:cxnSp macro="">
      <xdr:nvCxnSpPr>
        <xdr:cNvPr id="37" name="Conector: angular 40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/>
      </xdr:nvCxnSpPr>
      <xdr:spPr>
        <a:xfrm rot="5400000" flipH="1" flipV="1">
          <a:off x="11929320" y="9246960"/>
          <a:ext cx="809280" cy="34560"/>
        </a:xfrm>
        <a:prstGeom prst="bentConnector3">
          <a:avLst>
            <a:gd name="adj1" fmla="val 49977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13</xdr:col>
      <xdr:colOff>676440</xdr:colOff>
      <xdr:row>52</xdr:row>
      <xdr:rowOff>8640</xdr:rowOff>
    </xdr:from>
    <xdr:to>
      <xdr:col>16</xdr:col>
      <xdr:colOff>529200</xdr:colOff>
      <xdr:row>56</xdr:row>
      <xdr:rowOff>395640</xdr:rowOff>
    </xdr:to>
    <xdr:cxnSp macro="">
      <xdr:nvCxnSpPr>
        <xdr:cNvPr id="38" name="Conector: angular 41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 rot="10800000" flipV="1">
          <a:off x="10867680" y="9923760"/>
          <a:ext cx="2081880" cy="1206720"/>
        </a:xfrm>
        <a:prstGeom prst="bentConnector3">
          <a:avLst>
            <a:gd name="adj1" fmla="val 50000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17</xdr:col>
      <xdr:colOff>418680</xdr:colOff>
      <xdr:row>50</xdr:row>
      <xdr:rowOff>128520</xdr:rowOff>
    </xdr:from>
    <xdr:to>
      <xdr:col>17</xdr:col>
      <xdr:colOff>611280</xdr:colOff>
      <xdr:row>61</xdr:row>
      <xdr:rowOff>95760</xdr:rowOff>
    </xdr:to>
    <xdr:cxnSp macro="">
      <xdr:nvCxnSpPr>
        <xdr:cNvPr id="39" name="Conector: angular 42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CxnSpPr/>
      </xdr:nvCxnSpPr>
      <xdr:spPr>
        <a:xfrm rot="16200000" flipH="1">
          <a:off x="12094200" y="11150280"/>
          <a:ext cx="3168000" cy="192960"/>
        </a:xfrm>
        <a:prstGeom prst="bentConnector3">
          <a:avLst>
            <a:gd name="adj1" fmla="val 50005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17</xdr:col>
      <xdr:colOff>495360</xdr:colOff>
      <xdr:row>13</xdr:row>
      <xdr:rowOff>63720</xdr:rowOff>
    </xdr:from>
    <xdr:to>
      <xdr:col>21</xdr:col>
      <xdr:colOff>523800</xdr:colOff>
      <xdr:row>41</xdr:row>
      <xdr:rowOff>61560</xdr:rowOff>
    </xdr:to>
    <xdr:cxnSp macro="">
      <xdr:nvCxnSpPr>
        <xdr:cNvPr id="40" name="Conector: angular 43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 rot="5400000" flipH="1" flipV="1">
          <a:off x="13071240" y="3137040"/>
          <a:ext cx="5331960" cy="4158000"/>
        </a:xfrm>
        <a:prstGeom prst="bentConnector3">
          <a:avLst>
            <a:gd name="adj1" fmla="val 50000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17</xdr:col>
      <xdr:colOff>487440</xdr:colOff>
      <xdr:row>13</xdr:row>
      <xdr:rowOff>63720</xdr:rowOff>
    </xdr:from>
    <xdr:to>
      <xdr:col>21</xdr:col>
      <xdr:colOff>523800</xdr:colOff>
      <xdr:row>34</xdr:row>
      <xdr:rowOff>173880</xdr:rowOff>
    </xdr:to>
    <xdr:cxnSp macro="">
      <xdr:nvCxnSpPr>
        <xdr:cNvPr id="41" name="Conector: angular 44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CxnSpPr/>
      </xdr:nvCxnSpPr>
      <xdr:spPr>
        <a:xfrm flipV="1">
          <a:off x="13650480" y="2549880"/>
          <a:ext cx="4165920" cy="4110840"/>
        </a:xfrm>
        <a:prstGeom prst="bentConnector3">
          <a:avLst>
            <a:gd name="adj1" fmla="val 50004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17</xdr:col>
      <xdr:colOff>489600</xdr:colOff>
      <xdr:row>13</xdr:row>
      <xdr:rowOff>63720</xdr:rowOff>
    </xdr:from>
    <xdr:to>
      <xdr:col>21</xdr:col>
      <xdr:colOff>523800</xdr:colOff>
      <xdr:row>27</xdr:row>
      <xdr:rowOff>176760</xdr:rowOff>
    </xdr:to>
    <xdr:cxnSp macro="">
      <xdr:nvCxnSpPr>
        <xdr:cNvPr id="42" name="Conector: angular 45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/>
      </xdr:nvCxnSpPr>
      <xdr:spPr>
        <a:xfrm flipV="1">
          <a:off x="13652640" y="2549880"/>
          <a:ext cx="4163760" cy="2780280"/>
        </a:xfrm>
        <a:prstGeom prst="bentConnector3">
          <a:avLst>
            <a:gd name="adj1" fmla="val 50004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17</xdr:col>
      <xdr:colOff>434520</xdr:colOff>
      <xdr:row>13</xdr:row>
      <xdr:rowOff>63720</xdr:rowOff>
    </xdr:from>
    <xdr:to>
      <xdr:col>21</xdr:col>
      <xdr:colOff>523800</xdr:colOff>
      <xdr:row>14</xdr:row>
      <xdr:rowOff>28440</xdr:rowOff>
    </xdr:to>
    <xdr:cxnSp macro="">
      <xdr:nvCxnSpPr>
        <xdr:cNvPr id="43" name="Conector: angular 46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CxnSpPr/>
      </xdr:nvCxnSpPr>
      <xdr:spPr>
        <a:xfrm flipV="1">
          <a:off x="13597560" y="2549880"/>
          <a:ext cx="4218840" cy="155520"/>
        </a:xfrm>
        <a:prstGeom prst="bentConnector3">
          <a:avLst>
            <a:gd name="adj1" fmla="val 50000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17</xdr:col>
      <xdr:colOff>443880</xdr:colOff>
      <xdr:row>8</xdr:row>
      <xdr:rowOff>101520</xdr:rowOff>
    </xdr:from>
    <xdr:to>
      <xdr:col>21</xdr:col>
      <xdr:colOff>523800</xdr:colOff>
      <xdr:row>13</xdr:row>
      <xdr:rowOff>63720</xdr:rowOff>
    </xdr:to>
    <xdr:cxnSp macro="">
      <xdr:nvCxnSpPr>
        <xdr:cNvPr id="44" name="Conector: angular 47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13606920" y="1635120"/>
          <a:ext cx="4209480" cy="915120"/>
        </a:xfrm>
        <a:prstGeom prst="bentConnector3">
          <a:avLst>
            <a:gd name="adj1" fmla="val 50000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13</xdr:col>
      <xdr:colOff>559800</xdr:colOff>
      <xdr:row>22</xdr:row>
      <xdr:rowOff>36360</xdr:rowOff>
    </xdr:from>
    <xdr:to>
      <xdr:col>16</xdr:col>
      <xdr:colOff>63360</xdr:colOff>
      <xdr:row>26</xdr:row>
      <xdr:rowOff>137520</xdr:rowOff>
    </xdr:to>
    <xdr:cxnSp macro="">
      <xdr:nvCxnSpPr>
        <xdr:cNvPr id="45" name="Conector: angular 56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CxnSpPr/>
      </xdr:nvCxnSpPr>
      <xdr:spPr>
        <a:xfrm flipV="1">
          <a:off x="10751040" y="4236840"/>
          <a:ext cx="1732680" cy="863640"/>
        </a:xfrm>
        <a:prstGeom prst="bentConnector3">
          <a:avLst>
            <a:gd name="adj1" fmla="val 50000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16</xdr:col>
      <xdr:colOff>63360</xdr:colOff>
      <xdr:row>21</xdr:row>
      <xdr:rowOff>37080</xdr:rowOff>
    </xdr:from>
    <xdr:to>
      <xdr:col>17</xdr:col>
      <xdr:colOff>380160</xdr:colOff>
      <xdr:row>23</xdr:row>
      <xdr:rowOff>36000</xdr:rowOff>
    </xdr:to>
    <xdr:sp macro="" textlink="">
      <xdr:nvSpPr>
        <xdr:cNvPr id="46" name="Rectángulo 66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2483360" y="4047120"/>
          <a:ext cx="1059840" cy="379800"/>
        </a:xfrm>
        <a:prstGeom prst="rect">
          <a:avLst/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Molienda /clasif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17</xdr:col>
      <xdr:colOff>380520</xdr:colOff>
      <xdr:row>13</xdr:row>
      <xdr:rowOff>63720</xdr:rowOff>
    </xdr:from>
    <xdr:to>
      <xdr:col>21</xdr:col>
      <xdr:colOff>523800</xdr:colOff>
      <xdr:row>22</xdr:row>
      <xdr:rowOff>36360</xdr:rowOff>
    </xdr:to>
    <xdr:cxnSp macro="">
      <xdr:nvCxnSpPr>
        <xdr:cNvPr id="47" name="Conector: angular 69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CxnSpPr/>
      </xdr:nvCxnSpPr>
      <xdr:spPr>
        <a:xfrm flipV="1">
          <a:off x="13543560" y="2549880"/>
          <a:ext cx="4272840" cy="1687320"/>
        </a:xfrm>
        <a:prstGeom prst="bentConnector3">
          <a:avLst>
            <a:gd name="adj1" fmla="val 50000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10</xdr:col>
      <xdr:colOff>578520</xdr:colOff>
      <xdr:row>57</xdr:row>
      <xdr:rowOff>28440</xdr:rowOff>
    </xdr:from>
    <xdr:to>
      <xdr:col>11</xdr:col>
      <xdr:colOff>578880</xdr:colOff>
      <xdr:row>59</xdr:row>
      <xdr:rowOff>155160</xdr:rowOff>
    </xdr:to>
    <xdr:sp macro="" textlink="">
      <xdr:nvSpPr>
        <xdr:cNvPr id="48" name="Triángulo isósceles 79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7985160" y="11163240"/>
          <a:ext cx="916560" cy="926640"/>
        </a:xfrm>
        <a:prstGeom prst="triangle">
          <a:avLst>
            <a:gd name="adj" fmla="val 50000"/>
          </a:avLst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10</xdr:col>
      <xdr:colOff>706680</xdr:colOff>
      <xdr:row>64</xdr:row>
      <xdr:rowOff>135360</xdr:rowOff>
    </xdr:from>
    <xdr:to>
      <xdr:col>11</xdr:col>
      <xdr:colOff>522720</xdr:colOff>
      <xdr:row>67</xdr:row>
      <xdr:rowOff>102960</xdr:rowOff>
    </xdr:to>
    <xdr:sp macro="" textlink="">
      <xdr:nvSpPr>
        <xdr:cNvPr id="49" name="Triángulo isósceles 80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8113320" y="14070600"/>
          <a:ext cx="732240" cy="767520"/>
        </a:xfrm>
        <a:prstGeom prst="triangle">
          <a:avLst>
            <a:gd name="adj" fmla="val 50000"/>
          </a:avLst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10</xdr:col>
      <xdr:colOff>676800</xdr:colOff>
      <xdr:row>71</xdr:row>
      <xdr:rowOff>87480</xdr:rowOff>
    </xdr:from>
    <xdr:to>
      <xdr:col>11</xdr:col>
      <xdr:colOff>492840</xdr:colOff>
      <xdr:row>74</xdr:row>
      <xdr:rowOff>51840</xdr:rowOff>
    </xdr:to>
    <xdr:sp macro="" textlink="">
      <xdr:nvSpPr>
        <xdr:cNvPr id="50" name="Triángulo isósceles 81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8083440" y="15651360"/>
          <a:ext cx="732240" cy="583560"/>
        </a:xfrm>
        <a:prstGeom prst="triangle">
          <a:avLst>
            <a:gd name="adj" fmla="val 50000"/>
          </a:avLst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9</xdr:col>
      <xdr:colOff>380880</xdr:colOff>
      <xdr:row>59</xdr:row>
      <xdr:rowOff>32040</xdr:rowOff>
    </xdr:from>
    <xdr:to>
      <xdr:col>10</xdr:col>
      <xdr:colOff>595440</xdr:colOff>
      <xdr:row>59</xdr:row>
      <xdr:rowOff>32040</xdr:rowOff>
    </xdr:to>
    <xdr:cxnSp macro="">
      <xdr:nvCxnSpPr>
        <xdr:cNvPr id="51" name="Conector recto de flecha 55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/>
      </xdr:nvCxnSpPr>
      <xdr:spPr>
        <a:xfrm>
          <a:off x="7044480" y="11966760"/>
          <a:ext cx="957960" cy="36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10</xdr:col>
      <xdr:colOff>16920</xdr:colOff>
      <xdr:row>66</xdr:row>
      <xdr:rowOff>97920</xdr:rowOff>
    </xdr:from>
    <xdr:to>
      <xdr:col>11</xdr:col>
      <xdr:colOff>57240</xdr:colOff>
      <xdr:row>66</xdr:row>
      <xdr:rowOff>97920</xdr:rowOff>
    </xdr:to>
    <xdr:cxnSp macro="">
      <xdr:nvCxnSpPr>
        <xdr:cNvPr id="52" name="Conector recto de flecha 57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>
          <a:off x="7423560" y="14632920"/>
          <a:ext cx="956880" cy="36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10</xdr:col>
      <xdr:colOff>12600</xdr:colOff>
      <xdr:row>73</xdr:row>
      <xdr:rowOff>23400</xdr:rowOff>
    </xdr:from>
    <xdr:to>
      <xdr:col>11</xdr:col>
      <xdr:colOff>72000</xdr:colOff>
      <xdr:row>73</xdr:row>
      <xdr:rowOff>23400</xdr:rowOff>
    </xdr:to>
    <xdr:cxnSp macro="">
      <xdr:nvCxnSpPr>
        <xdr:cNvPr id="53" name="Conector recto de flecha 58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CxnSpPr/>
      </xdr:nvCxnSpPr>
      <xdr:spPr>
        <a:xfrm>
          <a:off x="7419240" y="16016040"/>
          <a:ext cx="975960" cy="36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11</xdr:col>
      <xdr:colOff>331920</xdr:colOff>
      <xdr:row>27</xdr:row>
      <xdr:rowOff>174600</xdr:rowOff>
    </xdr:from>
    <xdr:to>
      <xdr:col>12</xdr:col>
      <xdr:colOff>492120</xdr:colOff>
      <xdr:row>58</xdr:row>
      <xdr:rowOff>91440</xdr:rowOff>
    </xdr:to>
    <xdr:cxnSp macro="">
      <xdr:nvCxnSpPr>
        <xdr:cNvPr id="54" name="Conector: angular 59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CxnSpPr/>
      </xdr:nvCxnSpPr>
      <xdr:spPr>
        <a:xfrm rot="5400000" flipH="1" flipV="1">
          <a:off x="6043680" y="7938720"/>
          <a:ext cx="6298920" cy="1077120"/>
        </a:xfrm>
        <a:prstGeom prst="bentConnector3">
          <a:avLst>
            <a:gd name="adj1" fmla="val 50000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11</xdr:col>
      <xdr:colOff>378360</xdr:colOff>
      <xdr:row>28</xdr:row>
      <xdr:rowOff>79200</xdr:rowOff>
    </xdr:from>
    <xdr:to>
      <xdr:col>12</xdr:col>
      <xdr:colOff>475920</xdr:colOff>
      <xdr:row>66</xdr:row>
      <xdr:rowOff>23760</xdr:rowOff>
    </xdr:to>
    <xdr:cxnSp macro="">
      <xdr:nvCxnSpPr>
        <xdr:cNvPr id="55" name="Conector: angular 61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CxnSpPr/>
      </xdr:nvCxnSpPr>
      <xdr:spPr>
        <a:xfrm rot="5400000" flipH="1" flipV="1">
          <a:off x="4640040" y="9483840"/>
          <a:ext cx="9136440" cy="1014480"/>
        </a:xfrm>
        <a:prstGeom prst="bentConnector3">
          <a:avLst>
            <a:gd name="adj1" fmla="val 50000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11</xdr:col>
      <xdr:colOff>348480</xdr:colOff>
      <xdr:row>28</xdr:row>
      <xdr:rowOff>183240</xdr:rowOff>
    </xdr:from>
    <xdr:to>
      <xdr:col>12</xdr:col>
      <xdr:colOff>512640</xdr:colOff>
      <xdr:row>72</xdr:row>
      <xdr:rowOff>162000</xdr:rowOff>
    </xdr:to>
    <xdr:cxnSp macro="">
      <xdr:nvCxnSpPr>
        <xdr:cNvPr id="56" name="Conector: angular 64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 rot="5400000" flipH="1" flipV="1">
          <a:off x="4016880" y="10181160"/>
          <a:ext cx="10389960" cy="1081080"/>
        </a:xfrm>
        <a:prstGeom prst="bentConnector3">
          <a:avLst>
            <a:gd name="adj1" fmla="val 50000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14</xdr:col>
      <xdr:colOff>29160</xdr:colOff>
      <xdr:row>14</xdr:row>
      <xdr:rowOff>171000</xdr:rowOff>
    </xdr:from>
    <xdr:to>
      <xdr:col>15</xdr:col>
      <xdr:colOff>98640</xdr:colOff>
      <xdr:row>18</xdr:row>
      <xdr:rowOff>56520</xdr:rowOff>
    </xdr:to>
    <xdr:sp macro="" textlink="">
      <xdr:nvSpPr>
        <xdr:cNvPr id="57" name="Rectángulo 50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10963080" y="2847600"/>
          <a:ext cx="812520" cy="647280"/>
        </a:xfrm>
        <a:prstGeom prst="rect">
          <a:avLst/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100" b="0" strike="noStrike" spc="-1">
              <a:solidFill>
                <a:srgbClr val="000000"/>
              </a:solidFill>
              <a:latin typeface="Calibri"/>
            </a:rPr>
            <a:t>Desaguado</a:t>
          </a:r>
          <a:endParaRPr lang="es-CL" sz="1100" b="0" strike="noStrike" spc="-1">
            <a:latin typeface="Times New Roman"/>
          </a:endParaRPr>
        </a:p>
      </xdr:txBody>
    </xdr:sp>
    <xdr:clientData/>
  </xdr:twoCellAnchor>
  <xdr:twoCellAnchor>
    <xdr:from>
      <xdr:col>14</xdr:col>
      <xdr:colOff>542520</xdr:colOff>
      <xdr:row>18</xdr:row>
      <xdr:rowOff>56520</xdr:rowOff>
    </xdr:from>
    <xdr:to>
      <xdr:col>15</xdr:col>
      <xdr:colOff>710640</xdr:colOff>
      <xdr:row>27</xdr:row>
      <xdr:rowOff>183600</xdr:rowOff>
    </xdr:to>
    <xdr:cxnSp macro="">
      <xdr:nvCxnSpPr>
        <xdr:cNvPr id="58" name="Conector: angular 6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CxnSpPr/>
      </xdr:nvCxnSpPr>
      <xdr:spPr>
        <a:xfrm rot="16200000" flipH="1">
          <a:off x="11010960" y="3960000"/>
          <a:ext cx="1842120" cy="911520"/>
        </a:xfrm>
        <a:prstGeom prst="bentConnector3">
          <a:avLst>
            <a:gd name="adj1" fmla="val 50000"/>
          </a:avLst>
        </a:prstGeom>
        <a:ln w="12700"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14</xdr:col>
      <xdr:colOff>52920</xdr:colOff>
      <xdr:row>12</xdr:row>
      <xdr:rowOff>75960</xdr:rowOff>
    </xdr:from>
    <xdr:to>
      <xdr:col>14</xdr:col>
      <xdr:colOff>66240</xdr:colOff>
      <xdr:row>16</xdr:row>
      <xdr:rowOff>111600</xdr:rowOff>
    </xdr:to>
    <xdr:cxnSp macro="">
      <xdr:nvCxnSpPr>
        <xdr:cNvPr id="59" name="Conector recto de flecha 70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CxnSpPr/>
      </xdr:nvCxnSpPr>
      <xdr:spPr>
        <a:xfrm flipH="1" flipV="1">
          <a:off x="10986840" y="2371320"/>
          <a:ext cx="13680" cy="798120"/>
        </a:xfrm>
        <a:prstGeom prst="straightConnector1">
          <a:avLst/>
        </a:prstGeom>
        <a:ln w="12700"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13</xdr:col>
      <xdr:colOff>86040</xdr:colOff>
      <xdr:row>8</xdr:row>
      <xdr:rowOff>182520</xdr:rowOff>
    </xdr:from>
    <xdr:to>
      <xdr:col>14</xdr:col>
      <xdr:colOff>52920</xdr:colOff>
      <xdr:row>12</xdr:row>
      <xdr:rowOff>40680</xdr:rowOff>
    </xdr:to>
    <xdr:sp macro="" textlink="">
      <xdr:nvSpPr>
        <xdr:cNvPr id="60" name="Triángulo isósceles 71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10277280" y="1716120"/>
          <a:ext cx="709560" cy="619920"/>
        </a:xfrm>
        <a:prstGeom prst="triangle">
          <a:avLst>
            <a:gd name="adj" fmla="val 50000"/>
          </a:avLst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13</xdr:col>
      <xdr:colOff>85680</xdr:colOff>
      <xdr:row>12</xdr:row>
      <xdr:rowOff>41040</xdr:rowOff>
    </xdr:from>
    <xdr:to>
      <xdr:col>13</xdr:col>
      <xdr:colOff>455400</xdr:colOff>
      <xdr:row>27</xdr:row>
      <xdr:rowOff>87120</xdr:rowOff>
    </xdr:to>
    <xdr:cxnSp macro="">
      <xdr:nvCxnSpPr>
        <xdr:cNvPr id="61" name="Conector: angular 73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CxnSpPr/>
      </xdr:nvCxnSpPr>
      <xdr:spPr>
        <a:xfrm rot="16200000" flipH="1">
          <a:off x="9009720" y="3603240"/>
          <a:ext cx="2904120" cy="370080"/>
        </a:xfrm>
        <a:prstGeom prst="bentConnector3">
          <a:avLst>
            <a:gd name="adj1" fmla="val 50000"/>
          </a:avLst>
        </a:prstGeom>
        <a:ln w="12700"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15</xdr:col>
      <xdr:colOff>699840</xdr:colOff>
      <xdr:row>45</xdr:row>
      <xdr:rowOff>82080</xdr:rowOff>
    </xdr:from>
    <xdr:to>
      <xdr:col>17</xdr:col>
      <xdr:colOff>478080</xdr:colOff>
      <xdr:row>48</xdr:row>
      <xdr:rowOff>15840</xdr:rowOff>
    </xdr:to>
    <xdr:sp macro="" textlink="">
      <xdr:nvSpPr>
        <xdr:cNvPr id="62" name="Rectángulo 18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12376800" y="8664120"/>
          <a:ext cx="1264320" cy="505080"/>
        </a:xfrm>
        <a:prstGeom prst="rect">
          <a:avLst/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FLOTACIÓN NEUMATICA 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16</xdr:col>
      <xdr:colOff>529920</xdr:colOff>
      <xdr:row>48</xdr:row>
      <xdr:rowOff>15840</xdr:rowOff>
    </xdr:from>
    <xdr:to>
      <xdr:col>16</xdr:col>
      <xdr:colOff>529920</xdr:colOff>
      <xdr:row>49</xdr:row>
      <xdr:rowOff>39600</xdr:rowOff>
    </xdr:to>
    <xdr:cxnSp macro="">
      <xdr:nvCxnSpPr>
        <xdr:cNvPr id="63" name="Conector recto de flecha 39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/>
      </xdr:nvCxnSpPr>
      <xdr:spPr>
        <a:xfrm>
          <a:off x="12949920" y="9169200"/>
          <a:ext cx="360" cy="21492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17</xdr:col>
      <xdr:colOff>478440</xdr:colOff>
      <xdr:row>14</xdr:row>
      <xdr:rowOff>126720</xdr:rowOff>
    </xdr:from>
    <xdr:to>
      <xdr:col>22</xdr:col>
      <xdr:colOff>281160</xdr:colOff>
      <xdr:row>46</xdr:row>
      <xdr:rowOff>146160</xdr:rowOff>
    </xdr:to>
    <xdr:cxnSp macro="">
      <xdr:nvCxnSpPr>
        <xdr:cNvPr id="64" name="Conector: angular 4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CxnSpPr/>
      </xdr:nvCxnSpPr>
      <xdr:spPr>
        <a:xfrm rot="5400000" flipH="1" flipV="1">
          <a:off x="13448520" y="2995920"/>
          <a:ext cx="6115680" cy="5730120"/>
        </a:xfrm>
        <a:prstGeom prst="bentConnector3">
          <a:avLst>
            <a:gd name="adj1" fmla="val 49997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16</xdr:col>
      <xdr:colOff>499320</xdr:colOff>
      <xdr:row>17</xdr:row>
      <xdr:rowOff>96840</xdr:rowOff>
    </xdr:from>
    <xdr:to>
      <xdr:col>16</xdr:col>
      <xdr:colOff>721440</xdr:colOff>
      <xdr:row>18</xdr:row>
      <xdr:rowOff>109440</xdr:rowOff>
    </xdr:to>
    <xdr:sp macro="" textlink="">
      <xdr:nvSpPr>
        <xdr:cNvPr id="65" name="Elipse 2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12919320" y="3344760"/>
          <a:ext cx="222120" cy="203040"/>
        </a:xfrm>
        <a:prstGeom prst="ellipse">
          <a:avLst/>
        </a:prstGeom>
        <a:solidFill>
          <a:schemeClr val="accent1">
            <a:lumMod val="50000"/>
          </a:schemeClr>
        </a:solidFill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15</xdr:col>
      <xdr:colOff>75960</xdr:colOff>
      <xdr:row>18</xdr:row>
      <xdr:rowOff>5760</xdr:rowOff>
    </xdr:from>
    <xdr:to>
      <xdr:col>16</xdr:col>
      <xdr:colOff>499320</xdr:colOff>
      <xdr:row>18</xdr:row>
      <xdr:rowOff>8280</xdr:rowOff>
    </xdr:to>
    <xdr:cxnSp macro="">
      <xdr:nvCxnSpPr>
        <xdr:cNvPr id="66" name="Conector recto de flecha 70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CxnSpPr/>
      </xdr:nvCxnSpPr>
      <xdr:spPr>
        <a:xfrm flipH="1">
          <a:off x="11752920" y="3444120"/>
          <a:ext cx="1166760" cy="2880"/>
        </a:xfrm>
        <a:prstGeom prst="straightConnector1">
          <a:avLst/>
        </a:prstGeom>
        <a:ln w="12700"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5</xdr:col>
      <xdr:colOff>9720</xdr:colOff>
      <xdr:row>35</xdr:row>
      <xdr:rowOff>37440</xdr:rowOff>
    </xdr:from>
    <xdr:to>
      <xdr:col>5</xdr:col>
      <xdr:colOff>587880</xdr:colOff>
      <xdr:row>38</xdr:row>
      <xdr:rowOff>5040</xdr:rowOff>
    </xdr:to>
    <xdr:sp macro="" textlink="">
      <xdr:nvSpPr>
        <xdr:cNvPr id="67" name="Triángulo isósceles 12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3251520" y="6714360"/>
          <a:ext cx="578160" cy="539280"/>
        </a:xfrm>
        <a:prstGeom prst="triangle">
          <a:avLst>
            <a:gd name="adj" fmla="val 50000"/>
          </a:avLst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4</xdr:col>
      <xdr:colOff>282240</xdr:colOff>
      <xdr:row>35</xdr:row>
      <xdr:rowOff>42840</xdr:rowOff>
    </xdr:from>
    <xdr:to>
      <xdr:col>5</xdr:col>
      <xdr:colOff>98280</xdr:colOff>
      <xdr:row>36</xdr:row>
      <xdr:rowOff>132120</xdr:rowOff>
    </xdr:to>
    <xdr:sp macro="" textlink="">
      <xdr:nvSpPr>
        <xdr:cNvPr id="68" name="Rectángulo 13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2781000" y="6719760"/>
          <a:ext cx="559080" cy="279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s-CL" sz="1000" b="0" strike="noStrike" spc="-1">
              <a:solidFill>
                <a:srgbClr val="000000"/>
              </a:solidFill>
              <a:latin typeface="Calibri"/>
            </a:rPr>
            <a:t>T1</a:t>
          </a:r>
          <a:endParaRPr lang="es-CL" sz="1000" b="0" strike="noStrike" spc="-1">
            <a:latin typeface="Times New Roman"/>
          </a:endParaRPr>
        </a:p>
      </xdr:txBody>
    </xdr:sp>
    <xdr:clientData/>
  </xdr:twoCellAnchor>
  <xdr:twoCellAnchor>
    <xdr:from>
      <xdr:col>4</xdr:col>
      <xdr:colOff>95040</xdr:colOff>
      <xdr:row>37</xdr:row>
      <xdr:rowOff>99000</xdr:rowOff>
    </xdr:from>
    <xdr:to>
      <xdr:col>5</xdr:col>
      <xdr:colOff>154440</xdr:colOff>
      <xdr:row>37</xdr:row>
      <xdr:rowOff>99000</xdr:rowOff>
    </xdr:to>
    <xdr:cxnSp macro="">
      <xdr:nvCxnSpPr>
        <xdr:cNvPr id="69" name="Conector recto de flecha 32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CxnSpPr/>
      </xdr:nvCxnSpPr>
      <xdr:spPr>
        <a:xfrm>
          <a:off x="2593800" y="7157160"/>
          <a:ext cx="802800" cy="36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5</xdr:col>
      <xdr:colOff>720</xdr:colOff>
      <xdr:row>42</xdr:row>
      <xdr:rowOff>28440</xdr:rowOff>
    </xdr:from>
    <xdr:to>
      <xdr:col>5</xdr:col>
      <xdr:colOff>578880</xdr:colOff>
      <xdr:row>44</xdr:row>
      <xdr:rowOff>177480</xdr:rowOff>
    </xdr:to>
    <xdr:sp macro="" textlink="">
      <xdr:nvSpPr>
        <xdr:cNvPr id="70" name="Triángulo isósceles 7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3242520" y="8038800"/>
          <a:ext cx="578160" cy="530280"/>
        </a:xfrm>
        <a:prstGeom prst="triangle">
          <a:avLst>
            <a:gd name="adj" fmla="val 50000"/>
          </a:avLst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4</xdr:col>
      <xdr:colOff>706680</xdr:colOff>
      <xdr:row>49</xdr:row>
      <xdr:rowOff>135360</xdr:rowOff>
    </xdr:from>
    <xdr:to>
      <xdr:col>5</xdr:col>
      <xdr:colOff>522720</xdr:colOff>
      <xdr:row>52</xdr:row>
      <xdr:rowOff>102960</xdr:rowOff>
    </xdr:to>
    <xdr:sp macro="" textlink="">
      <xdr:nvSpPr>
        <xdr:cNvPr id="71" name="Triángulo isósceles 8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3205440" y="9479520"/>
          <a:ext cx="559080" cy="538920"/>
        </a:xfrm>
        <a:prstGeom prst="triangle">
          <a:avLst>
            <a:gd name="adj" fmla="val 50000"/>
          </a:avLst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4</xdr:col>
      <xdr:colOff>522000</xdr:colOff>
      <xdr:row>56</xdr:row>
      <xdr:rowOff>87480</xdr:rowOff>
    </xdr:from>
    <xdr:to>
      <xdr:col>5</xdr:col>
      <xdr:colOff>492840</xdr:colOff>
      <xdr:row>58</xdr:row>
      <xdr:rowOff>140760</xdr:rowOff>
    </xdr:to>
    <xdr:sp macro="" textlink="">
      <xdr:nvSpPr>
        <xdr:cNvPr id="72" name="Triángulo isósceles 8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3020760" y="10822320"/>
          <a:ext cx="713880" cy="853200"/>
        </a:xfrm>
        <a:prstGeom prst="triangle">
          <a:avLst>
            <a:gd name="adj" fmla="val 50000"/>
          </a:avLst>
        </a:prstGeom>
        <a:noFill/>
        <a:ln>
          <a:solidFill>
            <a:srgbClr val="32549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4</xdr:col>
      <xdr:colOff>0</xdr:colOff>
      <xdr:row>44</xdr:row>
      <xdr:rowOff>18000</xdr:rowOff>
    </xdr:from>
    <xdr:to>
      <xdr:col>5</xdr:col>
      <xdr:colOff>59040</xdr:colOff>
      <xdr:row>44</xdr:row>
      <xdr:rowOff>18000</xdr:rowOff>
    </xdr:to>
    <xdr:cxnSp macro="">
      <xdr:nvCxnSpPr>
        <xdr:cNvPr id="73" name="Conector recto de flecha 55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CxnSpPr/>
      </xdr:nvCxnSpPr>
      <xdr:spPr>
        <a:xfrm>
          <a:off x="2498760" y="8409600"/>
          <a:ext cx="802440" cy="36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4</xdr:col>
      <xdr:colOff>16920</xdr:colOff>
      <xdr:row>51</xdr:row>
      <xdr:rowOff>97920</xdr:rowOff>
    </xdr:from>
    <xdr:to>
      <xdr:col>5</xdr:col>
      <xdr:colOff>57240</xdr:colOff>
      <xdr:row>51</xdr:row>
      <xdr:rowOff>97920</xdr:rowOff>
    </xdr:to>
    <xdr:cxnSp macro="">
      <xdr:nvCxnSpPr>
        <xdr:cNvPr id="74" name="Conector recto de flecha 57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CxnSpPr/>
      </xdr:nvCxnSpPr>
      <xdr:spPr>
        <a:xfrm>
          <a:off x="2515680" y="9822960"/>
          <a:ext cx="783720" cy="36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3</xdr:col>
      <xdr:colOff>520560</xdr:colOff>
      <xdr:row>57</xdr:row>
      <xdr:rowOff>178560</xdr:rowOff>
    </xdr:from>
    <xdr:to>
      <xdr:col>4</xdr:col>
      <xdr:colOff>579960</xdr:colOff>
      <xdr:row>57</xdr:row>
      <xdr:rowOff>178560</xdr:rowOff>
    </xdr:to>
    <xdr:cxnSp macro="">
      <xdr:nvCxnSpPr>
        <xdr:cNvPr id="75" name="Conector recto de flecha 58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CxnSpPr/>
      </xdr:nvCxnSpPr>
      <xdr:spPr>
        <a:xfrm>
          <a:off x="2276280" y="11313360"/>
          <a:ext cx="802800" cy="36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5</xdr:col>
      <xdr:colOff>444960</xdr:colOff>
      <xdr:row>36</xdr:row>
      <xdr:rowOff>124560</xdr:rowOff>
    </xdr:from>
    <xdr:to>
      <xdr:col>12</xdr:col>
      <xdr:colOff>451440</xdr:colOff>
      <xdr:row>36</xdr:row>
      <xdr:rowOff>140760</xdr:rowOff>
    </xdr:to>
    <xdr:cxnSp macro="">
      <xdr:nvCxnSpPr>
        <xdr:cNvPr id="76" name="Conector recto de flecha 32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CxnSpPr/>
      </xdr:nvCxnSpPr>
      <xdr:spPr>
        <a:xfrm>
          <a:off x="3686760" y="6991920"/>
          <a:ext cx="6004440" cy="1656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5</xdr:col>
      <xdr:colOff>484560</xdr:colOff>
      <xdr:row>44</xdr:row>
      <xdr:rowOff>1800</xdr:rowOff>
    </xdr:from>
    <xdr:to>
      <xdr:col>12</xdr:col>
      <xdr:colOff>491040</xdr:colOff>
      <xdr:row>44</xdr:row>
      <xdr:rowOff>11160</xdr:rowOff>
    </xdr:to>
    <xdr:cxnSp macro="">
      <xdr:nvCxnSpPr>
        <xdr:cNvPr id="77" name="Conector recto de flecha 32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CxnSpPr/>
      </xdr:nvCxnSpPr>
      <xdr:spPr>
        <a:xfrm>
          <a:off x="3726360" y="8393400"/>
          <a:ext cx="6004440" cy="972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5</xdr:col>
      <xdr:colOff>360720</xdr:colOff>
      <xdr:row>46</xdr:row>
      <xdr:rowOff>42120</xdr:rowOff>
    </xdr:from>
    <xdr:to>
      <xdr:col>12</xdr:col>
      <xdr:colOff>479520</xdr:colOff>
      <xdr:row>51</xdr:row>
      <xdr:rowOff>20520</xdr:rowOff>
    </xdr:to>
    <xdr:cxnSp macro="">
      <xdr:nvCxnSpPr>
        <xdr:cNvPr id="78" name="Conector: angular 42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CxnSpPr/>
      </xdr:nvCxnSpPr>
      <xdr:spPr>
        <a:xfrm flipV="1">
          <a:off x="3602520" y="8814600"/>
          <a:ext cx="6116760" cy="931320"/>
        </a:xfrm>
        <a:prstGeom prst="bentConnector3">
          <a:avLst>
            <a:gd name="adj1" fmla="val 50000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5</xdr:col>
      <xdr:colOff>291960</xdr:colOff>
      <xdr:row>49</xdr:row>
      <xdr:rowOff>126720</xdr:rowOff>
    </xdr:from>
    <xdr:to>
      <xdr:col>12</xdr:col>
      <xdr:colOff>465480</xdr:colOff>
      <xdr:row>57</xdr:row>
      <xdr:rowOff>114120</xdr:rowOff>
    </xdr:to>
    <xdr:cxnSp macro="">
      <xdr:nvCxnSpPr>
        <xdr:cNvPr id="79" name="Conector: angular 42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CxnSpPr/>
      </xdr:nvCxnSpPr>
      <xdr:spPr>
        <a:xfrm flipV="1">
          <a:off x="3533760" y="9470880"/>
          <a:ext cx="6171480" cy="1778400"/>
        </a:xfrm>
        <a:prstGeom prst="bentConnector3">
          <a:avLst>
            <a:gd name="adj1" fmla="val 50000"/>
          </a:avLst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2</xdr:col>
      <xdr:colOff>589320</xdr:colOff>
      <xdr:row>7</xdr:row>
      <xdr:rowOff>185760</xdr:rowOff>
    </xdr:from>
    <xdr:to>
      <xdr:col>3</xdr:col>
      <xdr:colOff>684000</xdr:colOff>
      <xdr:row>8</xdr:row>
      <xdr:rowOff>5040</xdr:rowOff>
    </xdr:to>
    <xdr:cxnSp macro="">
      <xdr:nvCxnSpPr>
        <xdr:cNvPr id="80" name="Conector recto de flecha 23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CxnSpPr/>
      </xdr:nvCxnSpPr>
      <xdr:spPr>
        <a:xfrm>
          <a:off x="1602000" y="1528920"/>
          <a:ext cx="838080" cy="1008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23</xdr:col>
      <xdr:colOff>14040</xdr:colOff>
      <xdr:row>13</xdr:row>
      <xdr:rowOff>28080</xdr:rowOff>
    </xdr:from>
    <xdr:to>
      <xdr:col>24</xdr:col>
      <xdr:colOff>451440</xdr:colOff>
      <xdr:row>13</xdr:row>
      <xdr:rowOff>28080</xdr:rowOff>
    </xdr:to>
    <xdr:cxnSp macro="">
      <xdr:nvCxnSpPr>
        <xdr:cNvPr id="81" name="Conector recto de flecha 23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CxnSpPr/>
      </xdr:nvCxnSpPr>
      <xdr:spPr>
        <a:xfrm>
          <a:off x="20078640" y="2514240"/>
          <a:ext cx="1623960" cy="360"/>
        </a:xfrm>
        <a:prstGeom prst="straightConnector1">
          <a:avLst/>
        </a:prstGeom>
        <a:ln>
          <a:solidFill>
            <a:srgbClr val="4472C4"/>
          </a:solidFill>
          <a:tailEnd type="triangle" w="med" len="med"/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71280</xdr:colOff>
      <xdr:row>1</xdr:row>
      <xdr:rowOff>108360</xdr:rowOff>
    </xdr:from>
    <xdr:to>
      <xdr:col>3</xdr:col>
      <xdr:colOff>1668</xdr:colOff>
      <xdr:row>4</xdr:row>
      <xdr:rowOff>24480</xdr:rowOff>
    </xdr:to>
    <xdr:pic>
      <xdr:nvPicPr>
        <xdr:cNvPr id="80" name="Imagen 1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69720" y="270360"/>
          <a:ext cx="937080" cy="401760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drigo Sanchez Cisternas" id="{40C33818-D42D-4151-9FA9-A7A9FA6C1E5A}" userId="S::e_rsanchez@pe.cmp.cl::4ccb07cd-54b2-4cdb-afba-81c2f1553bc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" dT="2025-08-21T20:21:44.03" personId="{40C33818-D42D-4151-9FA9-A7A9FA6C1E5A}" id="{84E29C2B-6F94-4652-B83F-C9448CC6CB8D}">
    <text>Linkear las alimentaciones con sus respectivas leyes a los nombres correspondientes.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574"/>
  <sheetViews>
    <sheetView topLeftCell="A58" zoomScale="134" zoomScaleNormal="134" zoomScaleSheetLayoutView="77" workbookViewId="0">
      <selection activeCell="G108" sqref="G108"/>
    </sheetView>
  </sheetViews>
  <sheetFormatPr baseColWidth="10" defaultColWidth="11.5" defaultRowHeight="15" outlineLevelCol="1" x14ac:dyDescent="0.2"/>
  <cols>
    <col min="1" max="8" width="11.5" outlineLevel="1"/>
    <col min="9" max="9" width="11.5" bestFit="1" customWidth="1" outlineLevel="1"/>
    <col min="10" max="10" width="5.33203125" customWidth="1"/>
    <col min="11" max="11" width="27.6640625" customWidth="1"/>
    <col min="14" max="14" width="24.83203125" customWidth="1"/>
    <col min="15" max="17" width="11.5" style="133"/>
    <col min="18" max="18" width="15.5" style="133" bestFit="1" customWidth="1"/>
    <col min="29" max="29" width="16.33203125" customWidth="1"/>
  </cols>
  <sheetData>
    <row r="1" spans="1:83" x14ac:dyDescent="0.2">
      <c r="A1" s="133">
        <v>0</v>
      </c>
      <c r="B1" s="133">
        <v>0</v>
      </c>
      <c r="C1" s="133">
        <v>56.57</v>
      </c>
      <c r="D1" s="133">
        <v>56.560860478000002</v>
      </c>
      <c r="E1" s="133">
        <v>54.24</v>
      </c>
      <c r="F1" s="133">
        <v>54.24978917</v>
      </c>
      <c r="G1" s="134">
        <v>0</v>
      </c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</row>
    <row r="2" spans="1:83" x14ac:dyDescent="0.2">
      <c r="A2" s="133">
        <v>0</v>
      </c>
      <c r="B2" s="133">
        <v>0</v>
      </c>
      <c r="C2" s="133">
        <v>56.57</v>
      </c>
      <c r="D2" s="133">
        <v>56.560860478000002</v>
      </c>
      <c r="E2" s="133">
        <v>54.24</v>
      </c>
      <c r="F2" s="133">
        <v>54.24978917</v>
      </c>
      <c r="G2" s="134">
        <v>0</v>
      </c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>
        <v>1</v>
      </c>
      <c r="AO2" s="133">
        <f t="shared" ref="AO2:CE2" si="0">AN2+1</f>
        <v>2</v>
      </c>
      <c r="AP2">
        <f t="shared" si="0"/>
        <v>3</v>
      </c>
      <c r="AQ2">
        <f t="shared" si="0"/>
        <v>4</v>
      </c>
      <c r="AR2">
        <f t="shared" si="0"/>
        <v>5</v>
      </c>
      <c r="AS2">
        <f t="shared" si="0"/>
        <v>6</v>
      </c>
      <c r="AT2">
        <f t="shared" si="0"/>
        <v>7</v>
      </c>
      <c r="AU2">
        <f t="shared" si="0"/>
        <v>8</v>
      </c>
      <c r="AV2">
        <f t="shared" si="0"/>
        <v>9</v>
      </c>
      <c r="AW2">
        <f t="shared" si="0"/>
        <v>10</v>
      </c>
      <c r="AX2">
        <f t="shared" si="0"/>
        <v>11</v>
      </c>
      <c r="AY2">
        <f t="shared" si="0"/>
        <v>12</v>
      </c>
      <c r="AZ2">
        <f t="shared" si="0"/>
        <v>13</v>
      </c>
      <c r="BA2">
        <f t="shared" si="0"/>
        <v>14</v>
      </c>
      <c r="BB2">
        <f t="shared" si="0"/>
        <v>15</v>
      </c>
      <c r="BC2">
        <f t="shared" si="0"/>
        <v>16</v>
      </c>
      <c r="BD2">
        <f t="shared" si="0"/>
        <v>17</v>
      </c>
      <c r="BE2">
        <f t="shared" si="0"/>
        <v>18</v>
      </c>
      <c r="BF2">
        <f t="shared" si="0"/>
        <v>19</v>
      </c>
      <c r="BG2">
        <f t="shared" si="0"/>
        <v>20</v>
      </c>
      <c r="BH2">
        <f t="shared" si="0"/>
        <v>21</v>
      </c>
      <c r="BI2">
        <f t="shared" si="0"/>
        <v>22</v>
      </c>
      <c r="BJ2">
        <f t="shared" si="0"/>
        <v>23</v>
      </c>
      <c r="BK2">
        <f t="shared" si="0"/>
        <v>24</v>
      </c>
      <c r="BL2">
        <f t="shared" si="0"/>
        <v>25</v>
      </c>
      <c r="BM2">
        <f t="shared" si="0"/>
        <v>26</v>
      </c>
      <c r="BN2">
        <f t="shared" si="0"/>
        <v>27</v>
      </c>
      <c r="BO2">
        <f t="shared" si="0"/>
        <v>28</v>
      </c>
      <c r="BP2">
        <f t="shared" si="0"/>
        <v>29</v>
      </c>
      <c r="BQ2">
        <f t="shared" si="0"/>
        <v>30</v>
      </c>
      <c r="BR2">
        <f t="shared" si="0"/>
        <v>31</v>
      </c>
      <c r="BS2">
        <f t="shared" si="0"/>
        <v>32</v>
      </c>
      <c r="BT2">
        <f t="shared" si="0"/>
        <v>33</v>
      </c>
      <c r="BU2">
        <f t="shared" si="0"/>
        <v>34</v>
      </c>
      <c r="BV2">
        <f t="shared" si="0"/>
        <v>35</v>
      </c>
      <c r="BW2">
        <f t="shared" si="0"/>
        <v>36</v>
      </c>
      <c r="BX2">
        <f t="shared" si="0"/>
        <v>37</v>
      </c>
      <c r="BY2">
        <f t="shared" si="0"/>
        <v>38</v>
      </c>
      <c r="BZ2">
        <f t="shared" si="0"/>
        <v>39</v>
      </c>
      <c r="CA2">
        <f t="shared" si="0"/>
        <v>40</v>
      </c>
      <c r="CB2">
        <f t="shared" si="0"/>
        <v>41</v>
      </c>
      <c r="CC2">
        <f t="shared" si="0"/>
        <v>42</v>
      </c>
      <c r="CD2">
        <f t="shared" si="0"/>
        <v>43</v>
      </c>
      <c r="CE2">
        <f t="shared" si="0"/>
        <v>44</v>
      </c>
    </row>
    <row r="3" spans="1:83" s="1" customFormat="1" ht="45" customHeight="1" x14ac:dyDescent="0.25">
      <c r="A3" s="133">
        <v>0</v>
      </c>
      <c r="B3" s="133">
        <v>0</v>
      </c>
      <c r="C3" s="133">
        <v>56.57</v>
      </c>
      <c r="D3" s="133">
        <v>56.565190012999999</v>
      </c>
      <c r="E3" s="133">
        <v>54.24</v>
      </c>
      <c r="F3" s="133">
        <v>54.244773027000001</v>
      </c>
      <c r="G3" s="134">
        <v>0</v>
      </c>
      <c r="H3" s="135"/>
      <c r="I3" s="135"/>
      <c r="J3" s="135"/>
      <c r="K3" s="136"/>
      <c r="L3" s="137"/>
      <c r="M3" s="137"/>
      <c r="N3" s="137"/>
      <c r="O3" s="137"/>
      <c r="P3" s="137"/>
      <c r="Q3" s="137"/>
      <c r="R3" s="137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3"/>
      <c r="AF3" s="153"/>
      <c r="AG3" s="153"/>
      <c r="AH3" s="154"/>
      <c r="AI3" s="154"/>
      <c r="AJ3" s="154"/>
      <c r="AK3" s="154"/>
      <c r="AL3" s="154"/>
      <c r="AM3" s="154"/>
      <c r="AN3" s="140"/>
      <c r="AO3" s="140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U3" s="3"/>
      <c r="BV3" s="3"/>
    </row>
    <row r="4" spans="1:83" ht="18" customHeight="1" x14ac:dyDescent="0.25">
      <c r="A4" s="133">
        <v>2249</v>
      </c>
      <c r="B4" s="133">
        <v>2249</v>
      </c>
      <c r="C4" s="133">
        <v>39.32</v>
      </c>
      <c r="D4" s="133">
        <v>39.769437203000003</v>
      </c>
      <c r="E4" s="133">
        <v>36.89</v>
      </c>
      <c r="F4" s="133">
        <v>36.468210642000003</v>
      </c>
      <c r="G4" s="134">
        <v>0</v>
      </c>
      <c r="H4" s="134"/>
      <c r="I4" s="134"/>
      <c r="J4" s="134"/>
      <c r="K4" s="138"/>
      <c r="L4" s="134"/>
      <c r="M4" s="134"/>
      <c r="N4" s="134"/>
      <c r="O4" s="134"/>
      <c r="P4" s="134"/>
      <c r="Q4" s="134"/>
      <c r="R4" s="134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54"/>
      <c r="AM4" s="152"/>
      <c r="AN4" s="133"/>
      <c r="AO4" s="133"/>
    </row>
    <row r="5" spans="1:83" ht="18" customHeight="1" x14ac:dyDescent="0.25">
      <c r="A5" s="133">
        <v>-406</v>
      </c>
      <c r="B5" s="133">
        <v>-405.02495349999998</v>
      </c>
      <c r="C5" s="133">
        <v>39.32</v>
      </c>
      <c r="D5" s="133">
        <v>39.400929136999999</v>
      </c>
      <c r="E5" s="133">
        <v>36.89</v>
      </c>
      <c r="F5" s="133">
        <v>36.814781242000002</v>
      </c>
      <c r="G5" s="134">
        <v>0</v>
      </c>
      <c r="H5" s="134"/>
      <c r="I5" s="134"/>
      <c r="J5" s="134"/>
      <c r="K5" s="138"/>
      <c r="L5" s="134"/>
      <c r="M5" s="134"/>
      <c r="N5" s="134"/>
      <c r="O5" s="134"/>
      <c r="P5" s="134"/>
      <c r="Q5" s="134"/>
      <c r="R5" s="134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54"/>
      <c r="AM5" s="152"/>
      <c r="AN5" s="133"/>
      <c r="AO5" s="133"/>
    </row>
    <row r="6" spans="1:83" ht="18" customHeight="1" x14ac:dyDescent="0.25">
      <c r="A6" s="133">
        <v>2655</v>
      </c>
      <c r="B6" s="133">
        <v>2654.0249534999998</v>
      </c>
      <c r="C6" s="133">
        <v>39.32</v>
      </c>
      <c r="D6" s="133">
        <v>39.713200000000001</v>
      </c>
      <c r="E6" s="133">
        <v>36.89</v>
      </c>
      <c r="F6" s="133">
        <v>36.521099999999997</v>
      </c>
      <c r="G6" s="134">
        <v>0</v>
      </c>
      <c r="H6" s="134"/>
      <c r="I6" s="134"/>
      <c r="J6" s="134"/>
      <c r="K6" s="138"/>
      <c r="L6" s="134"/>
      <c r="M6" s="134"/>
      <c r="N6" s="134"/>
      <c r="O6" s="134"/>
      <c r="P6" s="134"/>
      <c r="Q6" s="134"/>
      <c r="R6" s="134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54"/>
      <c r="AM6" s="152"/>
      <c r="AN6" s="133"/>
      <c r="AO6" s="133"/>
    </row>
    <row r="7" spans="1:83" ht="18" customHeight="1" x14ac:dyDescent="0.25">
      <c r="A7" s="133">
        <v>9579</v>
      </c>
      <c r="B7" s="133">
        <v>9579</v>
      </c>
      <c r="C7" s="133">
        <v>40.49</v>
      </c>
      <c r="D7" s="133">
        <v>40.868512662000001</v>
      </c>
      <c r="E7" s="133">
        <v>37.869999999999997</v>
      </c>
      <c r="F7" s="133">
        <v>37.516122754999998</v>
      </c>
      <c r="G7" s="134">
        <v>0</v>
      </c>
      <c r="H7" s="134"/>
      <c r="I7" s="134"/>
      <c r="J7" s="134"/>
      <c r="K7" s="138"/>
      <c r="L7" s="134"/>
      <c r="M7" s="134"/>
      <c r="N7" s="134"/>
      <c r="O7" s="134"/>
      <c r="P7" s="134"/>
      <c r="Q7" s="134"/>
      <c r="R7" s="134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54"/>
      <c r="AM7" s="152"/>
      <c r="AN7" s="133"/>
      <c r="AO7" s="133"/>
    </row>
    <row r="8" spans="1:83" ht="18" customHeight="1" x14ac:dyDescent="0.25">
      <c r="A8" s="133">
        <v>-10902</v>
      </c>
      <c r="B8" s="133">
        <v>-10850.797500000001</v>
      </c>
      <c r="C8" s="133">
        <v>40.49</v>
      </c>
      <c r="D8" s="133">
        <v>40.918194538000002</v>
      </c>
      <c r="E8" s="133">
        <v>37.869999999999997</v>
      </c>
      <c r="F8" s="133">
        <v>37.469386663999998</v>
      </c>
      <c r="G8" s="134">
        <v>0</v>
      </c>
      <c r="H8" s="134"/>
      <c r="I8" s="134"/>
      <c r="J8" s="134"/>
      <c r="K8" s="138"/>
      <c r="L8" s="134"/>
      <c r="M8" s="134"/>
      <c r="N8" s="134"/>
      <c r="O8" s="134"/>
      <c r="P8" s="134"/>
      <c r="Q8" s="134"/>
      <c r="R8" s="134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54"/>
      <c r="AM8" s="152"/>
      <c r="AN8" s="133"/>
      <c r="AO8" s="133"/>
    </row>
    <row r="9" spans="1:83" ht="18" customHeight="1" x14ac:dyDescent="0.25">
      <c r="A9" s="133">
        <v>20481</v>
      </c>
      <c r="B9" s="133">
        <v>20429.797500000001</v>
      </c>
      <c r="C9" s="133">
        <v>40.49</v>
      </c>
      <c r="D9" s="133">
        <v>40.8949</v>
      </c>
      <c r="E9" s="133">
        <v>37.869999999999997</v>
      </c>
      <c r="F9" s="133">
        <v>37.491300000000003</v>
      </c>
      <c r="G9" s="134">
        <v>0</v>
      </c>
      <c r="H9" s="134"/>
      <c r="I9" s="134"/>
      <c r="J9" s="134"/>
      <c r="K9" s="138"/>
      <c r="L9" s="134"/>
      <c r="M9" s="134"/>
      <c r="N9" s="134"/>
      <c r="O9" s="134"/>
      <c r="P9" s="134"/>
      <c r="Q9" s="134"/>
      <c r="R9" s="134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54"/>
      <c r="AM9" s="152"/>
      <c r="AN9" s="133"/>
      <c r="AO9" s="133"/>
    </row>
    <row r="10" spans="1:83" ht="18" customHeight="1" x14ac:dyDescent="0.25">
      <c r="A10" s="133">
        <v>0</v>
      </c>
      <c r="B10" s="133">
        <v>0</v>
      </c>
      <c r="C10" s="133">
        <v>41.05</v>
      </c>
      <c r="D10" s="133">
        <v>41.050811533000001</v>
      </c>
      <c r="E10" s="133">
        <v>37.81</v>
      </c>
      <c r="F10" s="133">
        <v>37.809257101999997</v>
      </c>
      <c r="G10" s="134">
        <v>0</v>
      </c>
      <c r="H10" s="134"/>
      <c r="I10" s="134"/>
      <c r="J10" s="134"/>
      <c r="K10" s="138"/>
      <c r="L10" s="134"/>
      <c r="M10" s="134"/>
      <c r="N10" s="134"/>
      <c r="O10" s="134"/>
      <c r="P10" s="134"/>
      <c r="Q10" s="134"/>
      <c r="R10" s="134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54"/>
      <c r="AM10" s="152"/>
      <c r="AN10" s="133"/>
      <c r="AO10" s="133"/>
    </row>
    <row r="11" spans="1:83" ht="18" customHeight="1" x14ac:dyDescent="0.25">
      <c r="A11" s="133">
        <v>0</v>
      </c>
      <c r="B11" s="133">
        <v>0</v>
      </c>
      <c r="C11" s="133">
        <v>41.05</v>
      </c>
      <c r="D11" s="133">
        <v>41.051542181999999</v>
      </c>
      <c r="E11" s="133">
        <v>37.81</v>
      </c>
      <c r="F11" s="133">
        <v>37.808440324999999</v>
      </c>
      <c r="G11" s="134">
        <v>0</v>
      </c>
      <c r="H11" s="134"/>
      <c r="I11" s="134"/>
      <c r="J11" s="134"/>
      <c r="K11" s="138"/>
      <c r="L11" s="134"/>
      <c r="M11" s="134"/>
      <c r="N11" s="134"/>
      <c r="O11" s="134"/>
      <c r="P11" s="134"/>
      <c r="Q11" s="134"/>
      <c r="R11" s="134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54"/>
      <c r="AM11" s="152"/>
      <c r="AN11" s="133"/>
      <c r="AO11" s="133"/>
    </row>
    <row r="12" spans="1:83" ht="18" customHeight="1" x14ac:dyDescent="0.25">
      <c r="A12" s="133">
        <v>0</v>
      </c>
      <c r="B12" s="133">
        <v>0</v>
      </c>
      <c r="C12" s="133">
        <v>41.05</v>
      </c>
      <c r="D12" s="133">
        <v>41.046673927000001</v>
      </c>
      <c r="E12" s="133">
        <v>37.81</v>
      </c>
      <c r="F12" s="133">
        <v>37.812840887999997</v>
      </c>
      <c r="G12" s="134">
        <v>0</v>
      </c>
      <c r="H12" s="134"/>
      <c r="I12" s="134"/>
      <c r="J12" s="134"/>
      <c r="K12" s="138"/>
      <c r="L12" s="134"/>
      <c r="M12" s="134"/>
      <c r="N12" s="134"/>
      <c r="O12" s="134"/>
      <c r="P12" s="134"/>
      <c r="Q12" s="134"/>
      <c r="R12" s="134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54"/>
      <c r="AM12" s="152"/>
      <c r="AN12" s="133"/>
      <c r="AO12" s="133"/>
    </row>
    <row r="13" spans="1:83" ht="18" customHeight="1" x14ac:dyDescent="0.25">
      <c r="A13" s="133">
        <v>626</v>
      </c>
      <c r="B13" s="133">
        <v>626</v>
      </c>
      <c r="C13" s="133">
        <v>48.45</v>
      </c>
      <c r="D13" s="133">
        <v>48.605704019000001</v>
      </c>
      <c r="E13" s="133">
        <v>43.84</v>
      </c>
      <c r="F13" s="133">
        <v>43.700216898000001</v>
      </c>
      <c r="G13" s="134">
        <v>0</v>
      </c>
      <c r="H13" s="134"/>
      <c r="I13" s="134"/>
      <c r="J13" s="134"/>
      <c r="K13" s="138"/>
      <c r="L13" s="134"/>
      <c r="M13" s="134"/>
      <c r="N13" s="134"/>
      <c r="O13" s="134"/>
      <c r="P13" s="134"/>
      <c r="Q13" s="134"/>
      <c r="R13" s="134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54"/>
      <c r="AM13" s="152"/>
      <c r="AN13" s="133"/>
      <c r="AO13" s="133"/>
    </row>
    <row r="14" spans="1:83" ht="18" customHeight="1" x14ac:dyDescent="0.25">
      <c r="A14" s="133">
        <v>-2328</v>
      </c>
      <c r="B14" s="133">
        <v>-2335.3850000000002</v>
      </c>
      <c r="C14" s="133">
        <v>48.45</v>
      </c>
      <c r="D14" s="133">
        <v>49.022633769999999</v>
      </c>
      <c r="E14" s="133">
        <v>43.84</v>
      </c>
      <c r="F14" s="133">
        <v>43.321555734</v>
      </c>
      <c r="G14" s="134">
        <v>0</v>
      </c>
      <c r="H14" s="134"/>
      <c r="I14" s="134"/>
      <c r="J14" s="134"/>
      <c r="K14" s="138"/>
      <c r="L14" s="134"/>
      <c r="M14" s="134"/>
      <c r="N14" s="134"/>
      <c r="O14" s="134"/>
      <c r="P14" s="134"/>
      <c r="Q14" s="134"/>
      <c r="R14" s="134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54"/>
      <c r="AM14" s="152"/>
      <c r="AN14" s="133"/>
      <c r="AO14" s="133"/>
    </row>
    <row r="15" spans="1:83" ht="18" customHeight="1" x14ac:dyDescent="0.25">
      <c r="A15" s="133">
        <v>2954</v>
      </c>
      <c r="B15" s="133">
        <v>2961.3850000000002</v>
      </c>
      <c r="C15" s="133">
        <v>48.45</v>
      </c>
      <c r="D15" s="133">
        <v>48.9345</v>
      </c>
      <c r="E15" s="133">
        <v>43.84</v>
      </c>
      <c r="F15" s="133">
        <v>43.401600000000002</v>
      </c>
      <c r="G15" s="134">
        <v>0</v>
      </c>
      <c r="H15" s="134"/>
      <c r="I15" s="134"/>
      <c r="J15" s="134"/>
      <c r="K15" s="138"/>
      <c r="L15" s="134"/>
      <c r="M15" s="134"/>
      <c r="N15" s="134"/>
      <c r="O15" s="134"/>
      <c r="P15" s="134"/>
      <c r="Q15" s="134"/>
      <c r="R15" s="134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54"/>
      <c r="AM15" s="152"/>
      <c r="AN15" s="133"/>
      <c r="AO15" s="133"/>
    </row>
    <row r="16" spans="1:83" ht="18" customHeight="1" x14ac:dyDescent="0.25">
      <c r="A16" s="133">
        <v>0</v>
      </c>
      <c r="B16" s="133">
        <v>0</v>
      </c>
      <c r="C16" s="133">
        <v>40</v>
      </c>
      <c r="D16" s="133">
        <v>40.000789290999997</v>
      </c>
      <c r="E16" s="133">
        <v>36.72</v>
      </c>
      <c r="F16" s="133">
        <v>36.719280191999999</v>
      </c>
      <c r="G16" s="134">
        <v>0</v>
      </c>
      <c r="H16" s="134"/>
      <c r="I16" s="134"/>
      <c r="J16" s="134"/>
      <c r="K16" s="138"/>
      <c r="L16" s="134"/>
      <c r="M16" s="134"/>
      <c r="N16" s="134"/>
      <c r="O16" s="134"/>
      <c r="P16" s="134"/>
      <c r="Q16" s="134"/>
      <c r="R16" s="134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54"/>
      <c r="AM16" s="152"/>
      <c r="AN16" s="133"/>
      <c r="AO16" s="133"/>
    </row>
    <row r="17" spans="1:41" ht="18" customHeight="1" x14ac:dyDescent="0.25">
      <c r="A17" s="133">
        <v>-452</v>
      </c>
      <c r="B17" s="133">
        <v>-451.74641028000002</v>
      </c>
      <c r="C17" s="133">
        <v>40</v>
      </c>
      <c r="D17" s="133">
        <v>40.4</v>
      </c>
      <c r="E17" s="133">
        <v>36.72</v>
      </c>
      <c r="F17" s="133">
        <v>36.352800000000002</v>
      </c>
      <c r="G17" s="134">
        <v>0</v>
      </c>
      <c r="H17" s="134"/>
      <c r="I17" s="134"/>
      <c r="J17" s="134"/>
      <c r="K17" s="138"/>
      <c r="L17" s="134"/>
      <c r="M17" s="134"/>
      <c r="N17" s="134"/>
      <c r="O17" s="134"/>
      <c r="P17" s="134"/>
      <c r="Q17" s="134"/>
      <c r="R17" s="134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54"/>
      <c r="AM17" s="152"/>
      <c r="AN17" s="133"/>
      <c r="AO17" s="133"/>
    </row>
    <row r="18" spans="1:41" ht="18" customHeight="1" x14ac:dyDescent="0.25">
      <c r="A18" s="133">
        <v>452</v>
      </c>
      <c r="B18" s="133">
        <v>451.74641028000002</v>
      </c>
      <c r="C18" s="133">
        <v>40</v>
      </c>
      <c r="D18" s="133">
        <v>40.4</v>
      </c>
      <c r="E18" s="133">
        <v>36.72</v>
      </c>
      <c r="F18" s="133">
        <v>36.352800000000002</v>
      </c>
      <c r="G18" s="134">
        <v>0</v>
      </c>
      <c r="H18" s="134"/>
      <c r="I18" s="134"/>
      <c r="J18" s="134"/>
      <c r="K18" s="138"/>
      <c r="L18" s="134"/>
      <c r="M18" s="134"/>
      <c r="N18" s="134"/>
      <c r="O18" s="134"/>
      <c r="P18" s="134"/>
      <c r="Q18" s="134"/>
      <c r="R18" s="134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54"/>
      <c r="AM18" s="152"/>
      <c r="AN18" s="133"/>
      <c r="AO18" s="133"/>
    </row>
    <row r="19" spans="1:41" ht="18" customHeight="1" x14ac:dyDescent="0.25">
      <c r="A19" s="133">
        <v>0</v>
      </c>
      <c r="B19" s="133">
        <v>0</v>
      </c>
      <c r="C19" s="133">
        <v>53.96</v>
      </c>
      <c r="D19" s="133">
        <v>53.960779230999997</v>
      </c>
      <c r="E19" s="133">
        <v>47.85</v>
      </c>
      <c r="F19" s="133">
        <v>47.885851396</v>
      </c>
      <c r="G19" s="134">
        <v>0</v>
      </c>
      <c r="H19" s="134"/>
      <c r="I19" s="134"/>
      <c r="J19" s="134"/>
      <c r="K19" s="138"/>
      <c r="L19" s="134"/>
      <c r="M19" s="134"/>
      <c r="N19" s="134"/>
      <c r="O19" s="134"/>
      <c r="P19" s="134"/>
      <c r="Q19" s="134"/>
      <c r="R19" s="134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54"/>
      <c r="AM19" s="152"/>
      <c r="AN19" s="133"/>
      <c r="AO19" s="133"/>
    </row>
    <row r="20" spans="1:41" ht="18" customHeight="1" x14ac:dyDescent="0.25">
      <c r="A20" s="133">
        <v>0</v>
      </c>
      <c r="B20" s="133">
        <v>0</v>
      </c>
      <c r="C20" s="133">
        <v>53.96</v>
      </c>
      <c r="D20" s="133">
        <v>53.963030719000002</v>
      </c>
      <c r="E20" s="133">
        <v>47.85</v>
      </c>
      <c r="F20" s="133">
        <v>47.846934318999999</v>
      </c>
      <c r="G20" s="134">
        <v>0</v>
      </c>
      <c r="H20" s="134"/>
      <c r="I20" s="134"/>
      <c r="J20" s="134"/>
      <c r="K20" s="138"/>
      <c r="L20" s="134"/>
      <c r="M20" s="134"/>
      <c r="N20" s="134"/>
      <c r="O20" s="134"/>
      <c r="P20" s="134"/>
      <c r="Q20" s="134"/>
      <c r="R20" s="134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54"/>
      <c r="AM20" s="152"/>
      <c r="AN20" s="133"/>
      <c r="AO20" s="133"/>
    </row>
    <row r="21" spans="1:41" ht="18" customHeight="1" x14ac:dyDescent="0.25">
      <c r="A21" s="133">
        <v>0</v>
      </c>
      <c r="B21" s="133">
        <v>0</v>
      </c>
      <c r="C21" s="133">
        <v>53.96</v>
      </c>
      <c r="D21" s="133">
        <v>53.955239462999998</v>
      </c>
      <c r="E21" s="133">
        <v>47.85</v>
      </c>
      <c r="F21" s="133">
        <v>47.854703985999997</v>
      </c>
      <c r="G21" s="134">
        <v>0</v>
      </c>
      <c r="H21" s="134"/>
      <c r="I21" s="134"/>
      <c r="J21" s="134"/>
      <c r="K21" s="138"/>
      <c r="L21" s="134"/>
      <c r="M21" s="134"/>
      <c r="N21" s="134"/>
      <c r="O21" s="134"/>
      <c r="P21" s="134"/>
      <c r="Q21" s="134"/>
      <c r="R21" s="134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54"/>
      <c r="AM21" s="152"/>
      <c r="AN21" s="133"/>
      <c r="AO21" s="133"/>
    </row>
    <row r="22" spans="1:41" ht="18" customHeight="1" x14ac:dyDescent="0.25">
      <c r="A22" s="133">
        <v>0</v>
      </c>
      <c r="B22" s="133">
        <v>0</v>
      </c>
      <c r="C22" s="133">
        <v>63.1</v>
      </c>
      <c r="D22" s="133">
        <v>63.100597155000003</v>
      </c>
      <c r="E22" s="133">
        <v>54.5</v>
      </c>
      <c r="F22" s="133">
        <v>54.49881894</v>
      </c>
      <c r="G22" s="134">
        <v>0</v>
      </c>
      <c r="H22" s="134"/>
      <c r="I22" s="134"/>
      <c r="J22" s="134"/>
      <c r="K22" s="138"/>
      <c r="L22" s="134"/>
      <c r="M22" s="134"/>
      <c r="N22" s="134"/>
      <c r="O22" s="134"/>
      <c r="P22" s="134"/>
      <c r="Q22" s="134"/>
      <c r="R22" s="134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54"/>
      <c r="AM22" s="152"/>
      <c r="AN22" s="133"/>
      <c r="AO22" s="133"/>
    </row>
    <row r="23" spans="1:41" ht="18" customHeight="1" x14ac:dyDescent="0.25">
      <c r="A23" s="133">
        <v>0</v>
      </c>
      <c r="B23" s="133">
        <v>0</v>
      </c>
      <c r="C23" s="133">
        <v>63.1</v>
      </c>
      <c r="D23" s="133">
        <v>63.104135898000003</v>
      </c>
      <c r="E23" s="133">
        <v>54.5</v>
      </c>
      <c r="F23" s="133">
        <v>54.495846526000001</v>
      </c>
      <c r="G23" s="134">
        <v>0</v>
      </c>
      <c r="H23" s="134"/>
      <c r="I23" s="134"/>
      <c r="J23" s="134"/>
      <c r="K23" s="138"/>
      <c r="L23" s="134"/>
      <c r="M23" s="134"/>
      <c r="N23" s="134"/>
      <c r="O23" s="134"/>
      <c r="P23" s="134"/>
      <c r="Q23" s="134"/>
      <c r="R23" s="134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54"/>
      <c r="AM23" s="153"/>
      <c r="AN23" s="133"/>
      <c r="AO23" s="133"/>
    </row>
    <row r="24" spans="1:41" ht="18" customHeight="1" x14ac:dyDescent="0.25">
      <c r="A24" s="133">
        <v>0</v>
      </c>
      <c r="B24" s="133">
        <v>0</v>
      </c>
      <c r="C24" s="133">
        <v>63.1</v>
      </c>
      <c r="D24" s="133">
        <v>63.095048018999996</v>
      </c>
      <c r="E24" s="133">
        <v>54.5</v>
      </c>
      <c r="F24" s="133">
        <v>54.504767450000003</v>
      </c>
      <c r="G24" s="134">
        <v>0</v>
      </c>
      <c r="H24" s="134"/>
      <c r="I24" s="134"/>
      <c r="J24" s="134"/>
      <c r="K24" s="138"/>
      <c r="L24" s="134"/>
      <c r="M24" s="134"/>
      <c r="N24" s="134"/>
      <c r="O24" s="134"/>
      <c r="P24" s="134"/>
      <c r="Q24" s="134"/>
      <c r="R24" s="134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54"/>
      <c r="AM24" s="153"/>
      <c r="AN24" s="133"/>
      <c r="AO24" s="133"/>
    </row>
    <row r="25" spans="1:41" ht="18" customHeight="1" x14ac:dyDescent="0.25">
      <c r="A25" s="133">
        <v>419</v>
      </c>
      <c r="B25" s="133">
        <v>419</v>
      </c>
      <c r="C25" s="133">
        <v>42.26</v>
      </c>
      <c r="D25" s="133">
        <v>42.736065052000001</v>
      </c>
      <c r="E25" s="133">
        <v>39.71</v>
      </c>
      <c r="F25" s="133">
        <v>39.262663881000002</v>
      </c>
      <c r="G25" s="134">
        <v>0</v>
      </c>
      <c r="H25" s="134"/>
      <c r="I25" s="134"/>
      <c r="J25" s="134"/>
      <c r="K25" s="138"/>
      <c r="L25" s="134"/>
      <c r="M25" s="134"/>
      <c r="N25" s="134"/>
      <c r="O25" s="134"/>
      <c r="P25" s="134"/>
      <c r="Q25" s="134"/>
      <c r="R25" s="134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54"/>
      <c r="AM25" s="153"/>
      <c r="AN25" s="133"/>
      <c r="AO25" s="133"/>
    </row>
    <row r="26" spans="1:41" ht="18" customHeight="1" x14ac:dyDescent="0.25">
      <c r="A26" s="133">
        <v>-64</v>
      </c>
      <c r="B26" s="133">
        <v>-63.977203136999997</v>
      </c>
      <c r="C26" s="133">
        <v>42.26</v>
      </c>
      <c r="D26" s="133">
        <v>42.332446261999998</v>
      </c>
      <c r="E26" s="133">
        <v>39.71</v>
      </c>
      <c r="F26" s="133">
        <v>39.641906781000003</v>
      </c>
      <c r="G26" s="134">
        <v>0</v>
      </c>
      <c r="H26" s="134"/>
      <c r="I26" s="134"/>
      <c r="J26" s="134"/>
      <c r="K26" s="138"/>
      <c r="L26" s="134"/>
      <c r="M26" s="134"/>
      <c r="N26" s="134"/>
      <c r="O26" s="134"/>
      <c r="P26" s="134"/>
      <c r="Q26" s="134"/>
      <c r="R26" s="134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</row>
    <row r="27" spans="1:41" ht="18" customHeight="1" x14ac:dyDescent="0.25">
      <c r="A27" s="133">
        <v>483</v>
      </c>
      <c r="B27" s="133">
        <v>482.97720313999997</v>
      </c>
      <c r="C27" s="133">
        <v>42.26</v>
      </c>
      <c r="D27" s="133">
        <v>42.682600000000001</v>
      </c>
      <c r="E27" s="133">
        <v>39.71</v>
      </c>
      <c r="F27" s="133">
        <v>39.312899999999999</v>
      </c>
      <c r="G27" s="134">
        <v>0</v>
      </c>
      <c r="H27" s="134"/>
      <c r="I27" s="134"/>
      <c r="J27" s="134"/>
      <c r="K27" s="138"/>
      <c r="L27" s="134"/>
      <c r="M27" s="134"/>
      <c r="N27" s="134"/>
      <c r="O27" s="134"/>
      <c r="P27" s="134"/>
      <c r="Q27" s="134"/>
      <c r="R27" s="134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</row>
    <row r="28" spans="1:41" ht="18" customHeight="1" x14ac:dyDescent="0.25">
      <c r="A28" s="133">
        <v>403</v>
      </c>
      <c r="B28" s="133">
        <v>403</v>
      </c>
      <c r="C28" s="133">
        <v>47.3</v>
      </c>
      <c r="D28" s="133">
        <v>47.490581831</v>
      </c>
      <c r="E28" s="133">
        <v>42.4</v>
      </c>
      <c r="F28" s="133">
        <v>42.231100650999998</v>
      </c>
      <c r="G28" s="138">
        <v>0</v>
      </c>
      <c r="H28" s="134"/>
      <c r="I28" s="134"/>
      <c r="J28" s="134"/>
      <c r="K28" s="138"/>
      <c r="L28" s="134"/>
      <c r="M28" s="134"/>
      <c r="N28" s="134"/>
      <c r="O28" s="134"/>
      <c r="P28" s="134"/>
      <c r="Q28" s="134"/>
      <c r="R28" s="134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</row>
    <row r="29" spans="1:41" ht="18" customHeight="1" x14ac:dyDescent="0.25">
      <c r="A29" s="133">
        <v>-1185</v>
      </c>
      <c r="B29" s="133">
        <v>-1188.97</v>
      </c>
      <c r="C29" s="133">
        <v>47.3</v>
      </c>
      <c r="D29" s="133">
        <v>47.868725310000002</v>
      </c>
      <c r="E29" s="133">
        <v>42.4</v>
      </c>
      <c r="F29" s="133">
        <v>41.889533931000003</v>
      </c>
      <c r="G29" s="134">
        <v>0</v>
      </c>
      <c r="H29" s="134"/>
      <c r="I29" s="134"/>
      <c r="J29" s="134"/>
      <c r="K29" s="138"/>
      <c r="L29" s="134"/>
      <c r="M29" s="134"/>
      <c r="N29" s="134"/>
      <c r="O29" s="134"/>
      <c r="P29" s="134"/>
      <c r="Q29" s="134"/>
      <c r="R29" s="134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</row>
    <row r="30" spans="1:41" ht="18" customHeight="1" x14ac:dyDescent="0.25">
      <c r="A30" s="133">
        <v>1588</v>
      </c>
      <c r="B30" s="133">
        <v>1591.97</v>
      </c>
      <c r="C30" s="133">
        <v>47.3</v>
      </c>
      <c r="D30" s="133">
        <v>47.773000000000003</v>
      </c>
      <c r="E30" s="133">
        <v>42.4</v>
      </c>
      <c r="F30" s="133">
        <v>41.975999999999999</v>
      </c>
      <c r="G30" s="134">
        <v>0</v>
      </c>
      <c r="H30" s="134"/>
      <c r="I30" s="134"/>
      <c r="J30" s="134"/>
      <c r="K30" s="138"/>
      <c r="L30" s="134"/>
      <c r="M30" s="134"/>
      <c r="N30" s="134"/>
      <c r="O30" s="134"/>
      <c r="P30" s="134"/>
      <c r="Q30" s="134"/>
      <c r="R30" s="134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</row>
    <row r="31" spans="1:41" ht="18" customHeight="1" x14ac:dyDescent="0.25">
      <c r="A31" s="133">
        <v>669</v>
      </c>
      <c r="B31" s="133">
        <v>669</v>
      </c>
      <c r="C31" s="133">
        <v>55.1</v>
      </c>
      <c r="D31" s="133">
        <v>55.093425005</v>
      </c>
      <c r="E31" s="133">
        <v>52.92</v>
      </c>
      <c r="F31" s="133">
        <v>52.926750171999998</v>
      </c>
      <c r="G31" s="134">
        <v>0</v>
      </c>
      <c r="H31" s="134"/>
      <c r="I31" s="134"/>
      <c r="J31" s="134"/>
      <c r="K31" s="138"/>
      <c r="L31" s="134"/>
      <c r="M31" s="134"/>
      <c r="N31" s="134"/>
      <c r="O31" s="134"/>
      <c r="P31" s="134"/>
      <c r="Q31" s="134"/>
      <c r="R31" s="134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</row>
    <row r="32" spans="1:41" ht="18" customHeight="1" x14ac:dyDescent="0.25">
      <c r="A32" s="133">
        <v>669</v>
      </c>
      <c r="B32" s="133">
        <v>669</v>
      </c>
      <c r="C32" s="133">
        <v>55.1</v>
      </c>
      <c r="D32" s="133">
        <v>55.093425005</v>
      </c>
      <c r="E32" s="133">
        <v>52.92</v>
      </c>
      <c r="F32" s="133">
        <v>52.926750171999998</v>
      </c>
      <c r="G32" s="134">
        <v>0</v>
      </c>
      <c r="H32" s="134"/>
      <c r="I32" s="134"/>
      <c r="J32" s="134"/>
      <c r="K32" s="138"/>
      <c r="L32" s="134"/>
      <c r="M32" s="134"/>
      <c r="N32" s="134"/>
      <c r="O32" s="134"/>
      <c r="P32" s="134"/>
      <c r="Q32" s="134"/>
      <c r="R32" s="134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</row>
    <row r="33" spans="1:41" ht="18" customHeight="1" x14ac:dyDescent="0.25">
      <c r="A33" s="133">
        <v>0</v>
      </c>
      <c r="B33" s="133">
        <v>0</v>
      </c>
      <c r="C33" s="133">
        <v>55.1</v>
      </c>
      <c r="D33" s="133">
        <v>55.095214552999998</v>
      </c>
      <c r="E33" s="133">
        <v>52.92</v>
      </c>
      <c r="F33" s="133">
        <v>52.924755392999998</v>
      </c>
      <c r="G33" s="134">
        <v>0</v>
      </c>
      <c r="H33" s="134"/>
      <c r="I33" s="134"/>
      <c r="J33" s="134"/>
      <c r="K33" s="138"/>
      <c r="L33" s="134"/>
      <c r="M33" s="134"/>
      <c r="N33" s="134"/>
      <c r="O33" s="134"/>
      <c r="P33" s="134"/>
      <c r="Q33" s="134"/>
      <c r="R33" s="134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46"/>
      <c r="AO33" s="146"/>
    </row>
    <row r="34" spans="1:41" ht="18" customHeight="1" x14ac:dyDescent="0.25">
      <c r="A34" s="133">
        <v>0</v>
      </c>
      <c r="B34" s="133">
        <v>0</v>
      </c>
      <c r="C34" s="133">
        <v>0</v>
      </c>
      <c r="D34" s="133">
        <v>0</v>
      </c>
      <c r="E34" s="133">
        <v>0</v>
      </c>
      <c r="F34" s="133">
        <v>0</v>
      </c>
      <c r="G34" s="134">
        <v>0</v>
      </c>
      <c r="H34" s="134"/>
      <c r="I34" s="134"/>
      <c r="J34" s="134"/>
      <c r="K34" s="138"/>
      <c r="L34" s="134"/>
      <c r="M34" s="134"/>
      <c r="N34" s="134"/>
      <c r="O34" s="134"/>
      <c r="P34" s="134"/>
      <c r="Q34" s="134"/>
      <c r="R34" s="134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46"/>
      <c r="AO34" s="146"/>
    </row>
    <row r="35" spans="1:41" ht="18" customHeight="1" x14ac:dyDescent="0.25">
      <c r="A35" s="133">
        <v>0</v>
      </c>
      <c r="B35" s="133">
        <v>0</v>
      </c>
      <c r="C35" s="133">
        <v>0</v>
      </c>
      <c r="D35" s="133">
        <v>0</v>
      </c>
      <c r="E35" s="133">
        <v>0</v>
      </c>
      <c r="F35" s="133">
        <v>0</v>
      </c>
      <c r="G35" s="134">
        <v>0</v>
      </c>
      <c r="H35" s="134"/>
      <c r="I35" s="134"/>
      <c r="J35" s="134"/>
      <c r="K35" s="138"/>
      <c r="L35" s="134"/>
      <c r="M35" s="134"/>
      <c r="N35" s="134"/>
      <c r="O35" s="134"/>
      <c r="P35" s="134"/>
      <c r="Q35" s="134"/>
      <c r="R35" s="134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46"/>
      <c r="AO35" s="146"/>
    </row>
    <row r="36" spans="1:41" ht="18" customHeight="1" x14ac:dyDescent="0.25">
      <c r="A36" s="133">
        <v>0</v>
      </c>
      <c r="B36" s="133">
        <v>0</v>
      </c>
      <c r="C36" s="133">
        <v>0</v>
      </c>
      <c r="D36" s="133">
        <v>0</v>
      </c>
      <c r="E36" s="133">
        <v>0</v>
      </c>
      <c r="F36" s="133">
        <v>0</v>
      </c>
      <c r="G36" s="134">
        <v>0</v>
      </c>
      <c r="H36" s="134"/>
      <c r="I36" s="134"/>
      <c r="J36" s="134"/>
      <c r="K36" s="138"/>
      <c r="L36" s="134"/>
      <c r="M36" s="134"/>
      <c r="N36" s="134"/>
      <c r="O36" s="134"/>
      <c r="P36" s="134"/>
      <c r="Q36" s="134"/>
      <c r="R36" s="134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46"/>
      <c r="AO36" s="146"/>
    </row>
    <row r="37" spans="1:41" ht="18" customHeight="1" x14ac:dyDescent="0.25">
      <c r="A37" s="133">
        <v>0</v>
      </c>
      <c r="B37" s="133">
        <v>0</v>
      </c>
      <c r="C37" s="133">
        <v>0</v>
      </c>
      <c r="D37" s="133">
        <v>0</v>
      </c>
      <c r="E37" s="133">
        <v>0</v>
      </c>
      <c r="F37" s="133">
        <v>0</v>
      </c>
      <c r="G37" s="134">
        <v>0</v>
      </c>
      <c r="H37" s="134"/>
      <c r="I37" s="134"/>
      <c r="J37" s="134"/>
      <c r="K37" s="139"/>
      <c r="L37" s="134"/>
      <c r="M37" s="134"/>
      <c r="N37" s="134"/>
      <c r="O37" s="134"/>
      <c r="P37" s="134"/>
      <c r="Q37" s="134"/>
      <c r="R37" s="134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46"/>
      <c r="AO37" s="146"/>
    </row>
    <row r="38" spans="1:41" ht="18" customHeight="1" x14ac:dyDescent="0.25">
      <c r="A38" s="133">
        <v>0</v>
      </c>
      <c r="B38" s="133">
        <v>0</v>
      </c>
      <c r="C38" s="133">
        <v>0</v>
      </c>
      <c r="D38" s="133">
        <v>0</v>
      </c>
      <c r="E38" s="133">
        <v>0</v>
      </c>
      <c r="F38" s="133">
        <v>0</v>
      </c>
      <c r="G38" s="134">
        <v>0</v>
      </c>
      <c r="H38" s="134"/>
      <c r="I38" s="134"/>
      <c r="J38" s="134"/>
      <c r="K38" s="139"/>
      <c r="L38" s="134"/>
      <c r="M38" s="134"/>
      <c r="N38" s="134"/>
      <c r="O38" s="134"/>
      <c r="P38" s="134"/>
      <c r="Q38" s="134"/>
      <c r="R38" s="134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46"/>
      <c r="AO38" s="146"/>
    </row>
    <row r="39" spans="1:41" ht="18" customHeight="1" x14ac:dyDescent="0.25">
      <c r="A39" s="133">
        <v>0</v>
      </c>
      <c r="B39" s="133">
        <v>0</v>
      </c>
      <c r="C39" s="133">
        <v>0</v>
      </c>
      <c r="D39" s="133">
        <v>0</v>
      </c>
      <c r="E39" s="133">
        <v>0</v>
      </c>
      <c r="F39" s="133">
        <v>0</v>
      </c>
      <c r="G39" s="134">
        <v>0</v>
      </c>
      <c r="H39" s="134"/>
      <c r="I39" s="134"/>
      <c r="J39" s="134"/>
      <c r="K39" s="138"/>
      <c r="L39" s="134"/>
      <c r="M39" s="134"/>
      <c r="N39" s="134"/>
      <c r="O39" s="134"/>
      <c r="P39" s="134"/>
      <c r="Q39" s="134"/>
      <c r="R39" s="134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46"/>
      <c r="AO39" s="146"/>
    </row>
    <row r="40" spans="1:41" ht="18" customHeight="1" x14ac:dyDescent="0.25">
      <c r="A40" s="133">
        <v>1043317</v>
      </c>
      <c r="B40" s="133">
        <v>1043317</v>
      </c>
      <c r="C40" s="133">
        <v>10.59</v>
      </c>
      <c r="D40" s="133">
        <v>10.797705658</v>
      </c>
      <c r="E40" s="133">
        <v>5.32</v>
      </c>
      <c r="F40" s="133">
        <v>5.1604000000000001</v>
      </c>
      <c r="G40" s="134">
        <v>0</v>
      </c>
      <c r="H40" s="134"/>
      <c r="I40" s="134"/>
      <c r="J40" s="134"/>
      <c r="K40" s="138"/>
      <c r="L40" s="134"/>
      <c r="M40" s="134"/>
      <c r="N40" s="134"/>
      <c r="O40" s="134"/>
      <c r="P40" s="134"/>
      <c r="Q40" s="134"/>
      <c r="R40" s="134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46"/>
      <c r="AO40" s="146"/>
    </row>
    <row r="41" spans="1:41" ht="18" customHeight="1" x14ac:dyDescent="0.25">
      <c r="A41" s="133">
        <v>878348</v>
      </c>
      <c r="B41" s="133">
        <v>869645.92310000001</v>
      </c>
      <c r="C41" s="133">
        <v>6.51</v>
      </c>
      <c r="D41" s="133">
        <v>6.5225386750999998</v>
      </c>
      <c r="E41" s="133">
        <v>0.4</v>
      </c>
      <c r="F41" s="133">
        <v>0.42965672081</v>
      </c>
      <c r="G41" s="134">
        <v>0</v>
      </c>
      <c r="H41" s="134"/>
      <c r="I41" s="134"/>
      <c r="J41" s="134"/>
      <c r="K41" s="138"/>
      <c r="L41" s="134"/>
      <c r="M41" s="134"/>
      <c r="N41" s="134"/>
      <c r="O41" s="134"/>
      <c r="P41" s="134"/>
      <c r="Q41" s="134"/>
      <c r="R41" s="134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46"/>
      <c r="AO41" s="146"/>
    </row>
    <row r="42" spans="1:41" ht="18" customHeight="1" x14ac:dyDescent="0.25">
      <c r="A42" s="133">
        <v>164969</v>
      </c>
      <c r="B42" s="133">
        <v>173671.07689999999</v>
      </c>
      <c r="C42" s="133">
        <v>32.32</v>
      </c>
      <c r="D42" s="133">
        <v>32.205308952999999</v>
      </c>
      <c r="E42" s="133">
        <v>29.29</v>
      </c>
      <c r="F42" s="133">
        <v>28.849270168</v>
      </c>
      <c r="G42" s="134">
        <v>0</v>
      </c>
      <c r="H42" s="134"/>
      <c r="I42" s="134"/>
      <c r="J42" s="134"/>
      <c r="K42" s="138"/>
      <c r="L42" s="134"/>
      <c r="M42" s="134"/>
      <c r="N42" s="134"/>
      <c r="O42" s="134"/>
      <c r="P42" s="134"/>
      <c r="Q42" s="134"/>
      <c r="R42" s="134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46"/>
      <c r="AO42" s="146"/>
    </row>
    <row r="43" spans="1:41" ht="18" customHeight="1" x14ac:dyDescent="0.25">
      <c r="A43" s="133">
        <v>43322</v>
      </c>
      <c r="B43" s="133">
        <v>42987.474302000002</v>
      </c>
      <c r="C43" s="133">
        <v>7.81</v>
      </c>
      <c r="D43" s="133">
        <v>7.8129748146000004</v>
      </c>
      <c r="E43" s="133">
        <v>1.59</v>
      </c>
      <c r="F43" s="133">
        <v>1.6132465033000001</v>
      </c>
      <c r="G43" s="134">
        <v>0</v>
      </c>
      <c r="H43" s="134"/>
      <c r="I43" s="134"/>
      <c r="J43" s="134"/>
      <c r="K43" s="138"/>
      <c r="L43" s="134"/>
      <c r="M43" s="134"/>
      <c r="N43" s="134"/>
      <c r="O43" s="134"/>
      <c r="P43" s="134"/>
      <c r="Q43" s="134"/>
      <c r="R43" s="134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46"/>
      <c r="AO43" s="146"/>
    </row>
    <row r="44" spans="1:41" ht="18" customHeight="1" x14ac:dyDescent="0.25">
      <c r="A44" s="133">
        <v>121647</v>
      </c>
      <c r="B44" s="133">
        <v>130683.6026</v>
      </c>
      <c r="C44" s="133">
        <v>41.05</v>
      </c>
      <c r="D44" s="133">
        <v>40.228999999999999</v>
      </c>
      <c r="E44" s="133">
        <v>37.81</v>
      </c>
      <c r="F44" s="133">
        <v>37.808373346000003</v>
      </c>
      <c r="G44" s="138">
        <v>0</v>
      </c>
      <c r="H44" s="134"/>
      <c r="I44" s="134"/>
      <c r="J44" s="134"/>
      <c r="K44" s="138"/>
      <c r="L44" s="134"/>
      <c r="M44" s="134"/>
      <c r="N44" s="134"/>
      <c r="O44" s="134"/>
      <c r="P44" s="134"/>
      <c r="Q44" s="134"/>
      <c r="R44" s="134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46"/>
      <c r="AO44" s="146"/>
    </row>
    <row r="45" spans="1:41" ht="18" customHeight="1" x14ac:dyDescent="0.25">
      <c r="A45" s="133">
        <v>0</v>
      </c>
      <c r="B45" s="133">
        <v>0</v>
      </c>
      <c r="C45" s="133">
        <v>0</v>
      </c>
      <c r="D45" s="133">
        <v>0</v>
      </c>
      <c r="E45" s="133">
        <v>0</v>
      </c>
      <c r="F45" s="133">
        <v>0</v>
      </c>
      <c r="G45" s="134">
        <v>0</v>
      </c>
      <c r="H45" s="134"/>
      <c r="I45" s="134"/>
      <c r="J45" s="134"/>
      <c r="K45" s="138"/>
      <c r="L45" s="134"/>
      <c r="M45" s="134"/>
      <c r="N45" s="134"/>
      <c r="O45" s="134"/>
      <c r="P45" s="134"/>
      <c r="Q45" s="134"/>
      <c r="R45" s="134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46"/>
      <c r="AO45" s="146"/>
    </row>
    <row r="46" spans="1:41" ht="18" customHeight="1" x14ac:dyDescent="0.25">
      <c r="A46" s="133">
        <v>26542</v>
      </c>
      <c r="B46" s="133">
        <v>28571.901066999999</v>
      </c>
      <c r="C46" s="133">
        <v>41.25</v>
      </c>
      <c r="D46" s="133">
        <v>42.024039688000002</v>
      </c>
      <c r="E46" s="133">
        <v>38.42</v>
      </c>
      <c r="F46" s="133">
        <v>38.276432376999999</v>
      </c>
      <c r="G46" s="134">
        <v>0</v>
      </c>
      <c r="H46" s="134"/>
      <c r="I46" s="134"/>
      <c r="J46" s="134"/>
      <c r="K46" s="138"/>
      <c r="L46" s="134"/>
      <c r="M46" s="134"/>
      <c r="N46" s="134"/>
      <c r="O46" s="134"/>
      <c r="P46" s="134"/>
      <c r="Q46" s="134"/>
      <c r="R46" s="134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46"/>
      <c r="AO46" s="146"/>
    </row>
    <row r="47" spans="1:41" ht="18" customHeight="1" x14ac:dyDescent="0.25">
      <c r="A47" s="133">
        <v>149114</v>
      </c>
      <c r="B47" s="133">
        <v>159255.50367000001</v>
      </c>
      <c r="C47" s="133">
        <v>40.54</v>
      </c>
      <c r="D47" s="133">
        <v>40.551046618000001</v>
      </c>
      <c r="E47" s="133">
        <v>37.840000000000003</v>
      </c>
      <c r="F47" s="133">
        <v>37.892347438000002</v>
      </c>
      <c r="G47" s="134">
        <v>0</v>
      </c>
      <c r="H47" s="134"/>
      <c r="I47" s="134"/>
      <c r="J47" s="134"/>
      <c r="K47" s="138"/>
      <c r="L47" s="134"/>
      <c r="M47" s="134"/>
      <c r="N47" s="134"/>
      <c r="O47" s="134"/>
      <c r="P47" s="134"/>
      <c r="Q47" s="134"/>
      <c r="R47" s="134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46"/>
      <c r="AO47" s="146"/>
    </row>
    <row r="48" spans="1:41" ht="18" customHeight="1" x14ac:dyDescent="0.25">
      <c r="A48" s="133">
        <v>23724</v>
      </c>
      <c r="B48" s="133">
        <v>25024.089692000001</v>
      </c>
      <c r="C48" s="133">
        <v>6.45</v>
      </c>
      <c r="D48" s="133">
        <v>5.6760000000000002</v>
      </c>
      <c r="E48" s="133">
        <v>1.29</v>
      </c>
      <c r="F48" s="133">
        <v>1.4448000000000001</v>
      </c>
      <c r="G48" s="134">
        <v>0</v>
      </c>
      <c r="H48" s="134"/>
      <c r="I48" s="134"/>
      <c r="J48" s="134"/>
      <c r="K48" s="138"/>
      <c r="L48" s="134"/>
      <c r="M48" s="134"/>
      <c r="N48" s="134"/>
      <c r="O48" s="134"/>
      <c r="P48" s="134"/>
      <c r="Q48" s="134"/>
      <c r="R48" s="134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46"/>
      <c r="AO48" s="146"/>
    </row>
    <row r="49" spans="1:41" ht="18" customHeight="1" x14ac:dyDescent="0.25">
      <c r="A49" s="133">
        <v>125390</v>
      </c>
      <c r="B49" s="133">
        <v>134231.41396999999</v>
      </c>
      <c r="C49" s="133">
        <v>46.99</v>
      </c>
      <c r="D49" s="133">
        <v>47.052626748999998</v>
      </c>
      <c r="E49" s="133">
        <v>44.07</v>
      </c>
      <c r="F49" s="133">
        <v>44.687081014999997</v>
      </c>
      <c r="G49" s="134">
        <v>0</v>
      </c>
      <c r="H49" s="134"/>
      <c r="I49" s="134"/>
      <c r="J49" s="134"/>
      <c r="K49" s="138"/>
      <c r="L49" s="134"/>
      <c r="M49" s="134"/>
      <c r="N49" s="134"/>
      <c r="O49" s="134"/>
      <c r="P49" s="134"/>
      <c r="Q49" s="134"/>
      <c r="R49" s="134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46"/>
      <c r="AO49" s="146"/>
    </row>
    <row r="50" spans="1:41" ht="18" customHeight="1" x14ac:dyDescent="0.25">
      <c r="A50" s="133">
        <v>33488</v>
      </c>
      <c r="B50" s="133">
        <v>35720.617595999996</v>
      </c>
      <c r="C50" s="133">
        <v>7.27</v>
      </c>
      <c r="D50" s="133">
        <v>6.3975999999999997</v>
      </c>
      <c r="E50" s="133">
        <v>1.98</v>
      </c>
      <c r="F50" s="133">
        <v>2.2176</v>
      </c>
      <c r="G50" s="134">
        <v>0</v>
      </c>
      <c r="H50" s="134"/>
      <c r="I50" s="134"/>
      <c r="J50" s="134"/>
      <c r="K50" s="138"/>
      <c r="L50" s="134"/>
      <c r="M50" s="134"/>
      <c r="N50" s="134"/>
      <c r="O50" s="134"/>
      <c r="P50" s="134"/>
      <c r="Q50" s="134"/>
      <c r="R50" s="134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46"/>
      <c r="AO50" s="146"/>
    </row>
    <row r="51" spans="1:41" ht="18" customHeight="1" x14ac:dyDescent="0.25">
      <c r="A51" s="133">
        <v>91902</v>
      </c>
      <c r="B51" s="133">
        <v>98510.796379000007</v>
      </c>
      <c r="C51" s="133">
        <v>61.46</v>
      </c>
      <c r="D51" s="133">
        <v>61.794388239</v>
      </c>
      <c r="E51" s="133">
        <v>60.67</v>
      </c>
      <c r="F51" s="133">
        <v>60.086774724000001</v>
      </c>
      <c r="G51" s="134">
        <v>0</v>
      </c>
      <c r="H51" s="134"/>
      <c r="I51" s="134"/>
      <c r="J51" s="134"/>
      <c r="K51" s="138"/>
      <c r="L51" s="134"/>
      <c r="M51" s="134"/>
      <c r="N51" s="134"/>
      <c r="O51" s="134"/>
      <c r="P51" s="134"/>
      <c r="Q51" s="134"/>
      <c r="R51" s="134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46"/>
      <c r="AO51" s="146"/>
    </row>
    <row r="52" spans="1:41" ht="18" customHeight="1" x14ac:dyDescent="0.25">
      <c r="A52" s="133">
        <v>1586</v>
      </c>
      <c r="B52" s="133">
        <v>1558.9434901</v>
      </c>
      <c r="C52" s="133">
        <v>8.33</v>
      </c>
      <c r="D52" s="133">
        <v>7.8766321543000002</v>
      </c>
      <c r="E52" s="133">
        <v>0.78</v>
      </c>
      <c r="F52" s="133">
        <v>0.78385159998999998</v>
      </c>
      <c r="G52" s="134">
        <v>0</v>
      </c>
      <c r="H52" s="134"/>
      <c r="I52" s="134"/>
      <c r="J52" s="134"/>
      <c r="K52" s="138"/>
      <c r="L52" s="134"/>
      <c r="M52" s="134"/>
      <c r="N52" s="134"/>
      <c r="O52" s="134"/>
      <c r="P52" s="134"/>
      <c r="Q52" s="134"/>
      <c r="R52" s="134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46"/>
      <c r="AO52" s="146"/>
    </row>
    <row r="53" spans="1:41" ht="18" customHeight="1" x14ac:dyDescent="0.25">
      <c r="A53" s="133">
        <v>90316</v>
      </c>
      <c r="B53" s="133">
        <v>96951.852887999994</v>
      </c>
      <c r="C53" s="133">
        <v>62.4</v>
      </c>
      <c r="D53" s="133">
        <v>62.661362226999998</v>
      </c>
      <c r="E53" s="133">
        <v>61.29</v>
      </c>
      <c r="F53" s="133">
        <v>61.040339852000002</v>
      </c>
      <c r="G53" s="134">
        <v>0</v>
      </c>
      <c r="H53" s="134"/>
      <c r="I53" s="134"/>
      <c r="J53" s="134"/>
      <c r="K53" s="138"/>
      <c r="L53" s="134"/>
      <c r="M53" s="134"/>
      <c r="N53" s="134"/>
      <c r="O53" s="134"/>
      <c r="P53" s="134"/>
      <c r="Q53" s="134"/>
      <c r="R53" s="134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46"/>
      <c r="AO53" s="146"/>
    </row>
    <row r="54" spans="1:41" ht="18" customHeight="1" x14ac:dyDescent="0.25">
      <c r="A54" s="134">
        <v>28769</v>
      </c>
      <c r="B54" s="134">
        <v>27064.852888000001</v>
      </c>
      <c r="C54" s="134">
        <v>55.44</v>
      </c>
      <c r="D54" s="134">
        <v>54.608400000000003</v>
      </c>
      <c r="E54" s="134">
        <v>50.37</v>
      </c>
      <c r="F54" s="134">
        <v>51.125549999999997</v>
      </c>
      <c r="G54" s="134">
        <v>0</v>
      </c>
      <c r="H54" s="134"/>
      <c r="I54" s="134"/>
      <c r="J54" s="134"/>
      <c r="K54" s="138"/>
      <c r="L54" s="134"/>
      <c r="M54" s="134"/>
      <c r="N54" s="134"/>
      <c r="O54" s="134"/>
      <c r="P54" s="134"/>
      <c r="Q54" s="134"/>
      <c r="R54" s="134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46"/>
      <c r="AO54" s="146"/>
    </row>
    <row r="55" spans="1:41" ht="18" customHeight="1" x14ac:dyDescent="0.25">
      <c r="A55" s="134">
        <v>60621</v>
      </c>
      <c r="B55" s="134">
        <v>70809.583176999993</v>
      </c>
      <c r="C55" s="134">
        <v>65.650000000000006</v>
      </c>
      <c r="D55" s="134">
        <v>65.648839609000007</v>
      </c>
      <c r="E55" s="134">
        <v>64.75</v>
      </c>
      <c r="F55" s="134">
        <v>64.696029306</v>
      </c>
      <c r="G55" s="134">
        <v>0</v>
      </c>
      <c r="H55" s="134"/>
      <c r="I55" s="134"/>
      <c r="J55" s="134"/>
      <c r="K55" s="138"/>
      <c r="L55" s="134"/>
      <c r="M55" s="134"/>
      <c r="N55" s="134"/>
      <c r="O55" s="134"/>
      <c r="P55" s="134"/>
      <c r="Q55" s="134"/>
      <c r="R55" s="134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46"/>
      <c r="AO55" s="146"/>
    </row>
    <row r="56" spans="1:41" ht="18" customHeight="1" x14ac:dyDescent="0.25">
      <c r="A56" s="134">
        <v>925</v>
      </c>
      <c r="B56" s="134">
        <v>922.58317747000001</v>
      </c>
      <c r="C56" s="134">
        <v>55.71</v>
      </c>
      <c r="D56" s="134">
        <v>55.713251528000001</v>
      </c>
      <c r="E56" s="134">
        <v>50.76</v>
      </c>
      <c r="F56" s="134">
        <v>50.759985407000002</v>
      </c>
      <c r="G56" s="134">
        <v>0</v>
      </c>
      <c r="H56" s="134"/>
      <c r="I56" s="134"/>
      <c r="J56" s="134"/>
      <c r="K56" s="138"/>
      <c r="L56" s="134"/>
      <c r="M56" s="134"/>
      <c r="N56" s="134"/>
      <c r="O56" s="134"/>
      <c r="P56" s="134"/>
      <c r="Q56" s="134"/>
      <c r="R56" s="134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46"/>
      <c r="AO56" s="146"/>
    </row>
    <row r="57" spans="1:41" x14ac:dyDescent="0.2">
      <c r="A57" s="134">
        <v>0</v>
      </c>
      <c r="B57" s="134">
        <v>0</v>
      </c>
      <c r="C57" s="134">
        <v>0</v>
      </c>
      <c r="D57" s="134">
        <v>0</v>
      </c>
      <c r="E57" s="134">
        <v>0</v>
      </c>
      <c r="F57" s="134">
        <v>0</v>
      </c>
      <c r="G57" s="134">
        <v>0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46"/>
      <c r="AO57" s="146"/>
    </row>
    <row r="58" spans="1:41" x14ac:dyDescent="0.2">
      <c r="A58" s="134">
        <v>69887</v>
      </c>
      <c r="B58" s="134">
        <v>69887</v>
      </c>
      <c r="C58" s="134">
        <v>65.78</v>
      </c>
      <c r="D58" s="134">
        <v>65.78</v>
      </c>
      <c r="E58" s="134">
        <v>64.88</v>
      </c>
      <c r="F58" s="134">
        <v>64.88</v>
      </c>
      <c r="G58" s="134">
        <v>0</v>
      </c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46"/>
      <c r="AO58" s="146"/>
    </row>
    <row r="59" spans="1:41" x14ac:dyDescent="0.2">
      <c r="A59" s="134">
        <v>1009238</v>
      </c>
      <c r="B59" s="134">
        <v>1002001.9011</v>
      </c>
      <c r="C59" s="134">
        <v>7.99</v>
      </c>
      <c r="D59" s="134">
        <v>7.8532482927</v>
      </c>
      <c r="E59" s="134">
        <v>1.95</v>
      </c>
      <c r="F59" s="134">
        <v>1.9394124141</v>
      </c>
      <c r="G59" s="134">
        <v>0</v>
      </c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46"/>
      <c r="AO59" s="146"/>
    </row>
    <row r="60" spans="1:41" x14ac:dyDescent="0.2">
      <c r="A60" s="134">
        <v>0</v>
      </c>
      <c r="B60" s="134">
        <v>0</v>
      </c>
      <c r="C60" s="134">
        <v>41.05</v>
      </c>
      <c r="D60" s="134">
        <v>41.051542181999999</v>
      </c>
      <c r="E60" s="134">
        <v>37.81</v>
      </c>
      <c r="F60" s="134">
        <v>37.808440324999999</v>
      </c>
      <c r="G60" s="133">
        <v>0</v>
      </c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46"/>
      <c r="AO60" s="146"/>
    </row>
    <row r="61" spans="1:41" x14ac:dyDescent="0.2">
      <c r="A61" s="134">
        <v>0</v>
      </c>
      <c r="B61" s="134">
        <v>0</v>
      </c>
      <c r="C61" s="134">
        <v>41.05</v>
      </c>
      <c r="D61" s="134">
        <v>41.050811533000001</v>
      </c>
      <c r="E61" s="134">
        <v>37.81</v>
      </c>
      <c r="F61" s="134">
        <v>37.809257101999997</v>
      </c>
      <c r="G61" s="133">
        <v>0</v>
      </c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46"/>
      <c r="AO61" s="146"/>
    </row>
    <row r="62" spans="1:41" x14ac:dyDescent="0.2">
      <c r="A62" s="134">
        <v>121647</v>
      </c>
      <c r="B62" s="134">
        <v>130683.6026</v>
      </c>
      <c r="C62" s="134">
        <v>41.05</v>
      </c>
      <c r="D62" s="134">
        <v>40.228999999999999</v>
      </c>
      <c r="E62" s="134">
        <v>37.81</v>
      </c>
      <c r="F62" s="134">
        <v>37.808373346000003</v>
      </c>
      <c r="G62" s="133">
        <v>0</v>
      </c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146"/>
      <c r="AO62" s="146"/>
    </row>
    <row r="63" spans="1:41" x14ac:dyDescent="0.2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46"/>
      <c r="AO63" s="146"/>
    </row>
    <row r="64" spans="1:41" x14ac:dyDescent="0.2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33"/>
      <c r="AN64" s="146"/>
      <c r="AO64" s="146"/>
    </row>
    <row r="65" spans="1:41" x14ac:dyDescent="0.2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46"/>
      <c r="AO65" s="146"/>
    </row>
    <row r="66" spans="1:41" ht="24" x14ac:dyDescent="0.3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92"/>
      <c r="M66" s="192"/>
      <c r="N66" s="134"/>
      <c r="O66" s="193" t="s">
        <v>0</v>
      </c>
      <c r="P66" s="193"/>
      <c r="Q66" s="193"/>
      <c r="R66" s="134"/>
      <c r="S66" s="194"/>
      <c r="T66" s="194"/>
      <c r="U66" s="133"/>
      <c r="V66" s="133"/>
      <c r="W66" s="156"/>
      <c r="X66" s="133"/>
      <c r="Y66" s="133"/>
      <c r="Z66" s="133"/>
      <c r="AA66" s="133"/>
      <c r="AB66" s="188"/>
      <c r="AC66" s="188"/>
      <c r="AD66" s="188"/>
      <c r="AE66" s="188"/>
      <c r="AF66" s="133"/>
      <c r="AG66" s="133"/>
      <c r="AH66" s="133"/>
      <c r="AI66" s="133"/>
      <c r="AJ66" s="133"/>
      <c r="AK66" s="133"/>
      <c r="AL66" s="133"/>
      <c r="AM66" s="133"/>
      <c r="AN66" s="146"/>
      <c r="AO66" s="146"/>
    </row>
    <row r="67" spans="1:41" x14ac:dyDescent="0.2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43"/>
      <c r="M67" s="143"/>
      <c r="N67" s="134"/>
      <c r="O67" s="143" t="s">
        <v>1</v>
      </c>
      <c r="P67" s="143" t="s">
        <v>2</v>
      </c>
      <c r="Q67" s="143" t="s">
        <v>3</v>
      </c>
      <c r="R67" s="134"/>
      <c r="S67" s="157"/>
      <c r="T67" s="157"/>
      <c r="U67" s="158"/>
      <c r="V67" s="133"/>
      <c r="W67" s="158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146"/>
      <c r="AO67" s="146"/>
    </row>
    <row r="68" spans="1:41" ht="15" customHeight="1" x14ac:dyDescent="0.25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44"/>
      <c r="M68" s="145"/>
      <c r="N68" s="134" t="s">
        <v>4</v>
      </c>
      <c r="O68" s="144">
        <f t="shared" ref="O68:O99" si="1">B1</f>
        <v>0</v>
      </c>
      <c r="P68" s="145">
        <f>D1/100</f>
        <v>0.56560860477999997</v>
      </c>
      <c r="Q68" s="145">
        <f>F1/100</f>
        <v>0.54249789169999996</v>
      </c>
      <c r="R68" s="140">
        <f t="shared" ref="R68:R99" si="2">P68*O68</f>
        <v>0</v>
      </c>
      <c r="S68" s="159"/>
      <c r="T68" s="159"/>
      <c r="U68" s="160"/>
      <c r="V68" s="161"/>
      <c r="W68" s="160"/>
      <c r="X68" s="161"/>
      <c r="Y68" s="133"/>
      <c r="Z68" s="133"/>
      <c r="AA68" s="133"/>
      <c r="AB68" s="152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46"/>
      <c r="AO68" s="146"/>
    </row>
    <row r="69" spans="1:41" ht="15" customHeight="1" x14ac:dyDescent="0.25">
      <c r="A69" s="134"/>
      <c r="B69" s="134"/>
      <c r="C69" s="134"/>
      <c r="D69" s="134"/>
      <c r="E69" s="134"/>
      <c r="F69" s="134"/>
      <c r="G69" s="134"/>
      <c r="H69" s="134"/>
      <c r="I69" s="144"/>
      <c r="J69" s="134"/>
      <c r="K69" s="134"/>
      <c r="L69" s="144"/>
      <c r="M69" s="145"/>
      <c r="N69" s="134" t="s">
        <v>5</v>
      </c>
      <c r="O69" s="144">
        <f t="shared" si="1"/>
        <v>0</v>
      </c>
      <c r="P69" s="145">
        <f t="shared" ref="P69:P129" si="3">D2/100</f>
        <v>0.56560860477999997</v>
      </c>
      <c r="Q69" s="145">
        <f t="shared" ref="Q69:Q129" si="4">F2/100</f>
        <v>0.54249789169999996</v>
      </c>
      <c r="R69" s="140">
        <f t="shared" si="2"/>
        <v>0</v>
      </c>
      <c r="S69" s="159"/>
      <c r="T69" s="159"/>
      <c r="U69" s="160"/>
      <c r="V69" s="161"/>
      <c r="W69" s="160"/>
      <c r="X69" s="161"/>
      <c r="Y69" s="133"/>
      <c r="Z69" s="133"/>
      <c r="AA69" s="133"/>
      <c r="AB69" s="152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46"/>
      <c r="AO69" s="146"/>
    </row>
    <row r="70" spans="1:41" ht="15" customHeight="1" x14ac:dyDescent="0.25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44"/>
      <c r="M70" s="145"/>
      <c r="N70" s="134" t="s">
        <v>6</v>
      </c>
      <c r="O70" s="144">
        <f t="shared" si="1"/>
        <v>0</v>
      </c>
      <c r="P70" s="145">
        <f t="shared" si="3"/>
        <v>0.56565190013</v>
      </c>
      <c r="Q70" s="145">
        <f t="shared" si="4"/>
        <v>0.54244773027000004</v>
      </c>
      <c r="R70" s="140">
        <f t="shared" si="2"/>
        <v>0</v>
      </c>
      <c r="S70" s="159"/>
      <c r="T70" s="159"/>
      <c r="U70" s="160"/>
      <c r="V70" s="161"/>
      <c r="W70" s="160"/>
      <c r="X70" s="161"/>
      <c r="Y70" s="133"/>
      <c r="Z70" s="133"/>
      <c r="AA70" s="133"/>
      <c r="AB70" s="152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46"/>
      <c r="AO70" s="146"/>
    </row>
    <row r="71" spans="1:41" ht="15" customHeight="1" x14ac:dyDescent="0.25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44"/>
      <c r="M71" s="145"/>
      <c r="N71" s="134" t="s">
        <v>7</v>
      </c>
      <c r="O71" s="144">
        <f t="shared" si="1"/>
        <v>2249</v>
      </c>
      <c r="P71" s="145">
        <f t="shared" si="3"/>
        <v>0.39769437203000002</v>
      </c>
      <c r="Q71" s="145">
        <f t="shared" si="4"/>
        <v>0.36468210642000004</v>
      </c>
      <c r="R71" s="140">
        <f t="shared" si="2"/>
        <v>894.41464269547009</v>
      </c>
      <c r="S71" s="159"/>
      <c r="T71" s="159"/>
      <c r="U71" s="160"/>
      <c r="V71" s="161"/>
      <c r="W71" s="160"/>
      <c r="X71" s="161"/>
      <c r="Y71" s="133"/>
      <c r="Z71" s="133"/>
      <c r="AA71" s="133"/>
      <c r="AB71" s="152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46"/>
      <c r="AO71" s="146"/>
    </row>
    <row r="72" spans="1:41" ht="15" customHeight="1" x14ac:dyDescent="0.25">
      <c r="A72" s="134"/>
      <c r="B72" s="134"/>
      <c r="C72" s="134"/>
      <c r="D72" s="134"/>
      <c r="E72" s="134"/>
      <c r="F72" s="134"/>
      <c r="G72" s="134"/>
      <c r="H72" s="134"/>
      <c r="I72" s="144"/>
      <c r="J72" s="134"/>
      <c r="K72" s="134"/>
      <c r="L72" s="144"/>
      <c r="M72" s="145"/>
      <c r="N72" s="134" t="s">
        <v>8</v>
      </c>
      <c r="O72" s="144">
        <f t="shared" si="1"/>
        <v>-405.02495349999998</v>
      </c>
      <c r="P72" s="145">
        <f t="shared" si="3"/>
        <v>0.39400929136999996</v>
      </c>
      <c r="Q72" s="145">
        <f t="shared" si="4"/>
        <v>0.36814781242</v>
      </c>
      <c r="R72" s="140">
        <f t="shared" si="2"/>
        <v>-159.58359491570218</v>
      </c>
      <c r="S72" s="159"/>
      <c r="T72" s="159"/>
      <c r="U72" s="160"/>
      <c r="V72" s="161"/>
      <c r="W72" s="160"/>
      <c r="X72" s="161"/>
      <c r="Y72" s="133"/>
      <c r="Z72" s="133"/>
      <c r="AA72" s="133"/>
      <c r="AB72" s="152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46"/>
      <c r="AO72" s="146"/>
    </row>
    <row r="73" spans="1:41" ht="15" customHeight="1" x14ac:dyDescent="0.25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44"/>
      <c r="M73" s="145"/>
      <c r="N73" s="134" t="s">
        <v>9</v>
      </c>
      <c r="O73" s="144">
        <f t="shared" si="1"/>
        <v>2654.0249534999998</v>
      </c>
      <c r="P73" s="145">
        <f t="shared" si="3"/>
        <v>0.39713199999999999</v>
      </c>
      <c r="Q73" s="145">
        <f t="shared" si="4"/>
        <v>0.36521099999999995</v>
      </c>
      <c r="R73" s="140">
        <f t="shared" si="2"/>
        <v>1053.9982378333618</v>
      </c>
      <c r="S73" s="159"/>
      <c r="T73" s="159"/>
      <c r="U73" s="160"/>
      <c r="V73" s="161"/>
      <c r="W73" s="160"/>
      <c r="X73" s="161"/>
      <c r="Y73" s="133"/>
      <c r="Z73" s="133"/>
      <c r="AA73" s="133"/>
      <c r="AB73" s="152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46"/>
      <c r="AO73" s="146"/>
    </row>
    <row r="74" spans="1:41" ht="15" customHeight="1" x14ac:dyDescent="0.25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44"/>
      <c r="M74" s="145"/>
      <c r="N74" s="134" t="s">
        <v>10</v>
      </c>
      <c r="O74" s="144">
        <f t="shared" si="1"/>
        <v>9579</v>
      </c>
      <c r="P74" s="145">
        <f t="shared" si="3"/>
        <v>0.40868512662000001</v>
      </c>
      <c r="Q74" s="145">
        <f t="shared" si="4"/>
        <v>0.37516122754999998</v>
      </c>
      <c r="R74" s="140">
        <f t="shared" si="2"/>
        <v>3914.7948278929803</v>
      </c>
      <c r="S74" s="159"/>
      <c r="T74" s="159"/>
      <c r="U74" s="160"/>
      <c r="V74" s="161"/>
      <c r="W74" s="160"/>
      <c r="X74" s="161"/>
      <c r="Y74" s="133"/>
      <c r="Z74" s="133"/>
      <c r="AA74" s="133"/>
      <c r="AB74" s="152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46"/>
      <c r="AO74" s="146"/>
    </row>
    <row r="75" spans="1:41" ht="15" customHeight="1" x14ac:dyDescent="0.25">
      <c r="A75" s="134"/>
      <c r="B75" s="134"/>
      <c r="C75" s="134"/>
      <c r="D75" s="134"/>
      <c r="E75" s="134"/>
      <c r="F75" s="134"/>
      <c r="G75" s="134"/>
      <c r="H75" s="134"/>
      <c r="I75" s="144"/>
      <c r="J75" s="134"/>
      <c r="K75" s="134"/>
      <c r="L75" s="144"/>
      <c r="M75" s="145"/>
      <c r="N75" s="134" t="s">
        <v>11</v>
      </c>
      <c r="O75" s="144">
        <f t="shared" si="1"/>
        <v>-10850.797500000001</v>
      </c>
      <c r="P75" s="145">
        <f t="shared" si="3"/>
        <v>0.40918194538000002</v>
      </c>
      <c r="Q75" s="145">
        <f t="shared" si="4"/>
        <v>0.37469386663999998</v>
      </c>
      <c r="R75" s="140">
        <f t="shared" si="2"/>
        <v>-4439.9504299744412</v>
      </c>
      <c r="S75" s="159"/>
      <c r="T75" s="159"/>
      <c r="U75" s="160"/>
      <c r="V75" s="161"/>
      <c r="W75" s="160"/>
      <c r="X75" s="161"/>
      <c r="Y75" s="133"/>
      <c r="Z75" s="133"/>
      <c r="AA75" s="133"/>
      <c r="AB75" s="152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46"/>
      <c r="AO75" s="146"/>
    </row>
    <row r="76" spans="1:41" ht="15" customHeight="1" x14ac:dyDescent="0.25">
      <c r="A76" s="134"/>
      <c r="B76" s="134"/>
      <c r="C76" s="134"/>
      <c r="D76" s="143"/>
      <c r="E76" s="143"/>
      <c r="F76" s="143"/>
      <c r="G76" s="143"/>
      <c r="H76" s="143"/>
      <c r="I76" s="134"/>
      <c r="J76" s="134"/>
      <c r="K76" s="134"/>
      <c r="L76" s="144"/>
      <c r="M76" s="145"/>
      <c r="N76" s="134" t="s">
        <v>12</v>
      </c>
      <c r="O76" s="144">
        <f t="shared" si="1"/>
        <v>20429.797500000001</v>
      </c>
      <c r="P76" s="145">
        <f t="shared" si="3"/>
        <v>0.40894900000000001</v>
      </c>
      <c r="Q76" s="145">
        <f t="shared" si="4"/>
        <v>0.37491300000000005</v>
      </c>
      <c r="R76" s="140">
        <f t="shared" si="2"/>
        <v>8354.7452578275006</v>
      </c>
      <c r="S76" s="159"/>
      <c r="T76" s="159"/>
      <c r="U76" s="160"/>
      <c r="V76" s="161"/>
      <c r="W76" s="160"/>
      <c r="X76" s="161"/>
      <c r="Y76" s="133"/>
      <c r="Z76" s="133"/>
      <c r="AA76" s="133"/>
      <c r="AB76" s="152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46"/>
      <c r="AO76" s="146"/>
    </row>
    <row r="77" spans="1:41" ht="15" customHeight="1" x14ac:dyDescent="0.25">
      <c r="A77" s="134"/>
      <c r="B77" s="134"/>
      <c r="C77" s="134"/>
      <c r="D77" s="162"/>
      <c r="E77" s="162"/>
      <c r="F77" s="162"/>
      <c r="G77" s="162"/>
      <c r="H77" s="162"/>
      <c r="I77" s="134"/>
      <c r="J77" s="134"/>
      <c r="K77" s="134"/>
      <c r="L77" s="144"/>
      <c r="M77" s="145"/>
      <c r="N77" s="134" t="s">
        <v>13</v>
      </c>
      <c r="O77" s="144">
        <f t="shared" si="1"/>
        <v>0</v>
      </c>
      <c r="P77" s="145">
        <f t="shared" si="3"/>
        <v>0.41050811533000003</v>
      </c>
      <c r="Q77" s="145">
        <f t="shared" si="4"/>
        <v>0.37809257101999999</v>
      </c>
      <c r="R77" s="140">
        <f t="shared" si="2"/>
        <v>0</v>
      </c>
      <c r="S77" s="159"/>
      <c r="T77" s="159"/>
      <c r="U77" s="160"/>
      <c r="V77" s="161"/>
      <c r="W77" s="160"/>
      <c r="X77" s="161"/>
      <c r="Y77" s="133"/>
      <c r="Z77" s="133"/>
      <c r="AA77" s="133"/>
      <c r="AB77" s="152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46"/>
      <c r="AO77" s="146"/>
    </row>
    <row r="78" spans="1:41" ht="15" customHeight="1" x14ac:dyDescent="0.25">
      <c r="A78" s="134"/>
      <c r="B78" s="134"/>
      <c r="C78" s="134"/>
      <c r="D78" s="162"/>
      <c r="E78" s="162"/>
      <c r="F78" s="162"/>
      <c r="G78" s="162"/>
      <c r="H78" s="162"/>
      <c r="I78" s="144"/>
      <c r="J78" s="134"/>
      <c r="K78" s="134"/>
      <c r="L78" s="144"/>
      <c r="M78" s="145"/>
      <c r="N78" s="134" t="s">
        <v>14</v>
      </c>
      <c r="O78" s="144">
        <f t="shared" si="1"/>
        <v>0</v>
      </c>
      <c r="P78" s="145">
        <f t="shared" si="3"/>
        <v>0.41051542182</v>
      </c>
      <c r="Q78" s="145">
        <f t="shared" si="4"/>
        <v>0.37808440324999998</v>
      </c>
      <c r="R78" s="140">
        <f t="shared" si="2"/>
        <v>0</v>
      </c>
      <c r="S78" s="159"/>
      <c r="T78" s="159"/>
      <c r="U78" s="160"/>
      <c r="V78" s="161"/>
      <c r="W78" s="160"/>
      <c r="X78" s="161"/>
      <c r="Y78" s="133"/>
      <c r="Z78" s="133"/>
      <c r="AA78" s="133"/>
      <c r="AB78" s="152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46"/>
      <c r="AO78" s="146"/>
    </row>
    <row r="79" spans="1:41" ht="15" customHeight="1" x14ac:dyDescent="0.25">
      <c r="A79" s="134"/>
      <c r="B79" s="134"/>
      <c r="C79" s="134"/>
      <c r="D79" s="162"/>
      <c r="E79" s="162"/>
      <c r="F79" s="162"/>
      <c r="G79" s="162"/>
      <c r="H79" s="162"/>
      <c r="I79" s="134"/>
      <c r="J79" s="134"/>
      <c r="K79" s="134"/>
      <c r="L79" s="144"/>
      <c r="M79" s="145"/>
      <c r="N79" s="134" t="s">
        <v>15</v>
      </c>
      <c r="O79" s="144">
        <f t="shared" si="1"/>
        <v>0</v>
      </c>
      <c r="P79" s="145">
        <f t="shared" si="3"/>
        <v>0.41046673926999999</v>
      </c>
      <c r="Q79" s="145">
        <f t="shared" si="4"/>
        <v>0.37812840887999999</v>
      </c>
      <c r="R79" s="140">
        <f t="shared" si="2"/>
        <v>0</v>
      </c>
      <c r="S79" s="159"/>
      <c r="T79" s="159"/>
      <c r="U79" s="160"/>
      <c r="V79" s="161"/>
      <c r="W79" s="160"/>
      <c r="X79" s="161"/>
      <c r="Y79" s="133"/>
      <c r="Z79" s="133"/>
      <c r="AA79" s="133"/>
      <c r="AB79" s="152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46"/>
      <c r="AO79" s="146"/>
    </row>
    <row r="80" spans="1:41" ht="15" customHeight="1" x14ac:dyDescent="0.25">
      <c r="A80" s="134"/>
      <c r="B80" s="162"/>
      <c r="C80" s="162"/>
      <c r="D80" s="162"/>
      <c r="E80" s="162"/>
      <c r="F80" s="162"/>
      <c r="G80" s="162"/>
      <c r="H80" s="162"/>
      <c r="I80" s="134"/>
      <c r="J80" s="134"/>
      <c r="K80" s="134"/>
      <c r="L80" s="144"/>
      <c r="M80" s="145"/>
      <c r="N80" s="134" t="s">
        <v>16</v>
      </c>
      <c r="O80" s="144">
        <f t="shared" si="1"/>
        <v>626</v>
      </c>
      <c r="P80" s="145">
        <f t="shared" si="3"/>
        <v>0.48605704019000001</v>
      </c>
      <c r="Q80" s="145">
        <f t="shared" si="4"/>
        <v>0.43700216897999999</v>
      </c>
      <c r="R80" s="140">
        <f t="shared" si="2"/>
        <v>304.27170715893999</v>
      </c>
      <c r="S80" s="159"/>
      <c r="T80" s="159"/>
      <c r="U80" s="160"/>
      <c r="V80" s="161"/>
      <c r="W80" s="160"/>
      <c r="X80" s="161"/>
      <c r="Y80" s="133"/>
      <c r="Z80" s="133"/>
      <c r="AA80" s="133"/>
      <c r="AB80" s="152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46"/>
      <c r="AO80" s="146"/>
    </row>
    <row r="81" spans="1:41" ht="15" customHeight="1" x14ac:dyDescent="0.25">
      <c r="A81" s="134"/>
      <c r="B81" s="134"/>
      <c r="C81" s="134"/>
      <c r="D81" s="134"/>
      <c r="E81" s="134"/>
      <c r="F81" s="134"/>
      <c r="G81" s="134"/>
      <c r="H81" s="134"/>
      <c r="I81" s="144"/>
      <c r="J81" s="134"/>
      <c r="K81" s="134"/>
      <c r="L81" s="144"/>
      <c r="M81" s="145"/>
      <c r="N81" s="134" t="s">
        <v>17</v>
      </c>
      <c r="O81" s="144">
        <f t="shared" si="1"/>
        <v>-2335.3850000000002</v>
      </c>
      <c r="P81" s="145">
        <f t="shared" si="3"/>
        <v>0.49022633770000001</v>
      </c>
      <c r="Q81" s="145">
        <f t="shared" si="4"/>
        <v>0.43321555734</v>
      </c>
      <c r="R81" s="140">
        <f t="shared" si="2"/>
        <v>-1144.8672356695147</v>
      </c>
      <c r="S81" s="159"/>
      <c r="T81" s="159"/>
      <c r="U81" s="160"/>
      <c r="V81" s="161"/>
      <c r="W81" s="160"/>
      <c r="X81" s="161"/>
      <c r="Y81" s="133"/>
      <c r="Z81" s="133"/>
      <c r="AA81" s="133"/>
      <c r="AB81" s="152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46"/>
      <c r="AO81" s="146"/>
    </row>
    <row r="82" spans="1:41" ht="15" customHeight="1" x14ac:dyDescent="0.25">
      <c r="A82" s="143"/>
      <c r="B82" s="162"/>
      <c r="C82" s="162"/>
      <c r="D82" s="162"/>
      <c r="E82" s="162"/>
      <c r="F82" s="162"/>
      <c r="G82" s="162"/>
      <c r="H82" s="162"/>
      <c r="I82" s="163"/>
      <c r="J82" s="134"/>
      <c r="K82" s="134"/>
      <c r="L82" s="144"/>
      <c r="M82" s="145"/>
      <c r="N82" s="134" t="s">
        <v>18</v>
      </c>
      <c r="O82" s="144">
        <f t="shared" si="1"/>
        <v>2961.3850000000002</v>
      </c>
      <c r="P82" s="145">
        <f t="shared" si="3"/>
        <v>0.48934499999999997</v>
      </c>
      <c r="Q82" s="145">
        <f t="shared" si="4"/>
        <v>0.43401600000000001</v>
      </c>
      <c r="R82" s="140">
        <f t="shared" si="2"/>
        <v>1449.138942825</v>
      </c>
      <c r="S82" s="159"/>
      <c r="T82" s="159"/>
      <c r="U82" s="160"/>
      <c r="V82" s="161"/>
      <c r="W82" s="160"/>
      <c r="X82" s="161"/>
      <c r="Y82" s="133"/>
      <c r="Z82" s="133"/>
      <c r="AA82" s="133"/>
      <c r="AB82" s="152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46"/>
      <c r="AO82" s="146"/>
    </row>
    <row r="83" spans="1:41" ht="15" customHeight="1" x14ac:dyDescent="0.25">
      <c r="A83" s="143"/>
      <c r="B83" s="163"/>
      <c r="C83" s="163"/>
      <c r="D83" s="163"/>
      <c r="E83" s="163"/>
      <c r="F83" s="163"/>
      <c r="G83" s="163"/>
      <c r="H83" s="163"/>
      <c r="I83" s="163"/>
      <c r="J83" s="134"/>
      <c r="K83" s="134"/>
      <c r="L83" s="144"/>
      <c r="M83" s="145"/>
      <c r="N83" s="134" t="s">
        <v>19</v>
      </c>
      <c r="O83" s="144">
        <f t="shared" si="1"/>
        <v>0</v>
      </c>
      <c r="P83" s="145">
        <f t="shared" si="3"/>
        <v>0.40000789290999994</v>
      </c>
      <c r="Q83" s="145">
        <f t="shared" si="4"/>
        <v>0.36719280191999998</v>
      </c>
      <c r="R83" s="140">
        <f t="shared" si="2"/>
        <v>0</v>
      </c>
      <c r="S83" s="159"/>
      <c r="T83" s="159"/>
      <c r="U83" s="160"/>
      <c r="V83" s="161"/>
      <c r="W83" s="160"/>
      <c r="X83" s="161"/>
      <c r="Y83" s="133"/>
      <c r="Z83" s="133"/>
      <c r="AA83" s="133"/>
      <c r="AB83" s="152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46"/>
      <c r="AO83" s="146"/>
    </row>
    <row r="84" spans="1:41" ht="15" customHeight="1" x14ac:dyDescent="0.25">
      <c r="A84" s="134"/>
      <c r="B84" s="134"/>
      <c r="C84" s="134"/>
      <c r="D84" s="134"/>
      <c r="E84" s="134"/>
      <c r="F84" s="134"/>
      <c r="G84" s="134"/>
      <c r="H84" s="134"/>
      <c r="I84" s="144"/>
      <c r="J84" s="134"/>
      <c r="K84" s="134"/>
      <c r="L84" s="144"/>
      <c r="M84" s="145"/>
      <c r="N84" s="134" t="s">
        <v>20</v>
      </c>
      <c r="O84" s="144">
        <f t="shared" si="1"/>
        <v>-451.74641028000002</v>
      </c>
      <c r="P84" s="145">
        <f t="shared" si="3"/>
        <v>0.40399999999999997</v>
      </c>
      <c r="Q84" s="145">
        <f t="shared" si="4"/>
        <v>0.36352800000000002</v>
      </c>
      <c r="R84" s="140">
        <f t="shared" si="2"/>
        <v>-182.50554975311999</v>
      </c>
      <c r="S84" s="159"/>
      <c r="T84" s="159"/>
      <c r="U84" s="160"/>
      <c r="V84" s="161"/>
      <c r="W84" s="160"/>
      <c r="X84" s="161"/>
      <c r="Y84" s="133"/>
      <c r="Z84" s="133"/>
      <c r="AA84" s="133"/>
      <c r="AB84" s="152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46"/>
      <c r="AO84" s="146"/>
    </row>
    <row r="85" spans="1:41" ht="15" customHeight="1" x14ac:dyDescent="0.25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44"/>
      <c r="M85" s="145"/>
      <c r="N85" s="134" t="s">
        <v>21</v>
      </c>
      <c r="O85" s="144">
        <f t="shared" si="1"/>
        <v>451.74641028000002</v>
      </c>
      <c r="P85" s="145">
        <f t="shared" si="3"/>
        <v>0.40399999999999997</v>
      </c>
      <c r="Q85" s="145">
        <f t="shared" si="4"/>
        <v>0.36352800000000002</v>
      </c>
      <c r="R85" s="140">
        <f t="shared" si="2"/>
        <v>182.50554975311999</v>
      </c>
      <c r="S85" s="159"/>
      <c r="T85" s="159"/>
      <c r="U85" s="160"/>
      <c r="V85" s="161"/>
      <c r="W85" s="160"/>
      <c r="X85" s="161"/>
      <c r="Y85" s="133"/>
      <c r="Z85" s="133"/>
      <c r="AA85" s="133"/>
      <c r="AB85" s="152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146"/>
      <c r="AO85" s="146"/>
    </row>
    <row r="86" spans="1:41" ht="15" customHeight="1" x14ac:dyDescent="0.25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44"/>
      <c r="M86" s="145"/>
      <c r="N86" s="134" t="s">
        <v>22</v>
      </c>
      <c r="O86" s="144">
        <f t="shared" si="1"/>
        <v>0</v>
      </c>
      <c r="P86" s="145">
        <f t="shared" si="3"/>
        <v>0.53960779231</v>
      </c>
      <c r="Q86" s="145">
        <f t="shared" si="4"/>
        <v>0.47885851396000001</v>
      </c>
      <c r="R86" s="140">
        <f t="shared" si="2"/>
        <v>0</v>
      </c>
      <c r="S86" s="159"/>
      <c r="T86" s="159"/>
      <c r="U86" s="160"/>
      <c r="V86" s="161"/>
      <c r="W86" s="160"/>
      <c r="X86" s="161"/>
      <c r="Y86" s="133"/>
      <c r="Z86" s="133"/>
      <c r="AA86" s="133"/>
      <c r="AB86" s="152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</row>
    <row r="87" spans="1:41" ht="15" customHeight="1" x14ac:dyDescent="0.25">
      <c r="A87" s="134"/>
      <c r="B87" s="134"/>
      <c r="C87" s="134"/>
      <c r="D87" s="134"/>
      <c r="E87" s="134"/>
      <c r="F87" s="134"/>
      <c r="G87" s="134"/>
      <c r="H87" s="134"/>
      <c r="I87" s="144"/>
      <c r="J87" s="134"/>
      <c r="K87" s="134"/>
      <c r="L87" s="144"/>
      <c r="M87" s="145"/>
      <c r="N87" s="134" t="s">
        <v>23</v>
      </c>
      <c r="O87" s="144">
        <f t="shared" si="1"/>
        <v>0</v>
      </c>
      <c r="P87" s="145">
        <f t="shared" si="3"/>
        <v>0.53963030719000005</v>
      </c>
      <c r="Q87" s="145">
        <f t="shared" si="4"/>
        <v>0.47846934319000001</v>
      </c>
      <c r="R87" s="140">
        <f t="shared" si="2"/>
        <v>0</v>
      </c>
      <c r="S87" s="159"/>
      <c r="T87" s="159"/>
      <c r="U87" s="160"/>
      <c r="V87" s="161"/>
      <c r="W87" s="160"/>
      <c r="X87" s="161"/>
      <c r="Y87" s="133"/>
      <c r="Z87" s="133"/>
      <c r="AA87" s="133"/>
      <c r="AB87" s="15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</row>
    <row r="88" spans="1:41" ht="15" customHeight="1" x14ac:dyDescent="0.25">
      <c r="A88" s="155" t="s">
        <v>2</v>
      </c>
      <c r="B88" s="143" t="s">
        <v>108</v>
      </c>
      <c r="C88" s="143" t="s">
        <v>109</v>
      </c>
      <c r="D88" s="143" t="s">
        <v>110</v>
      </c>
      <c r="E88" s="143" t="s">
        <v>111</v>
      </c>
      <c r="F88" s="143" t="s">
        <v>146</v>
      </c>
      <c r="G88" s="143" t="s">
        <v>147</v>
      </c>
      <c r="H88" s="143" t="s">
        <v>148</v>
      </c>
      <c r="I88" s="134"/>
      <c r="J88" s="134"/>
      <c r="K88" s="134"/>
      <c r="L88" s="144"/>
      <c r="M88" s="145"/>
      <c r="N88" s="134" t="s">
        <v>24</v>
      </c>
      <c r="O88" s="144">
        <f t="shared" si="1"/>
        <v>0</v>
      </c>
      <c r="P88" s="145">
        <f t="shared" si="3"/>
        <v>0.53955239462999993</v>
      </c>
      <c r="Q88" s="145">
        <f t="shared" si="4"/>
        <v>0.47854703985999997</v>
      </c>
      <c r="R88" s="140">
        <f t="shared" si="2"/>
        <v>0</v>
      </c>
      <c r="S88" s="159"/>
      <c r="T88" s="159"/>
      <c r="U88" s="160"/>
      <c r="V88" s="161"/>
      <c r="W88" s="160"/>
      <c r="X88" s="161"/>
      <c r="Y88" s="133"/>
      <c r="Z88" s="133"/>
      <c r="AA88" s="133"/>
      <c r="AB88" s="153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  <c r="AM88" s="133"/>
      <c r="AN88" s="133"/>
      <c r="AO88" s="133"/>
    </row>
    <row r="89" spans="1:41" ht="15" customHeight="1" x14ac:dyDescent="0.25">
      <c r="A89" s="143" t="s">
        <v>25</v>
      </c>
      <c r="B89" s="162">
        <f>+P107</f>
        <v>0.10797705657999999</v>
      </c>
      <c r="C89" s="162">
        <f>+P109</f>
        <v>0.32205308953</v>
      </c>
      <c r="D89" s="162">
        <f>+P114</f>
        <v>0.40551046618000003</v>
      </c>
      <c r="E89" s="162">
        <f>+P116</f>
        <v>0.47052626748999998</v>
      </c>
      <c r="F89" s="162">
        <f>+P118</f>
        <v>0.61794388238999998</v>
      </c>
      <c r="G89" s="162">
        <f>+P120</f>
        <v>0.62661362226999995</v>
      </c>
      <c r="H89" s="162">
        <f>+P122</f>
        <v>0.65648839609000009</v>
      </c>
      <c r="I89" s="134"/>
      <c r="J89" s="134"/>
      <c r="K89" s="134"/>
      <c r="L89" s="144"/>
      <c r="M89" s="145"/>
      <c r="N89" s="134" t="s">
        <v>26</v>
      </c>
      <c r="O89" s="144">
        <f t="shared" si="1"/>
        <v>0</v>
      </c>
      <c r="P89" s="145">
        <f t="shared" si="3"/>
        <v>0.63100597155000004</v>
      </c>
      <c r="Q89" s="145">
        <f t="shared" si="4"/>
        <v>0.54498818940000004</v>
      </c>
      <c r="R89" s="140">
        <f t="shared" si="2"/>
        <v>0</v>
      </c>
      <c r="S89" s="159"/>
      <c r="T89" s="159"/>
      <c r="U89" s="160"/>
      <c r="V89" s="161"/>
      <c r="W89" s="160"/>
      <c r="X89" s="161"/>
      <c r="Y89" s="133"/>
      <c r="Z89" s="133"/>
      <c r="AA89" s="133"/>
      <c r="AB89" s="153"/>
      <c r="AC89" s="133"/>
      <c r="AD89" s="133"/>
      <c r="AE89" s="133"/>
      <c r="AF89" s="133"/>
      <c r="AG89" s="133"/>
      <c r="AH89" s="133"/>
      <c r="AI89" s="133"/>
      <c r="AJ89" s="133"/>
      <c r="AK89" s="133"/>
      <c r="AL89" s="133"/>
      <c r="AM89" s="133"/>
      <c r="AN89" s="133"/>
      <c r="AO89" s="133"/>
    </row>
    <row r="90" spans="1:41" ht="15" customHeight="1" x14ac:dyDescent="0.25">
      <c r="A90" s="143" t="s">
        <v>27</v>
      </c>
      <c r="B90" s="162">
        <f>+P109</f>
        <v>0.32205308953</v>
      </c>
      <c r="C90" s="162">
        <f>+P111</f>
        <v>0.40228999999999998</v>
      </c>
      <c r="D90" s="162">
        <f>+P116</f>
        <v>0.47052626748999998</v>
      </c>
      <c r="E90" s="162">
        <f>+P118</f>
        <v>0.61794388238999998</v>
      </c>
      <c r="F90" s="162">
        <f>+P120</f>
        <v>0.62661362226999995</v>
      </c>
      <c r="G90" s="162">
        <f>+P122</f>
        <v>0.65648839609000009</v>
      </c>
      <c r="H90" s="162">
        <f>+P125</f>
        <v>0.65780000000000005</v>
      </c>
      <c r="I90" s="144">
        <v>2097.3996419743298</v>
      </c>
      <c r="J90" s="134"/>
      <c r="K90" s="134"/>
      <c r="L90" s="144"/>
      <c r="M90" s="145"/>
      <c r="N90" s="134" t="s">
        <v>28</v>
      </c>
      <c r="O90" s="144">
        <f t="shared" si="1"/>
        <v>0</v>
      </c>
      <c r="P90" s="145">
        <f t="shared" si="3"/>
        <v>0.63104135898000002</v>
      </c>
      <c r="Q90" s="145">
        <f t="shared" si="4"/>
        <v>0.54495846526000002</v>
      </c>
      <c r="R90" s="140">
        <f t="shared" si="2"/>
        <v>0</v>
      </c>
      <c r="S90" s="159"/>
      <c r="T90" s="159"/>
      <c r="U90" s="160"/>
      <c r="V90" s="161"/>
      <c r="W90" s="160"/>
      <c r="X90" s="161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  <c r="AN90" s="133"/>
      <c r="AO90" s="133"/>
    </row>
    <row r="91" spans="1:41" ht="15" customHeight="1" x14ac:dyDescent="0.25">
      <c r="A91" s="143" t="s">
        <v>29</v>
      </c>
      <c r="B91" s="162">
        <f>+P108</f>
        <v>6.5225386750999995E-2</v>
      </c>
      <c r="C91" s="162">
        <f>+P110</f>
        <v>7.8129748146000003E-2</v>
      </c>
      <c r="D91" s="162">
        <f>+P115</f>
        <v>5.6760000000000005E-2</v>
      </c>
      <c r="E91" s="162">
        <f>+P117</f>
        <v>6.3975999999999991E-2</v>
      </c>
      <c r="F91" s="162">
        <f>+P119</f>
        <v>7.8766321543000006E-2</v>
      </c>
      <c r="G91" s="162">
        <f>+P121</f>
        <v>0.54608400000000001</v>
      </c>
      <c r="H91" s="162">
        <f>+P123</f>
        <v>0.55713251527999996</v>
      </c>
      <c r="I91" s="134"/>
      <c r="J91" s="134"/>
      <c r="K91" s="134"/>
      <c r="L91" s="144"/>
      <c r="M91" s="145"/>
      <c r="N91" s="134" t="s">
        <v>30</v>
      </c>
      <c r="O91" s="144">
        <f t="shared" si="1"/>
        <v>0</v>
      </c>
      <c r="P91" s="145">
        <f t="shared" si="3"/>
        <v>0.63095048019</v>
      </c>
      <c r="Q91" s="145">
        <f t="shared" si="4"/>
        <v>0.54504767450000002</v>
      </c>
      <c r="R91" s="140">
        <f t="shared" si="2"/>
        <v>0</v>
      </c>
      <c r="S91" s="159"/>
      <c r="T91" s="159"/>
      <c r="U91" s="160"/>
      <c r="V91" s="161"/>
      <c r="W91" s="160"/>
      <c r="X91" s="161"/>
      <c r="Y91" s="133"/>
      <c r="Z91" s="133"/>
      <c r="AA91" s="133"/>
      <c r="AB91" s="141"/>
      <c r="AC91" s="141"/>
      <c r="AD91" s="133"/>
      <c r="AE91" s="133"/>
      <c r="AF91" s="133"/>
      <c r="AG91" s="133"/>
      <c r="AH91" s="133"/>
      <c r="AI91" s="133"/>
      <c r="AJ91" s="133"/>
      <c r="AK91" s="133"/>
      <c r="AL91" s="133"/>
      <c r="AM91" s="133"/>
      <c r="AN91" s="133"/>
      <c r="AO91" s="133"/>
    </row>
    <row r="92" spans="1:41" ht="15" customHeight="1" x14ac:dyDescent="0.25">
      <c r="A92" s="134"/>
      <c r="B92" s="145"/>
      <c r="C92" s="145"/>
      <c r="D92" s="145"/>
      <c r="E92" s="145"/>
      <c r="F92" s="145"/>
      <c r="G92" s="145"/>
      <c r="H92" s="145"/>
      <c r="I92" s="134"/>
      <c r="J92" s="134"/>
      <c r="K92" s="134"/>
      <c r="L92" s="144"/>
      <c r="M92" s="144"/>
      <c r="N92" s="134" t="s">
        <v>31</v>
      </c>
      <c r="O92" s="144">
        <f t="shared" si="1"/>
        <v>419</v>
      </c>
      <c r="P92" s="145">
        <f t="shared" si="3"/>
        <v>0.42736065052</v>
      </c>
      <c r="Q92" s="145">
        <f t="shared" si="4"/>
        <v>0.39262663881000004</v>
      </c>
      <c r="R92" s="140">
        <f t="shared" si="2"/>
        <v>179.06411256787999</v>
      </c>
      <c r="S92" s="159"/>
      <c r="T92" s="159"/>
      <c r="U92" s="160"/>
      <c r="V92" s="161"/>
      <c r="W92" s="160"/>
      <c r="X92" s="161"/>
      <c r="Y92" s="133"/>
      <c r="Z92" s="133"/>
      <c r="AA92" s="133"/>
      <c r="AB92" s="141"/>
      <c r="AC92" s="141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  <c r="AO92" s="133"/>
    </row>
    <row r="93" spans="1:41" ht="15" customHeight="1" x14ac:dyDescent="0.25">
      <c r="A93" s="134"/>
      <c r="B93" s="134"/>
      <c r="C93" s="134"/>
      <c r="D93" s="134"/>
      <c r="E93" s="134"/>
      <c r="F93" s="134"/>
      <c r="G93" s="134"/>
      <c r="H93" s="134"/>
      <c r="I93" s="144">
        <f>+L92-L94</f>
        <v>0</v>
      </c>
      <c r="J93" s="134"/>
      <c r="K93" s="134"/>
      <c r="L93" s="144"/>
      <c r="M93" s="144"/>
      <c r="N93" s="134" t="s">
        <v>32</v>
      </c>
      <c r="O93" s="144">
        <f t="shared" si="1"/>
        <v>-63.977203136999997</v>
      </c>
      <c r="P93" s="145">
        <f t="shared" si="3"/>
        <v>0.42332446261999995</v>
      </c>
      <c r="Q93" s="145">
        <f t="shared" si="4"/>
        <v>0.39641906781000003</v>
      </c>
      <c r="R93" s="140">
        <f t="shared" si="2"/>
        <v>-27.0831151379011</v>
      </c>
      <c r="S93" s="159"/>
      <c r="T93" s="159"/>
      <c r="U93" s="160"/>
      <c r="V93" s="161"/>
      <c r="W93" s="160"/>
      <c r="X93" s="161"/>
      <c r="Y93" s="133"/>
      <c r="Z93" s="133"/>
      <c r="AA93" s="133"/>
      <c r="AB93" s="141"/>
      <c r="AC93" s="141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</row>
    <row r="94" spans="1:41" ht="15" customHeight="1" x14ac:dyDescent="0.25">
      <c r="A94" s="164" t="s">
        <v>33</v>
      </c>
      <c r="B94" s="145">
        <f t="shared" ref="B94:H94" si="5">+IF((B90-B91)&lt;&gt;0,(B90/B89)*(B89-B91)/(B90-B91),0)</f>
        <v>0.49648622150723243</v>
      </c>
      <c r="C94" s="145">
        <f t="shared" si="5"/>
        <v>0.93995133021535582</v>
      </c>
      <c r="D94" s="145">
        <f t="shared" si="5"/>
        <v>0.97800600323482245</v>
      </c>
      <c r="E94" s="145">
        <f t="shared" si="5"/>
        <v>0.96381754722626678</v>
      </c>
      <c r="F94" s="145">
        <f t="shared" si="5"/>
        <v>0.99798285058717828</v>
      </c>
      <c r="G94" s="145">
        <f t="shared" si="5"/>
        <v>0.76418149620755682</v>
      </c>
      <c r="H94" s="145">
        <f t="shared" si="5"/>
        <v>0.98894280581673333</v>
      </c>
      <c r="I94" s="165">
        <f>+B94*C94*D94*E94*F94*G94*H94</f>
        <v>0.33177196735015535</v>
      </c>
      <c r="J94" s="134"/>
      <c r="K94" s="134"/>
      <c r="L94" s="144"/>
      <c r="M94" s="144"/>
      <c r="N94" s="134" t="s">
        <v>34</v>
      </c>
      <c r="O94" s="144">
        <f t="shared" si="1"/>
        <v>482.97720313999997</v>
      </c>
      <c r="P94" s="145">
        <f t="shared" si="3"/>
        <v>0.42682599999999998</v>
      </c>
      <c r="Q94" s="145">
        <f t="shared" si="4"/>
        <v>0.39312900000000001</v>
      </c>
      <c r="R94" s="140">
        <f t="shared" si="2"/>
        <v>206.14722770743361</v>
      </c>
      <c r="S94" s="159"/>
      <c r="T94" s="159"/>
      <c r="U94" s="160"/>
      <c r="V94" s="161"/>
      <c r="W94" s="160"/>
      <c r="X94" s="161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</row>
    <row r="95" spans="1:41" ht="22.5" customHeight="1" x14ac:dyDescent="0.25">
      <c r="A95" s="134"/>
      <c r="B95" s="145"/>
      <c r="C95" s="145"/>
      <c r="D95" s="145"/>
      <c r="E95" s="145"/>
      <c r="F95" s="145"/>
      <c r="G95" s="145"/>
      <c r="H95" s="145"/>
      <c r="I95" s="145"/>
      <c r="J95" s="134"/>
      <c r="K95" s="138"/>
      <c r="L95" s="166"/>
      <c r="M95" s="167"/>
      <c r="N95" s="138" t="s">
        <v>35</v>
      </c>
      <c r="O95" s="144">
        <f t="shared" si="1"/>
        <v>403</v>
      </c>
      <c r="P95" s="145">
        <f t="shared" si="3"/>
        <v>0.47490581831000001</v>
      </c>
      <c r="Q95" s="145">
        <f t="shared" si="4"/>
        <v>0.42231100650999998</v>
      </c>
      <c r="R95" s="140">
        <f t="shared" si="2"/>
        <v>191.38704477893</v>
      </c>
      <c r="S95" s="159"/>
      <c r="T95" s="159"/>
      <c r="U95" s="160"/>
      <c r="V95" s="161"/>
      <c r="W95" s="160"/>
      <c r="X95" s="161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</row>
    <row r="96" spans="1:41" ht="15" customHeight="1" x14ac:dyDescent="0.25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44"/>
      <c r="M96" s="145"/>
      <c r="N96" s="134" t="s">
        <v>36</v>
      </c>
      <c r="O96" s="144">
        <f t="shared" si="1"/>
        <v>-1188.97</v>
      </c>
      <c r="P96" s="145">
        <f t="shared" si="3"/>
        <v>0.47868725310000004</v>
      </c>
      <c r="Q96" s="145">
        <f t="shared" si="4"/>
        <v>0.41889533931</v>
      </c>
      <c r="R96" s="140">
        <f t="shared" si="2"/>
        <v>-569.14478331830708</v>
      </c>
      <c r="S96" s="159"/>
      <c r="T96" s="159"/>
      <c r="U96" s="160"/>
      <c r="V96" s="161"/>
      <c r="W96" s="160"/>
      <c r="X96" s="161"/>
      <c r="Y96" s="133"/>
      <c r="Z96" s="133"/>
      <c r="AA96" s="133"/>
      <c r="AB96" s="133"/>
      <c r="AC96" s="133"/>
      <c r="AD96" s="133"/>
      <c r="AE96" s="133"/>
      <c r="AF96" s="133"/>
      <c r="AG96" s="133"/>
      <c r="AH96" s="133"/>
      <c r="AI96" s="133"/>
      <c r="AJ96" s="133"/>
      <c r="AK96" s="133"/>
      <c r="AL96" s="133"/>
      <c r="AM96" s="133"/>
      <c r="AN96" s="133"/>
      <c r="AO96" s="133"/>
    </row>
    <row r="97" spans="1:41" ht="15" customHeight="1" x14ac:dyDescent="0.25">
      <c r="A97" s="134"/>
      <c r="B97" s="162"/>
      <c r="C97" s="134"/>
      <c r="D97" s="134"/>
      <c r="E97" s="134"/>
      <c r="F97" s="134"/>
      <c r="G97" s="134"/>
      <c r="H97" s="168"/>
      <c r="I97" s="145"/>
      <c r="J97" s="134"/>
      <c r="K97" s="134"/>
      <c r="L97" s="144"/>
      <c r="M97" s="145"/>
      <c r="N97" s="134" t="s">
        <v>37</v>
      </c>
      <c r="O97" s="144">
        <f t="shared" si="1"/>
        <v>1591.97</v>
      </c>
      <c r="P97" s="145">
        <f t="shared" si="3"/>
        <v>0.47773000000000004</v>
      </c>
      <c r="Q97" s="145">
        <f t="shared" si="4"/>
        <v>0.41975999999999997</v>
      </c>
      <c r="R97" s="140">
        <f t="shared" si="2"/>
        <v>760.5318281000001</v>
      </c>
      <c r="S97" s="159"/>
      <c r="T97" s="159"/>
      <c r="U97" s="160"/>
      <c r="V97" s="161"/>
      <c r="W97" s="160"/>
      <c r="X97" s="161"/>
      <c r="Y97" s="133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  <c r="AM97" s="133"/>
      <c r="AN97" s="133"/>
      <c r="AO97" s="133"/>
    </row>
    <row r="98" spans="1:41" ht="15" customHeight="1" x14ac:dyDescent="0.25">
      <c r="A98" s="155" t="s">
        <v>3</v>
      </c>
      <c r="B98" s="143"/>
      <c r="C98" s="143"/>
      <c r="D98" s="143"/>
      <c r="E98" s="143"/>
      <c r="F98" s="143"/>
      <c r="G98" s="143"/>
      <c r="H98" s="143"/>
      <c r="I98" s="134"/>
      <c r="J98" s="134"/>
      <c r="K98" s="134"/>
      <c r="L98" s="144"/>
      <c r="M98" s="145"/>
      <c r="N98" s="134" t="s">
        <v>38</v>
      </c>
      <c r="O98" s="144">
        <f t="shared" si="1"/>
        <v>669</v>
      </c>
      <c r="P98" s="145">
        <f t="shared" si="3"/>
        <v>0.55093425004999996</v>
      </c>
      <c r="Q98" s="145">
        <f t="shared" si="4"/>
        <v>0.52926750172000003</v>
      </c>
      <c r="R98" s="140">
        <f t="shared" si="2"/>
        <v>368.57501328344995</v>
      </c>
      <c r="S98" s="159"/>
      <c r="T98" s="159"/>
      <c r="U98" s="160"/>
      <c r="V98" s="161"/>
      <c r="W98" s="160"/>
      <c r="X98" s="161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  <c r="AM98" s="133"/>
      <c r="AN98" s="133"/>
      <c r="AO98" s="133"/>
    </row>
    <row r="99" spans="1:41" ht="15" customHeight="1" x14ac:dyDescent="0.25">
      <c r="A99" s="143" t="s">
        <v>25</v>
      </c>
      <c r="B99" s="162">
        <f>+Q107</f>
        <v>5.1604000000000004E-2</v>
      </c>
      <c r="C99" s="162">
        <f>+Q109</f>
        <v>0.28849270168000002</v>
      </c>
      <c r="D99" s="162">
        <f>+Q114</f>
        <v>0.37892347438000001</v>
      </c>
      <c r="E99" s="162">
        <f>+Q116</f>
        <v>0.44687081014999996</v>
      </c>
      <c r="F99" s="162">
        <f>+Q118</f>
        <v>0.60086774724000003</v>
      </c>
      <c r="G99" s="162">
        <f>+Q120</f>
        <v>0.61040339852000003</v>
      </c>
      <c r="H99" s="162">
        <f>+Q122</f>
        <v>0.64696029306000002</v>
      </c>
      <c r="I99" s="134"/>
      <c r="J99" s="134"/>
      <c r="K99" s="134"/>
      <c r="L99" s="144"/>
      <c r="M99" s="145"/>
      <c r="N99" s="134" t="s">
        <v>39</v>
      </c>
      <c r="O99" s="144">
        <f t="shared" si="1"/>
        <v>669</v>
      </c>
      <c r="P99" s="145">
        <f t="shared" si="3"/>
        <v>0.55093425004999996</v>
      </c>
      <c r="Q99" s="145">
        <f t="shared" si="4"/>
        <v>0.52926750172000003</v>
      </c>
      <c r="R99" s="140">
        <f t="shared" si="2"/>
        <v>368.57501328344995</v>
      </c>
      <c r="S99" s="159"/>
      <c r="T99" s="159"/>
      <c r="U99" s="160"/>
      <c r="V99" s="161"/>
      <c r="W99" s="160"/>
      <c r="X99" s="161"/>
      <c r="Y99" s="133"/>
      <c r="Z99" s="133"/>
      <c r="AA99" s="133"/>
      <c r="AB99" s="133"/>
      <c r="AC99" s="133"/>
      <c r="AD99" s="133"/>
      <c r="AE99" s="133"/>
      <c r="AF99" s="133"/>
      <c r="AG99" s="133"/>
      <c r="AH99" s="133"/>
      <c r="AI99" s="133"/>
      <c r="AJ99" s="133"/>
      <c r="AK99" s="133"/>
      <c r="AL99" s="133"/>
      <c r="AM99" s="133"/>
      <c r="AN99" s="133"/>
      <c r="AO99" s="133"/>
    </row>
    <row r="100" spans="1:41" ht="19" x14ac:dyDescent="0.25">
      <c r="A100" s="143" t="s">
        <v>27</v>
      </c>
      <c r="B100" s="162">
        <f>+Q109</f>
        <v>0.28849270168000002</v>
      </c>
      <c r="C100" s="162">
        <f>+Q111</f>
        <v>0.37808373346000002</v>
      </c>
      <c r="D100" s="162">
        <f>+Q116</f>
        <v>0.44687081014999996</v>
      </c>
      <c r="E100" s="162">
        <f>+Q118</f>
        <v>0.60086774724000003</v>
      </c>
      <c r="F100" s="162">
        <f>+Q120</f>
        <v>0.61040339852000003</v>
      </c>
      <c r="G100" s="162">
        <f>+Q122</f>
        <v>0.64696029306000002</v>
      </c>
      <c r="H100" s="162">
        <f>+Q125</f>
        <v>0.64879999999999993</v>
      </c>
      <c r="I100" s="144">
        <v>0</v>
      </c>
      <c r="J100" s="134"/>
      <c r="K100" s="134"/>
      <c r="L100" s="144"/>
      <c r="M100" s="145"/>
      <c r="N100" s="134" t="s">
        <v>40</v>
      </c>
      <c r="O100" s="144">
        <f t="shared" ref="O100:O129" si="6">B33</f>
        <v>0</v>
      </c>
      <c r="P100" s="145">
        <f t="shared" si="3"/>
        <v>0.55095214552999994</v>
      </c>
      <c r="Q100" s="145">
        <f t="shared" si="4"/>
        <v>0.52924755393</v>
      </c>
      <c r="R100" s="140">
        <f t="shared" ref="R100:R129" si="7">P100*O100</f>
        <v>0</v>
      </c>
      <c r="S100" s="159"/>
      <c r="T100" s="159"/>
      <c r="U100" s="160"/>
      <c r="V100" s="161"/>
      <c r="W100" s="160"/>
      <c r="X100" s="161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  <c r="AN100" s="133"/>
      <c r="AO100" s="133"/>
    </row>
    <row r="101" spans="1:41" ht="28.5" customHeight="1" x14ac:dyDescent="0.25">
      <c r="A101" s="143" t="s">
        <v>29</v>
      </c>
      <c r="B101" s="162">
        <f>+Q108</f>
        <v>4.2965672081000002E-3</v>
      </c>
      <c r="C101" s="162">
        <f>+Q110</f>
        <v>1.6132465033000001E-2</v>
      </c>
      <c r="D101" s="162">
        <f>+Q115</f>
        <v>1.4448000000000001E-2</v>
      </c>
      <c r="E101" s="162">
        <f>+Q117</f>
        <v>2.2176000000000001E-2</v>
      </c>
      <c r="F101" s="162">
        <f>+Q119</f>
        <v>7.8385159999000004E-3</v>
      </c>
      <c r="G101" s="162">
        <f>+Q121</f>
        <v>0.51125549999999997</v>
      </c>
      <c r="H101" s="162">
        <f>+Q123</f>
        <v>0.50759985406999997</v>
      </c>
      <c r="I101" s="134"/>
      <c r="J101" s="134"/>
      <c r="K101" s="169"/>
      <c r="L101" s="144"/>
      <c r="M101" s="145"/>
      <c r="N101" s="134" t="s">
        <v>41</v>
      </c>
      <c r="O101" s="144">
        <f t="shared" si="6"/>
        <v>0</v>
      </c>
      <c r="P101" s="145">
        <f t="shared" si="3"/>
        <v>0</v>
      </c>
      <c r="Q101" s="145">
        <f t="shared" si="4"/>
        <v>0</v>
      </c>
      <c r="R101" s="140">
        <f t="shared" si="7"/>
        <v>0</v>
      </c>
      <c r="S101" s="159"/>
      <c r="T101" s="159"/>
      <c r="U101" s="160"/>
      <c r="V101" s="161"/>
      <c r="W101" s="160"/>
      <c r="X101" s="161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  <c r="AM101" s="133"/>
      <c r="AN101" s="133"/>
      <c r="AO101" s="133"/>
    </row>
    <row r="102" spans="1:41" ht="19" x14ac:dyDescent="0.25">
      <c r="A102" s="134"/>
      <c r="B102" s="145"/>
      <c r="C102" s="145"/>
      <c r="D102" s="145"/>
      <c r="E102" s="145"/>
      <c r="F102" s="145"/>
      <c r="G102" s="145"/>
      <c r="H102" s="145"/>
      <c r="I102" s="134"/>
      <c r="J102" s="134"/>
      <c r="K102" s="169"/>
      <c r="L102" s="144"/>
      <c r="M102" s="145"/>
      <c r="N102" s="134" t="s">
        <v>42</v>
      </c>
      <c r="O102" s="144">
        <f t="shared" si="6"/>
        <v>0</v>
      </c>
      <c r="P102" s="145">
        <f t="shared" si="3"/>
        <v>0</v>
      </c>
      <c r="Q102" s="145">
        <f t="shared" si="4"/>
        <v>0</v>
      </c>
      <c r="R102" s="140">
        <f t="shared" si="7"/>
        <v>0</v>
      </c>
      <c r="S102" s="159"/>
      <c r="T102" s="159"/>
      <c r="U102" s="160"/>
      <c r="V102" s="161"/>
      <c r="W102" s="160"/>
      <c r="X102" s="161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33"/>
      <c r="AN102" s="133"/>
      <c r="AO102" s="133"/>
    </row>
    <row r="103" spans="1:41" ht="19" x14ac:dyDescent="0.25">
      <c r="A103" s="134"/>
      <c r="B103" s="134"/>
      <c r="C103" s="134"/>
      <c r="D103" s="134"/>
      <c r="E103" s="134"/>
      <c r="F103" s="134"/>
      <c r="G103" s="134"/>
      <c r="H103" s="134"/>
      <c r="I103" s="144">
        <f>+L102-L104</f>
        <v>0</v>
      </c>
      <c r="J103" s="134"/>
      <c r="K103" s="134"/>
      <c r="L103" s="144"/>
      <c r="M103" s="145"/>
      <c r="N103" s="134" t="s">
        <v>43</v>
      </c>
      <c r="O103" s="144">
        <f t="shared" si="6"/>
        <v>0</v>
      </c>
      <c r="P103" s="145">
        <f t="shared" si="3"/>
        <v>0</v>
      </c>
      <c r="Q103" s="145">
        <f t="shared" si="4"/>
        <v>0</v>
      </c>
      <c r="R103" s="140">
        <f t="shared" si="7"/>
        <v>0</v>
      </c>
      <c r="S103" s="159"/>
      <c r="T103" s="159"/>
      <c r="U103" s="160"/>
      <c r="V103" s="161"/>
      <c r="W103" s="160"/>
      <c r="X103" s="161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33"/>
      <c r="AN103" s="133"/>
      <c r="AO103" s="133"/>
    </row>
    <row r="104" spans="1:41" ht="19" x14ac:dyDescent="0.25">
      <c r="A104" s="164" t="s">
        <v>33</v>
      </c>
      <c r="B104" s="145">
        <f t="shared" ref="B104:H104" si="8">+IF((B100-B101)&lt;&gt;0,(B100/B99)*(B99-B101)/(B100-B101),0)</f>
        <v>0.93059920839746668</v>
      </c>
      <c r="C104" s="145">
        <f t="shared" si="8"/>
        <v>0.98615858988069449</v>
      </c>
      <c r="D104" s="145">
        <f t="shared" si="8"/>
        <v>0.99400871388236911</v>
      </c>
      <c r="E104" s="145">
        <f t="shared" si="8"/>
        <v>0.98679416034266865</v>
      </c>
      <c r="F104" s="145">
        <f t="shared" si="8"/>
        <v>0.99979355636413492</v>
      </c>
      <c r="G104" s="145">
        <f t="shared" si="8"/>
        <v>0.7743708751345193</v>
      </c>
      <c r="H104" s="145">
        <f t="shared" si="8"/>
        <v>0.98977749426571382</v>
      </c>
      <c r="I104" s="145">
        <f>+B104*C104*D104*E104*F104*G104*H104</f>
        <v>0.68979989099589545</v>
      </c>
      <c r="J104" s="134"/>
      <c r="K104" s="134"/>
      <c r="L104" s="144"/>
      <c r="M104" s="145"/>
      <c r="N104" s="134" t="s">
        <v>44</v>
      </c>
      <c r="O104" s="144">
        <f t="shared" si="6"/>
        <v>0</v>
      </c>
      <c r="P104" s="145">
        <f t="shared" si="3"/>
        <v>0</v>
      </c>
      <c r="Q104" s="145">
        <f t="shared" si="4"/>
        <v>0</v>
      </c>
      <c r="R104" s="140">
        <f t="shared" si="7"/>
        <v>0</v>
      </c>
      <c r="S104" s="159"/>
      <c r="T104" s="159"/>
      <c r="U104" s="160"/>
      <c r="V104" s="161"/>
      <c r="W104" s="160"/>
      <c r="X104" s="161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33"/>
      <c r="AN104" s="133"/>
      <c r="AO104" s="133"/>
    </row>
    <row r="105" spans="1:41" ht="19" x14ac:dyDescent="0.25">
      <c r="A105" s="133" t="s">
        <v>45</v>
      </c>
      <c r="B105" s="160">
        <f>O109/O107</f>
        <v>0.16646050711337013</v>
      </c>
      <c r="C105" s="160">
        <f>O111/O109</f>
        <v>0.75247764298281961</v>
      </c>
      <c r="D105" s="160">
        <f>O116/O114</f>
        <v>0.84286828948873582</v>
      </c>
      <c r="E105" s="160">
        <f>O118/O116</f>
        <v>0.73388779470814969</v>
      </c>
      <c r="F105" s="160">
        <f>O120/O118</f>
        <v>0.98417489708435313</v>
      </c>
      <c r="G105" s="160">
        <f>O122/O120</f>
        <v>0.73035822490984381</v>
      </c>
      <c r="H105" s="160">
        <f>O125/O122</f>
        <v>0.98697092772465778</v>
      </c>
      <c r="I105" s="160">
        <f>+B105*C105*D105*E105*F105*G105*H105</f>
        <v>5.4967598410740469E-2</v>
      </c>
      <c r="J105" s="134"/>
      <c r="K105" s="134"/>
      <c r="L105" s="144"/>
      <c r="M105" s="145"/>
      <c r="N105" s="134" t="s">
        <v>46</v>
      </c>
      <c r="O105" s="144">
        <f t="shared" si="6"/>
        <v>0</v>
      </c>
      <c r="P105" s="145">
        <f t="shared" si="3"/>
        <v>0</v>
      </c>
      <c r="Q105" s="145">
        <f t="shared" si="4"/>
        <v>0</v>
      </c>
      <c r="R105" s="140">
        <f t="shared" si="7"/>
        <v>0</v>
      </c>
      <c r="S105" s="159"/>
      <c r="T105" s="159"/>
      <c r="U105" s="160"/>
      <c r="V105" s="161"/>
      <c r="W105" s="160"/>
      <c r="X105" s="161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  <c r="AI105" s="133"/>
      <c r="AJ105" s="133"/>
      <c r="AK105" s="133"/>
      <c r="AL105" s="133"/>
      <c r="AM105" s="133"/>
      <c r="AN105" s="133"/>
      <c r="AO105" s="133"/>
    </row>
    <row r="106" spans="1:41" ht="19" x14ac:dyDescent="0.25">
      <c r="A106" s="134"/>
      <c r="B106" s="134"/>
      <c r="C106" s="134"/>
      <c r="D106" s="134"/>
      <c r="E106" s="134"/>
      <c r="F106" s="134"/>
      <c r="G106" s="134"/>
      <c r="H106" s="134"/>
      <c r="I106" s="145"/>
      <c r="J106" s="134"/>
      <c r="K106" s="134"/>
      <c r="L106" s="144"/>
      <c r="M106" s="145"/>
      <c r="N106" s="134" t="s">
        <v>47</v>
      </c>
      <c r="O106" s="144">
        <f t="shared" si="6"/>
        <v>0</v>
      </c>
      <c r="P106" s="145">
        <f t="shared" si="3"/>
        <v>0</v>
      </c>
      <c r="Q106" s="145">
        <f t="shared" si="4"/>
        <v>0</v>
      </c>
      <c r="R106" s="140">
        <f t="shared" si="7"/>
        <v>0</v>
      </c>
      <c r="S106" s="159"/>
      <c r="T106" s="159"/>
      <c r="U106" s="160"/>
      <c r="V106" s="161"/>
      <c r="W106" s="160"/>
      <c r="X106" s="161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  <c r="AI106" s="133"/>
      <c r="AJ106" s="133"/>
      <c r="AK106" s="133"/>
      <c r="AL106" s="133"/>
      <c r="AM106" s="133"/>
      <c r="AN106" s="133"/>
      <c r="AO106" s="133"/>
    </row>
    <row r="107" spans="1:41" ht="19" x14ac:dyDescent="0.25">
      <c r="A107" s="134"/>
      <c r="B107" s="170">
        <v>0.12900999999999999</v>
      </c>
      <c r="C107" s="170">
        <v>0.30845345072000002</v>
      </c>
      <c r="D107" s="170">
        <v>0.38879317851000006</v>
      </c>
      <c r="E107" s="170">
        <v>0.48474728956000002</v>
      </c>
      <c r="F107" s="170">
        <v>0.60921973994</v>
      </c>
      <c r="G107" s="170">
        <v>0.61575599999999997</v>
      </c>
      <c r="H107" s="170">
        <v>0.65538078753999995</v>
      </c>
      <c r="I107" s="145"/>
      <c r="J107" s="134"/>
      <c r="K107" s="134"/>
      <c r="L107" s="144"/>
      <c r="M107" s="145"/>
      <c r="N107" s="134" t="s">
        <v>48</v>
      </c>
      <c r="O107" s="144">
        <f t="shared" si="6"/>
        <v>1043317</v>
      </c>
      <c r="P107" s="145">
        <f t="shared" si="3"/>
        <v>0.10797705657999999</v>
      </c>
      <c r="Q107" s="145">
        <f t="shared" si="4"/>
        <v>5.1604000000000004E-2</v>
      </c>
      <c r="R107" s="140">
        <f t="shared" si="7"/>
        <v>112654.29873987586</v>
      </c>
      <c r="S107" s="159"/>
      <c r="T107" s="159"/>
      <c r="U107" s="160"/>
      <c r="V107" s="161"/>
      <c r="W107" s="160"/>
      <c r="X107" s="161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33"/>
      <c r="AK107" s="133"/>
      <c r="AL107" s="133"/>
      <c r="AM107" s="133"/>
      <c r="AN107" s="133"/>
      <c r="AO107" s="133"/>
    </row>
    <row r="108" spans="1:41" ht="19" x14ac:dyDescent="0.25">
      <c r="A108" s="134"/>
      <c r="B108" s="170">
        <v>0.30845345072000002</v>
      </c>
      <c r="C108" s="170">
        <v>0.380436</v>
      </c>
      <c r="D108" s="170">
        <v>0.48474728956000002</v>
      </c>
      <c r="E108" s="170">
        <v>0.60921973994</v>
      </c>
      <c r="F108" s="170">
        <v>0.61575599999999997</v>
      </c>
      <c r="G108" s="170">
        <v>0.65538078753999995</v>
      </c>
      <c r="H108" s="170">
        <v>0.65670000000000006</v>
      </c>
      <c r="I108" s="134"/>
      <c r="J108" s="134"/>
      <c r="K108" s="134"/>
      <c r="L108" s="144"/>
      <c r="M108" s="145"/>
      <c r="N108" s="134" t="s">
        <v>49</v>
      </c>
      <c r="O108" s="144">
        <f t="shared" si="6"/>
        <v>869645.92310000001</v>
      </c>
      <c r="P108" s="145">
        <f t="shared" si="3"/>
        <v>6.5225386750999995E-2</v>
      </c>
      <c r="Q108" s="145">
        <f t="shared" si="4"/>
        <v>4.2965672081000002E-3</v>
      </c>
      <c r="R108" s="140">
        <f t="shared" si="7"/>
        <v>56722.991670627904</v>
      </c>
      <c r="S108" s="159"/>
      <c r="T108" s="159"/>
      <c r="U108" s="160"/>
      <c r="V108" s="161"/>
      <c r="W108" s="160"/>
      <c r="X108" s="161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  <c r="AI108" s="133"/>
      <c r="AJ108" s="133"/>
      <c r="AK108" s="133"/>
      <c r="AL108" s="133"/>
      <c r="AM108" s="133"/>
      <c r="AN108" s="133"/>
      <c r="AO108" s="133"/>
    </row>
    <row r="109" spans="1:41" ht="19" x14ac:dyDescent="0.25">
      <c r="A109" s="134"/>
      <c r="B109" s="170">
        <v>6.0500690777000002E-2</v>
      </c>
      <c r="C109" s="170">
        <v>6.9554272239000001E-2</v>
      </c>
      <c r="D109" s="170">
        <v>5.4912000000000002E-2</v>
      </c>
      <c r="E109" s="170">
        <v>5.7375999999999996E-2</v>
      </c>
      <c r="F109" s="170">
        <v>8.6177368921999994E-2</v>
      </c>
      <c r="G109" s="170">
        <v>0.57194768393999995</v>
      </c>
      <c r="H109" s="170">
        <v>0.55603164372000002</v>
      </c>
      <c r="I109" s="145"/>
      <c r="J109" s="134"/>
      <c r="K109" s="134"/>
      <c r="L109" s="144"/>
      <c r="M109" s="145"/>
      <c r="N109" s="134" t="s">
        <v>50</v>
      </c>
      <c r="O109" s="144">
        <f t="shared" si="6"/>
        <v>173671.07689999999</v>
      </c>
      <c r="P109" s="145">
        <f t="shared" si="3"/>
        <v>0.32205308953</v>
      </c>
      <c r="Q109" s="145">
        <f t="shared" si="4"/>
        <v>0.28849270168000002</v>
      </c>
      <c r="R109" s="140">
        <f t="shared" si="7"/>
        <v>55931.306877647214</v>
      </c>
      <c r="S109" s="159"/>
      <c r="T109" s="159"/>
      <c r="U109" s="160"/>
      <c r="V109" s="161"/>
      <c r="W109" s="160"/>
      <c r="X109" s="161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33"/>
      <c r="AJ109" s="133"/>
      <c r="AK109" s="133"/>
      <c r="AL109" s="133"/>
      <c r="AM109" s="133"/>
      <c r="AN109" s="133"/>
      <c r="AO109" s="133"/>
    </row>
    <row r="110" spans="1:41" ht="19" x14ac:dyDescent="0.25">
      <c r="A110" s="134"/>
      <c r="B110" s="171">
        <v>27.629984533646272</v>
      </c>
      <c r="C110" s="171">
        <v>76.845680253250904</v>
      </c>
      <c r="D110" s="171">
        <v>77.676539506976454</v>
      </c>
      <c r="E110" s="171">
        <v>77.444257971734274</v>
      </c>
      <c r="F110" s="171">
        <v>98.765762121727818</v>
      </c>
      <c r="G110" s="171">
        <v>52.50711548503395</v>
      </c>
      <c r="H110" s="171">
        <v>98.68954604132918</v>
      </c>
      <c r="I110" s="134"/>
      <c r="J110" s="134"/>
      <c r="K110" s="134"/>
      <c r="L110" s="144"/>
      <c r="M110" s="145"/>
      <c r="N110" s="134" t="s">
        <v>51</v>
      </c>
      <c r="O110" s="144">
        <f t="shared" si="6"/>
        <v>42987.474302000002</v>
      </c>
      <c r="P110" s="145">
        <f t="shared" si="3"/>
        <v>7.8129748146000003E-2</v>
      </c>
      <c r="Q110" s="145">
        <f t="shared" si="4"/>
        <v>1.6132465033000001E-2</v>
      </c>
      <c r="R110" s="140">
        <f t="shared" si="7"/>
        <v>3358.6005406479076</v>
      </c>
      <c r="S110" s="159"/>
      <c r="T110" s="159"/>
      <c r="U110" s="160"/>
      <c r="V110" s="161"/>
      <c r="W110" s="160"/>
      <c r="X110" s="161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  <c r="AI110" s="133"/>
      <c r="AJ110" s="133"/>
      <c r="AK110" s="133"/>
      <c r="AL110" s="133"/>
      <c r="AM110" s="133"/>
      <c r="AN110" s="133"/>
      <c r="AO110" s="133"/>
    </row>
    <row r="111" spans="1:41" s="6" customFormat="1" ht="19" x14ac:dyDescent="0.25">
      <c r="A111" s="134"/>
      <c r="B111" s="134"/>
      <c r="C111" s="134"/>
      <c r="D111" s="134"/>
      <c r="E111" s="134"/>
      <c r="F111" s="134"/>
      <c r="G111" s="134"/>
      <c r="H111" s="134"/>
      <c r="I111" s="134"/>
      <c r="J111" s="172"/>
      <c r="K111" s="138"/>
      <c r="L111" s="144"/>
      <c r="M111" s="145"/>
      <c r="N111" s="138" t="s">
        <v>52</v>
      </c>
      <c r="O111" s="144">
        <f t="shared" si="6"/>
        <v>130683.6026</v>
      </c>
      <c r="P111" s="145">
        <f t="shared" si="3"/>
        <v>0.40228999999999998</v>
      </c>
      <c r="Q111" s="145">
        <f t="shared" si="4"/>
        <v>0.37808373346000002</v>
      </c>
      <c r="R111" s="140">
        <f t="shared" si="7"/>
        <v>52572.706489953998</v>
      </c>
      <c r="S111" s="159"/>
      <c r="T111" s="159"/>
      <c r="U111" s="160"/>
      <c r="V111" s="141"/>
      <c r="W111" s="160"/>
      <c r="X111" s="161"/>
      <c r="Y111" s="141"/>
      <c r="Z111" s="141"/>
      <c r="AA111" s="141"/>
      <c r="AB111" s="141"/>
      <c r="AC111" s="141"/>
      <c r="AD111" s="141"/>
      <c r="AE111" s="141"/>
      <c r="AF111" s="141"/>
      <c r="AG111" s="141"/>
      <c r="AH111" s="141"/>
      <c r="AI111" s="141"/>
      <c r="AJ111" s="141"/>
      <c r="AK111" s="141"/>
      <c r="AL111" s="141"/>
      <c r="AM111" s="141"/>
      <c r="AN111" s="141"/>
      <c r="AO111" s="141"/>
    </row>
    <row r="112" spans="1:41" ht="19" x14ac:dyDescent="0.25">
      <c r="A112" s="172"/>
      <c r="B112" s="172"/>
      <c r="C112" s="172"/>
      <c r="D112" s="172"/>
      <c r="E112" s="172"/>
      <c r="F112" s="172"/>
      <c r="G112" s="172"/>
      <c r="H112" s="172"/>
      <c r="I112" s="144"/>
      <c r="J112" s="134"/>
      <c r="K112" s="134"/>
      <c r="L112" s="144"/>
      <c r="M112" s="134"/>
      <c r="N112" s="134" t="s">
        <v>53</v>
      </c>
      <c r="O112" s="144">
        <f t="shared" si="6"/>
        <v>0</v>
      </c>
      <c r="P112" s="145">
        <f t="shared" si="3"/>
        <v>0</v>
      </c>
      <c r="Q112" s="145">
        <f t="shared" si="4"/>
        <v>0</v>
      </c>
      <c r="R112" s="140">
        <f t="shared" si="7"/>
        <v>0</v>
      </c>
      <c r="S112" s="159"/>
      <c r="T112" s="159"/>
      <c r="U112" s="160"/>
      <c r="V112" s="161"/>
      <c r="W112" s="160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33"/>
      <c r="AJ112" s="133"/>
      <c r="AK112" s="133"/>
      <c r="AL112" s="133"/>
      <c r="AM112" s="133"/>
      <c r="AN112" s="133"/>
      <c r="AO112" s="133"/>
    </row>
    <row r="113" spans="1:41" ht="19" x14ac:dyDescent="0.25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66"/>
      <c r="M113" s="167"/>
      <c r="N113" s="134" t="s">
        <v>54</v>
      </c>
      <c r="O113" s="144">
        <f t="shared" si="6"/>
        <v>28571.901066999999</v>
      </c>
      <c r="P113" s="145">
        <f t="shared" si="3"/>
        <v>0.42024039688000003</v>
      </c>
      <c r="Q113" s="145">
        <f t="shared" si="4"/>
        <v>0.38276432376999997</v>
      </c>
      <c r="R113" s="140">
        <f t="shared" si="7"/>
        <v>12007.067044012176</v>
      </c>
      <c r="S113" s="159"/>
      <c r="T113" s="159"/>
      <c r="U113" s="160"/>
      <c r="V113" s="161"/>
      <c r="W113" s="160"/>
      <c r="X113" s="161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  <c r="AN113" s="133"/>
      <c r="AO113" s="133"/>
    </row>
    <row r="114" spans="1:41" ht="19" x14ac:dyDescent="0.25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73"/>
      <c r="M114" s="145"/>
      <c r="N114" s="134" t="s">
        <v>55</v>
      </c>
      <c r="O114" s="144">
        <f t="shared" si="6"/>
        <v>159255.50367000001</v>
      </c>
      <c r="P114" s="145">
        <f t="shared" si="3"/>
        <v>0.40551046618000003</v>
      </c>
      <c r="Q114" s="145">
        <f t="shared" si="4"/>
        <v>0.37892347438000001</v>
      </c>
      <c r="R114" s="140">
        <f t="shared" si="7"/>
        <v>64579.773534952408</v>
      </c>
      <c r="S114" s="159"/>
      <c r="T114" s="159"/>
      <c r="U114" s="160"/>
      <c r="V114" s="161"/>
      <c r="W114" s="160"/>
      <c r="X114" s="161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33"/>
      <c r="AN114" s="133"/>
      <c r="AO114" s="133"/>
    </row>
    <row r="115" spans="1:41" ht="19" x14ac:dyDescent="0.25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73"/>
      <c r="M115" s="145"/>
      <c r="N115" s="134" t="s">
        <v>56</v>
      </c>
      <c r="O115" s="144">
        <f t="shared" si="6"/>
        <v>25024.089692000001</v>
      </c>
      <c r="P115" s="145">
        <f t="shared" si="3"/>
        <v>5.6760000000000005E-2</v>
      </c>
      <c r="Q115" s="145">
        <f t="shared" si="4"/>
        <v>1.4448000000000001E-2</v>
      </c>
      <c r="R115" s="140">
        <f t="shared" si="7"/>
        <v>1420.3673309179203</v>
      </c>
      <c r="S115" s="159"/>
      <c r="T115" s="159"/>
      <c r="U115" s="160"/>
      <c r="V115" s="133"/>
      <c r="W115" s="160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  <c r="AO115" s="133"/>
    </row>
    <row r="116" spans="1:41" ht="19" x14ac:dyDescent="0.25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73"/>
      <c r="M116" s="145"/>
      <c r="N116" s="134" t="s">
        <v>57</v>
      </c>
      <c r="O116" s="144">
        <f t="shared" si="6"/>
        <v>134231.41396999999</v>
      </c>
      <c r="P116" s="145">
        <f t="shared" si="3"/>
        <v>0.47052626748999998</v>
      </c>
      <c r="Q116" s="145">
        <f t="shared" si="4"/>
        <v>0.44687081014999996</v>
      </c>
      <c r="R116" s="140">
        <f t="shared" si="7"/>
        <v>63159.406195209136</v>
      </c>
      <c r="S116" s="159"/>
      <c r="T116" s="159"/>
      <c r="U116" s="160"/>
      <c r="V116" s="133"/>
      <c r="W116" s="160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33"/>
      <c r="AN116" s="133"/>
      <c r="AO116" s="133"/>
    </row>
    <row r="117" spans="1:41" ht="19" x14ac:dyDescent="0.25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73"/>
      <c r="M117" s="145"/>
      <c r="N117" s="134" t="s">
        <v>58</v>
      </c>
      <c r="O117" s="144">
        <f t="shared" si="6"/>
        <v>35720.617595999996</v>
      </c>
      <c r="P117" s="145">
        <f t="shared" si="3"/>
        <v>6.3975999999999991E-2</v>
      </c>
      <c r="Q117" s="145">
        <f t="shared" si="4"/>
        <v>2.2176000000000001E-2</v>
      </c>
      <c r="R117" s="140">
        <f t="shared" si="7"/>
        <v>2285.2622313216953</v>
      </c>
      <c r="S117" s="159"/>
      <c r="T117" s="159"/>
      <c r="U117" s="160"/>
      <c r="V117" s="133"/>
      <c r="W117" s="160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  <c r="AO117" s="133"/>
    </row>
    <row r="118" spans="1:41" ht="19" x14ac:dyDescent="0.25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73"/>
      <c r="M118" s="145"/>
      <c r="N118" s="134" t="s">
        <v>59</v>
      </c>
      <c r="O118" s="144">
        <f t="shared" si="6"/>
        <v>98510.796379000007</v>
      </c>
      <c r="P118" s="145">
        <f t="shared" si="3"/>
        <v>0.61794388238999998</v>
      </c>
      <c r="Q118" s="145">
        <f t="shared" si="4"/>
        <v>0.60086774724000003</v>
      </c>
      <c r="R118" s="140">
        <f t="shared" si="7"/>
        <v>60874.143971770012</v>
      </c>
      <c r="S118" s="159"/>
      <c r="T118" s="159"/>
      <c r="U118" s="160"/>
      <c r="V118" s="133"/>
      <c r="W118" s="160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  <c r="AN118" s="133"/>
      <c r="AO118" s="133"/>
    </row>
    <row r="119" spans="1:41" ht="19" x14ac:dyDescent="0.25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73"/>
      <c r="M119" s="145"/>
      <c r="N119" s="134" t="s">
        <v>60</v>
      </c>
      <c r="O119" s="144">
        <f t="shared" si="6"/>
        <v>1558.9434901</v>
      </c>
      <c r="P119" s="145">
        <f t="shared" si="3"/>
        <v>7.8766321543000006E-2</v>
      </c>
      <c r="Q119" s="145">
        <f t="shared" si="4"/>
        <v>7.8385159999000004E-3</v>
      </c>
      <c r="R119" s="140">
        <f t="shared" si="7"/>
        <v>122.79224420858324</v>
      </c>
      <c r="S119" s="159"/>
      <c r="T119" s="159"/>
      <c r="U119" s="160"/>
      <c r="V119" s="133"/>
      <c r="W119" s="160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  <c r="AO119" s="133"/>
    </row>
    <row r="120" spans="1:41" ht="19" x14ac:dyDescent="0.25">
      <c r="A120" s="134"/>
      <c r="B120" s="134"/>
      <c r="C120" s="134"/>
      <c r="D120" s="134"/>
      <c r="E120" s="134"/>
      <c r="F120" s="134"/>
      <c r="G120" s="134"/>
      <c r="H120" s="134"/>
      <c r="I120" s="144"/>
      <c r="J120" s="134"/>
      <c r="K120" s="134"/>
      <c r="L120" s="173"/>
      <c r="M120" s="145"/>
      <c r="N120" s="134" t="s">
        <v>61</v>
      </c>
      <c r="O120" s="144">
        <f t="shared" si="6"/>
        <v>96951.852887999994</v>
      </c>
      <c r="P120" s="145">
        <f t="shared" si="3"/>
        <v>0.62661362226999995</v>
      </c>
      <c r="Q120" s="145">
        <f t="shared" si="4"/>
        <v>0.61040339852000003</v>
      </c>
      <c r="R120" s="140">
        <f t="shared" si="7"/>
        <v>60751.351723937834</v>
      </c>
      <c r="S120" s="159"/>
      <c r="T120" s="159"/>
      <c r="U120" s="160"/>
      <c r="V120" s="161"/>
      <c r="W120" s="160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  <c r="AN120" s="133"/>
      <c r="AO120" s="133"/>
    </row>
    <row r="121" spans="1:41" ht="19" x14ac:dyDescent="0.25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 t="s">
        <v>62</v>
      </c>
      <c r="O121" s="144">
        <f t="shared" si="6"/>
        <v>27064.852888000001</v>
      </c>
      <c r="P121" s="145">
        <f t="shared" si="3"/>
        <v>0.54608400000000001</v>
      </c>
      <c r="Q121" s="145">
        <f t="shared" si="4"/>
        <v>0.51125549999999997</v>
      </c>
      <c r="R121" s="140">
        <f t="shared" si="7"/>
        <v>14779.683124490593</v>
      </c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3"/>
      <c r="AO121" s="133"/>
    </row>
    <row r="122" spans="1:41" ht="19" x14ac:dyDescent="0.25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 t="s">
        <v>63</v>
      </c>
      <c r="O122" s="144">
        <f t="shared" si="6"/>
        <v>70809.583176999993</v>
      </c>
      <c r="P122" s="145">
        <f t="shared" si="3"/>
        <v>0.65648839609000009</v>
      </c>
      <c r="Q122" s="145">
        <f t="shared" si="4"/>
        <v>0.64696029306000002</v>
      </c>
      <c r="R122" s="140">
        <f t="shared" si="7"/>
        <v>46485.669687670175</v>
      </c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33"/>
      <c r="AK122" s="133"/>
      <c r="AL122" s="133"/>
      <c r="AM122" s="133"/>
      <c r="AN122" s="133"/>
      <c r="AO122" s="133"/>
    </row>
    <row r="123" spans="1:41" ht="19" x14ac:dyDescent="0.25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 t="s">
        <v>64</v>
      </c>
      <c r="O123" s="144">
        <f t="shared" si="6"/>
        <v>922.58317747000001</v>
      </c>
      <c r="P123" s="145">
        <f t="shared" si="3"/>
        <v>0.55713251527999996</v>
      </c>
      <c r="Q123" s="145">
        <f t="shared" si="4"/>
        <v>0.50759985406999997</v>
      </c>
      <c r="R123" s="140">
        <f t="shared" si="7"/>
        <v>514.00108621887568</v>
      </c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  <c r="AN123" s="133"/>
      <c r="AO123" s="133"/>
    </row>
    <row r="124" spans="1:41" ht="19" x14ac:dyDescent="0.25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 t="s">
        <v>65</v>
      </c>
      <c r="O124" s="144">
        <f t="shared" si="6"/>
        <v>0</v>
      </c>
      <c r="P124" s="145">
        <f t="shared" si="3"/>
        <v>0</v>
      </c>
      <c r="Q124" s="145">
        <f t="shared" si="4"/>
        <v>0</v>
      </c>
      <c r="R124" s="140">
        <f t="shared" si="7"/>
        <v>0</v>
      </c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33"/>
      <c r="AK124" s="133"/>
      <c r="AL124" s="133"/>
      <c r="AM124" s="133"/>
      <c r="AN124" s="133"/>
      <c r="AO124" s="133"/>
    </row>
    <row r="125" spans="1:41" ht="19" x14ac:dyDescent="0.25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 t="s">
        <v>66</v>
      </c>
      <c r="O125" s="144">
        <f t="shared" si="6"/>
        <v>69887</v>
      </c>
      <c r="P125" s="145">
        <f t="shared" si="3"/>
        <v>0.65780000000000005</v>
      </c>
      <c r="Q125" s="145">
        <f t="shared" si="4"/>
        <v>0.64879999999999993</v>
      </c>
      <c r="R125" s="140">
        <f t="shared" si="7"/>
        <v>45971.668600000005</v>
      </c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  <c r="AN125" s="133"/>
      <c r="AO125" s="133"/>
    </row>
    <row r="126" spans="1:41" ht="19" x14ac:dyDescent="0.25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69"/>
      <c r="L126" s="189"/>
      <c r="M126" s="189"/>
      <c r="N126" s="134" t="s">
        <v>67</v>
      </c>
      <c r="O126" s="144">
        <f t="shared" si="6"/>
        <v>1002001.9011</v>
      </c>
      <c r="P126" s="145">
        <f t="shared" si="3"/>
        <v>7.8532482927000005E-2</v>
      </c>
      <c r="Q126" s="145">
        <f t="shared" si="4"/>
        <v>1.9394124140999999E-2</v>
      </c>
      <c r="R126" s="140">
        <f t="shared" si="7"/>
        <v>78689.697190957304</v>
      </c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133"/>
      <c r="AO126" s="133"/>
    </row>
    <row r="127" spans="1:41" ht="19" x14ac:dyDescent="0.25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56"/>
      <c r="L127" s="157"/>
      <c r="M127" s="157"/>
      <c r="N127" s="133" t="s">
        <v>68</v>
      </c>
      <c r="O127" s="144">
        <f t="shared" si="6"/>
        <v>0</v>
      </c>
      <c r="P127" s="145">
        <f t="shared" si="3"/>
        <v>0.41051542182</v>
      </c>
      <c r="Q127" s="145">
        <f t="shared" si="4"/>
        <v>0.37808440324999998</v>
      </c>
      <c r="R127" s="140">
        <f t="shared" si="7"/>
        <v>0</v>
      </c>
      <c r="S127" s="190"/>
      <c r="T127" s="190"/>
      <c r="U127" s="190"/>
      <c r="V127" s="133"/>
      <c r="W127" s="133"/>
      <c r="X127" s="133"/>
      <c r="Y127" s="141"/>
      <c r="Z127" s="141"/>
      <c r="AA127" s="133"/>
      <c r="AB127" s="133"/>
      <c r="AC127" s="133"/>
      <c r="AD127" s="133"/>
      <c r="AE127" s="133"/>
      <c r="AF127" s="133"/>
      <c r="AG127" s="133"/>
      <c r="AH127" s="133"/>
      <c r="AI127" s="133"/>
      <c r="AJ127" s="133"/>
      <c r="AK127" s="133"/>
      <c r="AL127" s="133"/>
      <c r="AM127" s="133"/>
      <c r="AN127" s="133"/>
      <c r="AO127" s="133"/>
    </row>
    <row r="128" spans="1:41" ht="19" x14ac:dyDescent="0.25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 t="s">
        <v>69</v>
      </c>
      <c r="O128" s="144">
        <f t="shared" si="6"/>
        <v>0</v>
      </c>
      <c r="P128" s="145">
        <f t="shared" si="3"/>
        <v>0.41050811533000003</v>
      </c>
      <c r="Q128" s="145">
        <f t="shared" si="4"/>
        <v>0.37809257101999999</v>
      </c>
      <c r="R128" s="140">
        <f t="shared" si="7"/>
        <v>0</v>
      </c>
      <c r="S128" s="174"/>
      <c r="T128" s="174"/>
      <c r="U128" s="174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  <c r="AO128" s="133"/>
    </row>
    <row r="129" spans="1:41" ht="19" x14ac:dyDescent="0.25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 t="s">
        <v>70</v>
      </c>
      <c r="O129" s="144">
        <f t="shared" si="6"/>
        <v>130683.6026</v>
      </c>
      <c r="P129" s="145">
        <f t="shared" si="3"/>
        <v>0.40228999999999998</v>
      </c>
      <c r="Q129" s="145">
        <f t="shared" si="4"/>
        <v>0.37808373346000002</v>
      </c>
      <c r="R129" s="140">
        <f t="shared" si="7"/>
        <v>52572.706489953998</v>
      </c>
      <c r="S129" s="175"/>
      <c r="T129" s="170"/>
      <c r="U129" s="175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</row>
    <row r="130" spans="1:41" x14ac:dyDescent="0.2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46"/>
      <c r="P130" s="147"/>
      <c r="S130" s="133"/>
      <c r="T130" s="133"/>
      <c r="U130" s="174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  <c r="AI130" s="133"/>
      <c r="AJ130" s="133"/>
      <c r="AK130" s="133"/>
      <c r="AL130" s="133"/>
      <c r="AM130" s="133"/>
      <c r="AN130" s="133"/>
      <c r="AO130" s="133"/>
    </row>
    <row r="131" spans="1:41" x14ac:dyDescent="0.2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46"/>
      <c r="P131" s="147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33"/>
      <c r="AK131" s="133"/>
      <c r="AL131" s="133"/>
      <c r="AM131" s="133"/>
      <c r="AN131" s="133"/>
      <c r="AO131" s="133"/>
    </row>
    <row r="132" spans="1:41" x14ac:dyDescent="0.2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46"/>
      <c r="P132" s="147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33"/>
      <c r="AK132" s="133"/>
      <c r="AL132" s="133"/>
      <c r="AM132" s="133"/>
      <c r="AN132" s="133"/>
      <c r="AO132" s="133"/>
    </row>
    <row r="133" spans="1:41" x14ac:dyDescent="0.2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46"/>
      <c r="P133" s="147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33"/>
      <c r="AK133" s="133"/>
      <c r="AL133" s="133"/>
      <c r="AM133" s="133"/>
      <c r="AN133" s="133"/>
      <c r="AO133" s="133"/>
    </row>
    <row r="134" spans="1:41" x14ac:dyDescent="0.2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46"/>
      <c r="P134" s="147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33"/>
      <c r="AK134" s="133"/>
      <c r="AL134" s="133"/>
      <c r="AM134" s="133"/>
      <c r="AN134" s="133"/>
      <c r="AO134" s="133"/>
    </row>
    <row r="135" spans="1:41" x14ac:dyDescent="0.2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46"/>
      <c r="P135" s="147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</row>
    <row r="136" spans="1:41" x14ac:dyDescent="0.2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46"/>
      <c r="P136" s="147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3"/>
      <c r="AL136" s="133"/>
      <c r="AM136" s="133"/>
      <c r="AN136" s="133"/>
      <c r="AO136" s="133"/>
    </row>
    <row r="137" spans="1:41" x14ac:dyDescent="0.2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46"/>
      <c r="P137" s="147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3"/>
      <c r="AM137" s="133"/>
      <c r="AN137" s="133"/>
      <c r="AO137" s="133"/>
    </row>
    <row r="138" spans="1:41" x14ac:dyDescent="0.2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46"/>
      <c r="P138" s="147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  <c r="AI138" s="133"/>
      <c r="AJ138" s="133"/>
      <c r="AK138" s="133"/>
      <c r="AL138" s="133"/>
      <c r="AM138" s="133"/>
      <c r="AN138" s="133"/>
      <c r="AO138" s="133"/>
    </row>
    <row r="139" spans="1:41" ht="19" x14ac:dyDescent="0.25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40"/>
      <c r="L139" s="140"/>
      <c r="M139" s="140"/>
      <c r="N139" s="133"/>
      <c r="O139" s="146"/>
      <c r="P139" s="147"/>
      <c r="Q139" s="141"/>
      <c r="R139" s="141"/>
      <c r="S139" s="141"/>
      <c r="T139" s="141"/>
      <c r="U139" s="141"/>
      <c r="V139" s="141"/>
      <c r="W139" s="141"/>
      <c r="X139" s="141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  <c r="AI139" s="133"/>
      <c r="AJ139" s="133"/>
      <c r="AK139" s="133"/>
      <c r="AL139" s="133"/>
      <c r="AM139" s="133"/>
      <c r="AN139" s="133"/>
      <c r="AO139" s="133"/>
    </row>
    <row r="140" spans="1:41" x14ac:dyDescent="0.2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46"/>
      <c r="P140" s="147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  <c r="AI140" s="133"/>
      <c r="AJ140" s="133"/>
      <c r="AK140" s="133"/>
      <c r="AL140" s="133"/>
      <c r="AM140" s="133"/>
      <c r="AN140" s="133"/>
      <c r="AO140" s="133"/>
    </row>
    <row r="141" spans="1:41" x14ac:dyDescent="0.2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46"/>
      <c r="P141" s="147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  <c r="AI141" s="133"/>
      <c r="AJ141" s="133"/>
      <c r="AK141" s="133"/>
      <c r="AL141" s="133"/>
      <c r="AM141" s="133"/>
      <c r="AN141" s="133"/>
      <c r="AO141" s="133"/>
    </row>
    <row r="142" spans="1:41" x14ac:dyDescent="0.2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46"/>
      <c r="P142" s="147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33"/>
      <c r="AK142" s="133"/>
      <c r="AL142" s="133"/>
      <c r="AM142" s="133"/>
      <c r="AN142" s="133"/>
      <c r="AO142" s="133"/>
    </row>
    <row r="143" spans="1:41" s="9" customFormat="1" ht="16" x14ac:dyDescent="0.2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6"/>
      <c r="P143" s="147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  <c r="AO143" s="142"/>
    </row>
    <row r="144" spans="1:41" ht="16" x14ac:dyDescent="0.2">
      <c r="A144" s="142"/>
      <c r="B144" s="142"/>
      <c r="C144" s="142"/>
      <c r="D144" s="142"/>
      <c r="E144" s="142"/>
      <c r="F144" s="142"/>
      <c r="G144" s="142"/>
      <c r="H144" s="142"/>
      <c r="I144" s="133"/>
      <c r="J144" s="133"/>
      <c r="K144" s="133"/>
      <c r="L144" s="133"/>
      <c r="M144" s="133"/>
      <c r="N144" s="133"/>
      <c r="O144" s="146"/>
      <c r="P144" s="147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  <c r="AI144" s="133"/>
      <c r="AJ144" s="133"/>
      <c r="AK144" s="133"/>
      <c r="AL144" s="133"/>
      <c r="AM144" s="133"/>
      <c r="AN144" s="133"/>
      <c r="AO144" s="133"/>
    </row>
    <row r="145" spans="1:41" x14ac:dyDescent="0.2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46"/>
      <c r="P145" s="147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  <c r="AI145" s="133"/>
      <c r="AJ145" s="133"/>
      <c r="AK145" s="133"/>
      <c r="AL145" s="133"/>
      <c r="AM145" s="133"/>
      <c r="AN145" s="133"/>
      <c r="AO145" s="133"/>
    </row>
    <row r="146" spans="1:41" x14ac:dyDescent="0.2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46"/>
      <c r="P146" s="147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133"/>
      <c r="AJ146" s="133"/>
      <c r="AK146" s="133"/>
      <c r="AL146" s="133"/>
      <c r="AM146" s="133"/>
      <c r="AN146" s="133"/>
      <c r="AO146" s="133"/>
    </row>
    <row r="147" spans="1:41" x14ac:dyDescent="0.2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46"/>
      <c r="P147" s="147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  <c r="AH147" s="133"/>
      <c r="AI147" s="133"/>
      <c r="AJ147" s="133"/>
      <c r="AK147" s="133"/>
      <c r="AL147" s="133"/>
      <c r="AM147" s="133"/>
      <c r="AN147" s="133"/>
      <c r="AO147" s="133"/>
    </row>
    <row r="148" spans="1:41" x14ac:dyDescent="0.2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46"/>
      <c r="P148" s="147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  <c r="AI148" s="133"/>
      <c r="AJ148" s="133"/>
      <c r="AK148" s="133"/>
      <c r="AL148" s="133"/>
      <c r="AM148" s="133"/>
      <c r="AN148" s="133"/>
      <c r="AO148" s="133"/>
    </row>
    <row r="149" spans="1:41" x14ac:dyDescent="0.2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46"/>
      <c r="P149" s="147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133"/>
      <c r="AJ149" s="133"/>
      <c r="AK149" s="133"/>
      <c r="AL149" s="133"/>
      <c r="AM149" s="133"/>
      <c r="AN149" s="133"/>
      <c r="AO149" s="133"/>
    </row>
    <row r="150" spans="1:41" x14ac:dyDescent="0.2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46"/>
      <c r="P150" s="147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  <c r="AI150" s="133"/>
      <c r="AJ150" s="133"/>
      <c r="AK150" s="133"/>
      <c r="AL150" s="133"/>
      <c r="AM150" s="133"/>
      <c r="AN150" s="133"/>
      <c r="AO150" s="133"/>
    </row>
    <row r="151" spans="1:41" x14ac:dyDescent="0.2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46"/>
      <c r="P151" s="147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</row>
    <row r="152" spans="1:41" x14ac:dyDescent="0.2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46"/>
      <c r="P152" s="147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</row>
    <row r="153" spans="1:41" x14ac:dyDescent="0.2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46"/>
      <c r="P153" s="147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3"/>
      <c r="AM153" s="133"/>
      <c r="AN153" s="133"/>
      <c r="AO153" s="133"/>
    </row>
    <row r="154" spans="1:41" x14ac:dyDescent="0.2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46"/>
      <c r="P154" s="147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  <c r="AO154" s="133"/>
    </row>
    <row r="155" spans="1:41" x14ac:dyDescent="0.2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46"/>
      <c r="P155" s="147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  <c r="AO155" s="133"/>
    </row>
    <row r="156" spans="1:41" x14ac:dyDescent="0.2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46"/>
      <c r="P156" s="147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  <c r="AI156" s="133"/>
      <c r="AJ156" s="133"/>
      <c r="AK156" s="133"/>
      <c r="AL156" s="133"/>
      <c r="AM156" s="133"/>
      <c r="AN156" s="133"/>
      <c r="AO156" s="133"/>
    </row>
    <row r="157" spans="1:41" x14ac:dyDescent="0.2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46"/>
      <c r="P157" s="147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33"/>
      <c r="AK157" s="133"/>
      <c r="AL157" s="133"/>
      <c r="AM157" s="133"/>
      <c r="AN157" s="133"/>
      <c r="AO157" s="133"/>
    </row>
    <row r="158" spans="1:41" x14ac:dyDescent="0.2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46"/>
      <c r="P158" s="147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33"/>
      <c r="AK158" s="133"/>
      <c r="AL158" s="133"/>
      <c r="AM158" s="133"/>
      <c r="AN158" s="133"/>
      <c r="AO158" s="133"/>
    </row>
    <row r="159" spans="1:41" ht="16" x14ac:dyDescent="0.2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46"/>
      <c r="P159" s="147"/>
      <c r="S159" s="133"/>
      <c r="T159" s="133"/>
      <c r="U159" s="133"/>
      <c r="V159" s="133"/>
      <c r="W159" s="133"/>
      <c r="X159" s="133"/>
      <c r="Y159" s="142"/>
      <c r="Z159" s="142"/>
      <c r="AA159" s="133"/>
      <c r="AB159" s="133"/>
      <c r="AC159" s="133"/>
      <c r="AD159" s="133"/>
      <c r="AE159" s="133"/>
      <c r="AF159" s="133"/>
      <c r="AG159" s="133"/>
      <c r="AH159" s="133"/>
      <c r="AI159" s="133"/>
      <c r="AJ159" s="133"/>
      <c r="AK159" s="133"/>
      <c r="AL159" s="133"/>
      <c r="AM159" s="133"/>
      <c r="AN159" s="133"/>
      <c r="AO159" s="133"/>
    </row>
    <row r="160" spans="1:41" x14ac:dyDescent="0.2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46"/>
      <c r="P160" s="147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3"/>
      <c r="AM160" s="133"/>
      <c r="AN160" s="133"/>
      <c r="AO160" s="133"/>
    </row>
    <row r="161" spans="1:41" x14ac:dyDescent="0.2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46"/>
      <c r="P161" s="147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133"/>
      <c r="AJ161" s="133"/>
      <c r="AK161" s="133"/>
      <c r="AL161" s="133"/>
      <c r="AM161" s="133"/>
      <c r="AN161" s="133"/>
      <c r="AO161" s="133"/>
    </row>
    <row r="162" spans="1:41" x14ac:dyDescent="0.2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46"/>
      <c r="P162" s="147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33"/>
      <c r="AK162" s="133"/>
      <c r="AL162" s="133"/>
      <c r="AM162" s="133"/>
      <c r="AN162" s="133"/>
      <c r="AO162" s="133"/>
    </row>
    <row r="163" spans="1:41" x14ac:dyDescent="0.2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46"/>
      <c r="P163" s="147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  <c r="AN163" s="133"/>
      <c r="AO163" s="133"/>
    </row>
    <row r="164" spans="1:41" x14ac:dyDescent="0.2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46"/>
      <c r="P164" s="147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  <c r="AI164" s="133"/>
      <c r="AJ164" s="133"/>
      <c r="AK164" s="133"/>
      <c r="AL164" s="133"/>
      <c r="AM164" s="133"/>
      <c r="AN164" s="133"/>
      <c r="AO164" s="133"/>
    </row>
    <row r="165" spans="1:41" x14ac:dyDescent="0.2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46"/>
      <c r="P165" s="147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  <c r="AO165" s="133"/>
    </row>
    <row r="166" spans="1:41" x14ac:dyDescent="0.2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46"/>
      <c r="P166" s="147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  <c r="AI166" s="133"/>
      <c r="AJ166" s="133"/>
      <c r="AK166" s="133"/>
      <c r="AL166" s="133"/>
      <c r="AM166" s="133"/>
      <c r="AN166" s="133"/>
      <c r="AO166" s="133"/>
    </row>
    <row r="167" spans="1:41" x14ac:dyDescent="0.2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46"/>
      <c r="P167" s="147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M167" s="133"/>
      <c r="AN167" s="133"/>
      <c r="AO167" s="133"/>
    </row>
    <row r="168" spans="1:41" x14ac:dyDescent="0.2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46"/>
      <c r="P168" s="147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33"/>
      <c r="AK168" s="133"/>
      <c r="AL168" s="133"/>
      <c r="AM168" s="133"/>
      <c r="AN168" s="133"/>
      <c r="AO168" s="133"/>
    </row>
    <row r="169" spans="1:41" x14ac:dyDescent="0.2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46"/>
      <c r="P169" s="147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33"/>
      <c r="AK169" s="133"/>
      <c r="AL169" s="133"/>
      <c r="AM169" s="133"/>
      <c r="AN169" s="133"/>
      <c r="AO169" s="133"/>
    </row>
    <row r="170" spans="1:41" x14ac:dyDescent="0.2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46"/>
      <c r="P170" s="147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33"/>
      <c r="AK170" s="133"/>
      <c r="AL170" s="133"/>
      <c r="AM170" s="133"/>
      <c r="AN170" s="133"/>
      <c r="AO170" s="133"/>
    </row>
    <row r="171" spans="1:41" ht="16" x14ac:dyDescent="0.2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76"/>
      <c r="L171" s="176"/>
      <c r="M171" s="176"/>
      <c r="N171" s="133"/>
      <c r="O171" s="148"/>
      <c r="P171" s="149"/>
      <c r="Q171" s="142"/>
      <c r="R171" s="142"/>
      <c r="S171" s="142"/>
      <c r="T171" s="142"/>
      <c r="U171" s="142"/>
      <c r="V171" s="142"/>
      <c r="W171" s="142"/>
      <c r="X171" s="142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3"/>
      <c r="AL171" s="133"/>
      <c r="AM171" s="133"/>
      <c r="AN171" s="133"/>
      <c r="AO171" s="133"/>
    </row>
    <row r="172" spans="1:41" x14ac:dyDescent="0.2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46"/>
      <c r="P172" s="147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3"/>
      <c r="AN172" s="133"/>
      <c r="AO172" s="133"/>
    </row>
    <row r="173" spans="1:41" x14ac:dyDescent="0.2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  <c r="AI173" s="133"/>
      <c r="AJ173" s="133"/>
      <c r="AK173" s="133"/>
      <c r="AL173" s="133"/>
      <c r="AM173" s="133"/>
      <c r="AN173" s="133"/>
      <c r="AO173" s="133"/>
    </row>
    <row r="174" spans="1:41" x14ac:dyDescent="0.2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33"/>
      <c r="AK174" s="133"/>
      <c r="AL174" s="133"/>
      <c r="AM174" s="133"/>
      <c r="AN174" s="133"/>
      <c r="AO174" s="133"/>
    </row>
    <row r="175" spans="1:41" x14ac:dyDescent="0.2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33"/>
      <c r="AM175" s="133"/>
      <c r="AN175" s="133"/>
      <c r="AO175" s="133"/>
    </row>
    <row r="176" spans="1:41" x14ac:dyDescent="0.2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33"/>
      <c r="AK176" s="133"/>
      <c r="AL176" s="133"/>
      <c r="AM176" s="133"/>
      <c r="AN176" s="133"/>
      <c r="AO176" s="133"/>
    </row>
    <row r="177" spans="1:41" x14ac:dyDescent="0.2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56"/>
      <c r="L177" s="191"/>
      <c r="M177" s="191"/>
      <c r="N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33"/>
      <c r="AM177" s="133"/>
      <c r="AN177" s="133"/>
      <c r="AO177" s="133"/>
    </row>
    <row r="178" spans="1:41" x14ac:dyDescent="0.2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56"/>
      <c r="L178" s="157"/>
      <c r="M178" s="157"/>
      <c r="N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33"/>
      <c r="AM178" s="133"/>
      <c r="AN178" s="133"/>
      <c r="AO178" s="133"/>
    </row>
    <row r="179" spans="1:41" x14ac:dyDescent="0.2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  <c r="AO179" s="133"/>
    </row>
    <row r="180" spans="1:41" x14ac:dyDescent="0.2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33"/>
      <c r="AM180" s="133"/>
      <c r="AN180" s="133"/>
      <c r="AO180" s="133"/>
    </row>
    <row r="181" spans="1:41" x14ac:dyDescent="0.2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3"/>
      <c r="AO181" s="133"/>
    </row>
    <row r="182" spans="1:41" x14ac:dyDescent="0.2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  <c r="AO182" s="133"/>
    </row>
    <row r="183" spans="1:41" x14ac:dyDescent="0.2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33"/>
      <c r="AM183" s="133"/>
      <c r="AN183" s="133"/>
      <c r="AO183" s="133"/>
    </row>
    <row r="184" spans="1:41" x14ac:dyDescent="0.2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33"/>
      <c r="AK184" s="133"/>
      <c r="AL184" s="133"/>
      <c r="AM184" s="133"/>
      <c r="AN184" s="133"/>
      <c r="AO184" s="133"/>
    </row>
    <row r="185" spans="1:41" x14ac:dyDescent="0.2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  <c r="AI185" s="133"/>
      <c r="AJ185" s="133"/>
      <c r="AK185" s="133"/>
      <c r="AL185" s="133"/>
      <c r="AM185" s="133"/>
      <c r="AN185" s="133"/>
      <c r="AO185" s="133"/>
    </row>
    <row r="186" spans="1:41" x14ac:dyDescent="0.2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  <c r="AI186" s="133"/>
      <c r="AJ186" s="133"/>
      <c r="AK186" s="133"/>
      <c r="AL186" s="133"/>
      <c r="AM186" s="133"/>
      <c r="AN186" s="133"/>
      <c r="AO186" s="133"/>
    </row>
    <row r="187" spans="1:41" x14ac:dyDescent="0.2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  <c r="AI187" s="133"/>
      <c r="AJ187" s="133"/>
      <c r="AK187" s="133"/>
      <c r="AL187" s="133"/>
      <c r="AM187" s="133"/>
      <c r="AN187" s="133"/>
      <c r="AO187" s="133"/>
    </row>
    <row r="188" spans="1:41" x14ac:dyDescent="0.2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33"/>
      <c r="AK188" s="133"/>
      <c r="AL188" s="133"/>
      <c r="AM188" s="133"/>
      <c r="AN188" s="133"/>
      <c r="AO188" s="133"/>
    </row>
    <row r="189" spans="1:41" x14ac:dyDescent="0.2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33"/>
      <c r="AM189" s="133"/>
      <c r="AN189" s="133"/>
      <c r="AO189" s="133"/>
    </row>
    <row r="190" spans="1:41" x14ac:dyDescent="0.2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133"/>
      <c r="AJ190" s="133"/>
      <c r="AK190" s="133"/>
      <c r="AL190" s="133"/>
      <c r="AM190" s="133"/>
      <c r="AN190" s="133"/>
      <c r="AO190" s="133"/>
    </row>
    <row r="191" spans="1:41" x14ac:dyDescent="0.2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3"/>
      <c r="AM191" s="133"/>
      <c r="AN191" s="133"/>
      <c r="AO191" s="133"/>
    </row>
    <row r="192" spans="1:41" x14ac:dyDescent="0.2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133"/>
      <c r="AJ192" s="133"/>
      <c r="AK192" s="133"/>
      <c r="AL192" s="133"/>
      <c r="AM192" s="133"/>
      <c r="AN192" s="133"/>
      <c r="AO192" s="133"/>
    </row>
    <row r="193" spans="1:41" x14ac:dyDescent="0.2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133"/>
      <c r="AJ193" s="133"/>
      <c r="AK193" s="133"/>
      <c r="AL193" s="133"/>
      <c r="AM193" s="133"/>
      <c r="AN193" s="133"/>
      <c r="AO193" s="133"/>
    </row>
    <row r="194" spans="1:41" x14ac:dyDescent="0.2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133"/>
      <c r="AJ194" s="133"/>
      <c r="AK194" s="133"/>
      <c r="AL194" s="133"/>
      <c r="AM194" s="133"/>
      <c r="AN194" s="133"/>
      <c r="AO194" s="133"/>
    </row>
    <row r="195" spans="1:41" x14ac:dyDescent="0.2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3"/>
      <c r="AK195" s="133"/>
      <c r="AL195" s="133"/>
      <c r="AM195" s="133"/>
      <c r="AN195" s="133"/>
      <c r="AO195" s="133"/>
    </row>
    <row r="196" spans="1:41" x14ac:dyDescent="0.2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  <c r="AI196" s="133"/>
      <c r="AJ196" s="133"/>
      <c r="AK196" s="133"/>
      <c r="AL196" s="133"/>
      <c r="AM196" s="133"/>
      <c r="AN196" s="133"/>
      <c r="AO196" s="133"/>
    </row>
    <row r="197" spans="1:41" x14ac:dyDescent="0.2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  <c r="AI197" s="133"/>
      <c r="AJ197" s="133"/>
      <c r="AK197" s="133"/>
      <c r="AL197" s="133"/>
      <c r="AM197" s="133"/>
      <c r="AN197" s="133"/>
      <c r="AO197" s="133"/>
    </row>
    <row r="198" spans="1:41" x14ac:dyDescent="0.2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133"/>
      <c r="AJ198" s="133"/>
      <c r="AK198" s="133"/>
      <c r="AL198" s="133"/>
      <c r="AM198" s="133"/>
      <c r="AN198" s="133"/>
      <c r="AO198" s="133"/>
    </row>
    <row r="199" spans="1:41" x14ac:dyDescent="0.2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133"/>
      <c r="AJ199" s="133"/>
      <c r="AK199" s="133"/>
      <c r="AL199" s="133"/>
      <c r="AM199" s="133"/>
      <c r="AN199" s="133"/>
      <c r="AO199" s="133"/>
    </row>
    <row r="200" spans="1:41" x14ac:dyDescent="0.2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</row>
    <row r="201" spans="1:41" x14ac:dyDescent="0.2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</row>
    <row r="202" spans="1:41" x14ac:dyDescent="0.2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  <c r="AO202" s="133"/>
    </row>
    <row r="203" spans="1:41" x14ac:dyDescent="0.2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33"/>
      <c r="AJ203" s="133"/>
      <c r="AK203" s="133"/>
      <c r="AL203" s="133"/>
      <c r="AM203" s="133"/>
      <c r="AN203" s="133"/>
      <c r="AO203" s="133"/>
    </row>
    <row r="204" spans="1:41" x14ac:dyDescent="0.2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133"/>
      <c r="AJ204" s="133"/>
      <c r="AK204" s="133"/>
      <c r="AL204" s="133"/>
      <c r="AM204" s="133"/>
      <c r="AN204" s="133"/>
      <c r="AO204" s="133"/>
    </row>
    <row r="205" spans="1:41" x14ac:dyDescent="0.2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133"/>
      <c r="AJ205" s="133"/>
      <c r="AK205" s="133"/>
      <c r="AL205" s="133"/>
      <c r="AM205" s="133"/>
      <c r="AN205" s="133"/>
      <c r="AO205" s="133"/>
    </row>
    <row r="206" spans="1:41" x14ac:dyDescent="0.2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133"/>
      <c r="AJ206" s="133"/>
      <c r="AK206" s="133"/>
      <c r="AL206" s="133"/>
      <c r="AM206" s="133"/>
      <c r="AN206" s="133"/>
      <c r="AO206" s="133"/>
    </row>
    <row r="207" spans="1:41" x14ac:dyDescent="0.2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/>
      <c r="AL207" s="133"/>
      <c r="AM207" s="133"/>
      <c r="AN207" s="133"/>
      <c r="AO207" s="133"/>
    </row>
    <row r="208" spans="1:41" x14ac:dyDescent="0.2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/>
      <c r="AL208" s="133"/>
      <c r="AM208" s="133"/>
      <c r="AN208" s="133"/>
      <c r="AO208" s="133"/>
    </row>
    <row r="209" spans="1:41" x14ac:dyDescent="0.2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  <c r="AO209" s="133"/>
    </row>
    <row r="210" spans="1:41" x14ac:dyDescent="0.2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3"/>
      <c r="AM210" s="133"/>
      <c r="AN210" s="133"/>
      <c r="AO210" s="133"/>
    </row>
    <row r="211" spans="1:41" x14ac:dyDescent="0.2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</row>
    <row r="212" spans="1:41" x14ac:dyDescent="0.2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33"/>
      <c r="AJ212" s="133"/>
      <c r="AK212" s="133"/>
      <c r="AL212" s="133"/>
      <c r="AM212" s="133"/>
      <c r="AN212" s="133"/>
      <c r="AO212" s="133"/>
    </row>
    <row r="213" spans="1:41" x14ac:dyDescent="0.2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3"/>
      <c r="AL213" s="133"/>
      <c r="AM213" s="133"/>
      <c r="AN213" s="133"/>
      <c r="AO213" s="133"/>
    </row>
    <row r="214" spans="1:41" x14ac:dyDescent="0.2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</row>
    <row r="215" spans="1:41" x14ac:dyDescent="0.2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</row>
    <row r="216" spans="1:41" x14ac:dyDescent="0.2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</row>
    <row r="217" spans="1:41" x14ac:dyDescent="0.2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</row>
    <row r="218" spans="1:41" x14ac:dyDescent="0.2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</row>
    <row r="219" spans="1:41" x14ac:dyDescent="0.2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</row>
    <row r="220" spans="1:41" x14ac:dyDescent="0.2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</row>
    <row r="221" spans="1:41" x14ac:dyDescent="0.2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</row>
    <row r="222" spans="1:41" x14ac:dyDescent="0.2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  <c r="AO222" s="133"/>
    </row>
    <row r="223" spans="1:41" x14ac:dyDescent="0.2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  <c r="AO223" s="133"/>
    </row>
    <row r="224" spans="1:41" x14ac:dyDescent="0.2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33"/>
      <c r="AJ224" s="133"/>
      <c r="AK224" s="133"/>
      <c r="AL224" s="133"/>
      <c r="AM224" s="133"/>
      <c r="AN224" s="133"/>
      <c r="AO224" s="133"/>
    </row>
    <row r="225" spans="1:41" x14ac:dyDescent="0.2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</row>
    <row r="226" spans="1:41" x14ac:dyDescent="0.2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  <c r="AO226" s="133"/>
    </row>
    <row r="227" spans="1:41" x14ac:dyDescent="0.2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3"/>
      <c r="AM227" s="133"/>
      <c r="AN227" s="133"/>
      <c r="AO227" s="133"/>
    </row>
    <row r="228" spans="1:41" x14ac:dyDescent="0.2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133"/>
      <c r="AL228" s="133"/>
      <c r="AM228" s="133"/>
      <c r="AN228" s="133"/>
      <c r="AO228" s="133"/>
    </row>
    <row r="229" spans="1:41" x14ac:dyDescent="0.2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  <c r="AO229" s="133"/>
    </row>
    <row r="230" spans="1:41" x14ac:dyDescent="0.2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33"/>
      <c r="AJ230" s="133"/>
      <c r="AK230" s="133"/>
      <c r="AL230" s="133"/>
      <c r="AM230" s="133"/>
      <c r="AN230" s="133"/>
      <c r="AO230" s="133"/>
    </row>
    <row r="231" spans="1:41" x14ac:dyDescent="0.2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</row>
    <row r="232" spans="1:41" x14ac:dyDescent="0.2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/>
      <c r="AJ232" s="133"/>
      <c r="AK232" s="133"/>
      <c r="AL232" s="133"/>
      <c r="AM232" s="133"/>
      <c r="AN232" s="133"/>
      <c r="AO232" s="133"/>
    </row>
    <row r="233" spans="1:41" x14ac:dyDescent="0.2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33"/>
      <c r="AJ233" s="133"/>
      <c r="AK233" s="133"/>
      <c r="AL233" s="133"/>
      <c r="AM233" s="133"/>
      <c r="AN233" s="133"/>
      <c r="AO233" s="133"/>
    </row>
    <row r="234" spans="1:41" x14ac:dyDescent="0.2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33"/>
      <c r="AJ234" s="133"/>
      <c r="AK234" s="133"/>
      <c r="AL234" s="133"/>
      <c r="AM234" s="133"/>
      <c r="AN234" s="133"/>
      <c r="AO234" s="133"/>
    </row>
    <row r="235" spans="1:41" x14ac:dyDescent="0.2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  <c r="AI235" s="133"/>
      <c r="AJ235" s="133"/>
      <c r="AK235" s="133"/>
      <c r="AL235" s="133"/>
      <c r="AM235" s="133"/>
      <c r="AN235" s="133"/>
      <c r="AO235" s="133"/>
    </row>
    <row r="236" spans="1:41" x14ac:dyDescent="0.2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133"/>
      <c r="AJ236" s="133"/>
      <c r="AK236" s="133"/>
      <c r="AL236" s="133"/>
      <c r="AM236" s="133"/>
      <c r="AN236" s="133"/>
      <c r="AO236" s="133"/>
    </row>
    <row r="237" spans="1:41" x14ac:dyDescent="0.2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33"/>
      <c r="AJ237" s="133"/>
      <c r="AK237" s="133"/>
      <c r="AL237" s="133"/>
      <c r="AM237" s="133"/>
      <c r="AN237" s="133"/>
      <c r="AO237" s="133"/>
    </row>
    <row r="238" spans="1:41" x14ac:dyDescent="0.2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3"/>
      <c r="AM238" s="133"/>
      <c r="AN238" s="133"/>
      <c r="AO238" s="133"/>
    </row>
    <row r="239" spans="1:41" x14ac:dyDescent="0.2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33"/>
      <c r="AJ239" s="133"/>
      <c r="AK239" s="133"/>
      <c r="AL239" s="133"/>
      <c r="AM239" s="133"/>
      <c r="AN239" s="133"/>
      <c r="AO239" s="133"/>
    </row>
    <row r="240" spans="1:41" x14ac:dyDescent="0.2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33"/>
      <c r="AJ240" s="133"/>
      <c r="AK240" s="133"/>
      <c r="AL240" s="133"/>
      <c r="AM240" s="133"/>
      <c r="AN240" s="133"/>
      <c r="AO240" s="133"/>
    </row>
    <row r="241" spans="1:41" x14ac:dyDescent="0.2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133"/>
      <c r="AJ241" s="133"/>
      <c r="AK241" s="133"/>
      <c r="AL241" s="133"/>
      <c r="AM241" s="133"/>
      <c r="AN241" s="133"/>
      <c r="AO241" s="133"/>
    </row>
    <row r="242" spans="1:41" x14ac:dyDescent="0.2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33"/>
      <c r="AJ242" s="133"/>
      <c r="AK242" s="133"/>
      <c r="AL242" s="133"/>
      <c r="AM242" s="133"/>
      <c r="AN242" s="133"/>
      <c r="AO242" s="133"/>
    </row>
    <row r="243" spans="1:41" x14ac:dyDescent="0.2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3"/>
      <c r="AM243" s="133"/>
      <c r="AN243" s="133"/>
      <c r="AO243" s="133"/>
    </row>
    <row r="244" spans="1:41" x14ac:dyDescent="0.2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3"/>
      <c r="AK244" s="133"/>
      <c r="AL244" s="133"/>
      <c r="AM244" s="133"/>
      <c r="AN244" s="133"/>
      <c r="AO244" s="133"/>
    </row>
    <row r="245" spans="1:41" x14ac:dyDescent="0.2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33"/>
      <c r="AJ245" s="133"/>
      <c r="AK245" s="133"/>
      <c r="AL245" s="133"/>
      <c r="AM245" s="133"/>
      <c r="AN245" s="133"/>
      <c r="AO245" s="133"/>
    </row>
    <row r="246" spans="1:41" x14ac:dyDescent="0.2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133"/>
      <c r="AJ246" s="133"/>
      <c r="AK246" s="133"/>
      <c r="AL246" s="133"/>
      <c r="AM246" s="133"/>
      <c r="AN246" s="133"/>
      <c r="AO246" s="133"/>
    </row>
    <row r="247" spans="1:41" x14ac:dyDescent="0.2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133"/>
      <c r="AJ247" s="133"/>
      <c r="AK247" s="133"/>
      <c r="AL247" s="133"/>
      <c r="AM247" s="133"/>
      <c r="AN247" s="133"/>
      <c r="AO247" s="133"/>
    </row>
    <row r="248" spans="1:41" x14ac:dyDescent="0.2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  <c r="AI248" s="133"/>
      <c r="AJ248" s="133"/>
      <c r="AK248" s="133"/>
      <c r="AL248" s="133"/>
      <c r="AM248" s="133"/>
      <c r="AN248" s="133"/>
      <c r="AO248" s="133"/>
    </row>
    <row r="249" spans="1:41" x14ac:dyDescent="0.2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133"/>
      <c r="AL249" s="133"/>
      <c r="AM249" s="133"/>
      <c r="AN249" s="133"/>
      <c r="AO249" s="133"/>
    </row>
    <row r="250" spans="1:41" x14ac:dyDescent="0.2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133"/>
      <c r="AL250" s="133"/>
      <c r="AM250" s="133"/>
      <c r="AN250" s="133"/>
      <c r="AO250" s="133"/>
    </row>
    <row r="251" spans="1:41" x14ac:dyDescent="0.2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33"/>
      <c r="AJ251" s="133"/>
      <c r="AK251" s="133"/>
      <c r="AL251" s="133"/>
      <c r="AM251" s="133"/>
      <c r="AN251" s="133"/>
      <c r="AO251" s="133"/>
    </row>
    <row r="252" spans="1:41" x14ac:dyDescent="0.2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33"/>
      <c r="AJ252" s="133"/>
      <c r="AK252" s="133"/>
      <c r="AL252" s="133"/>
      <c r="AM252" s="133"/>
      <c r="AN252" s="133"/>
      <c r="AO252" s="133"/>
    </row>
    <row r="253" spans="1:41" x14ac:dyDescent="0.2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33"/>
      <c r="AJ253" s="133"/>
      <c r="AK253" s="133"/>
      <c r="AL253" s="133"/>
      <c r="AM253" s="133"/>
      <c r="AN253" s="133"/>
      <c r="AO253" s="133"/>
    </row>
    <row r="254" spans="1:41" x14ac:dyDescent="0.2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3"/>
      <c r="AM254" s="133"/>
      <c r="AN254" s="133"/>
      <c r="AO254" s="133"/>
    </row>
    <row r="255" spans="1:41" x14ac:dyDescent="0.2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33"/>
      <c r="AJ255" s="133"/>
      <c r="AK255" s="133"/>
      <c r="AL255" s="133"/>
      <c r="AM255" s="133"/>
      <c r="AN255" s="133"/>
      <c r="AO255" s="133"/>
    </row>
    <row r="256" spans="1:41" x14ac:dyDescent="0.2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133"/>
      <c r="AJ256" s="133"/>
      <c r="AK256" s="133"/>
      <c r="AL256" s="133"/>
      <c r="AM256" s="133"/>
      <c r="AN256" s="133"/>
      <c r="AO256" s="133"/>
    </row>
    <row r="257" spans="1:41" x14ac:dyDescent="0.2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33"/>
      <c r="AJ257" s="133"/>
      <c r="AK257" s="133"/>
      <c r="AL257" s="133"/>
      <c r="AM257" s="133"/>
      <c r="AN257" s="133"/>
      <c r="AO257" s="133"/>
    </row>
    <row r="258" spans="1:41" x14ac:dyDescent="0.2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/>
      <c r="AL258" s="133"/>
      <c r="AM258" s="133"/>
      <c r="AN258" s="133"/>
      <c r="AO258" s="133"/>
    </row>
    <row r="259" spans="1:41" x14ac:dyDescent="0.2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</row>
    <row r="260" spans="1:41" x14ac:dyDescent="0.2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33"/>
      <c r="AJ260" s="133"/>
      <c r="AK260" s="133"/>
      <c r="AL260" s="133"/>
      <c r="AM260" s="133"/>
      <c r="AN260" s="133"/>
      <c r="AO260" s="133"/>
    </row>
    <row r="261" spans="1:41" x14ac:dyDescent="0.2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3"/>
      <c r="AM261" s="133"/>
      <c r="AN261" s="133"/>
      <c r="AO261" s="133"/>
    </row>
    <row r="262" spans="1:41" x14ac:dyDescent="0.2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3"/>
      <c r="AM262" s="133"/>
      <c r="AN262" s="133"/>
      <c r="AO262" s="133"/>
    </row>
    <row r="263" spans="1:41" x14ac:dyDescent="0.2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  <c r="AO263" s="133"/>
    </row>
    <row r="264" spans="1:41" x14ac:dyDescent="0.2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3"/>
      <c r="AM264" s="133"/>
      <c r="AN264" s="133"/>
      <c r="AO264" s="133"/>
    </row>
    <row r="265" spans="1:41" x14ac:dyDescent="0.2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133"/>
      <c r="AJ265" s="133"/>
      <c r="AK265" s="133"/>
      <c r="AL265" s="133"/>
      <c r="AM265" s="133"/>
      <c r="AN265" s="133"/>
      <c r="AO265" s="133"/>
    </row>
    <row r="266" spans="1:41" x14ac:dyDescent="0.2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133"/>
      <c r="AL266" s="133"/>
      <c r="AM266" s="133"/>
      <c r="AN266" s="133"/>
      <c r="AO266" s="133"/>
    </row>
    <row r="267" spans="1:41" x14ac:dyDescent="0.2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33"/>
      <c r="AJ267" s="133"/>
      <c r="AK267" s="133"/>
      <c r="AL267" s="133"/>
      <c r="AM267" s="133"/>
      <c r="AN267" s="133"/>
      <c r="AO267" s="133"/>
    </row>
    <row r="268" spans="1:41" x14ac:dyDescent="0.2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  <c r="AO268" s="133"/>
    </row>
    <row r="269" spans="1:41" x14ac:dyDescent="0.2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133"/>
      <c r="AJ269" s="133"/>
      <c r="AK269" s="133"/>
      <c r="AL269" s="133"/>
      <c r="AM269" s="133"/>
      <c r="AN269" s="133"/>
      <c r="AO269" s="133"/>
    </row>
    <row r="270" spans="1:41" x14ac:dyDescent="0.2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133"/>
      <c r="AL270" s="133"/>
      <c r="AM270" s="133"/>
      <c r="AN270" s="133"/>
      <c r="AO270" s="133"/>
    </row>
    <row r="271" spans="1:41" x14ac:dyDescent="0.2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  <c r="AO271" s="133"/>
    </row>
    <row r="272" spans="1:41" x14ac:dyDescent="0.2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133"/>
      <c r="AL272" s="133"/>
      <c r="AM272" s="133"/>
      <c r="AN272" s="133"/>
      <c r="AO272" s="133"/>
    </row>
    <row r="273" spans="1:41" x14ac:dyDescent="0.2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133"/>
      <c r="AJ273" s="133"/>
      <c r="AK273" s="133"/>
      <c r="AL273" s="133"/>
      <c r="AM273" s="133"/>
      <c r="AN273" s="133"/>
      <c r="AO273" s="133"/>
    </row>
    <row r="274" spans="1:41" x14ac:dyDescent="0.2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133"/>
      <c r="AL274" s="133"/>
      <c r="AM274" s="133"/>
      <c r="AN274" s="133"/>
      <c r="AO274" s="133"/>
    </row>
    <row r="275" spans="1:41" x14ac:dyDescent="0.2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3"/>
      <c r="AM275" s="133"/>
      <c r="AN275" s="133"/>
      <c r="AO275" s="133"/>
    </row>
    <row r="276" spans="1:41" x14ac:dyDescent="0.2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133"/>
      <c r="AL276" s="133"/>
      <c r="AM276" s="133"/>
      <c r="AN276" s="133"/>
      <c r="AO276" s="133"/>
    </row>
    <row r="277" spans="1:41" x14ac:dyDescent="0.2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33"/>
      <c r="AK277" s="133"/>
      <c r="AL277" s="133"/>
      <c r="AM277" s="133"/>
      <c r="AN277" s="133"/>
      <c r="AO277" s="133"/>
    </row>
    <row r="278" spans="1:41" x14ac:dyDescent="0.2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  <c r="AI278" s="133"/>
      <c r="AJ278" s="133"/>
      <c r="AK278" s="133"/>
      <c r="AL278" s="133"/>
      <c r="AM278" s="133"/>
      <c r="AN278" s="133"/>
      <c r="AO278" s="133"/>
    </row>
    <row r="279" spans="1:41" x14ac:dyDescent="0.2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  <c r="AI279" s="133"/>
      <c r="AJ279" s="133"/>
      <c r="AK279" s="133"/>
      <c r="AL279" s="133"/>
      <c r="AM279" s="133"/>
      <c r="AN279" s="133"/>
      <c r="AO279" s="133"/>
    </row>
    <row r="280" spans="1:41" x14ac:dyDescent="0.2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133"/>
      <c r="AL280" s="133"/>
      <c r="AM280" s="133"/>
      <c r="AN280" s="133"/>
      <c r="AO280" s="133"/>
    </row>
    <row r="281" spans="1:41" x14ac:dyDescent="0.2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  <c r="AI281" s="133"/>
      <c r="AJ281" s="133"/>
      <c r="AK281" s="133"/>
      <c r="AL281" s="133"/>
      <c r="AM281" s="133"/>
      <c r="AN281" s="133"/>
      <c r="AO281" s="133"/>
    </row>
    <row r="282" spans="1:41" x14ac:dyDescent="0.2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33"/>
      <c r="AJ282" s="133"/>
      <c r="AK282" s="133"/>
      <c r="AL282" s="133"/>
      <c r="AM282" s="133"/>
      <c r="AN282" s="133"/>
      <c r="AO282" s="133"/>
    </row>
    <row r="283" spans="1:41" x14ac:dyDescent="0.2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133"/>
      <c r="AJ283" s="133"/>
      <c r="AK283" s="133"/>
      <c r="AL283" s="133"/>
      <c r="AM283" s="133"/>
      <c r="AN283" s="133"/>
      <c r="AO283" s="133"/>
    </row>
    <row r="284" spans="1:41" x14ac:dyDescent="0.2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  <c r="AI284" s="133"/>
      <c r="AJ284" s="133"/>
      <c r="AK284" s="133"/>
      <c r="AL284" s="133"/>
      <c r="AM284" s="133"/>
      <c r="AN284" s="133"/>
      <c r="AO284" s="133"/>
    </row>
    <row r="285" spans="1:41" x14ac:dyDescent="0.2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133"/>
      <c r="AJ285" s="133"/>
      <c r="AK285" s="133"/>
      <c r="AL285" s="133"/>
      <c r="AM285" s="133"/>
      <c r="AN285" s="133"/>
      <c r="AO285" s="133"/>
    </row>
    <row r="286" spans="1:41" x14ac:dyDescent="0.2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  <c r="AI286" s="133"/>
      <c r="AJ286" s="133"/>
      <c r="AK286" s="133"/>
      <c r="AL286" s="133"/>
      <c r="AM286" s="133"/>
      <c r="AN286" s="133"/>
      <c r="AO286" s="133"/>
    </row>
    <row r="287" spans="1:41" x14ac:dyDescent="0.2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  <c r="AH287" s="133"/>
      <c r="AI287" s="133"/>
      <c r="AJ287" s="133"/>
      <c r="AK287" s="133"/>
      <c r="AL287" s="133"/>
      <c r="AM287" s="133"/>
      <c r="AN287" s="133"/>
      <c r="AO287" s="133"/>
    </row>
    <row r="288" spans="1:41" x14ac:dyDescent="0.2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133"/>
      <c r="AJ288" s="133"/>
      <c r="AK288" s="133"/>
      <c r="AL288" s="133"/>
      <c r="AM288" s="133"/>
      <c r="AN288" s="133"/>
      <c r="AO288" s="133"/>
    </row>
    <row r="289" spans="1:41" x14ac:dyDescent="0.2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  <c r="AI289" s="133"/>
      <c r="AJ289" s="133"/>
      <c r="AK289" s="133"/>
      <c r="AL289" s="133"/>
      <c r="AM289" s="133"/>
      <c r="AN289" s="133"/>
      <c r="AO289" s="133"/>
    </row>
    <row r="290" spans="1:41" x14ac:dyDescent="0.2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  <c r="AI290" s="133"/>
      <c r="AJ290" s="133"/>
      <c r="AK290" s="133"/>
      <c r="AL290" s="133"/>
      <c r="AM290" s="133"/>
      <c r="AN290" s="133"/>
      <c r="AO290" s="133"/>
    </row>
    <row r="291" spans="1:41" x14ac:dyDescent="0.2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  <c r="AH291" s="133"/>
      <c r="AI291" s="133"/>
      <c r="AJ291" s="133"/>
      <c r="AK291" s="133"/>
      <c r="AL291" s="133"/>
      <c r="AM291" s="133"/>
      <c r="AN291" s="133"/>
      <c r="AO291" s="133"/>
    </row>
    <row r="292" spans="1:41" x14ac:dyDescent="0.2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  <c r="AH292" s="133"/>
      <c r="AI292" s="133"/>
      <c r="AJ292" s="133"/>
      <c r="AK292" s="133"/>
      <c r="AL292" s="133"/>
      <c r="AM292" s="133"/>
      <c r="AN292" s="133"/>
      <c r="AO292" s="133"/>
    </row>
    <row r="293" spans="1:41" x14ac:dyDescent="0.2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  <c r="AI293" s="133"/>
      <c r="AJ293" s="133"/>
      <c r="AK293" s="133"/>
      <c r="AL293" s="133"/>
      <c r="AM293" s="133"/>
      <c r="AN293" s="133"/>
      <c r="AO293" s="133"/>
    </row>
    <row r="294" spans="1:41" x14ac:dyDescent="0.2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  <c r="AI294" s="133"/>
      <c r="AJ294" s="133"/>
      <c r="AK294" s="133"/>
      <c r="AL294" s="133"/>
      <c r="AM294" s="133"/>
      <c r="AN294" s="133"/>
      <c r="AO294" s="133"/>
    </row>
    <row r="295" spans="1:41" x14ac:dyDescent="0.2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  <c r="AI295" s="133"/>
      <c r="AJ295" s="133"/>
      <c r="AK295" s="133"/>
      <c r="AL295" s="133"/>
      <c r="AM295" s="133"/>
      <c r="AN295" s="133"/>
      <c r="AO295" s="133"/>
    </row>
    <row r="296" spans="1:41" x14ac:dyDescent="0.2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133"/>
      <c r="AJ296" s="133"/>
      <c r="AK296" s="133"/>
      <c r="AL296" s="133"/>
      <c r="AM296" s="133"/>
      <c r="AN296" s="133"/>
      <c r="AO296" s="133"/>
    </row>
    <row r="297" spans="1:41" x14ac:dyDescent="0.2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133"/>
      <c r="AJ297" s="133"/>
      <c r="AK297" s="133"/>
      <c r="AL297" s="133"/>
      <c r="AM297" s="133"/>
      <c r="AN297" s="133"/>
      <c r="AO297" s="133"/>
    </row>
    <row r="298" spans="1:41" x14ac:dyDescent="0.2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  <c r="AI298" s="133"/>
      <c r="AJ298" s="133"/>
      <c r="AK298" s="133"/>
      <c r="AL298" s="133"/>
      <c r="AM298" s="133"/>
      <c r="AN298" s="133"/>
      <c r="AO298" s="133"/>
    </row>
    <row r="299" spans="1:41" x14ac:dyDescent="0.2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  <c r="AI299" s="133"/>
      <c r="AJ299" s="133"/>
      <c r="AK299" s="133"/>
      <c r="AL299" s="133"/>
      <c r="AM299" s="133"/>
      <c r="AN299" s="133"/>
      <c r="AO299" s="133"/>
    </row>
    <row r="300" spans="1:41" x14ac:dyDescent="0.2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  <c r="AH300" s="133"/>
      <c r="AI300" s="133"/>
      <c r="AJ300" s="133"/>
      <c r="AK300" s="133"/>
      <c r="AL300" s="133"/>
      <c r="AM300" s="133"/>
      <c r="AN300" s="133"/>
      <c r="AO300" s="133"/>
    </row>
    <row r="301" spans="1:41" x14ac:dyDescent="0.2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  <c r="AI301" s="133"/>
      <c r="AJ301" s="133"/>
      <c r="AK301" s="133"/>
      <c r="AL301" s="133"/>
      <c r="AM301" s="133"/>
      <c r="AN301" s="133"/>
      <c r="AO301" s="133"/>
    </row>
    <row r="302" spans="1:41" x14ac:dyDescent="0.2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  <c r="AI302" s="133"/>
      <c r="AJ302" s="133"/>
      <c r="AK302" s="133"/>
      <c r="AL302" s="133"/>
      <c r="AM302" s="133"/>
      <c r="AN302" s="133"/>
      <c r="AO302" s="133"/>
    </row>
    <row r="303" spans="1:41" x14ac:dyDescent="0.2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  <c r="AH303" s="133"/>
      <c r="AI303" s="133"/>
      <c r="AJ303" s="133"/>
      <c r="AK303" s="133"/>
      <c r="AL303" s="133"/>
      <c r="AM303" s="133"/>
      <c r="AN303" s="133"/>
      <c r="AO303" s="133"/>
    </row>
    <row r="304" spans="1:41" x14ac:dyDescent="0.2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133"/>
      <c r="AJ304" s="133"/>
      <c r="AK304" s="133"/>
      <c r="AL304" s="133"/>
      <c r="AM304" s="133"/>
      <c r="AN304" s="133"/>
      <c r="AO304" s="133"/>
    </row>
    <row r="305" spans="1:41" x14ac:dyDescent="0.2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  <c r="AI305" s="133"/>
      <c r="AJ305" s="133"/>
      <c r="AK305" s="133"/>
      <c r="AL305" s="133"/>
      <c r="AM305" s="133"/>
      <c r="AN305" s="133"/>
      <c r="AO305" s="133"/>
    </row>
    <row r="306" spans="1:41" x14ac:dyDescent="0.2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  <c r="AH306" s="133"/>
      <c r="AI306" s="133"/>
      <c r="AJ306" s="133"/>
      <c r="AK306" s="133"/>
      <c r="AL306" s="133"/>
      <c r="AM306" s="133"/>
      <c r="AN306" s="133"/>
      <c r="AO306" s="133"/>
    </row>
    <row r="307" spans="1:41" x14ac:dyDescent="0.2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  <c r="AH307" s="133"/>
      <c r="AI307" s="133"/>
      <c r="AJ307" s="133"/>
      <c r="AK307" s="133"/>
      <c r="AL307" s="133"/>
      <c r="AM307" s="133"/>
      <c r="AN307" s="133"/>
      <c r="AO307" s="133"/>
    </row>
    <row r="308" spans="1:41" x14ac:dyDescent="0.2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  <c r="AH308" s="133"/>
      <c r="AI308" s="133"/>
      <c r="AJ308" s="133"/>
      <c r="AK308" s="133"/>
      <c r="AL308" s="133"/>
      <c r="AM308" s="133"/>
      <c r="AN308" s="133"/>
      <c r="AO308" s="133"/>
    </row>
    <row r="309" spans="1:41" x14ac:dyDescent="0.2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  <c r="AI309" s="133"/>
      <c r="AJ309" s="133"/>
      <c r="AK309" s="133"/>
      <c r="AL309" s="133"/>
      <c r="AM309" s="133"/>
      <c r="AN309" s="133"/>
      <c r="AO309" s="133"/>
    </row>
    <row r="310" spans="1:41" x14ac:dyDescent="0.2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  <c r="AH310" s="133"/>
      <c r="AI310" s="133"/>
      <c r="AJ310" s="133"/>
      <c r="AK310" s="133"/>
      <c r="AL310" s="133"/>
      <c r="AM310" s="133"/>
      <c r="AN310" s="133"/>
      <c r="AO310" s="133"/>
    </row>
    <row r="311" spans="1:41" x14ac:dyDescent="0.2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  <c r="AI311" s="133"/>
      <c r="AJ311" s="133"/>
      <c r="AK311" s="133"/>
      <c r="AL311" s="133"/>
      <c r="AM311" s="133"/>
      <c r="AN311" s="133"/>
      <c r="AO311" s="133"/>
    </row>
    <row r="312" spans="1:41" x14ac:dyDescent="0.2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  <c r="AI312" s="133"/>
      <c r="AJ312" s="133"/>
      <c r="AK312" s="133"/>
      <c r="AL312" s="133"/>
      <c r="AM312" s="133"/>
      <c r="AN312" s="133"/>
      <c r="AO312" s="133"/>
    </row>
    <row r="313" spans="1:41" x14ac:dyDescent="0.2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  <c r="AH313" s="133"/>
      <c r="AI313" s="133"/>
      <c r="AJ313" s="133"/>
      <c r="AK313" s="133"/>
      <c r="AL313" s="133"/>
      <c r="AM313" s="133"/>
      <c r="AN313" s="133"/>
      <c r="AO313" s="133"/>
    </row>
    <row r="314" spans="1:41" x14ac:dyDescent="0.2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133"/>
      <c r="AJ314" s="133"/>
      <c r="AK314" s="133"/>
      <c r="AL314" s="133"/>
      <c r="AM314" s="133"/>
      <c r="AN314" s="133"/>
      <c r="AO314" s="133"/>
    </row>
    <row r="315" spans="1:41" x14ac:dyDescent="0.2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133"/>
      <c r="AJ315" s="133"/>
      <c r="AK315" s="133"/>
      <c r="AL315" s="133"/>
      <c r="AM315" s="133"/>
      <c r="AN315" s="133"/>
      <c r="AO315" s="133"/>
    </row>
    <row r="316" spans="1:41" x14ac:dyDescent="0.2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  <c r="AI316" s="133"/>
      <c r="AJ316" s="133"/>
      <c r="AK316" s="133"/>
      <c r="AL316" s="133"/>
      <c r="AM316" s="133"/>
      <c r="AN316" s="133"/>
      <c r="AO316" s="133"/>
    </row>
    <row r="317" spans="1:41" x14ac:dyDescent="0.2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33"/>
      <c r="AJ317" s="133"/>
      <c r="AK317" s="133"/>
      <c r="AL317" s="133"/>
      <c r="AM317" s="133"/>
      <c r="AN317" s="133"/>
      <c r="AO317" s="133"/>
    </row>
    <row r="318" spans="1:41" x14ac:dyDescent="0.2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133"/>
      <c r="AJ318" s="133"/>
      <c r="AK318" s="133"/>
      <c r="AL318" s="133"/>
      <c r="AM318" s="133"/>
      <c r="AN318" s="133"/>
      <c r="AO318" s="133"/>
    </row>
    <row r="319" spans="1:41" x14ac:dyDescent="0.2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133"/>
      <c r="AJ319" s="133"/>
      <c r="AK319" s="133"/>
      <c r="AL319" s="133"/>
      <c r="AM319" s="133"/>
      <c r="AN319" s="133"/>
      <c r="AO319" s="133"/>
    </row>
    <row r="320" spans="1:41" x14ac:dyDescent="0.2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  <c r="AH320" s="133"/>
      <c r="AI320" s="133"/>
      <c r="AJ320" s="133"/>
      <c r="AK320" s="133"/>
      <c r="AL320" s="133"/>
      <c r="AM320" s="133"/>
      <c r="AN320" s="133"/>
      <c r="AO320" s="133"/>
    </row>
    <row r="321" spans="1:41" x14ac:dyDescent="0.2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  <c r="AH321" s="133"/>
      <c r="AI321" s="133"/>
      <c r="AJ321" s="133"/>
      <c r="AK321" s="133"/>
      <c r="AL321" s="133"/>
      <c r="AM321" s="133"/>
      <c r="AN321" s="133"/>
      <c r="AO321" s="133"/>
    </row>
    <row r="322" spans="1:41" x14ac:dyDescent="0.2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  <c r="AI322" s="133"/>
      <c r="AJ322" s="133"/>
      <c r="AK322" s="133"/>
      <c r="AL322" s="133"/>
      <c r="AM322" s="133"/>
      <c r="AN322" s="133"/>
      <c r="AO322" s="133"/>
    </row>
    <row r="323" spans="1:41" x14ac:dyDescent="0.2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  <c r="AH323" s="133"/>
      <c r="AI323" s="133"/>
      <c r="AJ323" s="133"/>
      <c r="AK323" s="133"/>
      <c r="AL323" s="133"/>
      <c r="AM323" s="133"/>
      <c r="AN323" s="133"/>
      <c r="AO323" s="133"/>
    </row>
    <row r="324" spans="1:41" x14ac:dyDescent="0.2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133"/>
      <c r="AJ324" s="133"/>
      <c r="AK324" s="133"/>
      <c r="AL324" s="133"/>
      <c r="AM324" s="133"/>
      <c r="AN324" s="133"/>
      <c r="AO324" s="133"/>
    </row>
    <row r="325" spans="1:41" x14ac:dyDescent="0.2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  <c r="AI325" s="133"/>
      <c r="AJ325" s="133"/>
      <c r="AK325" s="133"/>
      <c r="AL325" s="133"/>
      <c r="AM325" s="133"/>
      <c r="AN325" s="133"/>
      <c r="AO325" s="133"/>
    </row>
    <row r="326" spans="1:41" x14ac:dyDescent="0.2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  <c r="AI326" s="133"/>
      <c r="AJ326" s="133"/>
      <c r="AK326" s="133"/>
      <c r="AL326" s="133"/>
      <c r="AM326" s="133"/>
      <c r="AN326" s="133"/>
      <c r="AO326" s="133"/>
    </row>
    <row r="327" spans="1:41" x14ac:dyDescent="0.2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133"/>
      <c r="AJ327" s="133"/>
      <c r="AK327" s="133"/>
      <c r="AL327" s="133"/>
      <c r="AM327" s="133"/>
      <c r="AN327" s="133"/>
      <c r="AO327" s="133"/>
    </row>
    <row r="328" spans="1:41" x14ac:dyDescent="0.2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  <c r="AH328" s="133"/>
      <c r="AI328" s="133"/>
      <c r="AJ328" s="133"/>
      <c r="AK328" s="133"/>
      <c r="AL328" s="133"/>
      <c r="AM328" s="133"/>
      <c r="AN328" s="133"/>
      <c r="AO328" s="133"/>
    </row>
    <row r="329" spans="1:41" x14ac:dyDescent="0.2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  <c r="AI329" s="133"/>
      <c r="AJ329" s="133"/>
      <c r="AK329" s="133"/>
      <c r="AL329" s="133"/>
      <c r="AM329" s="133"/>
      <c r="AN329" s="133"/>
      <c r="AO329" s="133"/>
    </row>
    <row r="330" spans="1:41" x14ac:dyDescent="0.2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  <c r="AH330" s="133"/>
      <c r="AI330" s="133"/>
      <c r="AJ330" s="133"/>
      <c r="AK330" s="133"/>
      <c r="AL330" s="133"/>
      <c r="AM330" s="133"/>
      <c r="AN330" s="133"/>
      <c r="AO330" s="133"/>
    </row>
    <row r="331" spans="1:41" x14ac:dyDescent="0.2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  <c r="AH331" s="133"/>
      <c r="AI331" s="133"/>
      <c r="AJ331" s="133"/>
      <c r="AK331" s="133"/>
      <c r="AL331" s="133"/>
      <c r="AM331" s="133"/>
      <c r="AN331" s="133"/>
      <c r="AO331" s="133"/>
    </row>
    <row r="332" spans="1:41" x14ac:dyDescent="0.2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  <c r="AH332" s="133"/>
      <c r="AI332" s="133"/>
      <c r="AJ332" s="133"/>
      <c r="AK332" s="133"/>
      <c r="AL332" s="133"/>
      <c r="AM332" s="133"/>
      <c r="AN332" s="133"/>
      <c r="AO332" s="133"/>
    </row>
    <row r="333" spans="1:41" x14ac:dyDescent="0.2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33"/>
    </row>
    <row r="334" spans="1:41" x14ac:dyDescent="0.2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33"/>
    </row>
    <row r="335" spans="1:41" x14ac:dyDescent="0.2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33"/>
    </row>
    <row r="336" spans="1:41" x14ac:dyDescent="0.2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33"/>
    </row>
    <row r="337" spans="1:41" x14ac:dyDescent="0.2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  <c r="AI337" s="133"/>
      <c r="AJ337" s="133"/>
      <c r="AK337" s="133"/>
      <c r="AL337" s="133"/>
      <c r="AM337" s="133"/>
      <c r="AN337" s="133"/>
      <c r="AO337" s="133"/>
    </row>
    <row r="338" spans="1:41" x14ac:dyDescent="0.2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  <c r="AH338" s="133"/>
      <c r="AI338" s="133"/>
      <c r="AJ338" s="133"/>
      <c r="AK338" s="133"/>
      <c r="AL338" s="133"/>
      <c r="AM338" s="133"/>
      <c r="AN338" s="133"/>
      <c r="AO338" s="133"/>
    </row>
    <row r="339" spans="1:41" x14ac:dyDescent="0.2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  <c r="AH339" s="133"/>
      <c r="AI339" s="133"/>
      <c r="AJ339" s="133"/>
      <c r="AK339" s="133"/>
      <c r="AL339" s="133"/>
      <c r="AM339" s="133"/>
      <c r="AN339" s="133"/>
      <c r="AO339" s="133"/>
    </row>
    <row r="340" spans="1:41" x14ac:dyDescent="0.2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  <c r="AH340" s="133"/>
      <c r="AI340" s="133"/>
      <c r="AJ340" s="133"/>
      <c r="AK340" s="133"/>
      <c r="AL340" s="133"/>
      <c r="AM340" s="133"/>
      <c r="AN340" s="133"/>
      <c r="AO340" s="133"/>
    </row>
    <row r="341" spans="1:41" x14ac:dyDescent="0.2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  <c r="AH341" s="133"/>
      <c r="AI341" s="133"/>
      <c r="AJ341" s="133"/>
      <c r="AK341" s="133"/>
      <c r="AL341" s="133"/>
      <c r="AM341" s="133"/>
      <c r="AN341" s="133"/>
      <c r="AO341" s="133"/>
    </row>
    <row r="342" spans="1:41" x14ac:dyDescent="0.2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  <c r="AH342" s="133"/>
      <c r="AI342" s="133"/>
      <c r="AJ342" s="133"/>
      <c r="AK342" s="133"/>
      <c r="AL342" s="133"/>
      <c r="AM342" s="133"/>
      <c r="AN342" s="133"/>
      <c r="AO342" s="133"/>
    </row>
    <row r="343" spans="1:41" x14ac:dyDescent="0.2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  <c r="AH343" s="133"/>
      <c r="AI343" s="133"/>
      <c r="AJ343" s="133"/>
      <c r="AK343" s="133"/>
      <c r="AL343" s="133"/>
      <c r="AM343" s="133"/>
      <c r="AN343" s="133"/>
      <c r="AO343" s="133"/>
    </row>
    <row r="344" spans="1:41" x14ac:dyDescent="0.2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  <c r="AH344" s="133"/>
      <c r="AI344" s="133"/>
      <c r="AJ344" s="133"/>
      <c r="AK344" s="133"/>
      <c r="AL344" s="133"/>
      <c r="AM344" s="133"/>
      <c r="AN344" s="133"/>
      <c r="AO344" s="133"/>
    </row>
    <row r="345" spans="1:41" x14ac:dyDescent="0.2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  <c r="AH345" s="133"/>
      <c r="AI345" s="133"/>
      <c r="AJ345" s="133"/>
      <c r="AK345" s="133"/>
      <c r="AL345" s="133"/>
      <c r="AM345" s="133"/>
      <c r="AN345" s="133"/>
      <c r="AO345" s="133"/>
    </row>
    <row r="346" spans="1:41" x14ac:dyDescent="0.2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133"/>
      <c r="AJ346" s="133"/>
      <c r="AK346" s="133"/>
      <c r="AL346" s="133"/>
      <c r="AM346" s="133"/>
      <c r="AN346" s="133"/>
      <c r="AO346" s="133"/>
    </row>
    <row r="347" spans="1:41" x14ac:dyDescent="0.2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  <c r="AH347" s="133"/>
      <c r="AI347" s="133"/>
      <c r="AJ347" s="133"/>
      <c r="AK347" s="133"/>
      <c r="AL347" s="133"/>
      <c r="AM347" s="133"/>
      <c r="AN347" s="133"/>
      <c r="AO347" s="133"/>
    </row>
    <row r="348" spans="1:41" x14ac:dyDescent="0.2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  <c r="AH348" s="133"/>
      <c r="AI348" s="133"/>
      <c r="AJ348" s="133"/>
      <c r="AK348" s="133"/>
      <c r="AL348" s="133"/>
      <c r="AM348" s="133"/>
      <c r="AN348" s="133"/>
      <c r="AO348" s="133"/>
    </row>
    <row r="349" spans="1:41" x14ac:dyDescent="0.2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  <c r="AH349" s="133"/>
      <c r="AI349" s="133"/>
      <c r="AJ349" s="133"/>
      <c r="AK349" s="133"/>
      <c r="AL349" s="133"/>
      <c r="AM349" s="133"/>
      <c r="AN349" s="133"/>
      <c r="AO349" s="133"/>
    </row>
    <row r="350" spans="1:41" x14ac:dyDescent="0.2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  <c r="AI350" s="133"/>
      <c r="AJ350" s="133"/>
      <c r="AK350" s="133"/>
      <c r="AL350" s="133"/>
      <c r="AM350" s="133"/>
      <c r="AN350" s="133"/>
      <c r="AO350" s="133"/>
    </row>
    <row r="351" spans="1:41" x14ac:dyDescent="0.2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  <c r="AI351" s="133"/>
      <c r="AJ351" s="133"/>
      <c r="AK351" s="133"/>
      <c r="AL351" s="133"/>
      <c r="AM351" s="133"/>
      <c r="AN351" s="133"/>
      <c r="AO351" s="133"/>
    </row>
    <row r="352" spans="1:41" x14ac:dyDescent="0.2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  <c r="AI352" s="133"/>
      <c r="AJ352" s="133"/>
      <c r="AK352" s="133"/>
      <c r="AL352" s="133"/>
      <c r="AM352" s="133"/>
      <c r="AN352" s="133"/>
      <c r="AO352" s="133"/>
    </row>
    <row r="353" spans="1:41" x14ac:dyDescent="0.2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  <c r="AI353" s="133"/>
      <c r="AJ353" s="133"/>
      <c r="AK353" s="133"/>
      <c r="AL353" s="133"/>
      <c r="AM353" s="133"/>
      <c r="AN353" s="133"/>
      <c r="AO353" s="133"/>
    </row>
    <row r="354" spans="1:41" x14ac:dyDescent="0.2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  <c r="AI354" s="133"/>
      <c r="AJ354" s="133"/>
      <c r="AK354" s="133"/>
      <c r="AL354" s="133"/>
      <c r="AM354" s="133"/>
      <c r="AN354" s="133"/>
      <c r="AO354" s="133"/>
    </row>
    <row r="355" spans="1:41" x14ac:dyDescent="0.2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  <c r="AH355" s="133"/>
      <c r="AI355" s="133"/>
      <c r="AJ355" s="133"/>
      <c r="AK355" s="133"/>
      <c r="AL355" s="133"/>
      <c r="AM355" s="133"/>
      <c r="AN355" s="133"/>
      <c r="AO355" s="133"/>
    </row>
    <row r="356" spans="1:41" x14ac:dyDescent="0.2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  <c r="AH356" s="133"/>
      <c r="AI356" s="133"/>
      <c r="AJ356" s="133"/>
      <c r="AK356" s="133"/>
      <c r="AL356" s="133"/>
      <c r="AM356" s="133"/>
      <c r="AN356" s="133"/>
      <c r="AO356" s="133"/>
    </row>
    <row r="357" spans="1:41" x14ac:dyDescent="0.2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  <c r="AH357" s="133"/>
      <c r="AI357" s="133"/>
      <c r="AJ357" s="133"/>
      <c r="AK357" s="133"/>
      <c r="AL357" s="133"/>
      <c r="AM357" s="133"/>
      <c r="AN357" s="133"/>
      <c r="AO357" s="133"/>
    </row>
    <row r="358" spans="1:41" x14ac:dyDescent="0.2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  <c r="AH358" s="133"/>
      <c r="AI358" s="133"/>
      <c r="AJ358" s="133"/>
      <c r="AK358" s="133"/>
      <c r="AL358" s="133"/>
      <c r="AM358" s="133"/>
      <c r="AN358" s="133"/>
      <c r="AO358" s="133"/>
    </row>
    <row r="359" spans="1:41" x14ac:dyDescent="0.2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  <c r="AH359" s="133"/>
      <c r="AI359" s="133"/>
      <c r="AJ359" s="133"/>
      <c r="AK359" s="133"/>
      <c r="AL359" s="133"/>
      <c r="AM359" s="133"/>
      <c r="AN359" s="133"/>
      <c r="AO359" s="133"/>
    </row>
    <row r="360" spans="1:41" x14ac:dyDescent="0.2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  <c r="AH360" s="133"/>
      <c r="AI360" s="133"/>
      <c r="AJ360" s="133"/>
      <c r="AK360" s="133"/>
      <c r="AL360" s="133"/>
      <c r="AM360" s="133"/>
      <c r="AN360" s="133"/>
      <c r="AO360" s="133"/>
    </row>
    <row r="361" spans="1:41" x14ac:dyDescent="0.2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133"/>
      <c r="AJ361" s="133"/>
      <c r="AK361" s="133"/>
      <c r="AL361" s="133"/>
      <c r="AM361" s="133"/>
      <c r="AN361" s="133"/>
      <c r="AO361" s="133"/>
    </row>
    <row r="362" spans="1:41" x14ac:dyDescent="0.2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  <c r="AH362" s="133"/>
      <c r="AI362" s="133"/>
      <c r="AJ362" s="133"/>
      <c r="AK362" s="133"/>
      <c r="AL362" s="133"/>
      <c r="AM362" s="133"/>
      <c r="AN362" s="133"/>
      <c r="AO362" s="133"/>
    </row>
    <row r="363" spans="1:41" x14ac:dyDescent="0.2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  <c r="AH363" s="133"/>
      <c r="AI363" s="133"/>
      <c r="AJ363" s="133"/>
      <c r="AK363" s="133"/>
      <c r="AL363" s="133"/>
      <c r="AM363" s="133"/>
      <c r="AN363" s="133"/>
      <c r="AO363" s="133"/>
    </row>
    <row r="364" spans="1:41" x14ac:dyDescent="0.2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133"/>
      <c r="AJ364" s="133"/>
      <c r="AK364" s="133"/>
      <c r="AL364" s="133"/>
      <c r="AM364" s="133"/>
      <c r="AN364" s="133"/>
      <c r="AO364" s="133"/>
    </row>
    <row r="365" spans="1:41" x14ac:dyDescent="0.2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  <c r="AH365" s="133"/>
      <c r="AI365" s="133"/>
      <c r="AJ365" s="133"/>
      <c r="AK365" s="133"/>
      <c r="AL365" s="133"/>
      <c r="AM365" s="133"/>
      <c r="AN365" s="133"/>
      <c r="AO365" s="133"/>
    </row>
    <row r="366" spans="1:41" x14ac:dyDescent="0.2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  <c r="AH366" s="133"/>
      <c r="AI366" s="133"/>
      <c r="AJ366" s="133"/>
      <c r="AK366" s="133"/>
      <c r="AL366" s="133"/>
      <c r="AM366" s="133"/>
      <c r="AN366" s="133"/>
      <c r="AO366" s="133"/>
    </row>
    <row r="367" spans="1:41" x14ac:dyDescent="0.2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  <c r="AI367" s="133"/>
      <c r="AJ367" s="133"/>
      <c r="AK367" s="133"/>
      <c r="AL367" s="133"/>
      <c r="AM367" s="133"/>
      <c r="AN367" s="133"/>
      <c r="AO367" s="133"/>
    </row>
    <row r="368" spans="1:41" x14ac:dyDescent="0.2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  <c r="AH368" s="133"/>
      <c r="AI368" s="133"/>
      <c r="AJ368" s="133"/>
      <c r="AK368" s="133"/>
      <c r="AL368" s="133"/>
      <c r="AM368" s="133"/>
      <c r="AN368" s="133"/>
      <c r="AO368" s="133"/>
    </row>
    <row r="369" spans="1:41" x14ac:dyDescent="0.2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  <c r="AG369" s="133"/>
      <c r="AH369" s="133"/>
      <c r="AI369" s="133"/>
      <c r="AJ369" s="133"/>
      <c r="AK369" s="133"/>
      <c r="AL369" s="133"/>
      <c r="AM369" s="133"/>
      <c r="AN369" s="133"/>
      <c r="AO369" s="133"/>
    </row>
    <row r="370" spans="1:41" x14ac:dyDescent="0.2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3"/>
      <c r="AH370" s="133"/>
      <c r="AI370" s="133"/>
      <c r="AJ370" s="133"/>
      <c r="AK370" s="133"/>
      <c r="AL370" s="133"/>
      <c r="AM370" s="133"/>
      <c r="AN370" s="133"/>
      <c r="AO370" s="133"/>
    </row>
    <row r="371" spans="1:41" x14ac:dyDescent="0.2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  <c r="AI371" s="133"/>
      <c r="AJ371" s="133"/>
      <c r="AK371" s="133"/>
      <c r="AL371" s="133"/>
      <c r="AM371" s="133"/>
      <c r="AN371" s="133"/>
      <c r="AO371" s="133"/>
    </row>
    <row r="372" spans="1:41" x14ac:dyDescent="0.2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</row>
    <row r="373" spans="1:41" x14ac:dyDescent="0.2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</row>
    <row r="374" spans="1:41" x14ac:dyDescent="0.2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  <c r="AI374" s="133"/>
      <c r="AJ374" s="133"/>
      <c r="AK374" s="133"/>
      <c r="AL374" s="133"/>
      <c r="AM374" s="133"/>
      <c r="AN374" s="133"/>
      <c r="AO374" s="133"/>
    </row>
    <row r="375" spans="1:41" x14ac:dyDescent="0.2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33"/>
      <c r="AJ375" s="133"/>
      <c r="AK375" s="133"/>
      <c r="AL375" s="133"/>
      <c r="AM375" s="133"/>
      <c r="AN375" s="133"/>
      <c r="AO375" s="133"/>
    </row>
    <row r="376" spans="1:41" x14ac:dyDescent="0.2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133"/>
      <c r="AJ376" s="133"/>
      <c r="AK376" s="133"/>
      <c r="AL376" s="133"/>
      <c r="AM376" s="133"/>
      <c r="AN376" s="133"/>
      <c r="AO376" s="133"/>
    </row>
    <row r="377" spans="1:41" x14ac:dyDescent="0.2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133"/>
      <c r="AJ377" s="133"/>
      <c r="AK377" s="133"/>
      <c r="AL377" s="133"/>
      <c r="AM377" s="133"/>
      <c r="AN377" s="133"/>
      <c r="AO377" s="133"/>
    </row>
    <row r="378" spans="1:41" x14ac:dyDescent="0.2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33"/>
      <c r="AJ378" s="133"/>
      <c r="AK378" s="133"/>
      <c r="AL378" s="133"/>
      <c r="AM378" s="133"/>
      <c r="AN378" s="133"/>
      <c r="AO378" s="133"/>
    </row>
    <row r="379" spans="1:41" x14ac:dyDescent="0.2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33"/>
      <c r="AJ379" s="133"/>
      <c r="AK379" s="133"/>
      <c r="AL379" s="133"/>
      <c r="AM379" s="133"/>
      <c r="AN379" s="133"/>
      <c r="AO379" s="133"/>
    </row>
    <row r="380" spans="1:41" x14ac:dyDescent="0.2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  <c r="AI380" s="133"/>
      <c r="AJ380" s="133"/>
      <c r="AK380" s="133"/>
      <c r="AL380" s="133"/>
      <c r="AM380" s="133"/>
      <c r="AN380" s="133"/>
      <c r="AO380" s="133"/>
    </row>
    <row r="381" spans="1:41" x14ac:dyDescent="0.2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  <c r="AI381" s="133"/>
      <c r="AJ381" s="133"/>
      <c r="AK381" s="133"/>
      <c r="AL381" s="133"/>
      <c r="AM381" s="133"/>
      <c r="AN381" s="133"/>
      <c r="AO381" s="133"/>
    </row>
    <row r="382" spans="1:41" x14ac:dyDescent="0.2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  <c r="AI382" s="133"/>
      <c r="AJ382" s="133"/>
      <c r="AK382" s="133"/>
      <c r="AL382" s="133"/>
      <c r="AM382" s="133"/>
      <c r="AN382" s="133"/>
      <c r="AO382" s="133"/>
    </row>
    <row r="383" spans="1:41" x14ac:dyDescent="0.2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33"/>
      <c r="AJ383" s="133"/>
      <c r="AK383" s="133"/>
      <c r="AL383" s="133"/>
      <c r="AM383" s="133"/>
      <c r="AN383" s="133"/>
      <c r="AO383" s="133"/>
    </row>
    <row r="384" spans="1:41" x14ac:dyDescent="0.2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  <c r="AG384" s="133"/>
      <c r="AH384" s="133"/>
      <c r="AI384" s="133"/>
      <c r="AJ384" s="133"/>
      <c r="AK384" s="133"/>
      <c r="AL384" s="133"/>
      <c r="AM384" s="133"/>
      <c r="AN384" s="133"/>
      <c r="AO384" s="133"/>
    </row>
    <row r="385" spans="1:41" x14ac:dyDescent="0.2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  <c r="AI385" s="133"/>
      <c r="AJ385" s="133"/>
      <c r="AK385" s="133"/>
      <c r="AL385" s="133"/>
      <c r="AM385" s="133"/>
      <c r="AN385" s="133"/>
      <c r="AO385" s="133"/>
    </row>
    <row r="386" spans="1:41" x14ac:dyDescent="0.2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3"/>
      <c r="AO386" s="133"/>
    </row>
    <row r="387" spans="1:41" x14ac:dyDescent="0.2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  <c r="AI387" s="133"/>
      <c r="AJ387" s="133"/>
      <c r="AK387" s="133"/>
      <c r="AL387" s="133"/>
      <c r="AM387" s="133"/>
      <c r="AN387" s="133"/>
      <c r="AO387" s="133"/>
    </row>
    <row r="388" spans="1:41" x14ac:dyDescent="0.2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  <c r="AG388" s="133"/>
      <c r="AH388" s="133"/>
      <c r="AI388" s="133"/>
      <c r="AJ388" s="133"/>
      <c r="AK388" s="133"/>
      <c r="AL388" s="133"/>
      <c r="AM388" s="133"/>
      <c r="AN388" s="133"/>
      <c r="AO388" s="133"/>
    </row>
    <row r="389" spans="1:41" x14ac:dyDescent="0.2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  <c r="AG389" s="133"/>
      <c r="AH389" s="133"/>
      <c r="AI389" s="133"/>
      <c r="AJ389" s="133"/>
      <c r="AK389" s="133"/>
      <c r="AL389" s="133"/>
      <c r="AM389" s="133"/>
      <c r="AN389" s="133"/>
      <c r="AO389" s="133"/>
    </row>
    <row r="390" spans="1:41" x14ac:dyDescent="0.2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  <c r="AH390" s="133"/>
      <c r="AI390" s="133"/>
      <c r="AJ390" s="133"/>
      <c r="AK390" s="133"/>
      <c r="AL390" s="133"/>
      <c r="AM390" s="133"/>
      <c r="AN390" s="133"/>
      <c r="AO390" s="133"/>
    </row>
    <row r="391" spans="1:41" x14ac:dyDescent="0.2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  <c r="AG391" s="133"/>
      <c r="AH391" s="133"/>
      <c r="AI391" s="133"/>
      <c r="AJ391" s="133"/>
      <c r="AK391" s="133"/>
      <c r="AL391" s="133"/>
      <c r="AM391" s="133"/>
      <c r="AN391" s="133"/>
      <c r="AO391" s="133"/>
    </row>
    <row r="392" spans="1:41" x14ac:dyDescent="0.2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  <c r="AI392" s="133"/>
      <c r="AJ392" s="133"/>
      <c r="AK392" s="133"/>
      <c r="AL392" s="133"/>
      <c r="AM392" s="133"/>
      <c r="AN392" s="133"/>
      <c r="AO392" s="133"/>
    </row>
    <row r="393" spans="1:41" x14ac:dyDescent="0.2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  <c r="AG393" s="133"/>
      <c r="AH393" s="133"/>
      <c r="AI393" s="133"/>
      <c r="AJ393" s="133"/>
      <c r="AK393" s="133"/>
      <c r="AL393" s="133"/>
      <c r="AM393" s="133"/>
      <c r="AN393" s="133"/>
      <c r="AO393" s="133"/>
    </row>
    <row r="394" spans="1:41" x14ac:dyDescent="0.2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  <c r="AH394" s="133"/>
      <c r="AI394" s="133"/>
      <c r="AJ394" s="133"/>
      <c r="AK394" s="133"/>
      <c r="AL394" s="133"/>
      <c r="AM394" s="133"/>
      <c r="AN394" s="133"/>
      <c r="AO394" s="133"/>
    </row>
    <row r="395" spans="1:41" x14ac:dyDescent="0.2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  <c r="AG395" s="133"/>
      <c r="AH395" s="133"/>
      <c r="AI395" s="133"/>
      <c r="AJ395" s="133"/>
      <c r="AK395" s="133"/>
      <c r="AL395" s="133"/>
      <c r="AM395" s="133"/>
      <c r="AN395" s="133"/>
      <c r="AO395" s="133"/>
    </row>
    <row r="396" spans="1:41" x14ac:dyDescent="0.2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  <c r="AI396" s="133"/>
      <c r="AJ396" s="133"/>
      <c r="AK396" s="133"/>
      <c r="AL396" s="133"/>
      <c r="AM396" s="133"/>
      <c r="AN396" s="133"/>
      <c r="AO396" s="133"/>
    </row>
    <row r="397" spans="1:41" x14ac:dyDescent="0.2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</row>
    <row r="398" spans="1:41" x14ac:dyDescent="0.2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  <c r="AH398" s="133"/>
      <c r="AI398" s="133"/>
      <c r="AJ398" s="133"/>
      <c r="AK398" s="133"/>
      <c r="AL398" s="133"/>
      <c r="AM398" s="133"/>
      <c r="AN398" s="133"/>
      <c r="AO398" s="133"/>
    </row>
    <row r="399" spans="1:41" x14ac:dyDescent="0.2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  <c r="AI399" s="133"/>
      <c r="AJ399" s="133"/>
      <c r="AK399" s="133"/>
      <c r="AL399" s="133"/>
      <c r="AM399" s="133"/>
      <c r="AN399" s="133"/>
      <c r="AO399" s="133"/>
    </row>
    <row r="400" spans="1:41" x14ac:dyDescent="0.2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  <c r="AG400" s="133"/>
      <c r="AH400" s="133"/>
      <c r="AI400" s="133"/>
      <c r="AJ400" s="133"/>
      <c r="AK400" s="133"/>
      <c r="AL400" s="133"/>
      <c r="AM400" s="133"/>
      <c r="AN400" s="133"/>
      <c r="AO400" s="133"/>
    </row>
    <row r="401" spans="1:41" x14ac:dyDescent="0.2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  <c r="AH401" s="133"/>
      <c r="AI401" s="133"/>
      <c r="AJ401" s="133"/>
      <c r="AK401" s="133"/>
      <c r="AL401" s="133"/>
      <c r="AM401" s="133"/>
      <c r="AN401" s="133"/>
      <c r="AO401" s="133"/>
    </row>
    <row r="402" spans="1:41" x14ac:dyDescent="0.2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  <c r="AH402" s="133"/>
      <c r="AI402" s="133"/>
      <c r="AJ402" s="133"/>
      <c r="AK402" s="133"/>
      <c r="AL402" s="133"/>
      <c r="AM402" s="133"/>
      <c r="AN402" s="133"/>
      <c r="AO402" s="133"/>
    </row>
    <row r="403" spans="1:41" x14ac:dyDescent="0.2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  <c r="AH403" s="133"/>
      <c r="AI403" s="133"/>
      <c r="AJ403" s="133"/>
      <c r="AK403" s="133"/>
      <c r="AL403" s="133"/>
      <c r="AM403" s="133"/>
      <c r="AN403" s="133"/>
      <c r="AO403" s="133"/>
    </row>
    <row r="404" spans="1:41" x14ac:dyDescent="0.2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  <c r="AH404" s="133"/>
      <c r="AI404" s="133"/>
      <c r="AJ404" s="133"/>
      <c r="AK404" s="133"/>
      <c r="AL404" s="133"/>
      <c r="AM404" s="133"/>
      <c r="AN404" s="133"/>
      <c r="AO404" s="133"/>
    </row>
    <row r="405" spans="1:41" x14ac:dyDescent="0.2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  <c r="AH405" s="133"/>
      <c r="AI405" s="133"/>
      <c r="AJ405" s="133"/>
      <c r="AK405" s="133"/>
      <c r="AL405" s="133"/>
      <c r="AM405" s="133"/>
      <c r="AN405" s="133"/>
      <c r="AO405" s="133"/>
    </row>
    <row r="406" spans="1:41" x14ac:dyDescent="0.2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  <c r="AH406" s="133"/>
      <c r="AI406" s="133"/>
      <c r="AJ406" s="133"/>
      <c r="AK406" s="133"/>
      <c r="AL406" s="133"/>
      <c r="AM406" s="133"/>
      <c r="AN406" s="133"/>
      <c r="AO406" s="133"/>
    </row>
    <row r="407" spans="1:41" x14ac:dyDescent="0.2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  <c r="AG407" s="133"/>
      <c r="AH407" s="133"/>
      <c r="AI407" s="133"/>
      <c r="AJ407" s="133"/>
      <c r="AK407" s="133"/>
      <c r="AL407" s="133"/>
      <c r="AM407" s="133"/>
      <c r="AN407" s="133"/>
      <c r="AO407" s="133"/>
    </row>
    <row r="408" spans="1:41" x14ac:dyDescent="0.2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  <c r="AH408" s="133"/>
      <c r="AI408" s="133"/>
      <c r="AJ408" s="133"/>
      <c r="AK408" s="133"/>
      <c r="AL408" s="133"/>
      <c r="AM408" s="133"/>
      <c r="AN408" s="133"/>
      <c r="AO408" s="133"/>
    </row>
    <row r="409" spans="1:41" x14ac:dyDescent="0.2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  <c r="AG409" s="133"/>
      <c r="AH409" s="133"/>
      <c r="AI409" s="133"/>
      <c r="AJ409" s="133"/>
      <c r="AK409" s="133"/>
      <c r="AL409" s="133"/>
      <c r="AM409" s="133"/>
      <c r="AN409" s="133"/>
      <c r="AO409" s="133"/>
    </row>
    <row r="410" spans="1:41" x14ac:dyDescent="0.2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  <c r="AG410" s="133"/>
      <c r="AH410" s="133"/>
      <c r="AI410" s="133"/>
      <c r="AJ410" s="133"/>
      <c r="AK410" s="133"/>
      <c r="AL410" s="133"/>
      <c r="AM410" s="133"/>
      <c r="AN410" s="133"/>
      <c r="AO410" s="133"/>
    </row>
    <row r="411" spans="1:41" x14ac:dyDescent="0.2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  <c r="AH411" s="133"/>
      <c r="AI411" s="133"/>
      <c r="AJ411" s="133"/>
      <c r="AK411" s="133"/>
      <c r="AL411" s="133"/>
      <c r="AM411" s="133"/>
      <c r="AN411" s="133"/>
      <c r="AO411" s="133"/>
    </row>
    <row r="412" spans="1:41" x14ac:dyDescent="0.2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  <c r="AI412" s="133"/>
      <c r="AJ412" s="133"/>
      <c r="AK412" s="133"/>
      <c r="AL412" s="133"/>
      <c r="AM412" s="133"/>
      <c r="AN412" s="133"/>
      <c r="AO412" s="133"/>
    </row>
    <row r="413" spans="1:41" x14ac:dyDescent="0.2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  <c r="AG413" s="133"/>
      <c r="AH413" s="133"/>
      <c r="AI413" s="133"/>
      <c r="AJ413" s="133"/>
      <c r="AK413" s="133"/>
      <c r="AL413" s="133"/>
      <c r="AM413" s="133"/>
      <c r="AN413" s="133"/>
      <c r="AO413" s="133"/>
    </row>
    <row r="414" spans="1:41" x14ac:dyDescent="0.2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  <c r="AG414" s="133"/>
      <c r="AH414" s="133"/>
      <c r="AI414" s="133"/>
      <c r="AJ414" s="133"/>
      <c r="AK414" s="133"/>
      <c r="AL414" s="133"/>
      <c r="AM414" s="133"/>
      <c r="AN414" s="133"/>
      <c r="AO414" s="133"/>
    </row>
    <row r="415" spans="1:41" x14ac:dyDescent="0.2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  <c r="AH415" s="133"/>
      <c r="AI415" s="133"/>
      <c r="AJ415" s="133"/>
      <c r="AK415" s="133"/>
      <c r="AL415" s="133"/>
      <c r="AM415" s="133"/>
      <c r="AN415" s="133"/>
      <c r="AO415" s="133"/>
    </row>
    <row r="416" spans="1:41" x14ac:dyDescent="0.2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  <c r="AH416" s="133"/>
      <c r="AI416" s="133"/>
      <c r="AJ416" s="133"/>
      <c r="AK416" s="133"/>
      <c r="AL416" s="133"/>
      <c r="AM416" s="133"/>
      <c r="AN416" s="133"/>
      <c r="AO416" s="133"/>
    </row>
    <row r="417" spans="1:41" x14ac:dyDescent="0.2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  <c r="AI417" s="133"/>
      <c r="AJ417" s="133"/>
      <c r="AK417" s="133"/>
      <c r="AL417" s="133"/>
      <c r="AM417" s="133"/>
      <c r="AN417" s="133"/>
      <c r="AO417" s="133"/>
    </row>
    <row r="418" spans="1:41" x14ac:dyDescent="0.2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  <c r="AH418" s="133"/>
      <c r="AI418" s="133"/>
      <c r="AJ418" s="133"/>
      <c r="AK418" s="133"/>
      <c r="AL418" s="133"/>
      <c r="AM418" s="133"/>
      <c r="AN418" s="133"/>
      <c r="AO418" s="133"/>
    </row>
    <row r="419" spans="1:41" x14ac:dyDescent="0.2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  <c r="AH419" s="133"/>
      <c r="AI419" s="133"/>
      <c r="AJ419" s="133"/>
      <c r="AK419" s="133"/>
      <c r="AL419" s="133"/>
      <c r="AM419" s="133"/>
      <c r="AN419" s="133"/>
      <c r="AO419" s="133"/>
    </row>
    <row r="420" spans="1:41" x14ac:dyDescent="0.2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  <c r="AH420" s="133"/>
      <c r="AI420" s="133"/>
      <c r="AJ420" s="133"/>
      <c r="AK420" s="133"/>
      <c r="AL420" s="133"/>
      <c r="AM420" s="133"/>
      <c r="AN420" s="133"/>
      <c r="AO420" s="133"/>
    </row>
    <row r="421" spans="1:41" x14ac:dyDescent="0.2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  <c r="AG421" s="133"/>
      <c r="AH421" s="133"/>
      <c r="AI421" s="133"/>
      <c r="AJ421" s="133"/>
      <c r="AK421" s="133"/>
      <c r="AL421" s="133"/>
      <c r="AM421" s="133"/>
      <c r="AN421" s="133"/>
      <c r="AO421" s="133"/>
    </row>
    <row r="422" spans="1:41" x14ac:dyDescent="0.2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  <c r="AG422" s="133"/>
      <c r="AH422" s="133"/>
      <c r="AI422" s="133"/>
      <c r="AJ422" s="133"/>
      <c r="AK422" s="133"/>
      <c r="AL422" s="133"/>
      <c r="AM422" s="133"/>
      <c r="AN422" s="133"/>
      <c r="AO422" s="133"/>
    </row>
    <row r="423" spans="1:41" x14ac:dyDescent="0.2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  <c r="AH423" s="133"/>
      <c r="AI423" s="133"/>
      <c r="AJ423" s="133"/>
      <c r="AK423" s="133"/>
      <c r="AL423" s="133"/>
      <c r="AM423" s="133"/>
      <c r="AN423" s="133"/>
      <c r="AO423" s="133"/>
    </row>
    <row r="424" spans="1:41" x14ac:dyDescent="0.2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  <c r="AH424" s="133"/>
      <c r="AI424" s="133"/>
      <c r="AJ424" s="133"/>
      <c r="AK424" s="133"/>
      <c r="AL424" s="133"/>
      <c r="AM424" s="133"/>
      <c r="AN424" s="133"/>
      <c r="AO424" s="133"/>
    </row>
    <row r="425" spans="1:41" x14ac:dyDescent="0.2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  <c r="AH425" s="133"/>
      <c r="AI425" s="133"/>
      <c r="AJ425" s="133"/>
      <c r="AK425" s="133"/>
      <c r="AL425" s="133"/>
      <c r="AM425" s="133"/>
      <c r="AN425" s="133"/>
      <c r="AO425" s="133"/>
    </row>
    <row r="426" spans="1:41" x14ac:dyDescent="0.2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  <c r="AH426" s="133"/>
      <c r="AI426" s="133"/>
      <c r="AJ426" s="133"/>
      <c r="AK426" s="133"/>
      <c r="AL426" s="133"/>
      <c r="AM426" s="133"/>
      <c r="AN426" s="133"/>
      <c r="AO426" s="133"/>
    </row>
    <row r="427" spans="1:41" x14ac:dyDescent="0.2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  <c r="AH427" s="133"/>
      <c r="AI427" s="133"/>
      <c r="AJ427" s="133"/>
      <c r="AK427" s="133"/>
      <c r="AL427" s="133"/>
      <c r="AM427" s="133"/>
      <c r="AN427" s="133"/>
      <c r="AO427" s="133"/>
    </row>
    <row r="428" spans="1:41" x14ac:dyDescent="0.2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33"/>
      <c r="AI428" s="133"/>
      <c r="AJ428" s="133"/>
      <c r="AK428" s="133"/>
      <c r="AL428" s="133"/>
      <c r="AM428" s="133"/>
      <c r="AN428" s="133"/>
      <c r="AO428" s="133"/>
    </row>
    <row r="429" spans="1:41" x14ac:dyDescent="0.2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  <c r="AI429" s="133"/>
      <c r="AJ429" s="133"/>
      <c r="AK429" s="133"/>
      <c r="AL429" s="133"/>
      <c r="AM429" s="133"/>
      <c r="AN429" s="133"/>
      <c r="AO429" s="133"/>
    </row>
    <row r="430" spans="1:41" x14ac:dyDescent="0.2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  <c r="AI430" s="133"/>
      <c r="AJ430" s="133"/>
      <c r="AK430" s="133"/>
      <c r="AL430" s="133"/>
      <c r="AM430" s="133"/>
      <c r="AN430" s="133"/>
      <c r="AO430" s="133"/>
    </row>
    <row r="431" spans="1:41" x14ac:dyDescent="0.2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  <c r="AH431" s="133"/>
      <c r="AI431" s="133"/>
      <c r="AJ431" s="133"/>
      <c r="AK431" s="133"/>
      <c r="AL431" s="133"/>
      <c r="AM431" s="133"/>
      <c r="AN431" s="133"/>
      <c r="AO431" s="133"/>
    </row>
    <row r="432" spans="1:41" x14ac:dyDescent="0.2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  <c r="AH432" s="133"/>
      <c r="AI432" s="133"/>
      <c r="AJ432" s="133"/>
      <c r="AK432" s="133"/>
      <c r="AL432" s="133"/>
      <c r="AM432" s="133"/>
      <c r="AN432" s="133"/>
      <c r="AO432" s="133"/>
    </row>
    <row r="433" spans="1:41" x14ac:dyDescent="0.2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  <c r="AH433" s="133"/>
      <c r="AI433" s="133"/>
      <c r="AJ433" s="133"/>
      <c r="AK433" s="133"/>
      <c r="AL433" s="133"/>
      <c r="AM433" s="133"/>
      <c r="AN433" s="133"/>
      <c r="AO433" s="133"/>
    </row>
    <row r="434" spans="1:41" x14ac:dyDescent="0.2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33"/>
      <c r="AI434" s="133"/>
      <c r="AJ434" s="133"/>
      <c r="AK434" s="133"/>
      <c r="AL434" s="133"/>
      <c r="AM434" s="133"/>
      <c r="AN434" s="133"/>
      <c r="AO434" s="133"/>
    </row>
    <row r="435" spans="1:41" x14ac:dyDescent="0.2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33"/>
      <c r="AI435" s="133"/>
      <c r="AJ435" s="133"/>
      <c r="AK435" s="133"/>
      <c r="AL435" s="133"/>
      <c r="AM435" s="133"/>
      <c r="AN435" s="133"/>
      <c r="AO435" s="133"/>
    </row>
    <row r="436" spans="1:41" x14ac:dyDescent="0.2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  <c r="AI436" s="133"/>
      <c r="AJ436" s="133"/>
      <c r="AK436" s="133"/>
      <c r="AL436" s="133"/>
      <c r="AM436" s="133"/>
      <c r="AN436" s="133"/>
      <c r="AO436" s="133"/>
    </row>
    <row r="437" spans="1:41" x14ac:dyDescent="0.2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  <c r="AH437" s="133"/>
      <c r="AI437" s="133"/>
      <c r="AJ437" s="133"/>
      <c r="AK437" s="133"/>
      <c r="AL437" s="133"/>
      <c r="AM437" s="133"/>
      <c r="AN437" s="133"/>
      <c r="AO437" s="133"/>
    </row>
    <row r="438" spans="1:41" x14ac:dyDescent="0.2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  <c r="AH438" s="133"/>
      <c r="AI438" s="133"/>
      <c r="AJ438" s="133"/>
      <c r="AK438" s="133"/>
      <c r="AL438" s="133"/>
      <c r="AM438" s="133"/>
      <c r="AN438" s="133"/>
      <c r="AO438" s="133"/>
    </row>
    <row r="439" spans="1:41" x14ac:dyDescent="0.2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  <c r="AH439" s="133"/>
      <c r="AI439" s="133"/>
      <c r="AJ439" s="133"/>
      <c r="AK439" s="133"/>
      <c r="AL439" s="133"/>
      <c r="AM439" s="133"/>
      <c r="AN439" s="133"/>
      <c r="AO439" s="133"/>
    </row>
    <row r="440" spans="1:41" x14ac:dyDescent="0.2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  <c r="AH440" s="133"/>
      <c r="AI440" s="133"/>
      <c r="AJ440" s="133"/>
      <c r="AK440" s="133"/>
      <c r="AL440" s="133"/>
      <c r="AM440" s="133"/>
      <c r="AN440" s="133"/>
      <c r="AO440" s="133"/>
    </row>
    <row r="441" spans="1:41" x14ac:dyDescent="0.2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  <c r="AH441" s="133"/>
      <c r="AI441" s="133"/>
      <c r="AJ441" s="133"/>
      <c r="AK441" s="133"/>
      <c r="AL441" s="133"/>
      <c r="AM441" s="133"/>
      <c r="AN441" s="133"/>
      <c r="AO441" s="133"/>
    </row>
    <row r="442" spans="1:41" x14ac:dyDescent="0.2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33"/>
      <c r="AI442" s="133"/>
      <c r="AJ442" s="133"/>
      <c r="AK442" s="133"/>
      <c r="AL442" s="133"/>
      <c r="AM442" s="133"/>
      <c r="AN442" s="133"/>
      <c r="AO442" s="133"/>
    </row>
    <row r="443" spans="1:41" x14ac:dyDescent="0.2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  <c r="AH443" s="133"/>
      <c r="AI443" s="133"/>
      <c r="AJ443" s="133"/>
      <c r="AK443" s="133"/>
      <c r="AL443" s="133"/>
      <c r="AM443" s="133"/>
      <c r="AN443" s="133"/>
      <c r="AO443" s="133"/>
    </row>
    <row r="444" spans="1:41" x14ac:dyDescent="0.2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  <c r="AH444" s="133"/>
      <c r="AI444" s="133"/>
      <c r="AJ444" s="133"/>
      <c r="AK444" s="133"/>
      <c r="AL444" s="133"/>
      <c r="AM444" s="133"/>
      <c r="AN444" s="133"/>
      <c r="AO444" s="133"/>
    </row>
    <row r="445" spans="1:41" x14ac:dyDescent="0.2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  <c r="AH445" s="133"/>
      <c r="AI445" s="133"/>
      <c r="AJ445" s="133"/>
      <c r="AK445" s="133"/>
      <c r="AL445" s="133"/>
      <c r="AM445" s="133"/>
      <c r="AN445" s="133"/>
      <c r="AO445" s="133"/>
    </row>
    <row r="446" spans="1:41" x14ac:dyDescent="0.2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33"/>
      <c r="AI446" s="133"/>
      <c r="AJ446" s="133"/>
      <c r="AK446" s="133"/>
      <c r="AL446" s="133"/>
      <c r="AM446" s="133"/>
      <c r="AN446" s="133"/>
      <c r="AO446" s="133"/>
    </row>
    <row r="447" spans="1:41" x14ac:dyDescent="0.2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  <c r="AH447" s="133"/>
      <c r="AI447" s="133"/>
      <c r="AJ447" s="133"/>
      <c r="AK447" s="133"/>
      <c r="AL447" s="133"/>
      <c r="AM447" s="133"/>
      <c r="AN447" s="133"/>
      <c r="AO447" s="133"/>
    </row>
    <row r="448" spans="1:41" x14ac:dyDescent="0.2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33"/>
      <c r="AI448" s="133"/>
      <c r="AJ448" s="133"/>
      <c r="AK448" s="133"/>
      <c r="AL448" s="133"/>
      <c r="AM448" s="133"/>
      <c r="AN448" s="133"/>
      <c r="AO448" s="133"/>
    </row>
    <row r="449" spans="1:41" x14ac:dyDescent="0.2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  <c r="AH449" s="133"/>
      <c r="AI449" s="133"/>
      <c r="AJ449" s="133"/>
      <c r="AK449" s="133"/>
      <c r="AL449" s="133"/>
      <c r="AM449" s="133"/>
      <c r="AN449" s="133"/>
      <c r="AO449" s="133"/>
    </row>
    <row r="450" spans="1:41" x14ac:dyDescent="0.2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  <c r="AH450" s="133"/>
      <c r="AI450" s="133"/>
      <c r="AJ450" s="133"/>
      <c r="AK450" s="133"/>
      <c r="AL450" s="133"/>
      <c r="AM450" s="133"/>
      <c r="AN450" s="133"/>
      <c r="AO450" s="133"/>
    </row>
    <row r="451" spans="1:41" x14ac:dyDescent="0.2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33"/>
      <c r="AI451" s="133"/>
      <c r="AJ451" s="133"/>
      <c r="AK451" s="133"/>
      <c r="AL451" s="133"/>
      <c r="AM451" s="133"/>
      <c r="AN451" s="133"/>
      <c r="AO451" s="133"/>
    </row>
    <row r="452" spans="1:41" x14ac:dyDescent="0.2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  <c r="AH452" s="133"/>
      <c r="AI452" s="133"/>
      <c r="AJ452" s="133"/>
      <c r="AK452" s="133"/>
      <c r="AL452" s="133"/>
      <c r="AM452" s="133"/>
      <c r="AN452" s="133"/>
      <c r="AO452" s="133"/>
    </row>
    <row r="453" spans="1:41" x14ac:dyDescent="0.2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  <c r="AH453" s="133"/>
      <c r="AI453" s="133"/>
      <c r="AJ453" s="133"/>
      <c r="AK453" s="133"/>
      <c r="AL453" s="133"/>
      <c r="AM453" s="133"/>
      <c r="AN453" s="133"/>
      <c r="AO453" s="133"/>
    </row>
    <row r="454" spans="1:41" x14ac:dyDescent="0.2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  <c r="AH454" s="133"/>
      <c r="AI454" s="133"/>
      <c r="AJ454" s="133"/>
      <c r="AK454" s="133"/>
      <c r="AL454" s="133"/>
      <c r="AM454" s="133"/>
      <c r="AN454" s="133"/>
      <c r="AO454" s="133"/>
    </row>
    <row r="455" spans="1:41" x14ac:dyDescent="0.2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  <c r="AH455" s="133"/>
      <c r="AI455" s="133"/>
      <c r="AJ455" s="133"/>
      <c r="AK455" s="133"/>
      <c r="AL455" s="133"/>
      <c r="AM455" s="133"/>
      <c r="AN455" s="133"/>
      <c r="AO455" s="133"/>
    </row>
    <row r="456" spans="1:41" x14ac:dyDescent="0.2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  <c r="AH456" s="133"/>
      <c r="AI456" s="133"/>
      <c r="AJ456" s="133"/>
      <c r="AK456" s="133"/>
      <c r="AL456" s="133"/>
      <c r="AM456" s="133"/>
      <c r="AN456" s="133"/>
      <c r="AO456" s="133"/>
    </row>
    <row r="457" spans="1:41" x14ac:dyDescent="0.2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  <c r="AH457" s="133"/>
      <c r="AI457" s="133"/>
      <c r="AJ457" s="133"/>
      <c r="AK457" s="133"/>
      <c r="AL457" s="133"/>
      <c r="AM457" s="133"/>
      <c r="AN457" s="133"/>
      <c r="AO457" s="133"/>
    </row>
    <row r="458" spans="1:41" x14ac:dyDescent="0.2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  <c r="AG458" s="133"/>
      <c r="AH458" s="133"/>
      <c r="AI458" s="133"/>
      <c r="AJ458" s="133"/>
      <c r="AK458" s="133"/>
      <c r="AL458" s="133"/>
      <c r="AM458" s="133"/>
      <c r="AN458" s="133"/>
      <c r="AO458" s="133"/>
    </row>
    <row r="459" spans="1:41" x14ac:dyDescent="0.2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  <c r="AH459" s="133"/>
      <c r="AI459" s="133"/>
      <c r="AJ459" s="133"/>
      <c r="AK459" s="133"/>
      <c r="AL459" s="133"/>
      <c r="AM459" s="133"/>
      <c r="AN459" s="133"/>
      <c r="AO459" s="133"/>
    </row>
    <row r="460" spans="1:41" x14ac:dyDescent="0.2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  <c r="AG460" s="133"/>
      <c r="AH460" s="133"/>
      <c r="AI460" s="133"/>
      <c r="AJ460" s="133"/>
      <c r="AK460" s="133"/>
      <c r="AL460" s="133"/>
      <c r="AM460" s="133"/>
      <c r="AN460" s="133"/>
      <c r="AO460" s="133"/>
    </row>
    <row r="461" spans="1:41" x14ac:dyDescent="0.2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  <c r="AG461" s="133"/>
      <c r="AH461" s="133"/>
      <c r="AI461" s="133"/>
      <c r="AJ461" s="133"/>
      <c r="AK461" s="133"/>
      <c r="AL461" s="133"/>
      <c r="AM461" s="133"/>
      <c r="AN461" s="133"/>
      <c r="AO461" s="133"/>
    </row>
    <row r="462" spans="1:41" x14ac:dyDescent="0.2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  <c r="AG462" s="133"/>
      <c r="AH462" s="133"/>
      <c r="AI462" s="133"/>
      <c r="AJ462" s="133"/>
      <c r="AK462" s="133"/>
      <c r="AL462" s="133"/>
      <c r="AM462" s="133"/>
      <c r="AN462" s="133"/>
      <c r="AO462" s="133"/>
    </row>
    <row r="463" spans="1:41" x14ac:dyDescent="0.2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  <c r="AG463" s="133"/>
      <c r="AH463" s="133"/>
      <c r="AI463" s="133"/>
      <c r="AJ463" s="133"/>
      <c r="AK463" s="133"/>
      <c r="AL463" s="133"/>
      <c r="AM463" s="133"/>
      <c r="AN463" s="133"/>
      <c r="AO463" s="133"/>
    </row>
    <row r="464" spans="1:41" x14ac:dyDescent="0.2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  <c r="AG464" s="133"/>
      <c r="AH464" s="133"/>
      <c r="AI464" s="133"/>
      <c r="AJ464" s="133"/>
      <c r="AK464" s="133"/>
      <c r="AL464" s="133"/>
      <c r="AM464" s="133"/>
      <c r="AN464" s="133"/>
      <c r="AO464" s="133"/>
    </row>
    <row r="465" spans="1:41" x14ac:dyDescent="0.2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133"/>
      <c r="AF465" s="133"/>
      <c r="AG465" s="133"/>
      <c r="AH465" s="133"/>
      <c r="AI465" s="133"/>
      <c r="AJ465" s="133"/>
      <c r="AK465" s="133"/>
      <c r="AL465" s="133"/>
      <c r="AM465" s="133"/>
      <c r="AN465" s="133"/>
      <c r="AO465" s="133"/>
    </row>
    <row r="466" spans="1:41" x14ac:dyDescent="0.2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133"/>
      <c r="AF466" s="133"/>
      <c r="AG466" s="133"/>
      <c r="AH466" s="133"/>
      <c r="AI466" s="133"/>
      <c r="AJ466" s="133"/>
      <c r="AK466" s="133"/>
      <c r="AL466" s="133"/>
      <c r="AM466" s="133"/>
      <c r="AN466" s="133"/>
      <c r="AO466" s="133"/>
    </row>
    <row r="467" spans="1:41" x14ac:dyDescent="0.2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133"/>
      <c r="AF467" s="133"/>
      <c r="AG467" s="133"/>
      <c r="AH467" s="133"/>
      <c r="AI467" s="133"/>
      <c r="AJ467" s="133"/>
      <c r="AK467" s="133"/>
      <c r="AL467" s="133"/>
      <c r="AM467" s="133"/>
      <c r="AN467" s="133"/>
      <c r="AO467" s="133"/>
    </row>
    <row r="468" spans="1:41" x14ac:dyDescent="0.2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  <c r="AG468" s="133"/>
      <c r="AH468" s="133"/>
      <c r="AI468" s="133"/>
      <c r="AJ468" s="133"/>
      <c r="AK468" s="133"/>
      <c r="AL468" s="133"/>
      <c r="AM468" s="133"/>
      <c r="AN468" s="133"/>
      <c r="AO468" s="133"/>
    </row>
    <row r="469" spans="1:41" x14ac:dyDescent="0.2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  <c r="AH469" s="133"/>
      <c r="AI469" s="133"/>
      <c r="AJ469" s="133"/>
      <c r="AK469" s="133"/>
      <c r="AL469" s="133"/>
      <c r="AM469" s="133"/>
      <c r="AN469" s="133"/>
      <c r="AO469" s="133"/>
    </row>
    <row r="470" spans="1:41" x14ac:dyDescent="0.2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133"/>
      <c r="AF470" s="133"/>
      <c r="AG470" s="133"/>
      <c r="AH470" s="133"/>
      <c r="AI470" s="133"/>
      <c r="AJ470" s="133"/>
      <c r="AK470" s="133"/>
      <c r="AL470" s="133"/>
      <c r="AM470" s="133"/>
      <c r="AN470" s="133"/>
      <c r="AO470" s="133"/>
    </row>
    <row r="471" spans="1:41" x14ac:dyDescent="0.2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  <c r="AG471" s="133"/>
      <c r="AH471" s="133"/>
      <c r="AI471" s="133"/>
      <c r="AJ471" s="133"/>
      <c r="AK471" s="133"/>
      <c r="AL471" s="133"/>
      <c r="AM471" s="133"/>
      <c r="AN471" s="133"/>
      <c r="AO471" s="133"/>
    </row>
    <row r="472" spans="1:41" x14ac:dyDescent="0.2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  <c r="AG472" s="133"/>
      <c r="AH472" s="133"/>
      <c r="AI472" s="133"/>
      <c r="AJ472" s="133"/>
      <c r="AK472" s="133"/>
      <c r="AL472" s="133"/>
      <c r="AM472" s="133"/>
      <c r="AN472" s="133"/>
      <c r="AO472" s="133"/>
    </row>
    <row r="473" spans="1:41" x14ac:dyDescent="0.2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  <c r="AG473" s="133"/>
      <c r="AH473" s="133"/>
      <c r="AI473" s="133"/>
      <c r="AJ473" s="133"/>
      <c r="AK473" s="133"/>
      <c r="AL473" s="133"/>
      <c r="AM473" s="133"/>
      <c r="AN473" s="133"/>
      <c r="AO473" s="133"/>
    </row>
    <row r="474" spans="1:41" x14ac:dyDescent="0.2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  <c r="AH474" s="133"/>
      <c r="AI474" s="133"/>
      <c r="AJ474" s="133"/>
      <c r="AK474" s="133"/>
      <c r="AL474" s="133"/>
      <c r="AM474" s="133"/>
      <c r="AN474" s="133"/>
      <c r="AO474" s="133"/>
    </row>
    <row r="475" spans="1:41" x14ac:dyDescent="0.2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  <c r="AG475" s="133"/>
      <c r="AH475" s="133"/>
      <c r="AI475" s="133"/>
      <c r="AJ475" s="133"/>
      <c r="AK475" s="133"/>
      <c r="AL475" s="133"/>
      <c r="AM475" s="133"/>
      <c r="AN475" s="133"/>
      <c r="AO475" s="133"/>
    </row>
    <row r="476" spans="1:41" x14ac:dyDescent="0.2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3"/>
      <c r="AH476" s="133"/>
      <c r="AI476" s="133"/>
      <c r="AJ476" s="133"/>
      <c r="AK476" s="133"/>
      <c r="AL476" s="133"/>
      <c r="AM476" s="133"/>
      <c r="AN476" s="133"/>
      <c r="AO476" s="133"/>
    </row>
    <row r="477" spans="1:41" x14ac:dyDescent="0.2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  <c r="AG477" s="133"/>
      <c r="AH477" s="133"/>
      <c r="AI477" s="133"/>
      <c r="AJ477" s="133"/>
      <c r="AK477" s="133"/>
      <c r="AL477" s="133"/>
      <c r="AM477" s="133"/>
      <c r="AN477" s="133"/>
      <c r="AO477" s="133"/>
    </row>
    <row r="478" spans="1:41" x14ac:dyDescent="0.2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  <c r="AH478" s="133"/>
      <c r="AI478" s="133"/>
      <c r="AJ478" s="133"/>
      <c r="AK478" s="133"/>
      <c r="AL478" s="133"/>
      <c r="AM478" s="133"/>
      <c r="AN478" s="133"/>
      <c r="AO478" s="133"/>
    </row>
    <row r="479" spans="1:41" x14ac:dyDescent="0.2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  <c r="AH479" s="133"/>
      <c r="AI479" s="133"/>
      <c r="AJ479" s="133"/>
      <c r="AK479" s="133"/>
      <c r="AL479" s="133"/>
      <c r="AM479" s="133"/>
      <c r="AN479" s="133"/>
      <c r="AO479" s="133"/>
    </row>
    <row r="480" spans="1:41" x14ac:dyDescent="0.2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133"/>
      <c r="AJ480" s="133"/>
      <c r="AK480" s="133"/>
      <c r="AL480" s="133"/>
      <c r="AM480" s="133"/>
      <c r="AN480" s="133"/>
      <c r="AO480" s="133"/>
    </row>
    <row r="481" spans="1:41" x14ac:dyDescent="0.2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  <c r="AH481" s="133"/>
      <c r="AI481" s="133"/>
      <c r="AJ481" s="133"/>
      <c r="AK481" s="133"/>
      <c r="AL481" s="133"/>
      <c r="AM481" s="133"/>
      <c r="AN481" s="133"/>
      <c r="AO481" s="133"/>
    </row>
    <row r="482" spans="1:41" x14ac:dyDescent="0.2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  <c r="AG482" s="133"/>
      <c r="AH482" s="133"/>
      <c r="AI482" s="133"/>
      <c r="AJ482" s="133"/>
      <c r="AK482" s="133"/>
      <c r="AL482" s="133"/>
      <c r="AM482" s="133"/>
      <c r="AN482" s="133"/>
      <c r="AO482" s="133"/>
    </row>
    <row r="483" spans="1:41" x14ac:dyDescent="0.2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  <c r="AG483" s="133"/>
      <c r="AH483" s="133"/>
      <c r="AI483" s="133"/>
      <c r="AJ483" s="133"/>
      <c r="AK483" s="133"/>
      <c r="AL483" s="133"/>
      <c r="AM483" s="133"/>
      <c r="AN483" s="133"/>
      <c r="AO483" s="133"/>
    </row>
    <row r="484" spans="1:41" x14ac:dyDescent="0.2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  <c r="AG484" s="133"/>
      <c r="AH484" s="133"/>
      <c r="AI484" s="133"/>
      <c r="AJ484" s="133"/>
      <c r="AK484" s="133"/>
      <c r="AL484" s="133"/>
      <c r="AM484" s="133"/>
      <c r="AN484" s="133"/>
      <c r="AO484" s="133"/>
    </row>
    <row r="485" spans="1:41" x14ac:dyDescent="0.2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  <c r="AG485" s="133"/>
      <c r="AH485" s="133"/>
      <c r="AI485" s="133"/>
      <c r="AJ485" s="133"/>
      <c r="AK485" s="133"/>
      <c r="AL485" s="133"/>
      <c r="AM485" s="133"/>
      <c r="AN485" s="133"/>
      <c r="AO485" s="133"/>
    </row>
    <row r="486" spans="1:41" x14ac:dyDescent="0.2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  <c r="AG486" s="133"/>
      <c r="AH486" s="133"/>
      <c r="AI486" s="133"/>
      <c r="AJ486" s="133"/>
      <c r="AK486" s="133"/>
      <c r="AL486" s="133"/>
      <c r="AM486" s="133"/>
      <c r="AN486" s="133"/>
      <c r="AO486" s="133"/>
    </row>
    <row r="487" spans="1:41" x14ac:dyDescent="0.2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  <c r="AH487" s="133"/>
      <c r="AI487" s="133"/>
      <c r="AJ487" s="133"/>
      <c r="AK487" s="133"/>
      <c r="AL487" s="133"/>
      <c r="AM487" s="133"/>
      <c r="AN487" s="133"/>
      <c r="AO487" s="133"/>
    </row>
    <row r="488" spans="1:41" x14ac:dyDescent="0.2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  <c r="AG488" s="133"/>
      <c r="AH488" s="133"/>
      <c r="AI488" s="133"/>
      <c r="AJ488" s="133"/>
      <c r="AK488" s="133"/>
      <c r="AL488" s="133"/>
      <c r="AM488" s="133"/>
      <c r="AN488" s="133"/>
      <c r="AO488" s="133"/>
    </row>
    <row r="489" spans="1:41" x14ac:dyDescent="0.2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  <c r="AG489" s="133"/>
      <c r="AH489" s="133"/>
      <c r="AI489" s="133"/>
      <c r="AJ489" s="133"/>
      <c r="AK489" s="133"/>
      <c r="AL489" s="133"/>
      <c r="AM489" s="133"/>
      <c r="AN489" s="133"/>
      <c r="AO489" s="133"/>
    </row>
    <row r="490" spans="1:41" x14ac:dyDescent="0.2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  <c r="AH490" s="133"/>
      <c r="AI490" s="133"/>
      <c r="AJ490" s="133"/>
      <c r="AK490" s="133"/>
      <c r="AL490" s="133"/>
      <c r="AM490" s="133"/>
      <c r="AN490" s="133"/>
      <c r="AO490" s="133"/>
    </row>
    <row r="491" spans="1:41" x14ac:dyDescent="0.2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  <c r="AG491" s="133"/>
      <c r="AH491" s="133"/>
      <c r="AI491" s="133"/>
      <c r="AJ491" s="133"/>
      <c r="AK491" s="133"/>
      <c r="AL491" s="133"/>
      <c r="AM491" s="133"/>
      <c r="AN491" s="133"/>
      <c r="AO491" s="133"/>
    </row>
    <row r="492" spans="1:41" x14ac:dyDescent="0.2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  <c r="AH492" s="133"/>
      <c r="AI492" s="133"/>
      <c r="AJ492" s="133"/>
      <c r="AK492" s="133"/>
      <c r="AL492" s="133"/>
      <c r="AM492" s="133"/>
      <c r="AN492" s="133"/>
      <c r="AO492" s="133"/>
    </row>
    <row r="493" spans="1:41" x14ac:dyDescent="0.2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  <c r="AG493" s="133"/>
      <c r="AH493" s="133"/>
      <c r="AI493" s="133"/>
      <c r="AJ493" s="133"/>
      <c r="AK493" s="133"/>
      <c r="AL493" s="133"/>
      <c r="AM493" s="133"/>
      <c r="AN493" s="133"/>
      <c r="AO493" s="133"/>
    </row>
    <row r="494" spans="1:41" x14ac:dyDescent="0.2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133"/>
      <c r="AF494" s="133"/>
      <c r="AG494" s="133"/>
      <c r="AH494" s="133"/>
      <c r="AI494" s="133"/>
      <c r="AJ494" s="133"/>
      <c r="AK494" s="133"/>
      <c r="AL494" s="133"/>
      <c r="AM494" s="133"/>
      <c r="AN494" s="133"/>
      <c r="AO494" s="133"/>
    </row>
    <row r="495" spans="1:41" x14ac:dyDescent="0.2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133"/>
      <c r="AF495" s="133"/>
      <c r="AG495" s="133"/>
      <c r="AH495" s="133"/>
      <c r="AI495" s="133"/>
      <c r="AJ495" s="133"/>
      <c r="AK495" s="133"/>
      <c r="AL495" s="133"/>
      <c r="AM495" s="133"/>
      <c r="AN495" s="133"/>
      <c r="AO495" s="133"/>
    </row>
    <row r="496" spans="1:41" x14ac:dyDescent="0.2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133"/>
      <c r="AF496" s="133"/>
      <c r="AG496" s="133"/>
      <c r="AH496" s="133"/>
      <c r="AI496" s="133"/>
      <c r="AJ496" s="133"/>
      <c r="AK496" s="133"/>
      <c r="AL496" s="133"/>
      <c r="AM496" s="133"/>
      <c r="AN496" s="133"/>
      <c r="AO496" s="133"/>
    </row>
    <row r="497" spans="1:41" x14ac:dyDescent="0.2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133"/>
      <c r="AF497" s="133"/>
      <c r="AG497" s="133"/>
      <c r="AH497" s="133"/>
      <c r="AI497" s="133"/>
      <c r="AJ497" s="133"/>
      <c r="AK497" s="133"/>
      <c r="AL497" s="133"/>
      <c r="AM497" s="133"/>
      <c r="AN497" s="133"/>
      <c r="AO497" s="133"/>
    </row>
    <row r="498" spans="1:41" x14ac:dyDescent="0.2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133"/>
      <c r="AF498" s="133"/>
      <c r="AG498" s="133"/>
      <c r="AH498" s="133"/>
      <c r="AI498" s="133"/>
      <c r="AJ498" s="133"/>
      <c r="AK498" s="133"/>
      <c r="AL498" s="133"/>
      <c r="AM498" s="133"/>
      <c r="AN498" s="133"/>
      <c r="AO498" s="133"/>
    </row>
    <row r="499" spans="1:41" x14ac:dyDescent="0.2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133"/>
      <c r="AF499" s="133"/>
      <c r="AG499" s="133"/>
      <c r="AH499" s="133"/>
      <c r="AI499" s="133"/>
      <c r="AJ499" s="133"/>
      <c r="AK499" s="133"/>
      <c r="AL499" s="133"/>
      <c r="AM499" s="133"/>
      <c r="AN499" s="133"/>
      <c r="AO499" s="133"/>
    </row>
    <row r="500" spans="1:41" x14ac:dyDescent="0.2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133"/>
      <c r="AF500" s="133"/>
      <c r="AG500" s="133"/>
      <c r="AH500" s="133"/>
      <c r="AI500" s="133"/>
      <c r="AJ500" s="133"/>
      <c r="AK500" s="133"/>
      <c r="AL500" s="133"/>
      <c r="AM500" s="133"/>
      <c r="AN500" s="133"/>
      <c r="AO500" s="133"/>
    </row>
    <row r="501" spans="1:41" x14ac:dyDescent="0.2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  <c r="AE501" s="133"/>
      <c r="AF501" s="133"/>
      <c r="AG501" s="133"/>
      <c r="AH501" s="133"/>
      <c r="AI501" s="133"/>
      <c r="AJ501" s="133"/>
      <c r="AK501" s="133"/>
      <c r="AL501" s="133"/>
      <c r="AM501" s="133"/>
      <c r="AN501" s="133"/>
      <c r="AO501" s="133"/>
    </row>
    <row r="502" spans="1:41" x14ac:dyDescent="0.2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  <c r="AG502" s="133"/>
      <c r="AH502" s="133"/>
      <c r="AI502" s="133"/>
      <c r="AJ502" s="133"/>
      <c r="AK502" s="133"/>
      <c r="AL502" s="133"/>
      <c r="AM502" s="133"/>
      <c r="AN502" s="133"/>
      <c r="AO502" s="133"/>
    </row>
    <row r="503" spans="1:41" x14ac:dyDescent="0.2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133"/>
      <c r="AF503" s="133"/>
      <c r="AG503" s="133"/>
      <c r="AH503" s="133"/>
      <c r="AI503" s="133"/>
      <c r="AJ503" s="133"/>
      <c r="AK503" s="133"/>
      <c r="AL503" s="133"/>
      <c r="AM503" s="133"/>
      <c r="AN503" s="133"/>
      <c r="AO503" s="133"/>
    </row>
    <row r="504" spans="1:41" x14ac:dyDescent="0.2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133"/>
      <c r="AF504" s="133"/>
      <c r="AG504" s="133"/>
      <c r="AH504" s="133"/>
      <c r="AI504" s="133"/>
      <c r="AJ504" s="133"/>
      <c r="AK504" s="133"/>
      <c r="AL504" s="133"/>
      <c r="AM504" s="133"/>
      <c r="AN504" s="133"/>
      <c r="AO504" s="133"/>
    </row>
    <row r="505" spans="1:41" x14ac:dyDescent="0.2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133"/>
      <c r="AF505" s="133"/>
      <c r="AG505" s="133"/>
      <c r="AH505" s="133"/>
      <c r="AI505" s="133"/>
      <c r="AJ505" s="133"/>
      <c r="AK505" s="133"/>
      <c r="AL505" s="133"/>
      <c r="AM505" s="133"/>
      <c r="AN505" s="133"/>
      <c r="AO505" s="133"/>
    </row>
    <row r="506" spans="1:41" x14ac:dyDescent="0.2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133"/>
      <c r="AF506" s="133"/>
      <c r="AG506" s="133"/>
      <c r="AH506" s="133"/>
      <c r="AI506" s="133"/>
      <c r="AJ506" s="133"/>
      <c r="AK506" s="133"/>
      <c r="AL506" s="133"/>
      <c r="AM506" s="133"/>
      <c r="AN506" s="133"/>
      <c r="AO506" s="133"/>
    </row>
    <row r="507" spans="1:41" x14ac:dyDescent="0.2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133"/>
      <c r="AF507" s="133"/>
      <c r="AG507" s="133"/>
      <c r="AH507" s="133"/>
      <c r="AI507" s="133"/>
      <c r="AJ507" s="133"/>
      <c r="AK507" s="133"/>
      <c r="AL507" s="133"/>
      <c r="AM507" s="133"/>
      <c r="AN507" s="133"/>
      <c r="AO507" s="133"/>
    </row>
    <row r="508" spans="1:41" x14ac:dyDescent="0.2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133"/>
      <c r="AF508" s="133"/>
      <c r="AG508" s="133"/>
      <c r="AH508" s="133"/>
      <c r="AI508" s="133"/>
      <c r="AJ508" s="133"/>
      <c r="AK508" s="133"/>
      <c r="AL508" s="133"/>
      <c r="AM508" s="133"/>
      <c r="AN508" s="133"/>
      <c r="AO508" s="133"/>
    </row>
    <row r="509" spans="1:41" x14ac:dyDescent="0.2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133"/>
      <c r="AF509" s="133"/>
      <c r="AG509" s="133"/>
      <c r="AH509" s="133"/>
      <c r="AI509" s="133"/>
      <c r="AJ509" s="133"/>
      <c r="AK509" s="133"/>
      <c r="AL509" s="133"/>
      <c r="AM509" s="133"/>
      <c r="AN509" s="133"/>
      <c r="AO509" s="133"/>
    </row>
    <row r="510" spans="1:41" x14ac:dyDescent="0.2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133"/>
      <c r="AF510" s="133"/>
      <c r="AG510" s="133"/>
      <c r="AH510" s="133"/>
      <c r="AI510" s="133"/>
      <c r="AJ510" s="133"/>
      <c r="AK510" s="133"/>
      <c r="AL510" s="133"/>
      <c r="AM510" s="133"/>
      <c r="AN510" s="133"/>
      <c r="AO510" s="133"/>
    </row>
    <row r="511" spans="1:41" x14ac:dyDescent="0.2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133"/>
      <c r="AF511" s="133"/>
      <c r="AG511" s="133"/>
      <c r="AH511" s="133"/>
      <c r="AI511" s="133"/>
      <c r="AJ511" s="133"/>
      <c r="AK511" s="133"/>
      <c r="AL511" s="133"/>
      <c r="AM511" s="133"/>
      <c r="AN511" s="133"/>
      <c r="AO511" s="133"/>
    </row>
    <row r="512" spans="1:41" x14ac:dyDescent="0.2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133"/>
      <c r="AF512" s="133"/>
      <c r="AG512" s="133"/>
      <c r="AH512" s="133"/>
      <c r="AI512" s="133"/>
      <c r="AJ512" s="133"/>
      <c r="AK512" s="133"/>
      <c r="AL512" s="133"/>
      <c r="AM512" s="133"/>
      <c r="AN512" s="133"/>
      <c r="AO512" s="133"/>
    </row>
    <row r="513" spans="1:41" x14ac:dyDescent="0.2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133"/>
      <c r="AF513" s="133"/>
      <c r="AG513" s="133"/>
      <c r="AH513" s="133"/>
      <c r="AI513" s="133"/>
      <c r="AJ513" s="133"/>
      <c r="AK513" s="133"/>
      <c r="AL513" s="133"/>
      <c r="AM513" s="133"/>
      <c r="AN513" s="133"/>
      <c r="AO513" s="133"/>
    </row>
    <row r="514" spans="1:41" x14ac:dyDescent="0.2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133"/>
      <c r="AF514" s="133"/>
      <c r="AG514" s="133"/>
      <c r="AH514" s="133"/>
      <c r="AI514" s="133"/>
      <c r="AJ514" s="133"/>
      <c r="AK514" s="133"/>
      <c r="AL514" s="133"/>
      <c r="AM514" s="133"/>
      <c r="AN514" s="133"/>
      <c r="AO514" s="133"/>
    </row>
    <row r="515" spans="1:41" x14ac:dyDescent="0.2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133"/>
      <c r="AF515" s="133"/>
      <c r="AG515" s="133"/>
      <c r="AH515" s="133"/>
      <c r="AI515" s="133"/>
      <c r="AJ515" s="133"/>
      <c r="AK515" s="133"/>
      <c r="AL515" s="133"/>
      <c r="AM515" s="133"/>
      <c r="AN515" s="133"/>
      <c r="AO515" s="133"/>
    </row>
    <row r="516" spans="1:41" x14ac:dyDescent="0.2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133"/>
      <c r="AF516" s="133"/>
      <c r="AG516" s="133"/>
      <c r="AH516" s="133"/>
      <c r="AI516" s="133"/>
      <c r="AJ516" s="133"/>
      <c r="AK516" s="133"/>
      <c r="AL516" s="133"/>
      <c r="AM516" s="133"/>
      <c r="AN516" s="133"/>
      <c r="AO516" s="133"/>
    </row>
    <row r="517" spans="1:41" x14ac:dyDescent="0.2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133"/>
      <c r="AF517" s="133"/>
      <c r="AG517" s="133"/>
      <c r="AH517" s="133"/>
      <c r="AI517" s="133"/>
      <c r="AJ517" s="133"/>
      <c r="AK517" s="133"/>
      <c r="AL517" s="133"/>
      <c r="AM517" s="133"/>
      <c r="AN517" s="133"/>
      <c r="AO517" s="133"/>
    </row>
    <row r="518" spans="1:41" x14ac:dyDescent="0.2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  <c r="AE518" s="133"/>
      <c r="AF518" s="133"/>
      <c r="AG518" s="133"/>
      <c r="AH518" s="133"/>
      <c r="AI518" s="133"/>
      <c r="AJ518" s="133"/>
      <c r="AK518" s="133"/>
      <c r="AL518" s="133"/>
      <c r="AM518" s="133"/>
      <c r="AN518" s="133"/>
      <c r="AO518" s="133"/>
    </row>
    <row r="519" spans="1:41" x14ac:dyDescent="0.2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  <c r="AE519" s="133"/>
      <c r="AF519" s="133"/>
      <c r="AG519" s="133"/>
      <c r="AH519" s="133"/>
      <c r="AI519" s="133"/>
      <c r="AJ519" s="133"/>
      <c r="AK519" s="133"/>
      <c r="AL519" s="133"/>
      <c r="AM519" s="133"/>
      <c r="AN519" s="133"/>
      <c r="AO519" s="133"/>
    </row>
    <row r="520" spans="1:41" x14ac:dyDescent="0.2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133"/>
      <c r="AF520" s="133"/>
      <c r="AG520" s="133"/>
      <c r="AH520" s="133"/>
      <c r="AI520" s="133"/>
      <c r="AJ520" s="133"/>
      <c r="AK520" s="133"/>
      <c r="AL520" s="133"/>
      <c r="AM520" s="133"/>
      <c r="AN520" s="133"/>
      <c r="AO520" s="133"/>
    </row>
    <row r="521" spans="1:41" x14ac:dyDescent="0.2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133"/>
      <c r="AF521" s="133"/>
      <c r="AG521" s="133"/>
      <c r="AH521" s="133"/>
      <c r="AI521" s="133"/>
      <c r="AJ521" s="133"/>
      <c r="AK521" s="133"/>
      <c r="AL521" s="133"/>
      <c r="AM521" s="133"/>
      <c r="AN521" s="133"/>
      <c r="AO521" s="133"/>
    </row>
    <row r="522" spans="1:41" x14ac:dyDescent="0.2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  <c r="AG522" s="133"/>
      <c r="AH522" s="133"/>
      <c r="AI522" s="133"/>
      <c r="AJ522" s="133"/>
      <c r="AK522" s="133"/>
      <c r="AL522" s="133"/>
      <c r="AM522" s="133"/>
      <c r="AN522" s="133"/>
      <c r="AO522" s="133"/>
    </row>
    <row r="523" spans="1:41" x14ac:dyDescent="0.2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  <c r="AG523" s="133"/>
      <c r="AH523" s="133"/>
      <c r="AI523" s="133"/>
      <c r="AJ523" s="133"/>
      <c r="AK523" s="133"/>
      <c r="AL523" s="133"/>
      <c r="AM523" s="133"/>
      <c r="AN523" s="133"/>
      <c r="AO523" s="133"/>
    </row>
    <row r="524" spans="1:41" x14ac:dyDescent="0.2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  <c r="AG524" s="133"/>
      <c r="AH524" s="133"/>
      <c r="AI524" s="133"/>
      <c r="AJ524" s="133"/>
      <c r="AK524" s="133"/>
      <c r="AL524" s="133"/>
      <c r="AM524" s="133"/>
      <c r="AN524" s="133"/>
      <c r="AO524" s="133"/>
    </row>
    <row r="525" spans="1:41" x14ac:dyDescent="0.2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  <c r="AG525" s="133"/>
      <c r="AH525" s="133"/>
      <c r="AI525" s="133"/>
      <c r="AJ525" s="133"/>
      <c r="AK525" s="133"/>
      <c r="AL525" s="133"/>
      <c r="AM525" s="133"/>
      <c r="AN525" s="133"/>
      <c r="AO525" s="133"/>
    </row>
    <row r="526" spans="1:41" x14ac:dyDescent="0.2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  <c r="AG526" s="133"/>
      <c r="AH526" s="133"/>
      <c r="AI526" s="133"/>
      <c r="AJ526" s="133"/>
      <c r="AK526" s="133"/>
      <c r="AL526" s="133"/>
      <c r="AM526" s="133"/>
      <c r="AN526" s="133"/>
      <c r="AO526" s="133"/>
    </row>
    <row r="527" spans="1:41" x14ac:dyDescent="0.2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133"/>
      <c r="AF527" s="133"/>
      <c r="AG527" s="133"/>
      <c r="AH527" s="133"/>
      <c r="AI527" s="133"/>
      <c r="AJ527" s="133"/>
      <c r="AK527" s="133"/>
      <c r="AL527" s="133"/>
      <c r="AM527" s="133"/>
      <c r="AN527" s="133"/>
      <c r="AO527" s="133"/>
    </row>
    <row r="528" spans="1:41" x14ac:dyDescent="0.2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133"/>
      <c r="AF528" s="133"/>
      <c r="AG528" s="133"/>
      <c r="AH528" s="133"/>
      <c r="AI528" s="133"/>
      <c r="AJ528" s="133"/>
      <c r="AK528" s="133"/>
      <c r="AL528" s="133"/>
      <c r="AM528" s="133"/>
      <c r="AN528" s="133"/>
      <c r="AO528" s="133"/>
    </row>
    <row r="529" spans="1:41" x14ac:dyDescent="0.2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3"/>
      <c r="AH529" s="133"/>
      <c r="AI529" s="133"/>
      <c r="AJ529" s="133"/>
      <c r="AK529" s="133"/>
      <c r="AL529" s="133"/>
      <c r="AM529" s="133"/>
      <c r="AN529" s="133"/>
      <c r="AO529" s="133"/>
    </row>
    <row r="530" spans="1:41" x14ac:dyDescent="0.2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  <c r="AE530" s="133"/>
      <c r="AF530" s="133"/>
      <c r="AG530" s="133"/>
      <c r="AH530" s="133"/>
      <c r="AI530" s="133"/>
      <c r="AJ530" s="133"/>
      <c r="AK530" s="133"/>
      <c r="AL530" s="133"/>
      <c r="AM530" s="133"/>
      <c r="AN530" s="133"/>
      <c r="AO530" s="133"/>
    </row>
    <row r="531" spans="1:41" x14ac:dyDescent="0.2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  <c r="AE531" s="133"/>
      <c r="AF531" s="133"/>
      <c r="AG531" s="133"/>
      <c r="AH531" s="133"/>
      <c r="AI531" s="133"/>
      <c r="AJ531" s="133"/>
      <c r="AK531" s="133"/>
      <c r="AL531" s="133"/>
      <c r="AM531" s="133"/>
      <c r="AN531" s="133"/>
      <c r="AO531" s="133"/>
    </row>
    <row r="532" spans="1:41" x14ac:dyDescent="0.2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  <c r="AG532" s="133"/>
      <c r="AH532" s="133"/>
      <c r="AI532" s="133"/>
      <c r="AJ532" s="133"/>
      <c r="AK532" s="133"/>
      <c r="AL532" s="133"/>
      <c r="AM532" s="133"/>
      <c r="AN532" s="133"/>
      <c r="AO532" s="133"/>
    </row>
    <row r="533" spans="1:41" x14ac:dyDescent="0.2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  <c r="AH533" s="133"/>
      <c r="AI533" s="133"/>
      <c r="AJ533" s="133"/>
      <c r="AK533" s="133"/>
      <c r="AL533" s="133"/>
      <c r="AM533" s="133"/>
      <c r="AN533" s="133"/>
      <c r="AO533" s="133"/>
    </row>
    <row r="534" spans="1:41" x14ac:dyDescent="0.2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  <c r="AE534" s="133"/>
      <c r="AF534" s="133"/>
      <c r="AG534" s="133"/>
      <c r="AH534" s="133"/>
      <c r="AI534" s="133"/>
      <c r="AJ534" s="133"/>
      <c r="AK534" s="133"/>
      <c r="AL534" s="133"/>
      <c r="AM534" s="133"/>
      <c r="AN534" s="133"/>
      <c r="AO534" s="133"/>
    </row>
    <row r="535" spans="1:41" x14ac:dyDescent="0.2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3"/>
      <c r="AF535" s="133"/>
      <c r="AG535" s="133"/>
      <c r="AH535" s="133"/>
      <c r="AI535" s="133"/>
      <c r="AJ535" s="133"/>
      <c r="AK535" s="133"/>
      <c r="AL535" s="133"/>
      <c r="AM535" s="133"/>
      <c r="AN535" s="133"/>
      <c r="AO535" s="133"/>
    </row>
    <row r="536" spans="1:41" x14ac:dyDescent="0.2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  <c r="AE536" s="133"/>
      <c r="AF536" s="133"/>
      <c r="AG536" s="133"/>
      <c r="AH536" s="133"/>
      <c r="AI536" s="133"/>
      <c r="AJ536" s="133"/>
      <c r="AK536" s="133"/>
      <c r="AL536" s="133"/>
      <c r="AM536" s="133"/>
      <c r="AN536" s="133"/>
      <c r="AO536" s="133"/>
    </row>
    <row r="537" spans="1:41" x14ac:dyDescent="0.2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  <c r="AE537" s="133"/>
      <c r="AF537" s="133"/>
      <c r="AG537" s="133"/>
      <c r="AH537" s="133"/>
      <c r="AI537" s="133"/>
      <c r="AJ537" s="133"/>
      <c r="AK537" s="133"/>
      <c r="AL537" s="133"/>
      <c r="AM537" s="133"/>
      <c r="AN537" s="133"/>
      <c r="AO537" s="133"/>
    </row>
    <row r="538" spans="1:41" x14ac:dyDescent="0.2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  <c r="AE538" s="133"/>
      <c r="AF538" s="133"/>
      <c r="AG538" s="133"/>
      <c r="AH538" s="133"/>
      <c r="AI538" s="133"/>
      <c r="AJ538" s="133"/>
      <c r="AK538" s="133"/>
      <c r="AL538" s="133"/>
      <c r="AM538" s="133"/>
      <c r="AN538" s="133"/>
      <c r="AO538" s="133"/>
    </row>
    <row r="539" spans="1:41" x14ac:dyDescent="0.2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  <c r="AG539" s="133"/>
      <c r="AH539" s="133"/>
      <c r="AI539" s="133"/>
      <c r="AJ539" s="133"/>
      <c r="AK539" s="133"/>
      <c r="AL539" s="133"/>
      <c r="AM539" s="133"/>
      <c r="AN539" s="133"/>
      <c r="AO539" s="133"/>
    </row>
    <row r="540" spans="1:41" x14ac:dyDescent="0.2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3"/>
      <c r="AF540" s="133"/>
      <c r="AG540" s="133"/>
      <c r="AH540" s="133"/>
      <c r="AI540" s="133"/>
      <c r="AJ540" s="133"/>
      <c r="AK540" s="133"/>
      <c r="AL540" s="133"/>
      <c r="AM540" s="133"/>
      <c r="AN540" s="133"/>
      <c r="AO540" s="133"/>
    </row>
    <row r="541" spans="1:41" x14ac:dyDescent="0.2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133"/>
      <c r="AF541" s="133"/>
      <c r="AG541" s="133"/>
      <c r="AH541" s="133"/>
      <c r="AI541" s="133"/>
      <c r="AJ541" s="133"/>
      <c r="AK541" s="133"/>
      <c r="AL541" s="133"/>
      <c r="AM541" s="133"/>
      <c r="AN541" s="133"/>
      <c r="AO541" s="133"/>
    </row>
    <row r="542" spans="1:41" x14ac:dyDescent="0.2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133"/>
      <c r="AF542" s="133"/>
      <c r="AG542" s="133"/>
      <c r="AH542" s="133"/>
      <c r="AI542" s="133"/>
      <c r="AJ542" s="133"/>
      <c r="AK542" s="133"/>
      <c r="AL542" s="133"/>
      <c r="AM542" s="133"/>
      <c r="AN542" s="133"/>
      <c r="AO542" s="133"/>
    </row>
    <row r="543" spans="1:41" x14ac:dyDescent="0.2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133"/>
      <c r="AF543" s="133"/>
      <c r="AG543" s="133"/>
      <c r="AH543" s="133"/>
      <c r="AI543" s="133"/>
      <c r="AJ543" s="133"/>
      <c r="AK543" s="133"/>
      <c r="AL543" s="133"/>
      <c r="AM543" s="133"/>
      <c r="AN543" s="133"/>
      <c r="AO543" s="133"/>
    </row>
    <row r="544" spans="1:41" x14ac:dyDescent="0.2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133"/>
      <c r="AF544" s="133"/>
      <c r="AG544" s="133"/>
      <c r="AH544" s="133"/>
      <c r="AI544" s="133"/>
      <c r="AJ544" s="133"/>
      <c r="AK544" s="133"/>
      <c r="AL544" s="133"/>
      <c r="AM544" s="133"/>
      <c r="AN544" s="133"/>
      <c r="AO544" s="133"/>
    </row>
    <row r="545" spans="1:41" x14ac:dyDescent="0.2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  <c r="AE545" s="133"/>
      <c r="AF545" s="133"/>
      <c r="AG545" s="133"/>
      <c r="AH545" s="133"/>
      <c r="AI545" s="133"/>
      <c r="AJ545" s="133"/>
      <c r="AK545" s="133"/>
      <c r="AL545" s="133"/>
      <c r="AM545" s="133"/>
      <c r="AN545" s="133"/>
      <c r="AO545" s="133"/>
    </row>
    <row r="546" spans="1:41" x14ac:dyDescent="0.2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  <c r="AE546" s="133"/>
      <c r="AF546" s="133"/>
      <c r="AG546" s="133"/>
      <c r="AH546" s="133"/>
      <c r="AI546" s="133"/>
      <c r="AJ546" s="133"/>
      <c r="AK546" s="133"/>
      <c r="AL546" s="133"/>
      <c r="AM546" s="133"/>
      <c r="AN546" s="133"/>
      <c r="AO546" s="133"/>
    </row>
    <row r="547" spans="1:41" x14ac:dyDescent="0.2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  <c r="AH547" s="133"/>
      <c r="AI547" s="133"/>
      <c r="AJ547" s="133"/>
      <c r="AK547" s="133"/>
      <c r="AL547" s="133"/>
      <c r="AM547" s="133"/>
      <c r="AN547" s="133"/>
      <c r="AO547" s="133"/>
    </row>
    <row r="548" spans="1:41" x14ac:dyDescent="0.2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  <c r="AF548" s="133"/>
      <c r="AG548" s="133"/>
      <c r="AH548" s="133"/>
      <c r="AI548" s="133"/>
      <c r="AJ548" s="133"/>
      <c r="AK548" s="133"/>
      <c r="AL548" s="133"/>
      <c r="AM548" s="133"/>
      <c r="AN548" s="133"/>
      <c r="AO548" s="133"/>
    </row>
    <row r="549" spans="1:41" x14ac:dyDescent="0.2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  <c r="AH549" s="133"/>
      <c r="AI549" s="133"/>
      <c r="AJ549" s="133"/>
      <c r="AK549" s="133"/>
      <c r="AL549" s="133"/>
      <c r="AM549" s="133"/>
      <c r="AN549" s="133"/>
      <c r="AO549" s="133"/>
    </row>
    <row r="550" spans="1:41" x14ac:dyDescent="0.2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  <c r="AF550" s="133"/>
      <c r="AG550" s="133"/>
      <c r="AH550" s="133"/>
      <c r="AI550" s="133"/>
      <c r="AJ550" s="133"/>
      <c r="AK550" s="133"/>
      <c r="AL550" s="133"/>
      <c r="AM550" s="133"/>
      <c r="AN550" s="133"/>
      <c r="AO550" s="133"/>
    </row>
    <row r="551" spans="1:41" x14ac:dyDescent="0.2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133"/>
      <c r="AF551" s="133"/>
      <c r="AG551" s="133"/>
      <c r="AH551" s="133"/>
      <c r="AI551" s="133"/>
      <c r="AJ551" s="133"/>
      <c r="AK551" s="133"/>
      <c r="AL551" s="133"/>
      <c r="AM551" s="133"/>
      <c r="AN551" s="133"/>
      <c r="AO551" s="133"/>
    </row>
    <row r="552" spans="1:41" x14ac:dyDescent="0.2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  <c r="AG552" s="133"/>
      <c r="AH552" s="133"/>
      <c r="AI552" s="133"/>
      <c r="AJ552" s="133"/>
      <c r="AK552" s="133"/>
      <c r="AL552" s="133"/>
      <c r="AM552" s="133"/>
      <c r="AN552" s="133"/>
      <c r="AO552" s="133"/>
    </row>
    <row r="553" spans="1:41" x14ac:dyDescent="0.2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  <c r="AG553" s="133"/>
      <c r="AH553" s="133"/>
      <c r="AI553" s="133"/>
      <c r="AJ553" s="133"/>
      <c r="AK553" s="133"/>
      <c r="AL553" s="133"/>
      <c r="AM553" s="133"/>
      <c r="AN553" s="133"/>
      <c r="AO553" s="133"/>
    </row>
    <row r="554" spans="1:41" x14ac:dyDescent="0.2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133"/>
      <c r="AF554" s="133"/>
      <c r="AG554" s="133"/>
      <c r="AH554" s="133"/>
      <c r="AI554" s="133"/>
      <c r="AJ554" s="133"/>
      <c r="AK554" s="133"/>
      <c r="AL554" s="133"/>
      <c r="AM554" s="133"/>
      <c r="AN554" s="133"/>
      <c r="AO554" s="133"/>
    </row>
    <row r="555" spans="1:41" x14ac:dyDescent="0.2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133"/>
      <c r="AF555" s="133"/>
      <c r="AG555" s="133"/>
      <c r="AH555" s="133"/>
      <c r="AI555" s="133"/>
      <c r="AJ555" s="133"/>
      <c r="AK555" s="133"/>
      <c r="AL555" s="133"/>
      <c r="AM555" s="133"/>
      <c r="AN555" s="133"/>
      <c r="AO555" s="133"/>
    </row>
    <row r="556" spans="1:41" x14ac:dyDescent="0.2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133"/>
      <c r="AF556" s="133"/>
      <c r="AG556" s="133"/>
      <c r="AH556" s="133"/>
      <c r="AI556" s="133"/>
      <c r="AJ556" s="133"/>
      <c r="AK556" s="133"/>
      <c r="AL556" s="133"/>
      <c r="AM556" s="133"/>
      <c r="AN556" s="133"/>
      <c r="AO556" s="133"/>
    </row>
    <row r="557" spans="1:41" x14ac:dyDescent="0.2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  <c r="AH557" s="133"/>
      <c r="AI557" s="133"/>
      <c r="AJ557" s="133"/>
      <c r="AK557" s="133"/>
      <c r="AL557" s="133"/>
      <c r="AM557" s="133"/>
      <c r="AN557" s="133"/>
      <c r="AO557" s="133"/>
    </row>
    <row r="558" spans="1:41" x14ac:dyDescent="0.2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  <c r="AG558" s="133"/>
      <c r="AH558" s="133"/>
      <c r="AI558" s="133"/>
      <c r="AJ558" s="133"/>
      <c r="AK558" s="133"/>
      <c r="AL558" s="133"/>
      <c r="AM558" s="133"/>
      <c r="AN558" s="133"/>
      <c r="AO558" s="133"/>
    </row>
    <row r="559" spans="1:41" x14ac:dyDescent="0.2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133"/>
      <c r="AF559" s="133"/>
      <c r="AG559" s="133"/>
      <c r="AH559" s="133"/>
      <c r="AI559" s="133"/>
      <c r="AJ559" s="133"/>
      <c r="AK559" s="133"/>
      <c r="AL559" s="133"/>
      <c r="AM559" s="133"/>
      <c r="AN559" s="133"/>
      <c r="AO559" s="133"/>
    </row>
    <row r="560" spans="1:41" x14ac:dyDescent="0.2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3"/>
      <c r="AF560" s="133"/>
      <c r="AG560" s="133"/>
      <c r="AH560" s="133"/>
      <c r="AI560" s="133"/>
      <c r="AJ560" s="133"/>
      <c r="AK560" s="133"/>
      <c r="AL560" s="133"/>
      <c r="AM560" s="133"/>
      <c r="AN560" s="133"/>
      <c r="AO560" s="133"/>
    </row>
    <row r="561" spans="1:41" x14ac:dyDescent="0.2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  <c r="AE561" s="133"/>
      <c r="AF561" s="133"/>
      <c r="AG561" s="133"/>
      <c r="AH561" s="133"/>
      <c r="AI561" s="133"/>
      <c r="AJ561" s="133"/>
      <c r="AK561" s="133"/>
      <c r="AL561" s="133"/>
      <c r="AM561" s="133"/>
      <c r="AN561" s="133"/>
      <c r="AO561" s="133"/>
    </row>
    <row r="562" spans="1:41" x14ac:dyDescent="0.2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  <c r="AG562" s="133"/>
      <c r="AH562" s="133"/>
      <c r="AI562" s="133"/>
      <c r="AJ562" s="133"/>
      <c r="AK562" s="133"/>
      <c r="AL562" s="133"/>
      <c r="AM562" s="133"/>
      <c r="AN562" s="133"/>
      <c r="AO562" s="133"/>
    </row>
    <row r="563" spans="1:41" x14ac:dyDescent="0.2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  <c r="AE563" s="133"/>
      <c r="AF563" s="133"/>
      <c r="AG563" s="133"/>
      <c r="AH563" s="133"/>
      <c r="AI563" s="133"/>
      <c r="AJ563" s="133"/>
      <c r="AK563" s="133"/>
      <c r="AL563" s="133"/>
      <c r="AM563" s="133"/>
      <c r="AN563" s="133"/>
      <c r="AO563" s="133"/>
    </row>
    <row r="564" spans="1:41" x14ac:dyDescent="0.2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  <c r="AE564" s="133"/>
      <c r="AF564" s="133"/>
      <c r="AG564" s="133"/>
      <c r="AH564" s="133"/>
      <c r="AI564" s="133"/>
      <c r="AJ564" s="133"/>
      <c r="AK564" s="133"/>
      <c r="AL564" s="133"/>
      <c r="AM564" s="133"/>
      <c r="AN564" s="133"/>
      <c r="AO564" s="133"/>
    </row>
    <row r="565" spans="1:41" x14ac:dyDescent="0.2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133"/>
      <c r="AF565" s="133"/>
      <c r="AG565" s="133"/>
      <c r="AH565" s="133"/>
      <c r="AI565" s="133"/>
      <c r="AJ565" s="133"/>
      <c r="AK565" s="133"/>
      <c r="AL565" s="133"/>
      <c r="AM565" s="133"/>
      <c r="AN565" s="133"/>
      <c r="AO565" s="133"/>
    </row>
    <row r="566" spans="1:41" x14ac:dyDescent="0.2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133"/>
      <c r="AF566" s="133"/>
      <c r="AG566" s="133"/>
      <c r="AH566" s="133"/>
      <c r="AI566" s="133"/>
      <c r="AJ566" s="133"/>
      <c r="AK566" s="133"/>
      <c r="AL566" s="133"/>
      <c r="AM566" s="133"/>
      <c r="AN566" s="133"/>
      <c r="AO566" s="133"/>
    </row>
    <row r="567" spans="1:41" x14ac:dyDescent="0.2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  <c r="AE567" s="133"/>
      <c r="AF567" s="133"/>
      <c r="AG567" s="133"/>
      <c r="AH567" s="133"/>
      <c r="AI567" s="133"/>
      <c r="AJ567" s="133"/>
      <c r="AK567" s="133"/>
      <c r="AL567" s="133"/>
      <c r="AM567" s="133"/>
      <c r="AN567" s="133"/>
      <c r="AO567" s="133"/>
    </row>
    <row r="568" spans="1:41" x14ac:dyDescent="0.2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133"/>
      <c r="AF568" s="133"/>
      <c r="AG568" s="133"/>
      <c r="AH568" s="133"/>
      <c r="AI568" s="133"/>
      <c r="AJ568" s="133"/>
      <c r="AK568" s="133"/>
      <c r="AL568" s="133"/>
      <c r="AM568" s="133"/>
      <c r="AN568" s="133"/>
      <c r="AO568" s="133"/>
    </row>
    <row r="569" spans="1:41" x14ac:dyDescent="0.2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  <c r="AE569" s="133"/>
      <c r="AF569" s="133"/>
      <c r="AG569" s="133"/>
      <c r="AH569" s="133"/>
      <c r="AI569" s="133"/>
      <c r="AJ569" s="133"/>
      <c r="AK569" s="133"/>
      <c r="AL569" s="133"/>
      <c r="AM569" s="133"/>
      <c r="AN569" s="133"/>
      <c r="AO569" s="133"/>
    </row>
    <row r="570" spans="1:41" x14ac:dyDescent="0.2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  <c r="AG570" s="133"/>
      <c r="AH570" s="133"/>
      <c r="AI570" s="133"/>
      <c r="AJ570" s="133"/>
      <c r="AK570" s="133"/>
      <c r="AL570" s="133"/>
      <c r="AM570" s="133"/>
      <c r="AN570" s="133"/>
      <c r="AO570" s="133"/>
    </row>
    <row r="571" spans="1:41" x14ac:dyDescent="0.2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  <c r="AE571" s="133"/>
      <c r="AF571" s="133"/>
      <c r="AG571" s="133"/>
      <c r="AH571" s="133"/>
      <c r="AI571" s="133"/>
      <c r="AJ571" s="133"/>
      <c r="AK571" s="133"/>
      <c r="AL571" s="133"/>
      <c r="AM571" s="133"/>
      <c r="AN571" s="133"/>
      <c r="AO571" s="133"/>
    </row>
    <row r="572" spans="1:41" x14ac:dyDescent="0.2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  <c r="AE572" s="133"/>
      <c r="AF572" s="133"/>
      <c r="AG572" s="133"/>
      <c r="AH572" s="133"/>
      <c r="AI572" s="133"/>
      <c r="AJ572" s="133"/>
      <c r="AK572" s="133"/>
      <c r="AL572" s="133"/>
      <c r="AM572" s="133"/>
      <c r="AN572" s="133"/>
      <c r="AO572" s="133"/>
    </row>
    <row r="573" spans="1:41" x14ac:dyDescent="0.2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  <c r="AE573" s="133"/>
      <c r="AF573" s="133"/>
      <c r="AG573" s="133"/>
      <c r="AH573" s="133"/>
      <c r="AI573" s="133"/>
      <c r="AJ573" s="133"/>
      <c r="AK573" s="133"/>
      <c r="AL573" s="133"/>
      <c r="AM573" s="133"/>
      <c r="AN573" s="133"/>
      <c r="AO573" s="133"/>
    </row>
    <row r="574" spans="1:41" x14ac:dyDescent="0.2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133"/>
      <c r="AF574" s="133"/>
      <c r="AG574" s="133"/>
      <c r="AH574" s="133"/>
      <c r="AI574" s="133"/>
      <c r="AJ574" s="133"/>
      <c r="AK574" s="133"/>
      <c r="AL574" s="133"/>
      <c r="AM574" s="133"/>
      <c r="AN574" s="133"/>
      <c r="AO574" s="133"/>
    </row>
  </sheetData>
  <mergeCells count="7">
    <mergeCell ref="AB66:AE66"/>
    <mergeCell ref="L126:M126"/>
    <mergeCell ref="S127:U127"/>
    <mergeCell ref="L177:M177"/>
    <mergeCell ref="L66:M66"/>
    <mergeCell ref="O66:Q66"/>
    <mergeCell ref="S66:T66"/>
  </mergeCells>
  <conditionalFormatting sqref="S68:T120">
    <cfRule type="expression" dxfId="3" priority="2">
      <formula>ABS(S68)&gt;=10%</formula>
    </cfRule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AF95"/>
  <sheetViews>
    <sheetView showGridLines="0" topLeftCell="B63" zoomScale="168" zoomScaleNormal="168" zoomScaleSheetLayoutView="65" workbookViewId="0">
      <selection activeCell="I72" sqref="I72"/>
    </sheetView>
  </sheetViews>
  <sheetFormatPr baseColWidth="10" defaultColWidth="10.5" defaultRowHeight="15" x14ac:dyDescent="0.2"/>
  <cols>
    <col min="2" max="2" width="3.83203125" customWidth="1"/>
    <col min="6" max="6" width="12.5" customWidth="1"/>
    <col min="8" max="8" width="12.5" customWidth="1"/>
    <col min="9" max="9" width="13" customWidth="1"/>
    <col min="11" max="12" width="13" customWidth="1"/>
    <col min="13" max="13" width="13.5" customWidth="1"/>
    <col min="18" max="18" width="12" customWidth="1"/>
    <col min="20" max="20" width="25.5" customWidth="1"/>
    <col min="22" max="22" width="25.5" customWidth="1"/>
    <col min="23" max="23" width="13.83203125" customWidth="1"/>
    <col min="24" max="24" width="16.83203125" customWidth="1"/>
    <col min="25" max="25" width="25.6640625" customWidth="1"/>
    <col min="27" max="27" width="18.6640625" customWidth="1"/>
    <col min="28" max="28" width="19.5" customWidth="1"/>
    <col min="30" max="30" width="14.6640625" customWidth="1"/>
    <col min="32" max="32" width="14.83203125" customWidth="1"/>
  </cols>
  <sheetData>
    <row r="2" spans="9:25" x14ac:dyDescent="0.2"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3"/>
    </row>
    <row r="3" spans="9:25" x14ac:dyDescent="0.2">
      <c r="I3" s="14"/>
      <c r="Y3" s="15"/>
    </row>
    <row r="4" spans="9:25" x14ac:dyDescent="0.2">
      <c r="I4" s="14"/>
      <c r="Y4" s="15"/>
    </row>
    <row r="5" spans="9:25" x14ac:dyDescent="0.2">
      <c r="I5" s="14"/>
      <c r="R5" s="16">
        <f>Flujos!H43</f>
        <v>1043317</v>
      </c>
      <c r="Y5" s="15"/>
    </row>
    <row r="6" spans="9:25" x14ac:dyDescent="0.2">
      <c r="I6" s="14"/>
      <c r="R6" s="17">
        <f>Flujos!I43</f>
        <v>0.10797705657999999</v>
      </c>
      <c r="Y6" s="15"/>
    </row>
    <row r="7" spans="9:25" x14ac:dyDescent="0.2">
      <c r="I7" s="14"/>
      <c r="O7" t="s">
        <v>71</v>
      </c>
      <c r="R7" s="18">
        <f>R5*R6</f>
        <v>112654.29873987586</v>
      </c>
      <c r="Y7" s="15"/>
    </row>
    <row r="8" spans="9:25" x14ac:dyDescent="0.2">
      <c r="I8" s="14"/>
      <c r="O8" s="19">
        <f>Flujos!H14</f>
        <v>0</v>
      </c>
      <c r="Y8" s="15"/>
    </row>
    <row r="9" spans="9:25" x14ac:dyDescent="0.2">
      <c r="I9" s="14"/>
      <c r="J9" s="20">
        <f>Utilidad!O68</f>
        <v>0</v>
      </c>
      <c r="O9" s="18">
        <f>Flujos!H14*Flujos!I14</f>
        <v>0</v>
      </c>
      <c r="U9" s="16">
        <f>Flujos!H44</f>
        <v>869645.92310000001</v>
      </c>
      <c r="Y9" s="15"/>
    </row>
    <row r="10" spans="9:25" x14ac:dyDescent="0.2">
      <c r="I10" s="14"/>
      <c r="J10" s="21">
        <f>Utilidad!P68</f>
        <v>0.56560860477999997</v>
      </c>
      <c r="U10" s="17">
        <f>Flujos!I44</f>
        <v>6.5225386750999995E-2</v>
      </c>
      <c r="Y10" s="15"/>
    </row>
    <row r="11" spans="9:25" x14ac:dyDescent="0.2">
      <c r="I11" s="14"/>
      <c r="J11" s="22">
        <f>Utilidad!R68</f>
        <v>0</v>
      </c>
      <c r="M11" s="16">
        <f>Utilidad!O70</f>
        <v>0</v>
      </c>
      <c r="R11" s="16">
        <f>Flujos!H45</f>
        <v>173671.07689999999</v>
      </c>
      <c r="U11" s="18">
        <f>U10*U9</f>
        <v>56722.991670627904</v>
      </c>
      <c r="Y11" s="15"/>
    </row>
    <row r="12" spans="9:25" x14ac:dyDescent="0.2">
      <c r="I12" s="14"/>
      <c r="L12" s="19">
        <f>+Utilidad!O69</f>
        <v>0</v>
      </c>
      <c r="M12" s="17">
        <f>Utilidad!P70</f>
        <v>0.56565190013</v>
      </c>
      <c r="P12" s="4"/>
      <c r="R12" s="17">
        <f>Flujos!I45</f>
        <v>0.32205308953</v>
      </c>
      <c r="Y12" s="15"/>
    </row>
    <row r="13" spans="9:25" x14ac:dyDescent="0.2">
      <c r="I13" s="14"/>
      <c r="L13" s="18">
        <f>+Utilidad!R69</f>
        <v>0</v>
      </c>
      <c r="M13" s="18">
        <f>Utilidad!R70</f>
        <v>0</v>
      </c>
      <c r="O13" s="23">
        <f>Flujos!C13</f>
        <v>0</v>
      </c>
      <c r="R13" s="18">
        <f>R11*R12</f>
        <v>55931.306877647214</v>
      </c>
      <c r="Y13" s="15"/>
    </row>
    <row r="14" spans="9:25" x14ac:dyDescent="0.2">
      <c r="I14" s="14"/>
      <c r="O14" s="8">
        <f>Flujos!D13</f>
        <v>0.41049999999999998</v>
      </c>
      <c r="S14" s="16">
        <f>Flujos!H46</f>
        <v>42987.474302000002</v>
      </c>
      <c r="Y14" s="15"/>
    </row>
    <row r="15" spans="9:25" x14ac:dyDescent="0.2">
      <c r="I15" s="14"/>
      <c r="O15" s="24">
        <f>O13*O14</f>
        <v>0</v>
      </c>
      <c r="S15" s="17">
        <f>Flujos!I46</f>
        <v>7.8129748146000003E-2</v>
      </c>
      <c r="Y15" s="25">
        <f>+U9+S14+S29+S36+S41+U45+S22</f>
        <v>1002001.9010680999</v>
      </c>
    </row>
    <row r="16" spans="9:25" x14ac:dyDescent="0.2">
      <c r="I16" s="14"/>
      <c r="O16" s="24"/>
      <c r="S16" s="18">
        <f>S14*S15</f>
        <v>3358.6005406479076</v>
      </c>
      <c r="Y16" s="26">
        <f>+IF(Y15&lt;&gt;0,(U9*U10+S14*S15+S29*S30+S36*S37+S41*S42+U45*U46+S22*S23)/Y15,0)</f>
        <v>7.8532482880854876E-2</v>
      </c>
    </row>
    <row r="17" spans="3:25" x14ac:dyDescent="0.2">
      <c r="I17" s="14"/>
      <c r="J17" s="4"/>
      <c r="N17" s="24"/>
      <c r="R17" s="16">
        <f>Flujos!H47</f>
        <v>130683.6026</v>
      </c>
      <c r="Y17" s="27">
        <f>Y15*Y16</f>
        <v>78689.697142214602</v>
      </c>
    </row>
    <row r="18" spans="3:25" x14ac:dyDescent="0.2">
      <c r="I18" s="14"/>
      <c r="N18" s="23">
        <f>Flujos!C15</f>
        <v>0</v>
      </c>
      <c r="P18" s="23">
        <f>Flujos!H64</f>
        <v>0</v>
      </c>
      <c r="R18" s="17">
        <f>Flujos!I47</f>
        <v>0.40228999999999998</v>
      </c>
      <c r="Y18" s="15"/>
    </row>
    <row r="19" spans="3:25" x14ac:dyDescent="0.2">
      <c r="I19" s="14"/>
      <c r="N19" s="8">
        <f>Flujos!D15</f>
        <v>0.41049999999999998</v>
      </c>
      <c r="P19" s="8">
        <f>Flujos!I64</f>
        <v>0.41050811533000003</v>
      </c>
      <c r="R19" s="18"/>
      <c r="Y19" s="15"/>
    </row>
    <row r="20" spans="3:25" x14ac:dyDescent="0.2">
      <c r="I20" s="14"/>
      <c r="N20" s="24">
        <f>N18*N19</f>
        <v>0</v>
      </c>
      <c r="P20" s="24"/>
      <c r="R20" s="16">
        <f>Flujos!H65</f>
        <v>130683.6026</v>
      </c>
      <c r="Y20" s="15"/>
    </row>
    <row r="21" spans="3:25" x14ac:dyDescent="0.2">
      <c r="I21" s="14"/>
      <c r="J21" s="20">
        <f>+Utilidad!O71</f>
        <v>2249</v>
      </c>
      <c r="R21" s="17">
        <f>Flujos!I65</f>
        <v>0.40228999999999998</v>
      </c>
      <c r="Y21" s="15"/>
    </row>
    <row r="22" spans="3:25" x14ac:dyDescent="0.2">
      <c r="I22" s="14"/>
      <c r="J22" s="21">
        <f>+Utilidad!P71/100</f>
        <v>3.9769437203000003E-3</v>
      </c>
      <c r="S22" s="16">
        <f>Flujos!H48</f>
        <v>0</v>
      </c>
      <c r="Y22" s="15"/>
    </row>
    <row r="23" spans="3:25" x14ac:dyDescent="0.2">
      <c r="I23" s="14"/>
      <c r="J23" s="22">
        <f>+Utilidad!R71</f>
        <v>894.41464269547009</v>
      </c>
      <c r="M23" s="16">
        <f>Utilidad!O73</f>
        <v>2654.0249534999998</v>
      </c>
      <c r="S23" s="17">
        <f>Flujos!I48</f>
        <v>0</v>
      </c>
      <c r="Y23" s="15"/>
    </row>
    <row r="24" spans="3:25" x14ac:dyDescent="0.2">
      <c r="I24" s="14"/>
      <c r="L24" s="19">
        <f>+Utilidad!O72</f>
        <v>-405.02495349999998</v>
      </c>
      <c r="M24" s="17">
        <f>Utilidad!P73/100</f>
        <v>3.9713199999999995E-3</v>
      </c>
      <c r="N24" s="23">
        <f>Flujos!H49</f>
        <v>28571.901066999999</v>
      </c>
      <c r="P24" s="23"/>
      <c r="R24" s="16">
        <f>Flujos!H50</f>
        <v>159255.50367000001</v>
      </c>
      <c r="S24" s="18">
        <f>S22*S23</f>
        <v>0</v>
      </c>
      <c r="Y24" s="15"/>
    </row>
    <row r="25" spans="3:25" x14ac:dyDescent="0.2">
      <c r="I25" s="14"/>
      <c r="L25" s="18">
        <f>+Utilidad!R72</f>
        <v>-159.58359491570218</v>
      </c>
      <c r="M25" s="18">
        <f>Utilidad!R73</f>
        <v>1053.9982378333618</v>
      </c>
      <c r="N25" s="8">
        <f>Flujos!I49</f>
        <v>0.42024039688000003</v>
      </c>
      <c r="P25" s="8"/>
      <c r="R25" s="17">
        <f>Flujos!I50</f>
        <v>0.40551046618000003</v>
      </c>
      <c r="Y25" s="15"/>
    </row>
    <row r="26" spans="3:25" x14ac:dyDescent="0.2">
      <c r="I26" s="14"/>
      <c r="J26" s="4"/>
      <c r="N26" s="24">
        <f>N24*N25</f>
        <v>12007.067044012176</v>
      </c>
      <c r="P26" s="24"/>
      <c r="R26" s="18">
        <f>R24*R25</f>
        <v>64579.773534952408</v>
      </c>
      <c r="Y26" s="15"/>
    </row>
    <row r="27" spans="3:25" x14ac:dyDescent="0.2">
      <c r="I27" s="14"/>
      <c r="Y27" s="15"/>
    </row>
    <row r="28" spans="3:25" x14ac:dyDescent="0.2">
      <c r="C28" s="14"/>
      <c r="D28" s="22"/>
      <c r="G28" s="16"/>
      <c r="I28" s="14"/>
      <c r="U28" s="4"/>
      <c r="Y28" s="15"/>
    </row>
    <row r="29" spans="3:25" x14ac:dyDescent="0.2">
      <c r="C29" s="14"/>
      <c r="F29" s="19"/>
      <c r="G29" s="17"/>
      <c r="I29" s="14"/>
      <c r="O29" s="23">
        <f>Flujos!H63</f>
        <v>0</v>
      </c>
      <c r="S29" s="16">
        <f>Flujos!H51</f>
        <v>25024.089692000001</v>
      </c>
      <c r="U29" s="4"/>
      <c r="Y29" s="15"/>
    </row>
    <row r="30" spans="3:25" x14ac:dyDescent="0.2">
      <c r="C30" s="14"/>
      <c r="F30" s="18"/>
      <c r="G30" s="18"/>
      <c r="I30" s="14"/>
      <c r="O30" s="8">
        <f>Flujos!I63</f>
        <v>0.41051542182</v>
      </c>
      <c r="S30" s="17">
        <f>Flujos!I51</f>
        <v>5.6760000000000005E-2</v>
      </c>
      <c r="Y30" s="15"/>
    </row>
    <row r="31" spans="3:25" x14ac:dyDescent="0.2">
      <c r="C31" s="14"/>
      <c r="I31" s="14"/>
      <c r="J31" s="20">
        <f>+Utilidad!O74</f>
        <v>9579</v>
      </c>
      <c r="O31" s="23"/>
      <c r="R31" s="16">
        <f>Flujos!H52</f>
        <v>134231.41396999999</v>
      </c>
      <c r="S31" s="18">
        <f>S30*S29</f>
        <v>1420.3673309179203</v>
      </c>
      <c r="Y31" s="15"/>
    </row>
    <row r="32" spans="3:25" x14ac:dyDescent="0.2">
      <c r="C32" s="14"/>
      <c r="I32" s="14"/>
      <c r="J32" s="21">
        <f>+Utilidad!P74/100</f>
        <v>4.0868512662000003E-3</v>
      </c>
      <c r="R32" s="17">
        <f>Flujos!I52</f>
        <v>0.47052626748999998</v>
      </c>
      <c r="Y32" s="15"/>
    </row>
    <row r="33" spans="3:25" x14ac:dyDescent="0.2">
      <c r="C33" s="14"/>
      <c r="I33" s="14"/>
      <c r="J33" s="22">
        <f>+Utilidad!R74</f>
        <v>3914.7948278929803</v>
      </c>
      <c r="M33" s="16">
        <f>+Utilidad!O76</f>
        <v>20429.797500000001</v>
      </c>
      <c r="O33" s="4"/>
      <c r="R33" s="18">
        <f>R31*R32</f>
        <v>63159.406195209136</v>
      </c>
      <c r="Y33" s="28">
        <f>U9+S14+S29+S36+U45-Y15</f>
        <v>-1558.9434900999768</v>
      </c>
    </row>
    <row r="34" spans="3:25" x14ac:dyDescent="0.2">
      <c r="C34" s="14"/>
      <c r="I34" s="14"/>
      <c r="L34" s="19">
        <f>+Utilidad!O75</f>
        <v>-10850.797500000001</v>
      </c>
      <c r="M34" s="17">
        <f>+Utilidad!P76/100</f>
        <v>4.0894900000000003E-3</v>
      </c>
      <c r="Y34" s="15"/>
    </row>
    <row r="35" spans="3:25" x14ac:dyDescent="0.2">
      <c r="C35" s="14"/>
      <c r="I35" s="14"/>
      <c r="J35" s="4"/>
      <c r="L35" s="18">
        <f>+Utilidad!R75</f>
        <v>-4439.9504299744412</v>
      </c>
      <c r="M35" s="18">
        <f>+Utilidad!R76</f>
        <v>8354.7452578275006</v>
      </c>
      <c r="Y35" s="15"/>
    </row>
    <row r="36" spans="3:25" x14ac:dyDescent="0.2">
      <c r="C36" s="14"/>
      <c r="D36" s="20">
        <f>Flujos!H28</f>
        <v>419</v>
      </c>
      <c r="I36" s="14"/>
      <c r="O36" s="4"/>
      <c r="S36" s="16">
        <f>Flujos!H53</f>
        <v>35720.617595999996</v>
      </c>
      <c r="Y36" s="15"/>
    </row>
    <row r="37" spans="3:25" x14ac:dyDescent="0.2">
      <c r="C37" s="14"/>
      <c r="D37" s="21">
        <f>Flujos!I28</f>
        <v>0.42736065052</v>
      </c>
      <c r="I37" s="14"/>
      <c r="S37" s="17">
        <f>Flujos!I53</f>
        <v>6.3975999999999991E-2</v>
      </c>
      <c r="Y37" s="15"/>
    </row>
    <row r="38" spans="3:25" x14ac:dyDescent="0.2">
      <c r="C38" s="14"/>
      <c r="D38" s="22">
        <f>D36*D37</f>
        <v>179.06411256787999</v>
      </c>
      <c r="G38" s="16">
        <f>Flujos!H30</f>
        <v>482.97720313999997</v>
      </c>
      <c r="I38" s="14"/>
      <c r="R38" s="16">
        <f>Flujos!H54</f>
        <v>98510.796379000007</v>
      </c>
      <c r="S38" s="18">
        <f>S36*S37</f>
        <v>2285.2622313216953</v>
      </c>
      <c r="Y38" s="15"/>
    </row>
    <row r="39" spans="3:25" x14ac:dyDescent="0.2">
      <c r="C39" s="14"/>
      <c r="F39" s="19">
        <f>Flujos!H29</f>
        <v>-63.977203136999997</v>
      </c>
      <c r="G39" s="17">
        <f>Flujos!I30</f>
        <v>0.42682599999999998</v>
      </c>
      <c r="I39" s="14"/>
      <c r="R39" s="17">
        <f>Flujos!I54</f>
        <v>0.61794388238999998</v>
      </c>
      <c r="Y39" s="15"/>
    </row>
    <row r="40" spans="3:25" x14ac:dyDescent="0.2">
      <c r="C40" s="14"/>
      <c r="D40" s="4"/>
      <c r="F40" s="18">
        <f>Flujos!I29*Flujos!H29</f>
        <v>-27.0831151379011</v>
      </c>
      <c r="G40" s="18">
        <f>G39*G38</f>
        <v>206.14722770743361</v>
      </c>
      <c r="I40" s="14"/>
      <c r="R40" s="18">
        <f>R38*R39</f>
        <v>60874.143971770012</v>
      </c>
      <c r="Y40" s="15"/>
    </row>
    <row r="41" spans="3:25" x14ac:dyDescent="0.2">
      <c r="C41" s="14"/>
      <c r="I41" s="14"/>
      <c r="J41" s="20"/>
      <c r="S41" s="16">
        <f>Flujos!H55</f>
        <v>1558.9434901</v>
      </c>
      <c r="Y41" s="15"/>
    </row>
    <row r="42" spans="3:25" x14ac:dyDescent="0.2">
      <c r="C42" s="14"/>
      <c r="I42" s="14"/>
      <c r="J42" s="21"/>
      <c r="S42" s="17">
        <f>Flujos!I55</f>
        <v>7.8766321543000006E-2</v>
      </c>
      <c r="Y42" s="15"/>
    </row>
    <row r="43" spans="3:25" x14ac:dyDescent="0.2">
      <c r="C43" s="14"/>
      <c r="E43" s="7" t="s">
        <v>72</v>
      </c>
      <c r="I43" s="14"/>
      <c r="J43" s="22"/>
      <c r="M43" s="16"/>
      <c r="S43" s="18">
        <f>S41*S42</f>
        <v>122.79224420858324</v>
      </c>
      <c r="Y43" s="15"/>
    </row>
    <row r="44" spans="3:25" x14ac:dyDescent="0.2">
      <c r="C44" s="14"/>
      <c r="D44" s="20">
        <f>Flujos!H31</f>
        <v>403</v>
      </c>
      <c r="I44" s="14"/>
      <c r="L44" s="19"/>
      <c r="M44" s="17"/>
      <c r="R44" s="29">
        <f>Flujos!H56</f>
        <v>96951.852887999994</v>
      </c>
      <c r="Y44" s="15"/>
    </row>
    <row r="45" spans="3:25" x14ac:dyDescent="0.2">
      <c r="C45" s="14"/>
      <c r="D45" s="21">
        <f>Flujos!I31</f>
        <v>0.47490581831000001</v>
      </c>
      <c r="G45" s="16">
        <f>Flujos!H33</f>
        <v>1591.97</v>
      </c>
      <c r="I45" s="14"/>
      <c r="L45" s="18"/>
      <c r="M45" s="18"/>
      <c r="P45" s="16">
        <f>Flujos!H59</f>
        <v>922.58317747000001</v>
      </c>
      <c r="R45" s="5">
        <f>Flujos!I56</f>
        <v>0.62661362226999995</v>
      </c>
      <c r="S45" s="18">
        <f>R44*R45</f>
        <v>60751.351723937834</v>
      </c>
      <c r="U45" s="16">
        <f>Flujos!H57</f>
        <v>27064.852888000001</v>
      </c>
      <c r="Y45" s="15"/>
    </row>
    <row r="46" spans="3:25" x14ac:dyDescent="0.2">
      <c r="C46" s="14"/>
      <c r="D46" s="22">
        <f>D44*D45</f>
        <v>191.38704477893</v>
      </c>
      <c r="F46" s="19">
        <f>Flujos!H32</f>
        <v>-1188.97</v>
      </c>
      <c r="G46" s="17">
        <f>Flujos!I33</f>
        <v>0.47773000000000004</v>
      </c>
      <c r="I46" s="14"/>
      <c r="P46" s="17">
        <f>Flujos!I59</f>
        <v>0.55713251527999996</v>
      </c>
      <c r="U46" s="17">
        <f>Flujos!I57</f>
        <v>0.54608400000000001</v>
      </c>
      <c r="Y46" s="15"/>
    </row>
    <row r="47" spans="3:25" x14ac:dyDescent="0.2">
      <c r="C47" s="14"/>
      <c r="F47" s="18">
        <f>Flujos!I32*Flujos!H32</f>
        <v>-569.14478331830708</v>
      </c>
      <c r="G47" s="18">
        <f>G45*G46</f>
        <v>760.5318281000001</v>
      </c>
      <c r="I47" s="14"/>
      <c r="P47" s="18">
        <f>P45*P46</f>
        <v>514.00108621887568</v>
      </c>
      <c r="U47" s="18">
        <f>U46*U45</f>
        <v>14779.683124490593</v>
      </c>
      <c r="Y47" s="15"/>
    </row>
    <row r="48" spans="3:25" x14ac:dyDescent="0.2">
      <c r="C48" s="14"/>
      <c r="D48" s="4"/>
      <c r="I48" s="14"/>
      <c r="Y48" s="15"/>
    </row>
    <row r="49" spans="3:32" x14ac:dyDescent="0.2">
      <c r="C49" s="14"/>
      <c r="I49" s="14"/>
      <c r="R49" s="16">
        <f>Flujos!H58</f>
        <v>70809.583176999993</v>
      </c>
      <c r="S49" s="17">
        <f>Flujos!I58</f>
        <v>0.65648839609000009</v>
      </c>
      <c r="T49" s="18">
        <f>R49*S49</f>
        <v>46485.669687670175</v>
      </c>
      <c r="Y49" s="15"/>
    </row>
    <row r="50" spans="3:32" x14ac:dyDescent="0.2">
      <c r="C50" s="14"/>
      <c r="E50" t="s">
        <v>73</v>
      </c>
      <c r="I50" s="14"/>
      <c r="T50" s="4"/>
      <c r="Y50" s="15"/>
    </row>
    <row r="51" spans="3:32" x14ac:dyDescent="0.2">
      <c r="C51" s="14"/>
      <c r="D51" s="20">
        <f>Flujos!H34</f>
        <v>669</v>
      </c>
      <c r="G51" s="16">
        <f>Flujos!H36</f>
        <v>0</v>
      </c>
      <c r="I51" s="14"/>
      <c r="J51" s="20">
        <f>+Utilidad!O80</f>
        <v>626</v>
      </c>
      <c r="Y51" s="15"/>
    </row>
    <row r="52" spans="3:32" x14ac:dyDescent="0.2">
      <c r="C52" s="14"/>
      <c r="D52" s="21">
        <f>Flujos!I34</f>
        <v>0.55093425004999996</v>
      </c>
      <c r="G52" s="17">
        <f>Flujos!I36</f>
        <v>0.55095214552999994</v>
      </c>
      <c r="I52" s="14"/>
      <c r="J52" s="21">
        <f>+Utilidad!P80/100</f>
        <v>4.8605704019000001E-3</v>
      </c>
      <c r="Y52" s="15"/>
    </row>
    <row r="53" spans="3:32" x14ac:dyDescent="0.2">
      <c r="C53" s="14"/>
      <c r="D53" s="22">
        <f>D51*D52</f>
        <v>368.57501328344995</v>
      </c>
      <c r="G53" s="18">
        <f>G51*G52</f>
        <v>0</v>
      </c>
      <c r="I53" s="14"/>
      <c r="J53" s="22">
        <f>+Utilidad!R80</f>
        <v>304.27170715893999</v>
      </c>
      <c r="M53" s="16">
        <f>+Utilidad!O82</f>
        <v>2961.3850000000002</v>
      </c>
      <c r="Y53" s="15"/>
    </row>
    <row r="54" spans="3:32" x14ac:dyDescent="0.2">
      <c r="C54" s="14"/>
      <c r="F54" s="19">
        <f>Flujos!H35</f>
        <v>669</v>
      </c>
      <c r="I54" s="14"/>
      <c r="L54" s="19">
        <f>+Utilidad!O81</f>
        <v>-2335.3850000000002</v>
      </c>
      <c r="M54" s="17">
        <f>+Utilidad!P82/100</f>
        <v>4.8934499999999997E-3</v>
      </c>
      <c r="O54" s="16">
        <f>Flujos!H42</f>
        <v>0</v>
      </c>
      <c r="Q54" s="16">
        <f>Flujos!H40</f>
        <v>0</v>
      </c>
      <c r="Y54" s="15"/>
    </row>
    <row r="55" spans="3:32" ht="16" x14ac:dyDescent="0.2">
      <c r="C55" s="14"/>
      <c r="F55" s="18">
        <f>Flujos!I35*Flujos!H35</f>
        <v>368.57501328344995</v>
      </c>
      <c r="I55" s="14"/>
      <c r="J55" s="4">
        <f>J53-L55</f>
        <v>1449.1389428284547</v>
      </c>
      <c r="L55" s="18">
        <f>+Utilidad!R81</f>
        <v>-1144.8672356695147</v>
      </c>
      <c r="M55" s="18">
        <f>+Utilidad!R82</f>
        <v>1449.138942825</v>
      </c>
      <c r="O55" s="17">
        <f>Flujos!I42</f>
        <v>0</v>
      </c>
      <c r="Q55" s="17">
        <f>Flujos!I40</f>
        <v>0</v>
      </c>
      <c r="Y55" s="15"/>
      <c r="AA55" s="10" t="s">
        <v>74</v>
      </c>
    </row>
    <row r="56" spans="3:32" ht="19" x14ac:dyDescent="0.2">
      <c r="C56" s="14"/>
      <c r="I56" s="14"/>
      <c r="O56" s="18">
        <f>O54*O55</f>
        <v>0</v>
      </c>
      <c r="Q56" s="18">
        <f>Q54*Q55</f>
        <v>0</v>
      </c>
      <c r="Y56" s="15"/>
      <c r="AA56" s="30" t="s">
        <v>75</v>
      </c>
      <c r="AB56" s="31"/>
      <c r="AC56" s="32" t="s">
        <v>76</v>
      </c>
      <c r="AD56" s="32"/>
      <c r="AE56" s="30" t="s">
        <v>77</v>
      </c>
      <c r="AF56" s="30"/>
    </row>
    <row r="57" spans="3:32" ht="32" x14ac:dyDescent="0.2">
      <c r="C57" s="14"/>
      <c r="E57" t="s">
        <v>78</v>
      </c>
      <c r="I57" s="14"/>
      <c r="Y57" s="15"/>
      <c r="AA57" s="33" t="s">
        <v>48</v>
      </c>
      <c r="AB57" s="34">
        <f>+R5</f>
        <v>1043317</v>
      </c>
      <c r="AC57" s="33" t="s">
        <v>5</v>
      </c>
      <c r="AD57" s="35">
        <f>+L12</f>
        <v>0</v>
      </c>
      <c r="AE57" s="36" t="s">
        <v>66</v>
      </c>
      <c r="AF57" s="35">
        <f>+S60</f>
        <v>69887</v>
      </c>
    </row>
    <row r="58" spans="3:32" ht="32" x14ac:dyDescent="0.2">
      <c r="C58" s="14"/>
      <c r="D58" s="20">
        <f>Flujos!H37</f>
        <v>0</v>
      </c>
      <c r="G58" s="16">
        <f>Flujos!H39</f>
        <v>0</v>
      </c>
      <c r="I58" s="14"/>
      <c r="K58" t="s">
        <v>79</v>
      </c>
      <c r="Y58" s="15"/>
      <c r="AA58" s="33" t="s">
        <v>4</v>
      </c>
      <c r="AB58" s="34">
        <f>+J9</f>
        <v>0</v>
      </c>
      <c r="AC58" s="33" t="s">
        <v>8</v>
      </c>
      <c r="AD58" s="35">
        <f>+L24</f>
        <v>-405.02495349999998</v>
      </c>
      <c r="AE58" s="36" t="s">
        <v>80</v>
      </c>
      <c r="AF58" s="35">
        <f>+Y15</f>
        <v>1002001.9010680999</v>
      </c>
    </row>
    <row r="59" spans="3:32" ht="16" x14ac:dyDescent="0.2">
      <c r="C59" s="14"/>
      <c r="D59" s="21">
        <f>Flujos!I37</f>
        <v>0</v>
      </c>
      <c r="G59" s="17">
        <f>Flujos!I39</f>
        <v>0</v>
      </c>
      <c r="I59" s="14"/>
      <c r="J59" s="20">
        <f>+Utilidad!O83</f>
        <v>0</v>
      </c>
      <c r="S59" t="s">
        <v>81</v>
      </c>
      <c r="Y59" s="15"/>
      <c r="AA59" s="33" t="s">
        <v>7</v>
      </c>
      <c r="AB59" s="34">
        <f>+J21</f>
        <v>2249</v>
      </c>
      <c r="AC59" t="s">
        <v>11</v>
      </c>
      <c r="AD59" s="35">
        <f>+L34</f>
        <v>-10850.797500000001</v>
      </c>
      <c r="AE59" s="37"/>
      <c r="AF59" s="35"/>
    </row>
    <row r="60" spans="3:32" ht="32" x14ac:dyDescent="0.2">
      <c r="C60" s="14"/>
      <c r="D60" s="22">
        <f>D58*D59</f>
        <v>0</v>
      </c>
      <c r="G60" s="18">
        <f>G58*G59</f>
        <v>0</v>
      </c>
      <c r="I60" s="14"/>
      <c r="J60" s="21">
        <f>+Utilidad!P83</f>
        <v>0.40000789290999994</v>
      </c>
      <c r="M60" s="16">
        <f>+Utilidad!O85</f>
        <v>451.74641028000002</v>
      </c>
      <c r="S60" s="16">
        <f>Flujos!H61</f>
        <v>69887</v>
      </c>
      <c r="Y60" s="15"/>
      <c r="AA60" s="33" t="s">
        <v>10</v>
      </c>
      <c r="AB60" s="34">
        <f>+J31</f>
        <v>9579</v>
      </c>
      <c r="AC60" s="33" t="s">
        <v>14</v>
      </c>
      <c r="AD60" s="35">
        <f>O8</f>
        <v>0</v>
      </c>
      <c r="AE60" s="37"/>
      <c r="AF60" s="35"/>
    </row>
    <row r="61" spans="3:32" ht="32" x14ac:dyDescent="0.2">
      <c r="C61" s="14"/>
      <c r="F61" s="19">
        <f>Flujos!H38</f>
        <v>0</v>
      </c>
      <c r="I61" s="14"/>
      <c r="J61" s="22">
        <f>+Utilidad!R83</f>
        <v>0</v>
      </c>
      <c r="L61" s="19">
        <f>+Utilidad!O84</f>
        <v>-451.74641028000002</v>
      </c>
      <c r="M61" s="17">
        <f>+Utilidad!P85</f>
        <v>0.40399999999999997</v>
      </c>
      <c r="O61" s="19">
        <f>Flujos!H41</f>
        <v>0</v>
      </c>
      <c r="S61" s="17">
        <f>Flujos!I61</f>
        <v>0.65780000000000005</v>
      </c>
      <c r="Y61" s="15"/>
      <c r="AA61" s="38" t="s">
        <v>13</v>
      </c>
      <c r="AB61" s="34"/>
      <c r="AC61" s="33" t="s">
        <v>17</v>
      </c>
      <c r="AD61" s="35">
        <f>+L54</f>
        <v>-2335.3850000000002</v>
      </c>
      <c r="AE61" s="39"/>
      <c r="AF61" s="35"/>
    </row>
    <row r="62" spans="3:32" ht="32" x14ac:dyDescent="0.2">
      <c r="C62" s="14"/>
      <c r="F62" s="18">
        <f>Flujos!I38*Flujos!H38</f>
        <v>0</v>
      </c>
      <c r="I62" s="14"/>
      <c r="L62" s="18">
        <f>+Utilidad!R84</f>
        <v>-182.50554975311999</v>
      </c>
      <c r="M62" s="18">
        <f>+Utilidad!R85</f>
        <v>182.50554975311999</v>
      </c>
      <c r="O62" s="18">
        <f>Flujos!I41*Flujos!J41</f>
        <v>0</v>
      </c>
      <c r="S62" s="18">
        <f>S60*S61</f>
        <v>45971.668600000005</v>
      </c>
      <c r="Y62" s="15"/>
      <c r="AA62" s="33" t="s">
        <v>16</v>
      </c>
      <c r="AB62" s="34">
        <f>+J51</f>
        <v>626</v>
      </c>
      <c r="AC62" s="33" t="s">
        <v>20</v>
      </c>
      <c r="AD62" s="35">
        <f>+L61</f>
        <v>-451.74641028000002</v>
      </c>
      <c r="AE62" s="36"/>
      <c r="AF62" s="35"/>
    </row>
    <row r="63" spans="3:32" ht="32" x14ac:dyDescent="0.2">
      <c r="C63" s="14"/>
      <c r="I63" s="14"/>
      <c r="J63" s="4">
        <f>J61-L62</f>
        <v>182.50554975311999</v>
      </c>
      <c r="S63" s="18"/>
      <c r="Y63" s="15"/>
      <c r="AA63" s="33" t="s">
        <v>19</v>
      </c>
      <c r="AB63" s="34">
        <f>+J59</f>
        <v>0</v>
      </c>
      <c r="AC63" s="33" t="s">
        <v>23</v>
      </c>
      <c r="AD63" s="35">
        <f>+L69</f>
        <v>0</v>
      </c>
      <c r="AE63" s="36"/>
      <c r="AF63" s="35"/>
    </row>
    <row r="64" spans="3:32" ht="32" x14ac:dyDescent="0.2">
      <c r="I64" s="14"/>
      <c r="S64" s="18"/>
      <c r="Y64" s="15"/>
      <c r="AA64" s="33" t="s">
        <v>22</v>
      </c>
      <c r="AB64" s="34">
        <f>+J66</f>
        <v>0</v>
      </c>
      <c r="AC64" s="33" t="s">
        <v>28</v>
      </c>
      <c r="AD64" s="35">
        <f>+L76</f>
        <v>0</v>
      </c>
      <c r="AE64" s="36"/>
      <c r="AF64" s="35"/>
    </row>
    <row r="65" spans="9:32" ht="16" x14ac:dyDescent="0.2">
      <c r="I65" s="14"/>
      <c r="K65" t="s">
        <v>82</v>
      </c>
      <c r="S65" s="18"/>
      <c r="Y65" s="15"/>
      <c r="AA65" s="33" t="s">
        <v>26</v>
      </c>
      <c r="AB65" s="34">
        <f>+J73</f>
        <v>0</v>
      </c>
      <c r="AC65" s="40" t="s">
        <v>83</v>
      </c>
      <c r="AD65" s="35"/>
      <c r="AE65" s="37"/>
      <c r="AF65" s="35"/>
    </row>
    <row r="66" spans="9:32" ht="16" x14ac:dyDescent="0.2">
      <c r="I66" s="14"/>
      <c r="J66" s="20">
        <f>+Utilidad!O86</f>
        <v>0</v>
      </c>
      <c r="M66" s="16">
        <f>+Utilidad!O88</f>
        <v>0</v>
      </c>
      <c r="S66" s="18"/>
      <c r="Y66" s="15"/>
      <c r="AA66" s="33" t="s">
        <v>84</v>
      </c>
      <c r="AB66" s="34">
        <f>D36</f>
        <v>419</v>
      </c>
      <c r="AC66" s="33" t="s">
        <v>85</v>
      </c>
      <c r="AD66" s="35">
        <f>F39</f>
        <v>-63.977203136999997</v>
      </c>
      <c r="AE66" s="36"/>
      <c r="AF66" s="35"/>
    </row>
    <row r="67" spans="9:32" ht="16" x14ac:dyDescent="0.2">
      <c r="I67" s="14"/>
      <c r="J67" s="21">
        <f>+Utilidad!P86</f>
        <v>0.53960779231</v>
      </c>
      <c r="M67" s="17">
        <f>+Utilidad!P88</f>
        <v>0.53955239462999993</v>
      </c>
      <c r="S67" s="18"/>
      <c r="Y67" s="15"/>
      <c r="AA67" s="33" t="s">
        <v>72</v>
      </c>
      <c r="AB67" s="34">
        <f>D44</f>
        <v>403</v>
      </c>
      <c r="AC67" s="33" t="s">
        <v>86</v>
      </c>
      <c r="AD67" s="35">
        <f>F46</f>
        <v>-1188.97</v>
      </c>
      <c r="AE67" s="36"/>
      <c r="AF67" s="35"/>
    </row>
    <row r="68" spans="9:32" ht="16" x14ac:dyDescent="0.2">
      <c r="I68" s="14"/>
      <c r="J68" s="22">
        <f>+Utilidad!R86</f>
        <v>0</v>
      </c>
      <c r="M68" s="18">
        <f>+Utilidad!R88</f>
        <v>0</v>
      </c>
      <c r="S68" s="18"/>
      <c r="Y68" s="15"/>
      <c r="AA68" s="33" t="s">
        <v>73</v>
      </c>
      <c r="AB68" s="34">
        <f>D51</f>
        <v>669</v>
      </c>
      <c r="AC68" s="33" t="s">
        <v>87</v>
      </c>
      <c r="AD68" s="35">
        <f>F54</f>
        <v>669</v>
      </c>
      <c r="AE68" s="36"/>
      <c r="AF68" s="35"/>
    </row>
    <row r="69" spans="9:32" ht="16" x14ac:dyDescent="0.2">
      <c r="I69" s="14"/>
      <c r="L69" s="19">
        <f>+Utilidad!O87</f>
        <v>0</v>
      </c>
      <c r="S69" s="18"/>
      <c r="Y69" s="15"/>
      <c r="AA69" s="33" t="s">
        <v>78</v>
      </c>
      <c r="AB69" s="34">
        <f>D58</f>
        <v>0</v>
      </c>
      <c r="AC69" s="33" t="s">
        <v>88</v>
      </c>
      <c r="AD69" s="35">
        <f>F61</f>
        <v>0</v>
      </c>
      <c r="AE69" s="37"/>
      <c r="AF69" s="35"/>
    </row>
    <row r="70" spans="9:32" x14ac:dyDescent="0.2">
      <c r="I70" s="14"/>
      <c r="L70" s="18">
        <f>+Utilidad!R87</f>
        <v>0</v>
      </c>
      <c r="S70" s="18"/>
      <c r="Y70" s="15"/>
    </row>
    <row r="71" spans="9:32" ht="19" x14ac:dyDescent="0.2">
      <c r="I71" s="14"/>
      <c r="S71" s="18"/>
      <c r="Y71" s="15"/>
      <c r="AA71" s="41" t="s">
        <v>89</v>
      </c>
      <c r="AB71" s="42">
        <f>+SUM(AB57:AB69)</f>
        <v>1057262</v>
      </c>
      <c r="AC71" s="41" t="s">
        <v>90</v>
      </c>
      <c r="AD71" s="43">
        <f>+SUM(AD57:AD69)</f>
        <v>-14626.901066917</v>
      </c>
      <c r="AE71" s="36"/>
      <c r="AF71" s="42">
        <f>+SUM(AF57:AF64)</f>
        <v>1071888.9010680998</v>
      </c>
    </row>
    <row r="72" spans="9:32" x14ac:dyDescent="0.2">
      <c r="I72" s="14"/>
      <c r="K72" t="s">
        <v>91</v>
      </c>
      <c r="S72" s="18"/>
      <c r="Y72" s="15"/>
    </row>
    <row r="73" spans="9:32" ht="19" x14ac:dyDescent="0.2">
      <c r="I73" s="14"/>
      <c r="J73" s="20">
        <f>+Utilidad!O89</f>
        <v>0</v>
      </c>
      <c r="M73" s="16">
        <f>+Utilidad!O91</f>
        <v>0</v>
      </c>
      <c r="S73" s="18"/>
      <c r="Y73" s="15"/>
      <c r="AA73" s="44" t="s">
        <v>92</v>
      </c>
      <c r="AB73" s="45"/>
      <c r="AC73" s="46"/>
      <c r="AD73" s="45"/>
      <c r="AE73" s="47">
        <f>+AB71-AD71-AF71</f>
        <v>-1.1827796697616577E-6</v>
      </c>
    </row>
    <row r="74" spans="9:32" x14ac:dyDescent="0.2">
      <c r="I74" s="14"/>
      <c r="J74" s="21">
        <f>+Utilidad!P89/100</f>
        <v>6.3100597155000002E-3</v>
      </c>
      <c r="M74" s="17">
        <f>+Utilidad!P91</f>
        <v>0.63095048019</v>
      </c>
      <c r="S74" s="18"/>
      <c r="Y74" s="15"/>
    </row>
    <row r="75" spans="9:32" x14ac:dyDescent="0.2">
      <c r="I75" s="14"/>
      <c r="J75" s="22">
        <f>+Utilidad!R89</f>
        <v>0</v>
      </c>
      <c r="M75" s="18">
        <f>+Utilidad!R91</f>
        <v>0</v>
      </c>
      <c r="S75" s="18"/>
      <c r="Y75" s="15"/>
    </row>
    <row r="76" spans="9:32" x14ac:dyDescent="0.2">
      <c r="I76" s="14"/>
      <c r="L76" s="19">
        <f>+Utilidad!O90</f>
        <v>0</v>
      </c>
      <c r="S76" s="18"/>
      <c r="Y76" s="15"/>
    </row>
    <row r="77" spans="9:32" ht="16" x14ac:dyDescent="0.2">
      <c r="I77" s="14"/>
      <c r="L77" s="18">
        <f>+Utilidad!R90</f>
        <v>0</v>
      </c>
      <c r="S77" s="18"/>
      <c r="Y77" s="15"/>
      <c r="AA77" s="10" t="s">
        <v>93</v>
      </c>
    </row>
    <row r="78" spans="9:32" ht="19" x14ac:dyDescent="0.2">
      <c r="I78" s="14"/>
      <c r="S78" s="18"/>
      <c r="Y78" s="15"/>
      <c r="AA78" s="48" t="s">
        <v>75</v>
      </c>
      <c r="AB78" s="49"/>
      <c r="AC78" s="50" t="s">
        <v>76</v>
      </c>
      <c r="AD78" s="50"/>
      <c r="AE78" s="48" t="s">
        <v>77</v>
      </c>
      <c r="AF78" s="48"/>
    </row>
    <row r="79" spans="9:32" ht="32" x14ac:dyDescent="0.2">
      <c r="I79" s="14"/>
      <c r="J79" s="4"/>
      <c r="S79" s="18"/>
      <c r="Y79" s="15"/>
      <c r="AA79" s="33" t="s">
        <v>48</v>
      </c>
      <c r="AB79" s="34">
        <f>+R7</f>
        <v>112654.29873987586</v>
      </c>
      <c r="AC79" s="33" t="s">
        <v>5</v>
      </c>
      <c r="AD79" s="35">
        <f>+L13</f>
        <v>0</v>
      </c>
      <c r="AE79" s="36" t="s">
        <v>66</v>
      </c>
      <c r="AF79" s="35">
        <f>+S62</f>
        <v>45971.668600000005</v>
      </c>
    </row>
    <row r="80" spans="9:32" ht="32" x14ac:dyDescent="0.2">
      <c r="I80" s="14"/>
      <c r="S80" s="18"/>
      <c r="Y80" s="15"/>
      <c r="AA80" s="33" t="s">
        <v>4</v>
      </c>
      <c r="AB80" s="34">
        <f>+J11</f>
        <v>0</v>
      </c>
      <c r="AC80" s="33" t="s">
        <v>8</v>
      </c>
      <c r="AD80" s="35">
        <f>+L25</f>
        <v>-159.58359491570218</v>
      </c>
      <c r="AE80" s="36" t="s">
        <v>80</v>
      </c>
      <c r="AF80" s="35">
        <f>+Y17</f>
        <v>78689.697142214602</v>
      </c>
    </row>
    <row r="81" spans="9:32" ht="32" x14ac:dyDescent="0.2">
      <c r="I81" s="14"/>
      <c r="S81" s="18"/>
      <c r="Y81" s="15"/>
      <c r="AA81" s="33" t="s">
        <v>7</v>
      </c>
      <c r="AB81" s="34">
        <f>+J23</f>
        <v>894.41464269547009</v>
      </c>
      <c r="AC81" s="33" t="s">
        <v>11</v>
      </c>
      <c r="AD81" s="35">
        <f>+L35</f>
        <v>-4439.9504299744412</v>
      </c>
      <c r="AE81" s="37"/>
      <c r="AF81" s="35"/>
    </row>
    <row r="82" spans="9:32" ht="32" x14ac:dyDescent="0.2">
      <c r="I82" s="14"/>
      <c r="S82" s="18"/>
      <c r="Y82" s="15"/>
      <c r="AA82" s="33" t="s">
        <v>10</v>
      </c>
      <c r="AB82" s="34">
        <f>+J33</f>
        <v>3914.7948278929803</v>
      </c>
      <c r="AC82" s="33" t="s">
        <v>14</v>
      </c>
      <c r="AD82" s="35">
        <f>+O9</f>
        <v>0</v>
      </c>
      <c r="AE82" s="37"/>
      <c r="AF82" s="35"/>
    </row>
    <row r="83" spans="9:32" ht="32" x14ac:dyDescent="0.2">
      <c r="I83" s="51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3"/>
      <c r="AA83" s="38" t="s">
        <v>13</v>
      </c>
      <c r="AB83" s="34"/>
      <c r="AC83" s="33" t="s">
        <v>17</v>
      </c>
      <c r="AD83" s="35">
        <f>+L55</f>
        <v>-1144.8672356695147</v>
      </c>
      <c r="AE83" s="39"/>
      <c r="AF83" s="35"/>
    </row>
    <row r="84" spans="9:32" ht="32" x14ac:dyDescent="0.2">
      <c r="AA84" s="33" t="s">
        <v>16</v>
      </c>
      <c r="AB84" s="34">
        <f>+J53</f>
        <v>304.27170715893999</v>
      </c>
      <c r="AC84" s="33" t="s">
        <v>20</v>
      </c>
      <c r="AD84" s="35">
        <f>+L62</f>
        <v>-182.50554975311999</v>
      </c>
      <c r="AE84" s="36"/>
      <c r="AF84" s="35"/>
    </row>
    <row r="85" spans="9:32" ht="32" x14ac:dyDescent="0.2">
      <c r="AA85" s="33" t="s">
        <v>19</v>
      </c>
      <c r="AB85" s="34">
        <f>+J61</f>
        <v>0</v>
      </c>
      <c r="AC85" s="33" t="s">
        <v>23</v>
      </c>
      <c r="AD85" s="35">
        <f>+L70</f>
        <v>0</v>
      </c>
      <c r="AE85" s="36"/>
      <c r="AF85" s="35"/>
    </row>
    <row r="86" spans="9:32" ht="32" x14ac:dyDescent="0.2">
      <c r="AA86" s="33" t="s">
        <v>22</v>
      </c>
      <c r="AB86" s="34">
        <f>+J68</f>
        <v>0</v>
      </c>
      <c r="AC86" s="33" t="s">
        <v>28</v>
      </c>
      <c r="AD86" s="35">
        <f>+L77</f>
        <v>0</v>
      </c>
      <c r="AE86" s="36"/>
      <c r="AF86" s="35"/>
    </row>
    <row r="87" spans="9:32" ht="16" x14ac:dyDescent="0.2">
      <c r="AA87" s="33" t="s">
        <v>26</v>
      </c>
      <c r="AB87" s="34">
        <f>+J75</f>
        <v>0</v>
      </c>
      <c r="AC87" s="40" t="s">
        <v>83</v>
      </c>
      <c r="AD87" s="35"/>
      <c r="AE87" s="37"/>
      <c r="AF87" s="35"/>
    </row>
    <row r="88" spans="9:32" ht="16" x14ac:dyDescent="0.2">
      <c r="AA88" s="33" t="s">
        <v>84</v>
      </c>
      <c r="AB88" s="34">
        <f>D38</f>
        <v>179.06411256787999</v>
      </c>
      <c r="AC88" s="33" t="s">
        <v>85</v>
      </c>
      <c r="AD88" s="35">
        <f>F40</f>
        <v>-27.0831151379011</v>
      </c>
      <c r="AE88" s="36"/>
      <c r="AF88" s="35"/>
    </row>
    <row r="89" spans="9:32" ht="15.75" customHeight="1" x14ac:dyDescent="0.2">
      <c r="AA89" s="33" t="s">
        <v>72</v>
      </c>
      <c r="AB89" s="34">
        <f>D46</f>
        <v>191.38704477893</v>
      </c>
      <c r="AC89" s="33" t="s">
        <v>86</v>
      </c>
      <c r="AD89" s="35">
        <f>F47</f>
        <v>-569.14478331830708</v>
      </c>
      <c r="AE89" s="36"/>
      <c r="AF89" s="35"/>
    </row>
    <row r="90" spans="9:32" ht="16" x14ac:dyDescent="0.2">
      <c r="AA90" s="33" t="s">
        <v>73</v>
      </c>
      <c r="AB90" s="34">
        <f>D53</f>
        <v>368.57501328344995</v>
      </c>
      <c r="AC90" s="33" t="s">
        <v>87</v>
      </c>
      <c r="AD90" s="35">
        <f>F55</f>
        <v>368.57501328344995</v>
      </c>
      <c r="AE90" s="36"/>
      <c r="AF90" s="35"/>
    </row>
    <row r="91" spans="9:32" ht="16.5" customHeight="1" x14ac:dyDescent="0.2">
      <c r="AA91" s="33" t="s">
        <v>78</v>
      </c>
      <c r="AB91" s="34">
        <f>D60</f>
        <v>0</v>
      </c>
      <c r="AC91" s="33" t="s">
        <v>88</v>
      </c>
      <c r="AD91" s="35">
        <f>F62</f>
        <v>0</v>
      </c>
      <c r="AE91" s="37"/>
      <c r="AF91" s="35"/>
    </row>
    <row r="93" spans="9:32" ht="14.25" customHeight="1" x14ac:dyDescent="0.2">
      <c r="AA93" s="41" t="s">
        <v>89</v>
      </c>
      <c r="AB93" s="42">
        <f>+SUM(AB79:AB91)</f>
        <v>118506.80608825351</v>
      </c>
      <c r="AC93" s="41" t="s">
        <v>90</v>
      </c>
      <c r="AD93" s="43">
        <f>+SUM(AD79:AD91)</f>
        <v>-6154.5596954855364</v>
      </c>
      <c r="AE93" s="36"/>
      <c r="AF93" s="42">
        <f>+SUM(AF79:AF86)</f>
        <v>124661.36574221461</v>
      </c>
    </row>
    <row r="95" spans="9:32" ht="14.25" customHeight="1" x14ac:dyDescent="0.2">
      <c r="AA95" s="44" t="s">
        <v>92</v>
      </c>
      <c r="AB95" s="45"/>
      <c r="AC95" s="46"/>
      <c r="AD95" s="45"/>
      <c r="AE95" s="47">
        <f>+AB93-AD93-AF93</f>
        <v>4.152444307692349E-5</v>
      </c>
    </row>
  </sheetData>
  <pageMargins left="0.7" right="0.7" top="0.75" bottom="0.75" header="0.511811023622047" footer="0.511811023622047"/>
  <pageSetup orientation="portrait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4" id="{A316B6AF-F017-48C4-A393-7A6CC787816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F29</xm:sqref>
        </x14:conditionalFormatting>
        <x14:conditionalFormatting xmlns:xm="http://schemas.microsoft.com/office/excel/2006/main">
          <x14:cfRule type="iconSet" priority="31" id="{A900B2B0-6ED2-475D-B9BE-4599CDA1971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F30</xm:sqref>
        </x14:conditionalFormatting>
        <x14:conditionalFormatting xmlns:xm="http://schemas.microsoft.com/office/excel/2006/main">
          <x14:cfRule type="iconSet" priority="25" id="{234C4012-F217-40F5-B4D0-8DF118247BB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F39</xm:sqref>
        </x14:conditionalFormatting>
        <x14:conditionalFormatting xmlns:xm="http://schemas.microsoft.com/office/excel/2006/main">
          <x14:cfRule type="iconSet" priority="30" id="{FB8E1BF5-D1C4-4136-843D-56C95B7CF53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F40</xm:sqref>
        </x14:conditionalFormatting>
        <x14:conditionalFormatting xmlns:xm="http://schemas.microsoft.com/office/excel/2006/main">
          <x14:cfRule type="iconSet" priority="26" id="{139227B3-BA32-4481-9346-1349D5E464A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F46</xm:sqref>
        </x14:conditionalFormatting>
        <x14:conditionalFormatting xmlns:xm="http://schemas.microsoft.com/office/excel/2006/main">
          <x14:cfRule type="iconSet" priority="29" id="{E03B7A45-6574-4EFA-A74C-7E7D60D8795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F47</xm:sqref>
        </x14:conditionalFormatting>
        <x14:conditionalFormatting xmlns:xm="http://schemas.microsoft.com/office/excel/2006/main">
          <x14:cfRule type="iconSet" priority="27" id="{F960D68C-B8FC-4548-B689-F781B48B757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F54</xm:sqref>
        </x14:conditionalFormatting>
        <x14:conditionalFormatting xmlns:xm="http://schemas.microsoft.com/office/excel/2006/main">
          <x14:cfRule type="iconSet" priority="28" id="{79E2C0C3-D03D-4B4A-B2B1-332060E0401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F55</xm:sqref>
        </x14:conditionalFormatting>
        <x14:conditionalFormatting xmlns:xm="http://schemas.microsoft.com/office/excel/2006/main">
          <x14:cfRule type="iconSet" priority="32" id="{436A556A-AE64-4D57-8786-8AC1D090D7E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F61</xm:sqref>
        </x14:conditionalFormatting>
        <x14:conditionalFormatting xmlns:xm="http://schemas.microsoft.com/office/excel/2006/main">
          <x14:cfRule type="iconSet" priority="33" id="{7DBB6880-77E9-4F31-BA74-E0844110B71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F62</xm:sqref>
        </x14:conditionalFormatting>
        <x14:conditionalFormatting xmlns:xm="http://schemas.microsoft.com/office/excel/2006/main">
          <x14:cfRule type="iconSet" priority="2" id="{839FD91F-6115-43BF-87EC-DD534EC3772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L12</xm:sqref>
        </x14:conditionalFormatting>
        <x14:conditionalFormatting xmlns:xm="http://schemas.microsoft.com/office/excel/2006/main">
          <x14:cfRule type="iconSet" priority="21" id="{84F3904D-52A2-47E6-96D2-D8A95A3AB93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L13</xm:sqref>
        </x14:conditionalFormatting>
        <x14:conditionalFormatting xmlns:xm="http://schemas.microsoft.com/office/excel/2006/main">
          <x14:cfRule type="iconSet" priority="3" id="{D3883F54-6BD8-4E2E-B71A-BDCE3742D12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L24</xm:sqref>
        </x14:conditionalFormatting>
        <x14:conditionalFormatting xmlns:xm="http://schemas.microsoft.com/office/excel/2006/main">
          <x14:cfRule type="iconSet" priority="15" id="{34F863DB-D898-492C-8E80-AD60704AC3A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L25</xm:sqref>
        </x14:conditionalFormatting>
        <x14:conditionalFormatting xmlns:xm="http://schemas.microsoft.com/office/excel/2006/main">
          <x14:cfRule type="iconSet" priority="4" id="{20198070-5F96-4C77-9974-626295BA404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L34</xm:sqref>
        </x14:conditionalFormatting>
        <x14:conditionalFormatting xmlns:xm="http://schemas.microsoft.com/office/excel/2006/main">
          <x14:cfRule type="iconSet" priority="14" id="{754AD3E7-24EE-4689-BBCC-35B861E096A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L35</xm:sqref>
        </x14:conditionalFormatting>
        <x14:conditionalFormatting xmlns:xm="http://schemas.microsoft.com/office/excel/2006/main">
          <x14:cfRule type="iconSet" priority="5" id="{8B39F651-2DAD-4E55-8777-A93325A96F8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L44</xm:sqref>
        </x14:conditionalFormatting>
        <x14:conditionalFormatting xmlns:xm="http://schemas.microsoft.com/office/excel/2006/main">
          <x14:cfRule type="iconSet" priority="13" id="{98A89BB4-149A-4DBF-8DD2-707E57505FE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L45</xm:sqref>
        </x14:conditionalFormatting>
        <x14:conditionalFormatting xmlns:xm="http://schemas.microsoft.com/office/excel/2006/main">
          <x14:cfRule type="iconSet" priority="6" id="{B8C5C937-7667-4146-9130-4E7C9C90E8F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L54</xm:sqref>
        </x14:conditionalFormatting>
        <x14:conditionalFormatting xmlns:xm="http://schemas.microsoft.com/office/excel/2006/main">
          <x14:cfRule type="iconSet" priority="12" id="{6BDBD18D-206C-469C-B5FD-667C9744E82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L55</xm:sqref>
        </x14:conditionalFormatting>
        <x14:conditionalFormatting xmlns:xm="http://schemas.microsoft.com/office/excel/2006/main">
          <x14:cfRule type="iconSet" priority="8" id="{8ED08029-3253-4935-A9DF-3C4150E086C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L61</xm:sqref>
        </x14:conditionalFormatting>
        <x14:conditionalFormatting xmlns:xm="http://schemas.microsoft.com/office/excel/2006/main">
          <x14:cfRule type="iconSet" priority="11" id="{E79BED40-8971-422D-86F5-1E978DC3424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L62</xm:sqref>
        </x14:conditionalFormatting>
        <x14:conditionalFormatting xmlns:xm="http://schemas.microsoft.com/office/excel/2006/main">
          <x14:cfRule type="iconSet" priority="9" id="{8F7414E0-6016-43F9-8B50-34D011C020B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L69</xm:sqref>
        </x14:conditionalFormatting>
        <x14:conditionalFormatting xmlns:xm="http://schemas.microsoft.com/office/excel/2006/main">
          <x14:cfRule type="iconSet" priority="10" id="{9B7CE269-E58B-4145-A5FB-F29C2310C47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L70</xm:sqref>
        </x14:conditionalFormatting>
        <x14:conditionalFormatting xmlns:xm="http://schemas.microsoft.com/office/excel/2006/main">
          <x14:cfRule type="iconSet" priority="16" id="{A6C04F3E-F35E-4FED-B655-CFBA4BC9641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L76</xm:sqref>
        </x14:conditionalFormatting>
        <x14:conditionalFormatting xmlns:xm="http://schemas.microsoft.com/office/excel/2006/main">
          <x14:cfRule type="iconSet" priority="17" id="{946D10A7-F87A-4E25-8DA8-10DB8187FBF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L77</xm:sqref>
        </x14:conditionalFormatting>
        <x14:conditionalFormatting xmlns:xm="http://schemas.microsoft.com/office/excel/2006/main">
          <x14:cfRule type="iconSet" priority="22" id="{83498520-8BFC-4272-B050-9AE6EEC9E09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O8</xm:sqref>
        </x14:conditionalFormatting>
        <x14:conditionalFormatting xmlns:xm="http://schemas.microsoft.com/office/excel/2006/main">
          <x14:cfRule type="iconSet" priority="23" id="{5B30A0BB-E11A-4833-81E4-2DC52358958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O9</xm:sqref>
        </x14:conditionalFormatting>
        <x14:conditionalFormatting xmlns:xm="http://schemas.microsoft.com/office/excel/2006/main">
          <x14:cfRule type="iconSet" priority="18" id="{6AE85F4B-44D7-46B6-B135-8E4F7C4AAF3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O61</xm:sqref>
        </x14:conditionalFormatting>
        <x14:conditionalFormatting xmlns:xm="http://schemas.microsoft.com/office/excel/2006/main">
          <x14:cfRule type="iconSet" priority="19" id="{FD144962-CA1A-431F-8BBC-908FBB33EBB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O62</xm:sqref>
        </x14:conditionalFormatting>
        <x14:conditionalFormatting xmlns:xm="http://schemas.microsoft.com/office/excel/2006/main">
          <x14:cfRule type="iconSet" priority="7" id="{83E9B0E4-509F-4000-8E20-EDF5256089B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AD71</xm:sqref>
        </x14:conditionalFormatting>
        <x14:conditionalFormatting xmlns:xm="http://schemas.microsoft.com/office/excel/2006/main">
          <x14:cfRule type="iconSet" priority="20" id="{6E674EBC-41ED-4A18-A052-CD9F415A156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AD93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T88"/>
  <sheetViews>
    <sheetView topLeftCell="A25" zoomScale="90" zoomScaleNormal="90" zoomScaleSheetLayoutView="100" workbookViewId="0">
      <selection activeCell="L67" sqref="L67"/>
    </sheetView>
  </sheetViews>
  <sheetFormatPr baseColWidth="10" defaultColWidth="10.5" defaultRowHeight="15" x14ac:dyDescent="0.2"/>
  <cols>
    <col min="1" max="1" width="5.6640625" customWidth="1"/>
    <col min="2" max="2" width="30.33203125" customWidth="1"/>
    <col min="3" max="4" width="13.1640625" customWidth="1"/>
    <col min="5" max="5" width="13.33203125" customWidth="1"/>
    <col min="6" max="6" width="12" customWidth="1"/>
    <col min="7" max="7" width="30.5" customWidth="1"/>
    <col min="8" max="8" width="15.5" customWidth="1"/>
    <col min="9" max="9" width="13.5" customWidth="1"/>
    <col min="10" max="10" width="12.33203125" customWidth="1"/>
    <col min="11" max="11" width="5" customWidth="1"/>
    <col min="12" max="12" width="11.5" customWidth="1"/>
    <col min="13" max="14" width="14.1640625" customWidth="1"/>
    <col min="15" max="15" width="5.83203125" customWidth="1"/>
    <col min="16" max="16" width="15.1640625" customWidth="1"/>
    <col min="17" max="17" width="15.5" customWidth="1"/>
    <col min="18" max="18" width="19.1640625" customWidth="1"/>
    <col min="19" max="19" width="5.83203125" customWidth="1"/>
    <col min="20" max="20" width="16.33203125" customWidth="1"/>
  </cols>
  <sheetData>
    <row r="2" spans="2:20" ht="19.5" customHeight="1" x14ac:dyDescent="0.25">
      <c r="B2" s="195" t="s">
        <v>94</v>
      </c>
      <c r="C2" s="195"/>
      <c r="D2" s="195"/>
      <c r="E2" s="195"/>
      <c r="G2" s="195" t="s">
        <v>95</v>
      </c>
      <c r="H2" s="195"/>
      <c r="I2" s="195"/>
      <c r="J2" s="195"/>
      <c r="L2" s="196" t="s">
        <v>96</v>
      </c>
      <c r="M2" s="196"/>
      <c r="N2" s="196"/>
      <c r="P2" s="54" t="s">
        <v>97</v>
      </c>
      <c r="Q2" s="55" t="s">
        <v>98</v>
      </c>
      <c r="R2" s="55" t="s">
        <v>99</v>
      </c>
      <c r="T2" s="56" t="s">
        <v>100</v>
      </c>
    </row>
    <row r="3" spans="2:20" ht="19" x14ac:dyDescent="0.25">
      <c r="B3" s="57" t="s">
        <v>101</v>
      </c>
      <c r="C3" s="57" t="s">
        <v>1</v>
      </c>
      <c r="D3" s="57" t="s">
        <v>102</v>
      </c>
      <c r="E3" s="57" t="s">
        <v>103</v>
      </c>
      <c r="G3" s="57" t="s">
        <v>101</v>
      </c>
      <c r="H3" s="57" t="s">
        <v>1</v>
      </c>
      <c r="I3" s="57" t="s">
        <v>102</v>
      </c>
      <c r="J3" s="57" t="s">
        <v>103</v>
      </c>
      <c r="L3" s="58" t="s">
        <v>104</v>
      </c>
      <c r="M3" s="58" t="s">
        <v>105</v>
      </c>
      <c r="N3" s="58" t="s">
        <v>106</v>
      </c>
      <c r="P3" s="59"/>
      <c r="Q3" s="59"/>
      <c r="R3" s="59"/>
      <c r="T3" s="59"/>
    </row>
    <row r="4" spans="2:20" ht="21" x14ac:dyDescent="0.25">
      <c r="B4" s="60" t="s">
        <v>4</v>
      </c>
      <c r="C4" s="61">
        <f>Utilidad!A1</f>
        <v>0</v>
      </c>
      <c r="D4" s="62">
        <f>IF(Utilidad!C$46&gt;1,Utilidad!C1/100,Utilidad!C1)</f>
        <v>0.56569999999999998</v>
      </c>
      <c r="E4" s="62">
        <f>IF(Utilidad!$E$46&gt;1,Utilidad!E1/100,Utilidad!E1)</f>
        <v>0.54239999999999999</v>
      </c>
      <c r="G4" s="60" t="s">
        <v>4</v>
      </c>
      <c r="H4" s="61">
        <f>Utilidad!B1</f>
        <v>0</v>
      </c>
      <c r="I4" s="62">
        <f>IF(Utilidad!$D$46&gt;1,Utilidad!D1/100,Utilidad!D1)</f>
        <v>0.56560860477999997</v>
      </c>
      <c r="J4" s="62">
        <f>IF(Utilidad!$F$46&gt;1,Utilidad!F1/100,Utilidad!F1)</f>
        <v>0.54249789169999996</v>
      </c>
      <c r="L4" s="63">
        <f t="shared" ref="L4:L35" si="0">+IF(C4&lt;&gt;0,(H4-C4)/C4,ABS(H4-C4))</f>
        <v>0</v>
      </c>
      <c r="M4" s="63">
        <f t="shared" ref="M4:M35" si="1">+IF(D4&lt;&gt;0,(I4-D4)/D4,0)</f>
        <v>-1.6156128690120617E-4</v>
      </c>
      <c r="N4" s="63">
        <f t="shared" ref="N4:N35" si="2">+IF(E4&lt;&gt;0,(J4-E4)/E4,0)</f>
        <v>1.8047879793503595E-4</v>
      </c>
      <c r="P4" s="62">
        <f t="shared" ref="P4:P35" si="3">+IF(L4&lt;&gt;"",ABS(L4),0)</f>
        <v>0</v>
      </c>
      <c r="Q4" s="62">
        <f t="shared" ref="Q4:Q35" si="4">+IF(L4&lt;&gt;"",ABS(M4),0)</f>
        <v>1.6156128690120617E-4</v>
      </c>
      <c r="R4" s="62">
        <f t="shared" ref="R4:R35" si="5">+IF(M4&lt;&gt;"",ABS(N4),0)</f>
        <v>1.8047879793503595E-4</v>
      </c>
      <c r="T4" s="64" t="str">
        <f t="shared" ref="T4:T35" si="6">IF(J4&lt;=I4,"SI","NO")</f>
        <v>SI</v>
      </c>
    </row>
    <row r="5" spans="2:20" ht="21" x14ac:dyDescent="0.25">
      <c r="B5" s="60" t="s">
        <v>5</v>
      </c>
      <c r="C5" s="61">
        <f>Utilidad!A2</f>
        <v>0</v>
      </c>
      <c r="D5" s="62">
        <f>IF(Utilidad!C$46&gt;1,Utilidad!C2/100,Utilidad!C2)</f>
        <v>0.56569999999999998</v>
      </c>
      <c r="E5" s="62">
        <f>IF(Utilidad!$E$46&gt;1,Utilidad!E2/100,Utilidad!E2)</f>
        <v>0.54239999999999999</v>
      </c>
      <c r="G5" s="60" t="s">
        <v>5</v>
      </c>
      <c r="H5" s="61">
        <f>Utilidad!B2</f>
        <v>0</v>
      </c>
      <c r="I5" s="62">
        <f>IF(Utilidad!$D$46&gt;1,Utilidad!D2/100,Utilidad!D2)</f>
        <v>0.56560860477999997</v>
      </c>
      <c r="J5" s="62">
        <f>IF(Utilidad!$F$46&gt;1,Utilidad!F2/100,Utilidad!F2)</f>
        <v>0.54249789169999996</v>
      </c>
      <c r="L5" s="63">
        <f t="shared" si="0"/>
        <v>0</v>
      </c>
      <c r="M5" s="63">
        <f t="shared" si="1"/>
        <v>-1.6156128690120617E-4</v>
      </c>
      <c r="N5" s="63">
        <f t="shared" si="2"/>
        <v>1.8047879793503595E-4</v>
      </c>
      <c r="P5" s="62">
        <f t="shared" si="3"/>
        <v>0</v>
      </c>
      <c r="Q5" s="62">
        <f t="shared" si="4"/>
        <v>1.6156128690120617E-4</v>
      </c>
      <c r="R5" s="62">
        <f t="shared" si="5"/>
        <v>1.8047879793503595E-4</v>
      </c>
      <c r="T5" s="64" t="str">
        <f t="shared" si="6"/>
        <v>SI</v>
      </c>
    </row>
    <row r="6" spans="2:20" ht="21" x14ac:dyDescent="0.25">
      <c r="B6" s="60" t="s">
        <v>6</v>
      </c>
      <c r="C6" s="61">
        <f>Utilidad!A3</f>
        <v>0</v>
      </c>
      <c r="D6" s="62">
        <f>IF(Utilidad!C$46&gt;1,Utilidad!C3/100,Utilidad!C3)</f>
        <v>0.56569999999999998</v>
      </c>
      <c r="E6" s="62">
        <f>IF(Utilidad!$E$46&gt;1,Utilidad!E3/100,Utilidad!E3)</f>
        <v>0.54239999999999999</v>
      </c>
      <c r="G6" s="60" t="s">
        <v>6</v>
      </c>
      <c r="H6" s="61">
        <f>Utilidad!B3</f>
        <v>0</v>
      </c>
      <c r="I6" s="62">
        <f>IF(Utilidad!$D$46&gt;1,Utilidad!D3/100,Utilidad!D3)</f>
        <v>0.56565190013</v>
      </c>
      <c r="J6" s="62">
        <f>IF(Utilidad!$F$46&gt;1,Utilidad!F3/100,Utilidad!F3)</f>
        <v>0.54244773027000004</v>
      </c>
      <c r="L6" s="63">
        <f t="shared" si="0"/>
        <v>0</v>
      </c>
      <c r="M6" s="63">
        <f t="shared" si="1"/>
        <v>-8.5027169878000024E-5</v>
      </c>
      <c r="N6" s="63">
        <f t="shared" si="2"/>
        <v>8.7998285398314756E-5</v>
      </c>
      <c r="P6" s="62">
        <f t="shared" si="3"/>
        <v>0</v>
      </c>
      <c r="Q6" s="62">
        <f t="shared" si="4"/>
        <v>8.5027169878000024E-5</v>
      </c>
      <c r="R6" s="62">
        <f t="shared" si="5"/>
        <v>8.7998285398314756E-5</v>
      </c>
      <c r="T6" s="64" t="str">
        <f t="shared" si="6"/>
        <v>SI</v>
      </c>
    </row>
    <row r="7" spans="2:20" ht="21" x14ac:dyDescent="0.25">
      <c r="B7" s="60" t="s">
        <v>7</v>
      </c>
      <c r="C7" s="61">
        <f>Utilidad!A4</f>
        <v>2249</v>
      </c>
      <c r="D7" s="62">
        <f>IF(Utilidad!C$46&gt;1,Utilidad!C4/100,Utilidad!C4)</f>
        <v>0.39319999999999999</v>
      </c>
      <c r="E7" s="62">
        <f>IF(Utilidad!$E$46&gt;1,Utilidad!E4/100,Utilidad!E4)</f>
        <v>0.36890000000000001</v>
      </c>
      <c r="G7" s="60" t="s">
        <v>7</v>
      </c>
      <c r="H7" s="61">
        <f>Utilidad!B4</f>
        <v>2249</v>
      </c>
      <c r="I7" s="62">
        <f>IF(Utilidad!$D$46&gt;1,Utilidad!D4/100,Utilidad!D4)</f>
        <v>0.39769437203000002</v>
      </c>
      <c r="J7" s="62">
        <f>IF(Utilidad!$F$46&gt;1,Utilidad!F4/100,Utilidad!F4)</f>
        <v>0.36468210642000004</v>
      </c>
      <c r="L7" s="63">
        <f t="shared" si="0"/>
        <v>0</v>
      </c>
      <c r="M7" s="63">
        <f t="shared" si="1"/>
        <v>1.143024422685663E-2</v>
      </c>
      <c r="N7" s="63">
        <f t="shared" si="2"/>
        <v>-1.143370447275675E-2</v>
      </c>
      <c r="P7" s="62">
        <f t="shared" si="3"/>
        <v>0</v>
      </c>
      <c r="Q7" s="62">
        <f t="shared" si="4"/>
        <v>1.143024422685663E-2</v>
      </c>
      <c r="R7" s="62">
        <f t="shared" si="5"/>
        <v>1.143370447275675E-2</v>
      </c>
      <c r="T7" s="64" t="str">
        <f t="shared" si="6"/>
        <v>SI</v>
      </c>
    </row>
    <row r="8" spans="2:20" ht="21" x14ac:dyDescent="0.25">
      <c r="B8" s="60" t="s">
        <v>8</v>
      </c>
      <c r="C8" s="61">
        <f>Utilidad!A5</f>
        <v>-406</v>
      </c>
      <c r="D8" s="62">
        <f>IF(Utilidad!C$46&gt;1,Utilidad!C5/100,Utilidad!C5)</f>
        <v>0.39319999999999999</v>
      </c>
      <c r="E8" s="62">
        <f>IF(Utilidad!$E$46&gt;1,Utilidad!E5/100,Utilidad!E5)</f>
        <v>0.36890000000000001</v>
      </c>
      <c r="G8" s="60" t="s">
        <v>8</v>
      </c>
      <c r="H8" s="61">
        <f>Utilidad!B5</f>
        <v>-405.02495349999998</v>
      </c>
      <c r="I8" s="62">
        <f>IF(Utilidad!$D$46&gt;1,Utilidad!D5/100,Utilidad!D5)</f>
        <v>0.39400929136999996</v>
      </c>
      <c r="J8" s="62">
        <f>IF(Utilidad!$F$46&gt;1,Utilidad!F5/100,Utilidad!F5)</f>
        <v>0.36814781242</v>
      </c>
      <c r="L8" s="63">
        <f t="shared" si="0"/>
        <v>-2.4015923645320666E-3</v>
      </c>
      <c r="M8" s="63">
        <f t="shared" si="1"/>
        <v>2.0582181332654244E-3</v>
      </c>
      <c r="N8" s="63">
        <f t="shared" si="2"/>
        <v>-2.0390013011656483E-3</v>
      </c>
      <c r="P8" s="62">
        <f t="shared" si="3"/>
        <v>2.4015923645320666E-3</v>
      </c>
      <c r="Q8" s="62">
        <f t="shared" si="4"/>
        <v>2.0582181332654244E-3</v>
      </c>
      <c r="R8" s="62">
        <f t="shared" si="5"/>
        <v>2.0390013011656483E-3</v>
      </c>
      <c r="T8" s="64" t="str">
        <f t="shared" si="6"/>
        <v>SI</v>
      </c>
    </row>
    <row r="9" spans="2:20" ht="21" x14ac:dyDescent="0.25">
      <c r="B9" s="60" t="s">
        <v>9</v>
      </c>
      <c r="C9" s="61">
        <f>Utilidad!A6</f>
        <v>2655</v>
      </c>
      <c r="D9" s="62">
        <f>IF(Utilidad!C$46&gt;1,Utilidad!C6/100,Utilidad!C6)</f>
        <v>0.39319999999999999</v>
      </c>
      <c r="E9" s="62">
        <f>IF(Utilidad!$E$46&gt;1,Utilidad!E6/100,Utilidad!E6)</f>
        <v>0.36890000000000001</v>
      </c>
      <c r="G9" s="60" t="s">
        <v>9</v>
      </c>
      <c r="H9" s="61">
        <f>Utilidad!B6</f>
        <v>2654.0249534999998</v>
      </c>
      <c r="I9" s="62">
        <f>IF(Utilidad!$D$46&gt;1,Utilidad!D6/100,Utilidad!D6)</f>
        <v>0.39713199999999999</v>
      </c>
      <c r="J9" s="62">
        <f>IF(Utilidad!$F$46&gt;1,Utilidad!F6/100,Utilidad!F6)</f>
        <v>0.36521099999999995</v>
      </c>
      <c r="L9" s="63">
        <f t="shared" si="0"/>
        <v>-3.6724915254244427E-4</v>
      </c>
      <c r="M9" s="63">
        <f t="shared" si="1"/>
        <v>9.9999999999999777E-3</v>
      </c>
      <c r="N9" s="63">
        <f t="shared" si="2"/>
        <v>-1.0000000000000144E-2</v>
      </c>
      <c r="P9" s="62">
        <f t="shared" si="3"/>
        <v>3.6724915254244427E-4</v>
      </c>
      <c r="Q9" s="62">
        <f t="shared" si="4"/>
        <v>9.9999999999999777E-3</v>
      </c>
      <c r="R9" s="62">
        <f t="shared" si="5"/>
        <v>1.0000000000000144E-2</v>
      </c>
      <c r="T9" s="64" t="str">
        <f t="shared" si="6"/>
        <v>SI</v>
      </c>
    </row>
    <row r="10" spans="2:20" ht="21" x14ac:dyDescent="0.25">
      <c r="B10" s="60" t="s">
        <v>10</v>
      </c>
      <c r="C10" s="61">
        <f>Utilidad!A7</f>
        <v>9579</v>
      </c>
      <c r="D10" s="62">
        <f>IF(Utilidad!C$46&gt;1,Utilidad!C7/100,Utilidad!C7)</f>
        <v>0.40490000000000004</v>
      </c>
      <c r="E10" s="62">
        <f>IF(Utilidad!$E$46&gt;1,Utilidad!E7/100,Utilidad!E7)</f>
        <v>0.37869999999999998</v>
      </c>
      <c r="G10" s="60" t="s">
        <v>10</v>
      </c>
      <c r="H10" s="61">
        <f>Utilidad!B7</f>
        <v>9579</v>
      </c>
      <c r="I10" s="62">
        <f>IF(Utilidad!$D$46&gt;1,Utilidad!D7/100,Utilidad!D7)</f>
        <v>0.40868512662000001</v>
      </c>
      <c r="J10" s="62">
        <f>IF(Utilidad!$F$46&gt;1,Utilidad!F7/100,Utilidad!F7)</f>
        <v>0.37516122754999998</v>
      </c>
      <c r="L10" s="63">
        <f t="shared" si="0"/>
        <v>0</v>
      </c>
      <c r="M10" s="63">
        <f t="shared" si="1"/>
        <v>9.3482998765126394E-3</v>
      </c>
      <c r="N10" s="63">
        <f t="shared" si="2"/>
        <v>-9.3445271983100212E-3</v>
      </c>
      <c r="P10" s="62">
        <f t="shared" si="3"/>
        <v>0</v>
      </c>
      <c r="Q10" s="62">
        <f t="shared" si="4"/>
        <v>9.3482998765126394E-3</v>
      </c>
      <c r="R10" s="62">
        <f t="shared" si="5"/>
        <v>9.3445271983100212E-3</v>
      </c>
      <c r="T10" s="64" t="str">
        <f t="shared" si="6"/>
        <v>SI</v>
      </c>
    </row>
    <row r="11" spans="2:20" ht="21" x14ac:dyDescent="0.25">
      <c r="B11" s="60" t="s">
        <v>11</v>
      </c>
      <c r="C11" s="61">
        <f>Utilidad!A8</f>
        <v>-10902</v>
      </c>
      <c r="D11" s="62">
        <f>IF(Utilidad!C$46&gt;1,Utilidad!C8/100,Utilidad!C8)</f>
        <v>0.40490000000000004</v>
      </c>
      <c r="E11" s="62">
        <f>IF(Utilidad!$E$46&gt;1,Utilidad!E8/100,Utilidad!E8)</f>
        <v>0.37869999999999998</v>
      </c>
      <c r="G11" s="60" t="s">
        <v>11</v>
      </c>
      <c r="H11" s="61">
        <f>Utilidad!B8</f>
        <v>-10850.797500000001</v>
      </c>
      <c r="I11" s="62">
        <f>IF(Utilidad!$D$46&gt;1,Utilidad!D8/100,Utilidad!D8)</f>
        <v>0.40918194538000002</v>
      </c>
      <c r="J11" s="62">
        <f>IF(Utilidad!$F$46&gt;1,Utilidad!F8/100,Utilidad!F8)</f>
        <v>0.37469386663999998</v>
      </c>
      <c r="L11" s="63">
        <f t="shared" si="0"/>
        <v>-4.6966152999449113E-3</v>
      </c>
      <c r="M11" s="63">
        <f t="shared" si="1"/>
        <v>1.0575315831069363E-2</v>
      </c>
      <c r="N11" s="63">
        <f t="shared" si="2"/>
        <v>-1.0578646316345384E-2</v>
      </c>
      <c r="P11" s="62">
        <f t="shared" si="3"/>
        <v>4.6966152999449113E-3</v>
      </c>
      <c r="Q11" s="62">
        <f t="shared" si="4"/>
        <v>1.0575315831069363E-2</v>
      </c>
      <c r="R11" s="62">
        <f t="shared" si="5"/>
        <v>1.0578646316345384E-2</v>
      </c>
      <c r="T11" s="64" t="str">
        <f t="shared" si="6"/>
        <v>SI</v>
      </c>
    </row>
    <row r="12" spans="2:20" ht="21" x14ac:dyDescent="0.25">
      <c r="B12" s="60" t="s">
        <v>12</v>
      </c>
      <c r="C12" s="61">
        <f>Utilidad!A9</f>
        <v>20481</v>
      </c>
      <c r="D12" s="62">
        <f>IF(Utilidad!C$46&gt;1,Utilidad!C9/100,Utilidad!C9)</f>
        <v>0.40490000000000004</v>
      </c>
      <c r="E12" s="62">
        <f>IF(Utilidad!$E$46&gt;1,Utilidad!E9/100,Utilidad!E9)</f>
        <v>0.37869999999999998</v>
      </c>
      <c r="G12" s="60" t="s">
        <v>12</v>
      </c>
      <c r="H12" s="61">
        <f>Utilidad!B9</f>
        <v>20429.797500000001</v>
      </c>
      <c r="I12" s="62">
        <f>IF(Utilidad!$D$46&gt;1,Utilidad!D9/100,Utilidad!D9)</f>
        <v>0.40894900000000001</v>
      </c>
      <c r="J12" s="62">
        <f>IF(Utilidad!$F$46&gt;1,Utilidad!F9/100,Utilidad!F9)</f>
        <v>0.37491300000000005</v>
      </c>
      <c r="L12" s="63">
        <f t="shared" si="0"/>
        <v>-2.4999999999999714E-3</v>
      </c>
      <c r="M12" s="63">
        <f t="shared" si="1"/>
        <v>9.9999999999999239E-3</v>
      </c>
      <c r="N12" s="63">
        <f t="shared" si="2"/>
        <v>-9.9999999999998146E-3</v>
      </c>
      <c r="P12" s="62">
        <f t="shared" si="3"/>
        <v>2.4999999999999714E-3</v>
      </c>
      <c r="Q12" s="62">
        <f t="shared" si="4"/>
        <v>9.9999999999999239E-3</v>
      </c>
      <c r="R12" s="62">
        <f t="shared" si="5"/>
        <v>9.9999999999998146E-3</v>
      </c>
      <c r="T12" s="64" t="str">
        <f t="shared" si="6"/>
        <v>SI</v>
      </c>
    </row>
    <row r="13" spans="2:20" ht="21" x14ac:dyDescent="0.25">
      <c r="B13" s="60" t="s">
        <v>13</v>
      </c>
      <c r="C13" s="61">
        <f>Utilidad!A10</f>
        <v>0</v>
      </c>
      <c r="D13" s="62">
        <f>IF(Utilidad!C$46&gt;1,Utilidad!C10/100,Utilidad!C10)</f>
        <v>0.41049999999999998</v>
      </c>
      <c r="E13" s="62">
        <f>IF(Utilidad!$E$46&gt;1,Utilidad!E10/100,Utilidad!E10)</f>
        <v>0.37810000000000005</v>
      </c>
      <c r="G13" s="60" t="s">
        <v>13</v>
      </c>
      <c r="H13" s="61">
        <f>Utilidad!B10</f>
        <v>0</v>
      </c>
      <c r="I13" s="62">
        <f>IF(Utilidad!$D$46&gt;1,Utilidad!D10/100,Utilidad!D10)</f>
        <v>0.41050811533000003</v>
      </c>
      <c r="J13" s="62">
        <f>IF(Utilidad!$F$46&gt;1,Utilidad!F10/100,Utilidad!F10)</f>
        <v>0.37809257101999999</v>
      </c>
      <c r="L13" s="63">
        <f t="shared" si="0"/>
        <v>0</v>
      </c>
      <c r="M13" s="63">
        <f t="shared" si="1"/>
        <v>1.976937880647513E-5</v>
      </c>
      <c r="N13" s="63">
        <f t="shared" si="2"/>
        <v>-1.964818831012191E-5</v>
      </c>
      <c r="P13" s="62">
        <f t="shared" si="3"/>
        <v>0</v>
      </c>
      <c r="Q13" s="62">
        <f t="shared" si="4"/>
        <v>1.976937880647513E-5</v>
      </c>
      <c r="R13" s="62">
        <f t="shared" si="5"/>
        <v>1.964818831012191E-5</v>
      </c>
      <c r="T13" s="64" t="str">
        <f t="shared" si="6"/>
        <v>SI</v>
      </c>
    </row>
    <row r="14" spans="2:20" ht="21" x14ac:dyDescent="0.25">
      <c r="B14" s="60" t="s">
        <v>14</v>
      </c>
      <c r="C14" s="61">
        <f>Utilidad!A11</f>
        <v>0</v>
      </c>
      <c r="D14" s="62">
        <f>IF(Utilidad!C$46&gt;1,Utilidad!C11/100,Utilidad!C11)</f>
        <v>0.41049999999999998</v>
      </c>
      <c r="E14" s="62">
        <f>IF(Utilidad!$E$46&gt;1,Utilidad!E11/100,Utilidad!E11)</f>
        <v>0.37810000000000005</v>
      </c>
      <c r="G14" s="60" t="s">
        <v>14</v>
      </c>
      <c r="H14" s="61">
        <f>Utilidad!B11</f>
        <v>0</v>
      </c>
      <c r="I14" s="62">
        <f>IF(Utilidad!$D$46&gt;1,Utilidad!D11/100,Utilidad!D11)</f>
        <v>0.41051542182</v>
      </c>
      <c r="J14" s="62">
        <f>IF(Utilidad!$F$46&gt;1,Utilidad!F11/100,Utilidad!F11)</f>
        <v>0.37808440324999998</v>
      </c>
      <c r="L14" s="63">
        <f t="shared" si="0"/>
        <v>0</v>
      </c>
      <c r="M14" s="63">
        <f t="shared" si="1"/>
        <v>3.7568380024428223E-5</v>
      </c>
      <c r="N14" s="63">
        <f t="shared" si="2"/>
        <v>-4.1250330600551858E-5</v>
      </c>
      <c r="P14" s="62">
        <f t="shared" si="3"/>
        <v>0</v>
      </c>
      <c r="Q14" s="62">
        <f t="shared" si="4"/>
        <v>3.7568380024428223E-5</v>
      </c>
      <c r="R14" s="62">
        <f t="shared" si="5"/>
        <v>4.1250330600551858E-5</v>
      </c>
      <c r="T14" s="64" t="str">
        <f t="shared" si="6"/>
        <v>SI</v>
      </c>
    </row>
    <row r="15" spans="2:20" ht="21" x14ac:dyDescent="0.25">
      <c r="B15" s="60" t="s">
        <v>15</v>
      </c>
      <c r="C15" s="61">
        <f>Utilidad!A12</f>
        <v>0</v>
      </c>
      <c r="D15" s="62">
        <f>IF(Utilidad!C$46&gt;1,Utilidad!C12/100,Utilidad!C12)</f>
        <v>0.41049999999999998</v>
      </c>
      <c r="E15" s="62">
        <f>IF(Utilidad!$E$46&gt;1,Utilidad!E12/100,Utilidad!E12)</f>
        <v>0.37810000000000005</v>
      </c>
      <c r="G15" s="60" t="s">
        <v>15</v>
      </c>
      <c r="H15" s="61">
        <f>Utilidad!B12</f>
        <v>0</v>
      </c>
      <c r="I15" s="62">
        <f>IF(Utilidad!$D$46&gt;1,Utilidad!D12/100,Utilidad!D12)</f>
        <v>0.41046673926999999</v>
      </c>
      <c r="J15" s="62">
        <f>IF(Utilidad!$F$46&gt;1,Utilidad!F12/100,Utilidad!F12)</f>
        <v>0.37812840887999999</v>
      </c>
      <c r="L15" s="63">
        <f t="shared" si="0"/>
        <v>0</v>
      </c>
      <c r="M15" s="63">
        <f t="shared" si="1"/>
        <v>-8.1024920828219992E-5</v>
      </c>
      <c r="N15" s="63">
        <f t="shared" si="2"/>
        <v>7.5135889976042235E-5</v>
      </c>
      <c r="P15" s="62">
        <f t="shared" si="3"/>
        <v>0</v>
      </c>
      <c r="Q15" s="62">
        <f t="shared" si="4"/>
        <v>8.1024920828219992E-5</v>
      </c>
      <c r="R15" s="62">
        <f t="shared" si="5"/>
        <v>7.5135889976042235E-5</v>
      </c>
      <c r="T15" s="64" t="str">
        <f t="shared" si="6"/>
        <v>SI</v>
      </c>
    </row>
    <row r="16" spans="2:20" ht="21" x14ac:dyDescent="0.25">
      <c r="B16" s="60" t="s">
        <v>16</v>
      </c>
      <c r="C16" s="61">
        <f>Utilidad!A13</f>
        <v>626</v>
      </c>
      <c r="D16" s="62">
        <f>IF(Utilidad!C$46&gt;1,Utilidad!C13/100,Utilidad!C13)</f>
        <v>0.48450000000000004</v>
      </c>
      <c r="E16" s="62">
        <f>IF(Utilidad!$E$46&gt;1,Utilidad!E13/100,Utilidad!E13)</f>
        <v>0.43840000000000001</v>
      </c>
      <c r="G16" s="60" t="s">
        <v>16</v>
      </c>
      <c r="H16" s="61">
        <f>Utilidad!B13</f>
        <v>626</v>
      </c>
      <c r="I16" s="62">
        <f>IF(Utilidad!$D$46&gt;1,Utilidad!D13/100,Utilidad!D13)</f>
        <v>0.48605704019000001</v>
      </c>
      <c r="J16" s="62">
        <f>IF(Utilidad!$F$46&gt;1,Utilidad!F13/100,Utilidad!F13)</f>
        <v>0.43700216897999999</v>
      </c>
      <c r="L16" s="63">
        <f t="shared" si="0"/>
        <v>0</v>
      </c>
      <c r="M16" s="63">
        <f t="shared" si="1"/>
        <v>3.2137052425179973E-3</v>
      </c>
      <c r="N16" s="63">
        <f t="shared" si="2"/>
        <v>-3.1884831660584346E-3</v>
      </c>
      <c r="P16" s="62">
        <f t="shared" si="3"/>
        <v>0</v>
      </c>
      <c r="Q16" s="62">
        <f t="shared" si="4"/>
        <v>3.2137052425179973E-3</v>
      </c>
      <c r="R16" s="62">
        <f t="shared" si="5"/>
        <v>3.1884831660584346E-3</v>
      </c>
      <c r="T16" s="64" t="str">
        <f t="shared" si="6"/>
        <v>SI</v>
      </c>
    </row>
    <row r="17" spans="2:20" ht="21" x14ac:dyDescent="0.25">
      <c r="B17" s="60" t="s">
        <v>17</v>
      </c>
      <c r="C17" s="61">
        <f>Utilidad!A14</f>
        <v>-2328</v>
      </c>
      <c r="D17" s="62">
        <f>IF(Utilidad!C$46&gt;1,Utilidad!C14/100,Utilidad!C14)</f>
        <v>0.48450000000000004</v>
      </c>
      <c r="E17" s="62">
        <f>IF(Utilidad!$E$46&gt;1,Utilidad!E14/100,Utilidad!E14)</f>
        <v>0.43840000000000001</v>
      </c>
      <c r="G17" s="60" t="s">
        <v>17</v>
      </c>
      <c r="H17" s="61">
        <f>Utilidad!B14</f>
        <v>-2335.3850000000002</v>
      </c>
      <c r="I17" s="62">
        <f>IF(Utilidad!$D$46&gt;1,Utilidad!D14/100,Utilidad!D14)</f>
        <v>0.49022633770000001</v>
      </c>
      <c r="J17" s="62">
        <f>IF(Utilidad!$F$46&gt;1,Utilidad!F14/100,Utilidad!F14)</f>
        <v>0.43321555734</v>
      </c>
      <c r="L17" s="63">
        <f t="shared" si="0"/>
        <v>3.1722508591066228E-3</v>
      </c>
      <c r="M17" s="63">
        <f t="shared" si="1"/>
        <v>1.1819066460268261E-2</v>
      </c>
      <c r="N17" s="63">
        <f t="shared" si="2"/>
        <v>-1.1825827235401484E-2</v>
      </c>
      <c r="P17" s="62">
        <f t="shared" si="3"/>
        <v>3.1722508591066228E-3</v>
      </c>
      <c r="Q17" s="62">
        <f t="shared" si="4"/>
        <v>1.1819066460268261E-2</v>
      </c>
      <c r="R17" s="62">
        <f t="shared" si="5"/>
        <v>1.1825827235401484E-2</v>
      </c>
      <c r="T17" s="64" t="str">
        <f t="shared" si="6"/>
        <v>SI</v>
      </c>
    </row>
    <row r="18" spans="2:20" ht="21" x14ac:dyDescent="0.25">
      <c r="B18" s="60" t="s">
        <v>18</v>
      </c>
      <c r="C18" s="61">
        <f>Utilidad!A15</f>
        <v>2954</v>
      </c>
      <c r="D18" s="62">
        <f>IF(Utilidad!C$46&gt;1,Utilidad!C15/100,Utilidad!C15)</f>
        <v>0.48450000000000004</v>
      </c>
      <c r="E18" s="62">
        <f>IF(Utilidad!$E$46&gt;1,Utilidad!E15/100,Utilidad!E15)</f>
        <v>0.43840000000000001</v>
      </c>
      <c r="G18" s="60" t="s">
        <v>18</v>
      </c>
      <c r="H18" s="61">
        <f>Utilidad!B15</f>
        <v>2961.3850000000002</v>
      </c>
      <c r="I18" s="62">
        <f>IF(Utilidad!$D$46&gt;1,Utilidad!D15/100,Utilidad!D15)</f>
        <v>0.48934499999999997</v>
      </c>
      <c r="J18" s="62">
        <f>IF(Utilidad!$F$46&gt;1,Utilidad!F15/100,Utilidad!F15)</f>
        <v>0.43401600000000001</v>
      </c>
      <c r="L18" s="63">
        <f t="shared" si="0"/>
        <v>2.5000000000000738E-3</v>
      </c>
      <c r="M18" s="63">
        <f t="shared" si="1"/>
        <v>9.9999999999998597E-3</v>
      </c>
      <c r="N18" s="63">
        <f t="shared" si="2"/>
        <v>-9.9999999999999967E-3</v>
      </c>
      <c r="P18" s="62">
        <f t="shared" si="3"/>
        <v>2.5000000000000738E-3</v>
      </c>
      <c r="Q18" s="62">
        <f t="shared" si="4"/>
        <v>9.9999999999998597E-3</v>
      </c>
      <c r="R18" s="62">
        <f t="shared" si="5"/>
        <v>9.9999999999999967E-3</v>
      </c>
      <c r="T18" s="64" t="str">
        <f t="shared" si="6"/>
        <v>SI</v>
      </c>
    </row>
    <row r="19" spans="2:20" ht="21" x14ac:dyDescent="0.25">
      <c r="B19" s="60" t="s">
        <v>19</v>
      </c>
      <c r="C19" s="61">
        <f>Utilidad!A16</f>
        <v>0</v>
      </c>
      <c r="D19" s="62">
        <f>IF(Utilidad!C$46&gt;1,Utilidad!C16/100,Utilidad!C16)</f>
        <v>0.4</v>
      </c>
      <c r="E19" s="62">
        <f>IF(Utilidad!$E$46&gt;1,Utilidad!E16/100,Utilidad!E16)</f>
        <v>0.36719999999999997</v>
      </c>
      <c r="G19" s="60" t="s">
        <v>19</v>
      </c>
      <c r="H19" s="61">
        <f>Utilidad!B16</f>
        <v>0</v>
      </c>
      <c r="I19" s="62">
        <f>IF(Utilidad!$D$46&gt;1,Utilidad!D16/100,Utilidad!D16)</f>
        <v>0.40000789290999994</v>
      </c>
      <c r="J19" s="62">
        <f>IF(Utilidad!$F$46&gt;1,Utilidad!F16/100,Utilidad!F16)</f>
        <v>0.36719280191999998</v>
      </c>
      <c r="L19" s="63">
        <f t="shared" si="0"/>
        <v>0</v>
      </c>
      <c r="M19" s="63">
        <f t="shared" si="1"/>
        <v>1.9732274999795241E-5</v>
      </c>
      <c r="N19" s="63">
        <f t="shared" si="2"/>
        <v>-1.9602614379065E-5</v>
      </c>
      <c r="P19" s="62">
        <f t="shared" si="3"/>
        <v>0</v>
      </c>
      <c r="Q19" s="62">
        <f t="shared" si="4"/>
        <v>1.9732274999795241E-5</v>
      </c>
      <c r="R19" s="62">
        <f t="shared" si="5"/>
        <v>1.9602614379065E-5</v>
      </c>
      <c r="T19" s="64" t="str">
        <f t="shared" si="6"/>
        <v>SI</v>
      </c>
    </row>
    <row r="20" spans="2:20" ht="21" x14ac:dyDescent="0.25">
      <c r="B20" s="60" t="s">
        <v>20</v>
      </c>
      <c r="C20" s="61">
        <f>Utilidad!A17</f>
        <v>-452</v>
      </c>
      <c r="D20" s="62">
        <f>IF(Utilidad!C$46&gt;1,Utilidad!C17/100,Utilidad!C17)</f>
        <v>0.4</v>
      </c>
      <c r="E20" s="62">
        <f>IF(Utilidad!$E$46&gt;1,Utilidad!E17/100,Utilidad!E17)</f>
        <v>0.36719999999999997</v>
      </c>
      <c r="G20" s="60" t="s">
        <v>20</v>
      </c>
      <c r="H20" s="61">
        <f>Utilidad!B17</f>
        <v>-451.74641028000002</v>
      </c>
      <c r="I20" s="62">
        <f>IF(Utilidad!$D$46&gt;1,Utilidad!D17/100,Utilidad!D17)</f>
        <v>0.40399999999999997</v>
      </c>
      <c r="J20" s="62">
        <f>IF(Utilidad!$F$46&gt;1,Utilidad!F17/100,Utilidad!F17)</f>
        <v>0.36352800000000002</v>
      </c>
      <c r="L20" s="63">
        <f t="shared" si="0"/>
        <v>-5.6103920353977764E-4</v>
      </c>
      <c r="M20" s="63">
        <f t="shared" si="1"/>
        <v>9.9999999999998701E-3</v>
      </c>
      <c r="N20" s="63">
        <f t="shared" si="2"/>
        <v>-9.9999999999998736E-3</v>
      </c>
      <c r="P20" s="62">
        <f t="shared" si="3"/>
        <v>5.6103920353977764E-4</v>
      </c>
      <c r="Q20" s="62">
        <f t="shared" si="4"/>
        <v>9.9999999999998701E-3</v>
      </c>
      <c r="R20" s="62">
        <f t="shared" si="5"/>
        <v>9.9999999999998736E-3</v>
      </c>
      <c r="T20" s="64" t="str">
        <f t="shared" si="6"/>
        <v>SI</v>
      </c>
    </row>
    <row r="21" spans="2:20" ht="21" x14ac:dyDescent="0.25">
      <c r="B21" s="60" t="s">
        <v>21</v>
      </c>
      <c r="C21" s="61">
        <f>Utilidad!A18</f>
        <v>452</v>
      </c>
      <c r="D21" s="62">
        <f>IF(Utilidad!C$46&gt;1,Utilidad!C18/100,Utilidad!C18)</f>
        <v>0.4</v>
      </c>
      <c r="E21" s="62">
        <f>IF(Utilidad!$E$46&gt;1,Utilidad!E18/100,Utilidad!E18)</f>
        <v>0.36719999999999997</v>
      </c>
      <c r="G21" s="60" t="s">
        <v>21</v>
      </c>
      <c r="H21" s="61">
        <f>Utilidad!B18</f>
        <v>451.74641028000002</v>
      </c>
      <c r="I21" s="62">
        <f>IF(Utilidad!$D$46&gt;1,Utilidad!D18/100,Utilidad!D18)</f>
        <v>0.40399999999999997</v>
      </c>
      <c r="J21" s="62">
        <f>IF(Utilidad!$F$46&gt;1,Utilidad!F18/100,Utilidad!F18)</f>
        <v>0.36352800000000002</v>
      </c>
      <c r="L21" s="63">
        <f t="shared" si="0"/>
        <v>-5.6103920353977764E-4</v>
      </c>
      <c r="M21" s="63">
        <f t="shared" si="1"/>
        <v>9.9999999999998701E-3</v>
      </c>
      <c r="N21" s="63">
        <f t="shared" si="2"/>
        <v>-9.9999999999998736E-3</v>
      </c>
      <c r="P21" s="62">
        <f t="shared" si="3"/>
        <v>5.6103920353977764E-4</v>
      </c>
      <c r="Q21" s="62">
        <f t="shared" si="4"/>
        <v>9.9999999999998701E-3</v>
      </c>
      <c r="R21" s="62">
        <f t="shared" si="5"/>
        <v>9.9999999999998736E-3</v>
      </c>
      <c r="T21" s="64" t="str">
        <f t="shared" si="6"/>
        <v>SI</v>
      </c>
    </row>
    <row r="22" spans="2:20" ht="21" x14ac:dyDescent="0.25">
      <c r="B22" s="60" t="s">
        <v>22</v>
      </c>
      <c r="C22" s="61">
        <f>Utilidad!A19</f>
        <v>0</v>
      </c>
      <c r="D22" s="62">
        <f>IF(Utilidad!C$46&gt;1,Utilidad!C19/100,Utilidad!C19)</f>
        <v>0.53959999999999997</v>
      </c>
      <c r="E22" s="62">
        <f>IF(Utilidad!$E$46&gt;1,Utilidad!E19/100,Utilidad!E19)</f>
        <v>0.47850000000000004</v>
      </c>
      <c r="G22" s="60" t="s">
        <v>22</v>
      </c>
      <c r="H22" s="61">
        <f>Utilidad!B19</f>
        <v>0</v>
      </c>
      <c r="I22" s="62">
        <f>IF(Utilidad!$D$46&gt;1,Utilidad!D19/100,Utilidad!D19)</f>
        <v>0.53960779231</v>
      </c>
      <c r="J22" s="62">
        <f>IF(Utilidad!$F$46&gt;1,Utilidad!F19/100,Utilidad!F19)</f>
        <v>0.47885851396000001</v>
      </c>
      <c r="L22" s="63">
        <f t="shared" si="0"/>
        <v>0</v>
      </c>
      <c r="M22" s="63">
        <f t="shared" si="1"/>
        <v>1.4440900667220368E-5</v>
      </c>
      <c r="N22" s="63">
        <f t="shared" si="2"/>
        <v>7.4924547544403999E-4</v>
      </c>
      <c r="P22" s="62">
        <f t="shared" si="3"/>
        <v>0</v>
      </c>
      <c r="Q22" s="62">
        <f t="shared" si="4"/>
        <v>1.4440900667220368E-5</v>
      </c>
      <c r="R22" s="62">
        <f t="shared" si="5"/>
        <v>7.4924547544403999E-4</v>
      </c>
      <c r="T22" s="64" t="str">
        <f t="shared" si="6"/>
        <v>SI</v>
      </c>
    </row>
    <row r="23" spans="2:20" ht="21" x14ac:dyDescent="0.25">
      <c r="B23" s="60" t="s">
        <v>23</v>
      </c>
      <c r="C23" s="61">
        <f>Utilidad!A20</f>
        <v>0</v>
      </c>
      <c r="D23" s="62">
        <f>IF(Utilidad!C$46&gt;1,Utilidad!C20/100,Utilidad!C20)</f>
        <v>0.53959999999999997</v>
      </c>
      <c r="E23" s="62">
        <f>IF(Utilidad!$E$46&gt;1,Utilidad!E20/100,Utilidad!E20)</f>
        <v>0.47850000000000004</v>
      </c>
      <c r="G23" s="60" t="s">
        <v>23</v>
      </c>
      <c r="H23" s="61">
        <f>Utilidad!B20</f>
        <v>0</v>
      </c>
      <c r="I23" s="62">
        <f>IF(Utilidad!$D$46&gt;1,Utilidad!D20/100,Utilidad!D20)</f>
        <v>0.53963030719000005</v>
      </c>
      <c r="J23" s="62">
        <f>IF(Utilidad!$F$46&gt;1,Utilidad!F20/100,Utilidad!F20)</f>
        <v>0.47846934319000001</v>
      </c>
      <c r="L23" s="63">
        <f t="shared" si="0"/>
        <v>0</v>
      </c>
      <c r="M23" s="63">
        <f t="shared" si="1"/>
        <v>5.6166030393028952E-5</v>
      </c>
      <c r="N23" s="63">
        <f t="shared" si="2"/>
        <v>-6.4068568443112402E-5</v>
      </c>
      <c r="P23" s="62">
        <f t="shared" si="3"/>
        <v>0</v>
      </c>
      <c r="Q23" s="62">
        <f t="shared" si="4"/>
        <v>5.6166030393028952E-5</v>
      </c>
      <c r="R23" s="62">
        <f t="shared" si="5"/>
        <v>6.4068568443112402E-5</v>
      </c>
      <c r="T23" s="64" t="str">
        <f t="shared" si="6"/>
        <v>SI</v>
      </c>
    </row>
    <row r="24" spans="2:20" ht="21" x14ac:dyDescent="0.25">
      <c r="B24" s="60" t="s">
        <v>24</v>
      </c>
      <c r="C24" s="61">
        <f>Utilidad!A21</f>
        <v>0</v>
      </c>
      <c r="D24" s="62">
        <f>IF(Utilidad!C$46&gt;1,Utilidad!C21/100,Utilidad!C21)</f>
        <v>0.53959999999999997</v>
      </c>
      <c r="E24" s="62">
        <f>IF(Utilidad!$E$46&gt;1,Utilidad!E21/100,Utilidad!E21)</f>
        <v>0.47850000000000004</v>
      </c>
      <c r="G24" s="60" t="s">
        <v>24</v>
      </c>
      <c r="H24" s="61">
        <f>Utilidad!B21</f>
        <v>0</v>
      </c>
      <c r="I24" s="62">
        <f>IF(Utilidad!$D$46&gt;1,Utilidad!D21/100,Utilidad!D21)</f>
        <v>0.53955239462999993</v>
      </c>
      <c r="J24" s="62">
        <f>IF(Utilidad!$F$46&gt;1,Utilidad!F21/100,Utilidad!F21)</f>
        <v>0.47854703985999997</v>
      </c>
      <c r="L24" s="63">
        <f t="shared" si="0"/>
        <v>0</v>
      </c>
      <c r="M24" s="63">
        <f t="shared" si="1"/>
        <v>-8.8223443291394978E-5</v>
      </c>
      <c r="N24" s="63">
        <f t="shared" si="2"/>
        <v>9.8306917450221727E-5</v>
      </c>
      <c r="P24" s="62">
        <f t="shared" si="3"/>
        <v>0</v>
      </c>
      <c r="Q24" s="62">
        <f t="shared" si="4"/>
        <v>8.8223443291394978E-5</v>
      </c>
      <c r="R24" s="62">
        <f t="shared" si="5"/>
        <v>9.8306917450221727E-5</v>
      </c>
      <c r="T24" s="64" t="str">
        <f t="shared" si="6"/>
        <v>SI</v>
      </c>
    </row>
    <row r="25" spans="2:20" ht="21" x14ac:dyDescent="0.25">
      <c r="B25" s="60" t="s">
        <v>26</v>
      </c>
      <c r="C25" s="61">
        <f>Utilidad!A22</f>
        <v>0</v>
      </c>
      <c r="D25" s="62">
        <f>IF(Utilidad!C$46&gt;1,Utilidad!C22/100,Utilidad!C22)</f>
        <v>0.63100000000000001</v>
      </c>
      <c r="E25" s="62">
        <f>IF(Utilidad!$E$46&gt;1,Utilidad!E22/100,Utilidad!E22)</f>
        <v>0.54500000000000004</v>
      </c>
      <c r="G25" s="60" t="s">
        <v>26</v>
      </c>
      <c r="H25" s="61">
        <f>Utilidad!B22</f>
        <v>0</v>
      </c>
      <c r="I25" s="62">
        <f>IF(Utilidad!$D$46&gt;1,Utilidad!D22/100,Utilidad!D22)</f>
        <v>0.63100597155000004</v>
      </c>
      <c r="J25" s="62">
        <f>IF(Utilidad!$F$46&gt;1,Utilidad!F22/100,Utilidad!F22)</f>
        <v>0.54498818940000004</v>
      </c>
      <c r="L25" s="63">
        <f t="shared" si="0"/>
        <v>0</v>
      </c>
      <c r="M25" s="63">
        <f t="shared" si="1"/>
        <v>9.4636291601252239E-6</v>
      </c>
      <c r="N25" s="63">
        <f t="shared" si="2"/>
        <v>-2.1670825688064437E-5</v>
      </c>
      <c r="P25" s="62">
        <f t="shared" si="3"/>
        <v>0</v>
      </c>
      <c r="Q25" s="62">
        <f t="shared" si="4"/>
        <v>9.4636291601252239E-6</v>
      </c>
      <c r="R25" s="62">
        <f t="shared" si="5"/>
        <v>2.1670825688064437E-5</v>
      </c>
      <c r="T25" s="64" t="str">
        <f t="shared" si="6"/>
        <v>SI</v>
      </c>
    </row>
    <row r="26" spans="2:20" ht="21" x14ac:dyDescent="0.25">
      <c r="B26" s="60" t="s">
        <v>28</v>
      </c>
      <c r="C26" s="61">
        <f>Utilidad!A23</f>
        <v>0</v>
      </c>
      <c r="D26" s="62">
        <f>IF(Utilidad!C$46&gt;1,Utilidad!C23/100,Utilidad!C23)</f>
        <v>0.63100000000000001</v>
      </c>
      <c r="E26" s="62">
        <f>IF(Utilidad!$E$46&gt;1,Utilidad!E23/100,Utilidad!E23)</f>
        <v>0.54500000000000004</v>
      </c>
      <c r="G26" s="60" t="s">
        <v>28</v>
      </c>
      <c r="H26" s="61">
        <f>Utilidad!B23</f>
        <v>0</v>
      </c>
      <c r="I26" s="62">
        <f>IF(Utilidad!$D$46&gt;1,Utilidad!D23/100,Utilidad!D23)</f>
        <v>0.63104135898000002</v>
      </c>
      <c r="J26" s="62">
        <f>IF(Utilidad!$F$46&gt;1,Utilidad!F23/100,Utilidad!F23)</f>
        <v>0.54495846526000002</v>
      </c>
      <c r="L26" s="63">
        <f t="shared" si="0"/>
        <v>0</v>
      </c>
      <c r="M26" s="63">
        <f t="shared" si="1"/>
        <v>6.5545134706841395E-5</v>
      </c>
      <c r="N26" s="63">
        <f t="shared" si="2"/>
        <v>-7.6210532110120076E-5</v>
      </c>
      <c r="P26" s="62">
        <f t="shared" si="3"/>
        <v>0</v>
      </c>
      <c r="Q26" s="62">
        <f t="shared" si="4"/>
        <v>6.5545134706841395E-5</v>
      </c>
      <c r="R26" s="62">
        <f t="shared" si="5"/>
        <v>7.6210532110120076E-5</v>
      </c>
      <c r="T26" s="64" t="str">
        <f t="shared" si="6"/>
        <v>SI</v>
      </c>
    </row>
    <row r="27" spans="2:20" ht="21" x14ac:dyDescent="0.25">
      <c r="B27" s="60" t="s">
        <v>30</v>
      </c>
      <c r="C27" s="61">
        <f>Utilidad!A24</f>
        <v>0</v>
      </c>
      <c r="D27" s="62">
        <f>IF(Utilidad!C$46&gt;1,Utilidad!C24/100,Utilidad!C24)</f>
        <v>0.63100000000000001</v>
      </c>
      <c r="E27" s="62">
        <f>IF(Utilidad!$E$46&gt;1,Utilidad!E24/100,Utilidad!E24)</f>
        <v>0.54500000000000004</v>
      </c>
      <c r="G27" s="60" t="s">
        <v>30</v>
      </c>
      <c r="H27" s="61">
        <f>Utilidad!B24</f>
        <v>0</v>
      </c>
      <c r="I27" s="62">
        <f>IF(Utilidad!$D$46&gt;1,Utilidad!D24/100,Utilidad!D24)</f>
        <v>0.63095048019</v>
      </c>
      <c r="J27" s="62">
        <f>IF(Utilidad!$F$46&gt;1,Utilidad!F24/100,Utilidad!F24)</f>
        <v>0.54504767450000002</v>
      </c>
      <c r="L27" s="63">
        <f t="shared" si="0"/>
        <v>0</v>
      </c>
      <c r="M27" s="63">
        <f t="shared" si="1"/>
        <v>-7.8478304278937214E-5</v>
      </c>
      <c r="N27" s="63">
        <f t="shared" si="2"/>
        <v>8.7476146788960382E-5</v>
      </c>
      <c r="P27" s="62">
        <f t="shared" si="3"/>
        <v>0</v>
      </c>
      <c r="Q27" s="62">
        <f t="shared" si="4"/>
        <v>7.8478304278937214E-5</v>
      </c>
      <c r="R27" s="62">
        <f t="shared" si="5"/>
        <v>8.7476146788960382E-5</v>
      </c>
      <c r="T27" s="64" t="str">
        <f t="shared" si="6"/>
        <v>SI</v>
      </c>
    </row>
    <row r="28" spans="2:20" ht="21" x14ac:dyDescent="0.25">
      <c r="B28" s="60" t="s">
        <v>31</v>
      </c>
      <c r="C28" s="61">
        <f>Utilidad!A25</f>
        <v>419</v>
      </c>
      <c r="D28" s="62">
        <f>IF(Utilidad!C$46&gt;1,Utilidad!C25/100,Utilidad!C25)</f>
        <v>0.42259999999999998</v>
      </c>
      <c r="E28" s="62">
        <f>IF(Utilidad!$E$46&gt;1,Utilidad!E25/100,Utilidad!E25)</f>
        <v>0.39710000000000001</v>
      </c>
      <c r="G28" s="60" t="s">
        <v>31</v>
      </c>
      <c r="H28" s="61">
        <f>Utilidad!B25</f>
        <v>419</v>
      </c>
      <c r="I28" s="62">
        <f>IF(Utilidad!$D$46&gt;1,Utilidad!D25/100,Utilidad!D25)</f>
        <v>0.42736065052</v>
      </c>
      <c r="J28" s="62">
        <f>IF(Utilidad!$F$46&gt;1,Utilidad!F25/100,Utilidad!F25)</f>
        <v>0.39262663881000004</v>
      </c>
      <c r="L28" s="63">
        <f t="shared" si="0"/>
        <v>0</v>
      </c>
      <c r="M28" s="63">
        <f t="shared" si="1"/>
        <v>1.1265145575011881E-2</v>
      </c>
      <c r="N28" s="63">
        <f t="shared" si="2"/>
        <v>-1.1265074767061116E-2</v>
      </c>
      <c r="P28" s="62">
        <f t="shared" si="3"/>
        <v>0</v>
      </c>
      <c r="Q28" s="62">
        <f t="shared" si="4"/>
        <v>1.1265145575011881E-2</v>
      </c>
      <c r="R28" s="62">
        <f t="shared" si="5"/>
        <v>1.1265074767061116E-2</v>
      </c>
      <c r="T28" s="64" t="str">
        <f t="shared" si="6"/>
        <v>SI</v>
      </c>
    </row>
    <row r="29" spans="2:20" ht="21" x14ac:dyDescent="0.25">
      <c r="B29" s="60" t="s">
        <v>32</v>
      </c>
      <c r="C29" s="61">
        <f>Utilidad!A26</f>
        <v>-64</v>
      </c>
      <c r="D29" s="62">
        <f>IF(Utilidad!C$46&gt;1,Utilidad!C26/100,Utilidad!C26)</f>
        <v>0.42259999999999998</v>
      </c>
      <c r="E29" s="62">
        <f>IF(Utilidad!$E$46&gt;1,Utilidad!E26/100,Utilidad!E26)</f>
        <v>0.39710000000000001</v>
      </c>
      <c r="G29" s="60" t="s">
        <v>32</v>
      </c>
      <c r="H29" s="61">
        <f>Utilidad!B26</f>
        <v>-63.977203136999997</v>
      </c>
      <c r="I29" s="62">
        <f>IF(Utilidad!$D$46&gt;1,Utilidad!D26/100,Utilidad!D26)</f>
        <v>0.42332446261999995</v>
      </c>
      <c r="J29" s="62">
        <f>IF(Utilidad!$F$46&gt;1,Utilidad!F26/100,Utilidad!F26)</f>
        <v>0.39641906781000003</v>
      </c>
      <c r="L29" s="63">
        <f t="shared" si="0"/>
        <v>-3.5620098437505465E-4</v>
      </c>
      <c r="M29" s="63">
        <f t="shared" si="1"/>
        <v>1.7142986748697991E-3</v>
      </c>
      <c r="N29" s="63">
        <f t="shared" si="2"/>
        <v>-1.7147625031477794E-3</v>
      </c>
      <c r="P29" s="62">
        <f t="shared" si="3"/>
        <v>3.5620098437505465E-4</v>
      </c>
      <c r="Q29" s="62">
        <f t="shared" si="4"/>
        <v>1.7142986748697991E-3</v>
      </c>
      <c r="R29" s="62">
        <f t="shared" si="5"/>
        <v>1.7147625031477794E-3</v>
      </c>
      <c r="T29" s="64" t="str">
        <f t="shared" si="6"/>
        <v>SI</v>
      </c>
    </row>
    <row r="30" spans="2:20" ht="21" x14ac:dyDescent="0.25">
      <c r="B30" s="60" t="s">
        <v>34</v>
      </c>
      <c r="C30" s="61">
        <f>Utilidad!A27</f>
        <v>483</v>
      </c>
      <c r="D30" s="62">
        <f>IF(Utilidad!C$46&gt;1,Utilidad!C27/100,Utilidad!C27)</f>
        <v>0.42259999999999998</v>
      </c>
      <c r="E30" s="62">
        <f>IF(Utilidad!$E$46&gt;1,Utilidad!E27/100,Utilidad!E27)</f>
        <v>0.39710000000000001</v>
      </c>
      <c r="G30" s="60" t="s">
        <v>34</v>
      </c>
      <c r="H30" s="61">
        <f>Utilidad!B27</f>
        <v>482.97720313999997</v>
      </c>
      <c r="I30" s="62">
        <f>IF(Utilidad!$D$46&gt;1,Utilidad!D27/100,Utilidad!D27)</f>
        <v>0.42682599999999998</v>
      </c>
      <c r="J30" s="62">
        <f>IF(Utilidad!$F$46&gt;1,Utilidad!F27/100,Utilidad!F27)</f>
        <v>0.39312900000000001</v>
      </c>
      <c r="L30" s="63">
        <f t="shared" si="0"/>
        <v>-4.719846790896091E-5</v>
      </c>
      <c r="M30" s="63">
        <f t="shared" si="1"/>
        <v>1.0000000000000018E-2</v>
      </c>
      <c r="N30" s="63">
        <f t="shared" si="2"/>
        <v>-1.0000000000000005E-2</v>
      </c>
      <c r="P30" s="62">
        <f t="shared" si="3"/>
        <v>4.719846790896091E-5</v>
      </c>
      <c r="Q30" s="62">
        <f t="shared" si="4"/>
        <v>1.0000000000000018E-2</v>
      </c>
      <c r="R30" s="62">
        <f t="shared" si="5"/>
        <v>1.0000000000000005E-2</v>
      </c>
      <c r="T30" s="64" t="str">
        <f t="shared" si="6"/>
        <v>SI</v>
      </c>
    </row>
    <row r="31" spans="2:20" ht="21" x14ac:dyDescent="0.25">
      <c r="B31" s="60" t="s">
        <v>35</v>
      </c>
      <c r="C31" s="61">
        <f>Utilidad!A28</f>
        <v>403</v>
      </c>
      <c r="D31" s="62">
        <f>IF(Utilidad!C$46&gt;1,Utilidad!C28/100,Utilidad!C28)</f>
        <v>0.47299999999999998</v>
      </c>
      <c r="E31" s="62">
        <f>IF(Utilidad!$E$46&gt;1,Utilidad!E28/100,Utilidad!E28)</f>
        <v>0.42399999999999999</v>
      </c>
      <c r="G31" s="60" t="s">
        <v>35</v>
      </c>
      <c r="H31" s="61">
        <f>Utilidad!B28</f>
        <v>403</v>
      </c>
      <c r="I31" s="62">
        <f>IF(Utilidad!$D$46&gt;1,Utilidad!D28/100,Utilidad!D28)</f>
        <v>0.47490581831000001</v>
      </c>
      <c r="J31" s="62">
        <f>IF(Utilidad!$F$46&gt;1,Utilidad!F28/100,Utilidad!F28)</f>
        <v>0.42231100650999998</v>
      </c>
      <c r="L31" s="63">
        <f t="shared" si="0"/>
        <v>0</v>
      </c>
      <c r="M31" s="63">
        <f t="shared" si="1"/>
        <v>4.0292141860465737E-3</v>
      </c>
      <c r="N31" s="63">
        <f t="shared" si="2"/>
        <v>-3.9834752122641804E-3</v>
      </c>
      <c r="P31" s="62">
        <f t="shared" si="3"/>
        <v>0</v>
      </c>
      <c r="Q31" s="62">
        <f t="shared" si="4"/>
        <v>4.0292141860465737E-3</v>
      </c>
      <c r="R31" s="62">
        <f t="shared" si="5"/>
        <v>3.9834752122641804E-3</v>
      </c>
      <c r="T31" s="64" t="str">
        <f t="shared" si="6"/>
        <v>SI</v>
      </c>
    </row>
    <row r="32" spans="2:20" ht="21" x14ac:dyDescent="0.25">
      <c r="B32" s="60" t="s">
        <v>36</v>
      </c>
      <c r="C32" s="61">
        <f>Utilidad!A29</f>
        <v>-1185</v>
      </c>
      <c r="D32" s="62">
        <f>IF(Utilidad!C$46&gt;1,Utilidad!C29/100,Utilidad!C29)</f>
        <v>0.47299999999999998</v>
      </c>
      <c r="E32" s="62">
        <f>IF(Utilidad!$E$46&gt;1,Utilidad!E29/100,Utilidad!E29)</f>
        <v>0.42399999999999999</v>
      </c>
      <c r="G32" s="60" t="s">
        <v>36</v>
      </c>
      <c r="H32" s="61">
        <f>Utilidad!B29</f>
        <v>-1188.97</v>
      </c>
      <c r="I32" s="62">
        <f>IF(Utilidad!$D$46&gt;1,Utilidad!D29/100,Utilidad!D29)</f>
        <v>0.47868725310000004</v>
      </c>
      <c r="J32" s="62">
        <f>IF(Utilidad!$F$46&gt;1,Utilidad!F29/100,Utilidad!F29)</f>
        <v>0.41889533931</v>
      </c>
      <c r="L32" s="63">
        <f t="shared" si="0"/>
        <v>3.350210970464158E-3</v>
      </c>
      <c r="M32" s="63">
        <f t="shared" si="1"/>
        <v>1.2023790909091052E-2</v>
      </c>
      <c r="N32" s="63">
        <f t="shared" si="2"/>
        <v>-1.2039294080188643E-2</v>
      </c>
      <c r="P32" s="62">
        <f t="shared" si="3"/>
        <v>3.350210970464158E-3</v>
      </c>
      <c r="Q32" s="62">
        <f t="shared" si="4"/>
        <v>1.2023790909091052E-2</v>
      </c>
      <c r="R32" s="62">
        <f t="shared" si="5"/>
        <v>1.2039294080188643E-2</v>
      </c>
      <c r="T32" s="64" t="str">
        <f t="shared" si="6"/>
        <v>SI</v>
      </c>
    </row>
    <row r="33" spans="2:20" ht="21" x14ac:dyDescent="0.25">
      <c r="B33" s="60" t="s">
        <v>37</v>
      </c>
      <c r="C33" s="61">
        <f>Utilidad!A30</f>
        <v>1588</v>
      </c>
      <c r="D33" s="62">
        <f>IF(Utilidad!C$46&gt;1,Utilidad!C30/100,Utilidad!C30)</f>
        <v>0.47299999999999998</v>
      </c>
      <c r="E33" s="62">
        <f>IF(Utilidad!$E$46&gt;1,Utilidad!E30/100,Utilidad!E30)</f>
        <v>0.42399999999999999</v>
      </c>
      <c r="G33" s="60" t="s">
        <v>37</v>
      </c>
      <c r="H33" s="61">
        <f>Utilidad!B30</f>
        <v>1591.97</v>
      </c>
      <c r="I33" s="62">
        <f>IF(Utilidad!$D$46&gt;1,Utilidad!D30/100,Utilidad!D30)</f>
        <v>0.47773000000000004</v>
      </c>
      <c r="J33" s="62">
        <f>IF(Utilidad!$F$46&gt;1,Utilidad!F30/100,Utilidad!F30)</f>
        <v>0.41975999999999997</v>
      </c>
      <c r="L33" s="63">
        <f t="shared" si="0"/>
        <v>2.500000000000017E-3</v>
      </c>
      <c r="M33" s="63">
        <f t="shared" si="1"/>
        <v>1.0000000000000142E-2</v>
      </c>
      <c r="N33" s="63">
        <f t="shared" si="2"/>
        <v>-1.0000000000000051E-2</v>
      </c>
      <c r="P33" s="62">
        <f t="shared" si="3"/>
        <v>2.500000000000017E-3</v>
      </c>
      <c r="Q33" s="62">
        <f t="shared" si="4"/>
        <v>1.0000000000000142E-2</v>
      </c>
      <c r="R33" s="62">
        <f t="shared" si="5"/>
        <v>1.0000000000000051E-2</v>
      </c>
      <c r="T33" s="64" t="str">
        <f t="shared" si="6"/>
        <v>SI</v>
      </c>
    </row>
    <row r="34" spans="2:20" ht="21" x14ac:dyDescent="0.25">
      <c r="B34" s="60" t="s">
        <v>38</v>
      </c>
      <c r="C34" s="61">
        <f>Utilidad!A31</f>
        <v>669</v>
      </c>
      <c r="D34" s="62">
        <f>IF(Utilidad!C$46&gt;1,Utilidad!C31/100,Utilidad!C31)</f>
        <v>0.55100000000000005</v>
      </c>
      <c r="E34" s="62">
        <f>IF(Utilidad!$E$46&gt;1,Utilidad!E31/100,Utilidad!E31)</f>
        <v>0.5292</v>
      </c>
      <c r="G34" s="60" t="s">
        <v>38</v>
      </c>
      <c r="H34" s="61">
        <f>Utilidad!B31</f>
        <v>669</v>
      </c>
      <c r="I34" s="62">
        <f>IF(Utilidad!$D$46&gt;1,Utilidad!D31/100,Utilidad!D31)</f>
        <v>0.55093425004999996</v>
      </c>
      <c r="J34" s="62">
        <f>IF(Utilidad!$F$46&gt;1,Utilidad!F31/100,Utilidad!F31)</f>
        <v>0.52926750172000003</v>
      </c>
      <c r="L34" s="63">
        <f t="shared" si="0"/>
        <v>0</v>
      </c>
      <c r="M34" s="63">
        <f t="shared" si="1"/>
        <v>-1.1932840290396085E-4</v>
      </c>
      <c r="N34" s="63">
        <f t="shared" si="2"/>
        <v>1.275542705971833E-4</v>
      </c>
      <c r="P34" s="62">
        <f t="shared" si="3"/>
        <v>0</v>
      </c>
      <c r="Q34" s="62">
        <f t="shared" si="4"/>
        <v>1.1932840290396085E-4</v>
      </c>
      <c r="R34" s="62">
        <f t="shared" si="5"/>
        <v>1.275542705971833E-4</v>
      </c>
      <c r="T34" s="64" t="str">
        <f t="shared" si="6"/>
        <v>SI</v>
      </c>
    </row>
    <row r="35" spans="2:20" ht="21" x14ac:dyDescent="0.25">
      <c r="B35" s="60" t="s">
        <v>39</v>
      </c>
      <c r="C35" s="61">
        <f>Utilidad!A32</f>
        <v>669</v>
      </c>
      <c r="D35" s="62">
        <f>IF(Utilidad!C$46&gt;1,Utilidad!C32/100,Utilidad!C32)</f>
        <v>0.55100000000000005</v>
      </c>
      <c r="E35" s="62">
        <f>IF(Utilidad!$E$46&gt;1,Utilidad!E32/100,Utilidad!E32)</f>
        <v>0.5292</v>
      </c>
      <c r="G35" s="60" t="s">
        <v>39</v>
      </c>
      <c r="H35" s="61">
        <f>Utilidad!B32</f>
        <v>669</v>
      </c>
      <c r="I35" s="62">
        <f>IF(Utilidad!$D$46&gt;1,Utilidad!D32/100,Utilidad!D32)</f>
        <v>0.55093425004999996</v>
      </c>
      <c r="J35" s="62">
        <f>IF(Utilidad!$F$46&gt;1,Utilidad!F32/100,Utilidad!F32)</f>
        <v>0.52926750172000003</v>
      </c>
      <c r="L35" s="63">
        <f t="shared" si="0"/>
        <v>0</v>
      </c>
      <c r="M35" s="63">
        <f t="shared" si="1"/>
        <v>-1.1932840290396085E-4</v>
      </c>
      <c r="N35" s="63">
        <f t="shared" si="2"/>
        <v>1.275542705971833E-4</v>
      </c>
      <c r="P35" s="62">
        <f t="shared" si="3"/>
        <v>0</v>
      </c>
      <c r="Q35" s="62">
        <f t="shared" si="4"/>
        <v>1.1932840290396085E-4</v>
      </c>
      <c r="R35" s="62">
        <f t="shared" si="5"/>
        <v>1.275542705971833E-4</v>
      </c>
      <c r="T35" s="64" t="str">
        <f t="shared" si="6"/>
        <v>SI</v>
      </c>
    </row>
    <row r="36" spans="2:20" ht="21" x14ac:dyDescent="0.25">
      <c r="B36" s="60" t="s">
        <v>40</v>
      </c>
      <c r="C36" s="61">
        <f>Utilidad!A33</f>
        <v>0</v>
      </c>
      <c r="D36" s="62">
        <f>IF(Utilidad!C$46&gt;1,Utilidad!C33/100,Utilidad!C33)</f>
        <v>0.55100000000000005</v>
      </c>
      <c r="E36" s="62">
        <f>IF(Utilidad!$E$46&gt;1,Utilidad!E33/100,Utilidad!E33)</f>
        <v>0.5292</v>
      </c>
      <c r="G36" s="60" t="s">
        <v>40</v>
      </c>
      <c r="H36" s="61">
        <f>Utilidad!B33</f>
        <v>0</v>
      </c>
      <c r="I36" s="62">
        <f>IF(Utilidad!$D$46&gt;1,Utilidad!D33/100,Utilidad!D33)</f>
        <v>0.55095214552999994</v>
      </c>
      <c r="J36" s="62">
        <f>IF(Utilidad!$F$46&gt;1,Utilidad!F33/100,Utilidad!F33)</f>
        <v>0.52924755393</v>
      </c>
      <c r="L36" s="63">
        <f t="shared" ref="L36:L65" si="7">+IF(C36&lt;&gt;0,(H36-C36)/C36,ABS(H36-C36))</f>
        <v>0</v>
      </c>
      <c r="M36" s="63">
        <f t="shared" ref="M36:M65" si="8">+IF(D36&lt;&gt;0,(I36-D36)/D36,0)</f>
        <v>-8.6850217786040338E-5</v>
      </c>
      <c r="N36" s="63">
        <f t="shared" ref="N36:N65" si="9">+IF(E36&lt;&gt;0,(J36-E36)/E36,0)</f>
        <v>8.9860034013604335E-5</v>
      </c>
      <c r="P36" s="62">
        <f t="shared" ref="P36:P65" si="10">+IF(L36&lt;&gt;"",ABS(L36),0)</f>
        <v>0</v>
      </c>
      <c r="Q36" s="62">
        <f t="shared" ref="Q36:Q65" si="11">+IF(L36&lt;&gt;"",ABS(M36),0)</f>
        <v>8.6850217786040338E-5</v>
      </c>
      <c r="R36" s="62">
        <f t="shared" ref="R36:R65" si="12">+IF(M36&lt;&gt;"",ABS(N36),0)</f>
        <v>8.9860034013604335E-5</v>
      </c>
      <c r="T36" s="64" t="str">
        <f t="shared" ref="T36:T65" si="13">IF(J36&lt;=I36,"SI","NO")</f>
        <v>SI</v>
      </c>
    </row>
    <row r="37" spans="2:20" ht="21" x14ac:dyDescent="0.25">
      <c r="B37" s="60" t="s">
        <v>41</v>
      </c>
      <c r="C37" s="61">
        <f>Utilidad!A34</f>
        <v>0</v>
      </c>
      <c r="D37" s="62">
        <f>IF(Utilidad!C$46&gt;1,Utilidad!C34/100,Utilidad!C34)</f>
        <v>0</v>
      </c>
      <c r="E37" s="62">
        <f>IF(Utilidad!$E$46&gt;1,Utilidad!E34/100,Utilidad!E34)</f>
        <v>0</v>
      </c>
      <c r="G37" s="60" t="s">
        <v>41</v>
      </c>
      <c r="H37" s="61">
        <f>Utilidad!B34</f>
        <v>0</v>
      </c>
      <c r="I37" s="62">
        <f>IF(Utilidad!$D$46&gt;1,Utilidad!D34/100,Utilidad!D34)</f>
        <v>0</v>
      </c>
      <c r="J37" s="62">
        <f>IF(Utilidad!$F$46&gt;1,Utilidad!F34/100,Utilidad!F34)</f>
        <v>0</v>
      </c>
      <c r="L37" s="63">
        <f t="shared" si="7"/>
        <v>0</v>
      </c>
      <c r="M37" s="63">
        <f t="shared" si="8"/>
        <v>0</v>
      </c>
      <c r="N37" s="63">
        <f t="shared" si="9"/>
        <v>0</v>
      </c>
      <c r="P37" s="62">
        <f t="shared" si="10"/>
        <v>0</v>
      </c>
      <c r="Q37" s="62">
        <f t="shared" si="11"/>
        <v>0</v>
      </c>
      <c r="R37" s="62">
        <f t="shared" si="12"/>
        <v>0</v>
      </c>
      <c r="T37" s="64" t="str">
        <f t="shared" si="13"/>
        <v>SI</v>
      </c>
    </row>
    <row r="38" spans="2:20" ht="21" x14ac:dyDescent="0.25">
      <c r="B38" s="60" t="s">
        <v>42</v>
      </c>
      <c r="C38" s="61">
        <f>Utilidad!A35</f>
        <v>0</v>
      </c>
      <c r="D38" s="62">
        <f>IF(Utilidad!C$46&gt;1,Utilidad!C35/100,Utilidad!C35)</f>
        <v>0</v>
      </c>
      <c r="E38" s="62">
        <f>IF(Utilidad!$E$46&gt;1,Utilidad!E35/100,Utilidad!E35)</f>
        <v>0</v>
      </c>
      <c r="G38" s="60" t="s">
        <v>42</v>
      </c>
      <c r="H38" s="61">
        <f>Utilidad!B35</f>
        <v>0</v>
      </c>
      <c r="I38" s="62">
        <f>IF(Utilidad!$D$46&gt;1,Utilidad!D35/100,Utilidad!D35)</f>
        <v>0</v>
      </c>
      <c r="J38" s="62">
        <f>IF(Utilidad!$F$46&gt;1,Utilidad!F35/100,Utilidad!F35)</f>
        <v>0</v>
      </c>
      <c r="L38" s="63">
        <f t="shared" si="7"/>
        <v>0</v>
      </c>
      <c r="M38" s="63">
        <f t="shared" si="8"/>
        <v>0</v>
      </c>
      <c r="N38" s="63">
        <f t="shared" si="9"/>
        <v>0</v>
      </c>
      <c r="P38" s="62">
        <f t="shared" si="10"/>
        <v>0</v>
      </c>
      <c r="Q38" s="62">
        <f t="shared" si="11"/>
        <v>0</v>
      </c>
      <c r="R38" s="62">
        <f t="shared" si="12"/>
        <v>0</v>
      </c>
      <c r="T38" s="64" t="str">
        <f t="shared" si="13"/>
        <v>SI</v>
      </c>
    </row>
    <row r="39" spans="2:20" ht="21" x14ac:dyDescent="0.25">
      <c r="B39" s="60" t="s">
        <v>43</v>
      </c>
      <c r="C39" s="61">
        <f>Utilidad!A36</f>
        <v>0</v>
      </c>
      <c r="D39" s="62">
        <f>IF(Utilidad!C$46&gt;1,Utilidad!C36/100,Utilidad!C36)</f>
        <v>0</v>
      </c>
      <c r="E39" s="62">
        <f>IF(Utilidad!$E$46&gt;1,Utilidad!E36/100,Utilidad!E36)</f>
        <v>0</v>
      </c>
      <c r="G39" s="60" t="s">
        <v>43</v>
      </c>
      <c r="H39" s="61">
        <f>Utilidad!B36</f>
        <v>0</v>
      </c>
      <c r="I39" s="62">
        <f>IF(Utilidad!$D$46&gt;1,Utilidad!D36/100,Utilidad!D36)</f>
        <v>0</v>
      </c>
      <c r="J39" s="62">
        <f>IF(Utilidad!$F$46&gt;1,Utilidad!F36/100,Utilidad!F36)</f>
        <v>0</v>
      </c>
      <c r="L39" s="63">
        <f t="shared" si="7"/>
        <v>0</v>
      </c>
      <c r="M39" s="63">
        <f t="shared" si="8"/>
        <v>0</v>
      </c>
      <c r="N39" s="63">
        <f t="shared" si="9"/>
        <v>0</v>
      </c>
      <c r="P39" s="62">
        <f t="shared" si="10"/>
        <v>0</v>
      </c>
      <c r="Q39" s="62">
        <f t="shared" si="11"/>
        <v>0</v>
      </c>
      <c r="R39" s="62">
        <f t="shared" si="12"/>
        <v>0</v>
      </c>
      <c r="T39" s="64" t="str">
        <f t="shared" si="13"/>
        <v>SI</v>
      </c>
    </row>
    <row r="40" spans="2:20" ht="21" x14ac:dyDescent="0.25">
      <c r="B40" s="60" t="s">
        <v>44</v>
      </c>
      <c r="C40" s="61">
        <f>Utilidad!A37</f>
        <v>0</v>
      </c>
      <c r="D40" s="62">
        <f>IF(Utilidad!C$46&gt;1,Utilidad!C37/100,Utilidad!C37)</f>
        <v>0</v>
      </c>
      <c r="E40" s="62">
        <f>IF(Utilidad!$E$46&gt;1,Utilidad!E37/100,Utilidad!E37)</f>
        <v>0</v>
      </c>
      <c r="G40" s="60" t="s">
        <v>44</v>
      </c>
      <c r="H40" s="61">
        <f>Utilidad!B37</f>
        <v>0</v>
      </c>
      <c r="I40" s="62">
        <f>IF(Utilidad!$D$46&gt;1,Utilidad!D37/100,Utilidad!D37)</f>
        <v>0</v>
      </c>
      <c r="J40" s="62">
        <f>IF(Utilidad!$F$46&gt;1,Utilidad!F37/100,Utilidad!F37)</f>
        <v>0</v>
      </c>
      <c r="L40" s="63">
        <f t="shared" si="7"/>
        <v>0</v>
      </c>
      <c r="M40" s="63">
        <f t="shared" si="8"/>
        <v>0</v>
      </c>
      <c r="N40" s="63">
        <f t="shared" si="9"/>
        <v>0</v>
      </c>
      <c r="P40" s="62">
        <f t="shared" si="10"/>
        <v>0</v>
      </c>
      <c r="Q40" s="62">
        <f t="shared" si="11"/>
        <v>0</v>
      </c>
      <c r="R40" s="62">
        <f t="shared" si="12"/>
        <v>0</v>
      </c>
      <c r="T40" s="64" t="str">
        <f t="shared" si="13"/>
        <v>SI</v>
      </c>
    </row>
    <row r="41" spans="2:20" ht="21" x14ac:dyDescent="0.25">
      <c r="B41" s="60" t="s">
        <v>46</v>
      </c>
      <c r="C41" s="61">
        <f>Utilidad!A38</f>
        <v>0</v>
      </c>
      <c r="D41" s="62">
        <f>IF(Utilidad!C$46&gt;1,Utilidad!C38/100,Utilidad!C38)</f>
        <v>0</v>
      </c>
      <c r="E41" s="62">
        <f>IF(Utilidad!$E$46&gt;1,Utilidad!E38/100,Utilidad!E38)</f>
        <v>0</v>
      </c>
      <c r="G41" s="60" t="s">
        <v>46</v>
      </c>
      <c r="H41" s="61">
        <f>Utilidad!B38</f>
        <v>0</v>
      </c>
      <c r="I41" s="62">
        <f>IF(Utilidad!$D$46&gt;1,Utilidad!D38/100,Utilidad!D38)</f>
        <v>0</v>
      </c>
      <c r="J41" s="62">
        <f>IF(Utilidad!$F$46&gt;1,Utilidad!F38/100,Utilidad!F38)</f>
        <v>0</v>
      </c>
      <c r="L41" s="63">
        <f t="shared" si="7"/>
        <v>0</v>
      </c>
      <c r="M41" s="63">
        <f t="shared" si="8"/>
        <v>0</v>
      </c>
      <c r="N41" s="63">
        <f t="shared" si="9"/>
        <v>0</v>
      </c>
      <c r="P41" s="62">
        <f t="shared" si="10"/>
        <v>0</v>
      </c>
      <c r="Q41" s="62">
        <f t="shared" si="11"/>
        <v>0</v>
      </c>
      <c r="R41" s="62">
        <f t="shared" si="12"/>
        <v>0</v>
      </c>
      <c r="T41" s="64" t="str">
        <f t="shared" si="13"/>
        <v>SI</v>
      </c>
    </row>
    <row r="42" spans="2:20" ht="21" x14ac:dyDescent="0.25">
      <c r="B42" s="60" t="s">
        <v>47</v>
      </c>
      <c r="C42" s="61">
        <f>Utilidad!A39</f>
        <v>0</v>
      </c>
      <c r="D42" s="62">
        <f>IF(Utilidad!C$46&gt;1,Utilidad!C39/100,Utilidad!C39)</f>
        <v>0</v>
      </c>
      <c r="E42" s="62">
        <f>IF(Utilidad!$E$46&gt;1,Utilidad!E39/100,Utilidad!E39)</f>
        <v>0</v>
      </c>
      <c r="G42" s="60" t="s">
        <v>47</v>
      </c>
      <c r="H42" s="61">
        <f>Utilidad!B39</f>
        <v>0</v>
      </c>
      <c r="I42" s="62">
        <f>IF(Utilidad!$D$46&gt;1,Utilidad!D39/100,Utilidad!D39)</f>
        <v>0</v>
      </c>
      <c r="J42" s="62">
        <f>IF(Utilidad!$F$46&gt;1,Utilidad!F39/100,Utilidad!F39)</f>
        <v>0</v>
      </c>
      <c r="L42" s="63">
        <f t="shared" si="7"/>
        <v>0</v>
      </c>
      <c r="M42" s="63">
        <f t="shared" si="8"/>
        <v>0</v>
      </c>
      <c r="N42" s="63">
        <f t="shared" si="9"/>
        <v>0</v>
      </c>
      <c r="P42" s="62">
        <f t="shared" si="10"/>
        <v>0</v>
      </c>
      <c r="Q42" s="62">
        <f t="shared" si="11"/>
        <v>0</v>
      </c>
      <c r="R42" s="62">
        <f t="shared" si="12"/>
        <v>0</v>
      </c>
      <c r="T42" s="64" t="str">
        <f t="shared" si="13"/>
        <v>SI</v>
      </c>
    </row>
    <row r="43" spans="2:20" ht="21" x14ac:dyDescent="0.25">
      <c r="B43" s="60" t="s">
        <v>48</v>
      </c>
      <c r="C43" s="150">
        <f>Utilidad!A40</f>
        <v>1043317</v>
      </c>
      <c r="D43" s="151">
        <f>IF(Utilidad!C$46&gt;1,Utilidad!C40/100,Utilidad!C40)</f>
        <v>0.10589999999999999</v>
      </c>
      <c r="E43" s="151">
        <f>IF(Utilidad!$E$46&gt;1,Utilidad!E40/100,Utilidad!E40)</f>
        <v>5.3200000000000004E-2</v>
      </c>
      <c r="G43" s="60" t="s">
        <v>48</v>
      </c>
      <c r="H43" s="150">
        <f>Utilidad!B40</f>
        <v>1043317</v>
      </c>
      <c r="I43" s="151">
        <f>IF(Utilidad!$D$46&gt;1,Utilidad!D40/100,Utilidad!D40)</f>
        <v>0.10797705657999999</v>
      </c>
      <c r="J43" s="151">
        <f>IF(Utilidad!$F$46&gt;1,Utilidad!F40/100,Utilidad!F40)</f>
        <v>5.1604000000000004E-2</v>
      </c>
      <c r="L43" s="63">
        <f t="shared" si="7"/>
        <v>0</v>
      </c>
      <c r="M43" s="63">
        <f t="shared" si="8"/>
        <v>1.9613376581680834E-2</v>
      </c>
      <c r="N43" s="63">
        <f t="shared" si="9"/>
        <v>-3.0000000000000002E-2</v>
      </c>
      <c r="P43" s="62">
        <f t="shared" si="10"/>
        <v>0</v>
      </c>
      <c r="Q43" s="62">
        <f t="shared" si="11"/>
        <v>1.9613376581680834E-2</v>
      </c>
      <c r="R43" s="62">
        <f t="shared" si="12"/>
        <v>3.0000000000000002E-2</v>
      </c>
      <c r="T43" s="64" t="str">
        <f t="shared" si="13"/>
        <v>SI</v>
      </c>
    </row>
    <row r="44" spans="2:20" ht="21" x14ac:dyDescent="0.25">
      <c r="B44" s="60" t="s">
        <v>49</v>
      </c>
      <c r="C44" s="150">
        <f>Utilidad!A41</f>
        <v>878348</v>
      </c>
      <c r="D44" s="151">
        <f>IF(Utilidad!C$46&gt;1,Utilidad!C41/100,Utilidad!C41)</f>
        <v>6.5099999999999991E-2</v>
      </c>
      <c r="E44" s="151">
        <f>IF(Utilidad!$E$46&gt;1,Utilidad!E41/100,Utilidad!E41)</f>
        <v>4.0000000000000001E-3</v>
      </c>
      <c r="G44" s="60" t="s">
        <v>49</v>
      </c>
      <c r="H44" s="150">
        <f>Utilidad!B41</f>
        <v>869645.92310000001</v>
      </c>
      <c r="I44" s="151">
        <f>IF(Utilidad!$D$46&gt;1,Utilidad!D41/100,Utilidad!D41)</f>
        <v>6.5225386750999995E-2</v>
      </c>
      <c r="J44" s="151">
        <f>IF(Utilidad!$F$46&gt;1,Utilidad!F41/100,Utilidad!F41)</f>
        <v>4.2965672081000002E-3</v>
      </c>
      <c r="L44" s="63">
        <f t="shared" si="7"/>
        <v>-9.907322496322625E-3</v>
      </c>
      <c r="M44" s="63">
        <f t="shared" si="8"/>
        <v>1.9260637634409127E-3</v>
      </c>
      <c r="N44" s="63">
        <f t="shared" si="9"/>
        <v>7.4141802025000023E-2</v>
      </c>
      <c r="P44" s="62">
        <f t="shared" si="10"/>
        <v>9.907322496322625E-3</v>
      </c>
      <c r="Q44" s="62">
        <f t="shared" si="11"/>
        <v>1.9260637634409127E-3</v>
      </c>
      <c r="R44" s="62">
        <f t="shared" si="12"/>
        <v>7.4141802025000023E-2</v>
      </c>
      <c r="T44" s="64" t="str">
        <f t="shared" si="13"/>
        <v>SI</v>
      </c>
    </row>
    <row r="45" spans="2:20" ht="21" x14ac:dyDescent="0.25">
      <c r="B45" s="60" t="s">
        <v>50</v>
      </c>
      <c r="C45" s="150">
        <f>Utilidad!A42</f>
        <v>164969</v>
      </c>
      <c r="D45" s="151">
        <f>IF(Utilidad!C$46&gt;1,Utilidad!C42/100,Utilidad!C42)</f>
        <v>0.32319999999999999</v>
      </c>
      <c r="E45" s="151">
        <f>IF(Utilidad!$E$46&gt;1,Utilidad!E42/100,Utilidad!E42)</f>
        <v>0.29289999999999999</v>
      </c>
      <c r="G45" s="60" t="s">
        <v>50</v>
      </c>
      <c r="H45" s="150">
        <f>Utilidad!B42</f>
        <v>173671.07689999999</v>
      </c>
      <c r="I45" s="151">
        <f>IF(Utilidad!$D$46&gt;1,Utilidad!D42/100,Utilidad!D42)</f>
        <v>0.32205308953</v>
      </c>
      <c r="J45" s="151">
        <f>IF(Utilidad!$F$46&gt;1,Utilidad!F42/100,Utilidad!F42)</f>
        <v>0.28849270168000002</v>
      </c>
      <c r="L45" s="63">
        <f t="shared" si="7"/>
        <v>5.2749770562954164E-2</v>
      </c>
      <c r="M45" s="63">
        <f t="shared" si="8"/>
        <v>-3.5486091274751991E-3</v>
      </c>
      <c r="N45" s="63">
        <f t="shared" si="9"/>
        <v>-1.5047109320587147E-2</v>
      </c>
      <c r="P45" s="62">
        <f t="shared" si="10"/>
        <v>5.2749770562954164E-2</v>
      </c>
      <c r="Q45" s="62">
        <f t="shared" si="11"/>
        <v>3.5486091274751991E-3</v>
      </c>
      <c r="R45" s="62">
        <f t="shared" si="12"/>
        <v>1.5047109320587147E-2</v>
      </c>
      <c r="T45" s="64" t="str">
        <f t="shared" si="13"/>
        <v>SI</v>
      </c>
    </row>
    <row r="46" spans="2:20" ht="21" x14ac:dyDescent="0.25">
      <c r="B46" s="60" t="s">
        <v>51</v>
      </c>
      <c r="C46" s="150">
        <f>Utilidad!A43</f>
        <v>43322</v>
      </c>
      <c r="D46" s="151">
        <f>IF(Utilidad!C$46&gt;1,Utilidad!C43/100,Utilidad!C43)</f>
        <v>7.8100000000000003E-2</v>
      </c>
      <c r="E46" s="151">
        <f>IF(Utilidad!$E$46&gt;1,Utilidad!E43/100,Utilidad!E43)</f>
        <v>1.5900000000000001E-2</v>
      </c>
      <c r="G46" s="60" t="s">
        <v>51</v>
      </c>
      <c r="H46" s="150">
        <f>Utilidad!B43</f>
        <v>42987.474302000002</v>
      </c>
      <c r="I46" s="151">
        <f>IF(Utilidad!$D$46&gt;1,Utilidad!D43/100,Utilidad!D43)</f>
        <v>7.8129748146000003E-2</v>
      </c>
      <c r="J46" s="151">
        <f>IF(Utilidad!$F$46&gt;1,Utilidad!F43/100,Utilidad!F43)</f>
        <v>1.6132465033000001E-2</v>
      </c>
      <c r="L46" s="63">
        <f t="shared" si="7"/>
        <v>-7.7218433590323082E-3</v>
      </c>
      <c r="M46" s="63">
        <f t="shared" si="8"/>
        <v>3.8089815620998544E-4</v>
      </c>
      <c r="N46" s="63">
        <f t="shared" si="9"/>
        <v>1.4620442327044006E-2</v>
      </c>
      <c r="P46" s="62">
        <f t="shared" si="10"/>
        <v>7.7218433590323082E-3</v>
      </c>
      <c r="Q46" s="62">
        <f t="shared" si="11"/>
        <v>3.8089815620998544E-4</v>
      </c>
      <c r="R46" s="62">
        <f t="shared" si="12"/>
        <v>1.4620442327044006E-2</v>
      </c>
      <c r="T46" s="64" t="str">
        <f t="shared" si="13"/>
        <v>SI</v>
      </c>
    </row>
    <row r="47" spans="2:20" ht="21" x14ac:dyDescent="0.25">
      <c r="B47" s="60" t="s">
        <v>52</v>
      </c>
      <c r="C47" s="150">
        <f>Utilidad!A44</f>
        <v>121647</v>
      </c>
      <c r="D47" s="151">
        <f>IF(Utilidad!C$46&gt;1,Utilidad!C44/100,Utilidad!C44)</f>
        <v>0.41049999999999998</v>
      </c>
      <c r="E47" s="151">
        <f>IF(Utilidad!$E$46&gt;1,Utilidad!E44/100,Utilidad!E44)</f>
        <v>0.37810000000000005</v>
      </c>
      <c r="G47" s="60" t="s">
        <v>52</v>
      </c>
      <c r="H47" s="150">
        <f>Utilidad!B44</f>
        <v>130683.6026</v>
      </c>
      <c r="I47" s="151">
        <f>IF(Utilidad!$D$46&gt;1,Utilidad!D44/100,Utilidad!D44)</f>
        <v>0.40228999999999998</v>
      </c>
      <c r="J47" s="151">
        <f>IF(Utilidad!$F$46&gt;1,Utilidad!F44/100,Utilidad!F44)</f>
        <v>0.37808373346000002</v>
      </c>
      <c r="L47" s="63">
        <f t="shared" si="7"/>
        <v>7.4285453813082103E-2</v>
      </c>
      <c r="M47" s="63">
        <f t="shared" si="8"/>
        <v>-1.999999999999999E-2</v>
      </c>
      <c r="N47" s="63">
        <f t="shared" si="9"/>
        <v>-4.3021793176492172E-5</v>
      </c>
      <c r="P47" s="62">
        <f t="shared" si="10"/>
        <v>7.4285453813082103E-2</v>
      </c>
      <c r="Q47" s="62">
        <f t="shared" si="11"/>
        <v>1.999999999999999E-2</v>
      </c>
      <c r="R47" s="62">
        <f t="shared" si="12"/>
        <v>4.3021793176492172E-5</v>
      </c>
      <c r="T47" s="64" t="str">
        <f t="shared" si="13"/>
        <v>SI</v>
      </c>
    </row>
    <row r="48" spans="2:20" ht="21" x14ac:dyDescent="0.25">
      <c r="B48" s="60" t="s">
        <v>53</v>
      </c>
      <c r="C48" s="150">
        <f>Utilidad!A45</f>
        <v>0</v>
      </c>
      <c r="D48" s="151">
        <f>IF(Utilidad!C$46&gt;1,Utilidad!C45/100,Utilidad!C45)</f>
        <v>0</v>
      </c>
      <c r="E48" s="151">
        <f>IF(Utilidad!$E$46&gt;1,Utilidad!E45/100,Utilidad!E45)</f>
        <v>0</v>
      </c>
      <c r="G48" s="60" t="s">
        <v>53</v>
      </c>
      <c r="H48" s="150">
        <f>Utilidad!B45</f>
        <v>0</v>
      </c>
      <c r="I48" s="151">
        <f>IF(Utilidad!$D$46&gt;1,Utilidad!D45/100,Utilidad!D45)</f>
        <v>0</v>
      </c>
      <c r="J48" s="151">
        <f>IF(Utilidad!$F$46&gt;1,Utilidad!F45/100,Utilidad!F45)</f>
        <v>0</v>
      </c>
      <c r="L48" s="63">
        <f t="shared" si="7"/>
        <v>0</v>
      </c>
      <c r="M48" s="63">
        <f t="shared" si="8"/>
        <v>0</v>
      </c>
      <c r="N48" s="63">
        <f t="shared" si="9"/>
        <v>0</v>
      </c>
      <c r="P48" s="62">
        <f t="shared" si="10"/>
        <v>0</v>
      </c>
      <c r="Q48" s="62">
        <f t="shared" si="11"/>
        <v>0</v>
      </c>
      <c r="R48" s="62">
        <f t="shared" si="12"/>
        <v>0</v>
      </c>
      <c r="T48" s="64" t="str">
        <f t="shared" si="13"/>
        <v>SI</v>
      </c>
    </row>
    <row r="49" spans="2:20" ht="21" x14ac:dyDescent="0.25">
      <c r="B49" s="60" t="s">
        <v>54</v>
      </c>
      <c r="C49" s="150">
        <f>Utilidad!A46</f>
        <v>26542</v>
      </c>
      <c r="D49" s="151">
        <f>IF(Utilidad!C$46&gt;1,Utilidad!C46/100,Utilidad!C46)</f>
        <v>0.41249999999999998</v>
      </c>
      <c r="E49" s="151">
        <f>IF(Utilidad!$E$46&gt;1,Utilidad!E46/100,Utilidad!E46)</f>
        <v>0.38420000000000004</v>
      </c>
      <c r="G49" s="60" t="s">
        <v>54</v>
      </c>
      <c r="H49" s="150">
        <f>Utilidad!B46</f>
        <v>28571.901066999999</v>
      </c>
      <c r="I49" s="151">
        <f>IF(Utilidad!$D$46&gt;1,Utilidad!D46/100,Utilidad!D46)</f>
        <v>0.42024039688000003</v>
      </c>
      <c r="J49" s="151">
        <f>IF(Utilidad!$F$46&gt;1,Utilidad!F46/100,Utilidad!F46)</f>
        <v>0.38276432376999997</v>
      </c>
      <c r="L49" s="63">
        <f t="shared" si="7"/>
        <v>7.6478828535905319E-2</v>
      </c>
      <c r="M49" s="63">
        <f t="shared" si="8"/>
        <v>1.8764598496969834E-2</v>
      </c>
      <c r="N49" s="63">
        <f t="shared" si="9"/>
        <v>-3.7367939354504718E-3</v>
      </c>
      <c r="P49" s="62">
        <f t="shared" si="10"/>
        <v>7.6478828535905319E-2</v>
      </c>
      <c r="Q49" s="62">
        <f t="shared" si="11"/>
        <v>1.8764598496969834E-2</v>
      </c>
      <c r="R49" s="62">
        <f t="shared" si="12"/>
        <v>3.7367939354504718E-3</v>
      </c>
      <c r="T49" s="64" t="str">
        <f t="shared" si="13"/>
        <v>SI</v>
      </c>
    </row>
    <row r="50" spans="2:20" ht="21" x14ac:dyDescent="0.25">
      <c r="B50" s="60" t="s">
        <v>55</v>
      </c>
      <c r="C50" s="150">
        <f>Utilidad!A47</f>
        <v>149114</v>
      </c>
      <c r="D50" s="151">
        <f>IF(Utilidad!C$46&gt;1,Utilidad!C47/100,Utilidad!C47)</f>
        <v>0.40539999999999998</v>
      </c>
      <c r="E50" s="151">
        <f>IF(Utilidad!$E$46&gt;1,Utilidad!E47/100,Utilidad!E47)</f>
        <v>0.37840000000000001</v>
      </c>
      <c r="G50" s="60" t="s">
        <v>55</v>
      </c>
      <c r="H50" s="150">
        <f>Utilidad!B47</f>
        <v>159255.50367000001</v>
      </c>
      <c r="I50" s="151">
        <f>IF(Utilidad!$D$46&gt;1,Utilidad!D47/100,Utilidad!D47)</f>
        <v>0.40551046618000003</v>
      </c>
      <c r="J50" s="151">
        <f>IF(Utilidad!$F$46&gt;1,Utilidad!F47/100,Utilidad!F47)</f>
        <v>0.37892347438000001</v>
      </c>
      <c r="L50" s="63">
        <f t="shared" si="7"/>
        <v>6.8011747186716237E-2</v>
      </c>
      <c r="M50" s="63">
        <f t="shared" si="8"/>
        <v>2.7248687715847596E-4</v>
      </c>
      <c r="N50" s="63">
        <f t="shared" si="9"/>
        <v>1.3833889534883713E-3</v>
      </c>
      <c r="P50" s="62">
        <f t="shared" si="10"/>
        <v>6.8011747186716237E-2</v>
      </c>
      <c r="Q50" s="62">
        <f t="shared" si="11"/>
        <v>2.7248687715847596E-4</v>
      </c>
      <c r="R50" s="62">
        <f t="shared" si="12"/>
        <v>1.3833889534883713E-3</v>
      </c>
      <c r="T50" s="64" t="str">
        <f t="shared" si="13"/>
        <v>SI</v>
      </c>
    </row>
    <row r="51" spans="2:20" ht="21" x14ac:dyDescent="0.25">
      <c r="B51" s="60" t="s">
        <v>56</v>
      </c>
      <c r="C51" s="150">
        <f>Utilidad!A48</f>
        <v>23724</v>
      </c>
      <c r="D51" s="151">
        <f>IF(Utilidad!C$46&gt;1,Utilidad!C48/100,Utilidad!C48)</f>
        <v>6.4500000000000002E-2</v>
      </c>
      <c r="E51" s="151">
        <f>IF(Utilidad!$E$46&gt;1,Utilidad!E48/100,Utilidad!E48)</f>
        <v>1.29E-2</v>
      </c>
      <c r="G51" s="60" t="s">
        <v>56</v>
      </c>
      <c r="H51" s="150">
        <f>Utilidad!B48</f>
        <v>25024.089692000001</v>
      </c>
      <c r="I51" s="151">
        <f>IF(Utilidad!$D$46&gt;1,Utilidad!D48/100,Utilidad!D48)</f>
        <v>5.6760000000000005E-2</v>
      </c>
      <c r="J51" s="151">
        <f>IF(Utilidad!$F$46&gt;1,Utilidad!F48/100,Utilidad!F48)</f>
        <v>1.4448000000000001E-2</v>
      </c>
      <c r="L51" s="63">
        <f t="shared" si="7"/>
        <v>5.4800610858202724E-2</v>
      </c>
      <c r="M51" s="63">
        <f t="shared" si="8"/>
        <v>-0.11999999999999995</v>
      </c>
      <c r="N51" s="63">
        <f t="shared" si="9"/>
        <v>0.12000000000000006</v>
      </c>
      <c r="P51" s="62">
        <f t="shared" si="10"/>
        <v>5.4800610858202724E-2</v>
      </c>
      <c r="Q51" s="62">
        <f t="shared" si="11"/>
        <v>0.11999999999999995</v>
      </c>
      <c r="R51" s="62">
        <f t="shared" si="12"/>
        <v>0.12000000000000006</v>
      </c>
      <c r="T51" s="64" t="str">
        <f t="shared" si="13"/>
        <v>SI</v>
      </c>
    </row>
    <row r="52" spans="2:20" ht="21" x14ac:dyDescent="0.25">
      <c r="B52" s="60" t="s">
        <v>57</v>
      </c>
      <c r="C52" s="150">
        <f>Utilidad!A49</f>
        <v>125390</v>
      </c>
      <c r="D52" s="151">
        <f>IF(Utilidad!C$46&gt;1,Utilidad!C49/100,Utilidad!C49)</f>
        <v>0.46990000000000004</v>
      </c>
      <c r="E52" s="151">
        <f>IF(Utilidad!$E$46&gt;1,Utilidad!E49/100,Utilidad!E49)</f>
        <v>0.44069999999999998</v>
      </c>
      <c r="G52" s="60" t="s">
        <v>57</v>
      </c>
      <c r="H52" s="150">
        <f>Utilidad!B49</f>
        <v>134231.41396999999</v>
      </c>
      <c r="I52" s="151">
        <f>IF(Utilidad!$D$46&gt;1,Utilidad!D49/100,Utilidad!D49)</f>
        <v>0.47052626748999998</v>
      </c>
      <c r="J52" s="151">
        <f>IF(Utilidad!$F$46&gt;1,Utilidad!F49/100,Utilidad!F49)</f>
        <v>0.44687081014999996</v>
      </c>
      <c r="L52" s="63">
        <f t="shared" si="7"/>
        <v>7.051131645266763E-2</v>
      </c>
      <c r="M52" s="63">
        <f t="shared" si="8"/>
        <v>1.3327675888485703E-3</v>
      </c>
      <c r="N52" s="63">
        <f t="shared" si="9"/>
        <v>1.4002292148854059E-2</v>
      </c>
      <c r="P52" s="62">
        <f t="shared" si="10"/>
        <v>7.051131645266763E-2</v>
      </c>
      <c r="Q52" s="62">
        <f t="shared" si="11"/>
        <v>1.3327675888485703E-3</v>
      </c>
      <c r="R52" s="62">
        <f t="shared" si="12"/>
        <v>1.4002292148854059E-2</v>
      </c>
      <c r="T52" s="64" t="str">
        <f t="shared" si="13"/>
        <v>SI</v>
      </c>
    </row>
    <row r="53" spans="2:20" ht="21" x14ac:dyDescent="0.25">
      <c r="B53" s="60" t="s">
        <v>58</v>
      </c>
      <c r="C53" s="150">
        <f>Utilidad!A50</f>
        <v>33488</v>
      </c>
      <c r="D53" s="151">
        <f>IF(Utilidad!C$46&gt;1,Utilidad!C50/100,Utilidad!C50)</f>
        <v>7.2700000000000001E-2</v>
      </c>
      <c r="E53" s="151">
        <f>IF(Utilidad!$E$46&gt;1,Utilidad!E50/100,Utilidad!E50)</f>
        <v>1.9799999999999998E-2</v>
      </c>
      <c r="G53" s="60" t="s">
        <v>58</v>
      </c>
      <c r="H53" s="150">
        <f>Utilidad!B50</f>
        <v>35720.617595999996</v>
      </c>
      <c r="I53" s="151">
        <f>IF(Utilidad!$D$46&gt;1,Utilidad!D50/100,Utilidad!D50)</f>
        <v>6.3975999999999991E-2</v>
      </c>
      <c r="J53" s="151">
        <f>IF(Utilidad!$F$46&gt;1,Utilidad!F50/100,Utilidad!F50)</f>
        <v>2.2176000000000001E-2</v>
      </c>
      <c r="L53" s="63">
        <f t="shared" si="7"/>
        <v>6.6669182871476246E-2</v>
      </c>
      <c r="M53" s="63">
        <f t="shared" si="8"/>
        <v>-0.12000000000000013</v>
      </c>
      <c r="N53" s="63">
        <f t="shared" si="9"/>
        <v>0.12000000000000016</v>
      </c>
      <c r="P53" s="62">
        <f t="shared" si="10"/>
        <v>6.6669182871476246E-2</v>
      </c>
      <c r="Q53" s="62">
        <f t="shared" si="11"/>
        <v>0.12000000000000013</v>
      </c>
      <c r="R53" s="62">
        <f t="shared" si="12"/>
        <v>0.12000000000000016</v>
      </c>
      <c r="T53" s="64" t="str">
        <f t="shared" si="13"/>
        <v>SI</v>
      </c>
    </row>
    <row r="54" spans="2:20" ht="21" x14ac:dyDescent="0.25">
      <c r="B54" s="60" t="s">
        <v>59</v>
      </c>
      <c r="C54" s="150">
        <f>Utilidad!A51</f>
        <v>91902</v>
      </c>
      <c r="D54" s="151">
        <f>IF(Utilidad!C$46&gt;1,Utilidad!C51/100,Utilidad!C51)</f>
        <v>0.61460000000000004</v>
      </c>
      <c r="E54" s="151">
        <f>IF(Utilidad!$E$46&gt;1,Utilidad!E51/100,Utilidad!E51)</f>
        <v>0.60670000000000002</v>
      </c>
      <c r="G54" s="60" t="s">
        <v>59</v>
      </c>
      <c r="H54" s="150">
        <f>Utilidad!B51</f>
        <v>98510.796379000007</v>
      </c>
      <c r="I54" s="151">
        <f>IF(Utilidad!$D$46&gt;1,Utilidad!D51/100,Utilidad!D51)</f>
        <v>0.61794388238999998</v>
      </c>
      <c r="J54" s="151">
        <f>IF(Utilidad!$F$46&gt;1,Utilidad!F51/100,Utilidad!F51)</f>
        <v>0.60086774724000003</v>
      </c>
      <c r="L54" s="63">
        <f t="shared" si="7"/>
        <v>7.1911344464756013E-2</v>
      </c>
      <c r="M54" s="63">
        <f t="shared" si="8"/>
        <v>5.4407458346891332E-3</v>
      </c>
      <c r="N54" s="63">
        <f t="shared" si="9"/>
        <v>-9.6130752596011032E-3</v>
      </c>
      <c r="O54" s="65"/>
      <c r="P54" s="62">
        <f t="shared" si="10"/>
        <v>7.1911344464756013E-2</v>
      </c>
      <c r="Q54" s="62">
        <f t="shared" si="11"/>
        <v>5.4407458346891332E-3</v>
      </c>
      <c r="R54" s="62">
        <f t="shared" si="12"/>
        <v>9.6130752596011032E-3</v>
      </c>
      <c r="T54" s="64" t="str">
        <f t="shared" si="13"/>
        <v>SI</v>
      </c>
    </row>
    <row r="55" spans="2:20" ht="21" x14ac:dyDescent="0.25">
      <c r="B55" s="60" t="s">
        <v>60</v>
      </c>
      <c r="C55" s="150">
        <f>Utilidad!A52</f>
        <v>1586</v>
      </c>
      <c r="D55" s="151">
        <f>IF(Utilidad!C$46&gt;1,Utilidad!C52/100,Utilidad!C52)</f>
        <v>8.3299999999999999E-2</v>
      </c>
      <c r="E55" s="151">
        <f>IF(Utilidad!$E$46&gt;1,Utilidad!E52/100,Utilidad!E52)</f>
        <v>7.8000000000000005E-3</v>
      </c>
      <c r="G55" s="60" t="s">
        <v>60</v>
      </c>
      <c r="H55" s="150">
        <f>Utilidad!B52</f>
        <v>1558.9434901</v>
      </c>
      <c r="I55" s="151">
        <f>IF(Utilidad!$D$46&gt;1,Utilidad!D52/100,Utilidad!D52)</f>
        <v>7.8766321543000006E-2</v>
      </c>
      <c r="J55" s="151">
        <f>IF(Utilidad!$F$46&gt;1,Utilidad!F52/100,Utilidad!F52)</f>
        <v>7.8385159999000004E-3</v>
      </c>
      <c r="L55" s="63">
        <f t="shared" si="7"/>
        <v>-1.7059590100882746E-2</v>
      </c>
      <c r="M55" s="63">
        <f t="shared" si="8"/>
        <v>-5.4425911848739413E-2</v>
      </c>
      <c r="N55" s="63">
        <f t="shared" si="9"/>
        <v>4.937948705128186E-3</v>
      </c>
      <c r="O55" s="5"/>
      <c r="P55" s="62">
        <f t="shared" si="10"/>
        <v>1.7059590100882746E-2</v>
      </c>
      <c r="Q55" s="62">
        <f t="shared" si="11"/>
        <v>5.4425911848739413E-2</v>
      </c>
      <c r="R55" s="62">
        <f t="shared" si="12"/>
        <v>4.937948705128186E-3</v>
      </c>
      <c r="T55" s="64" t="str">
        <f t="shared" si="13"/>
        <v>SI</v>
      </c>
    </row>
    <row r="56" spans="2:20" ht="21" x14ac:dyDescent="0.25">
      <c r="B56" s="60" t="s">
        <v>61</v>
      </c>
      <c r="C56" s="150">
        <f>Utilidad!A53</f>
        <v>90316</v>
      </c>
      <c r="D56" s="151">
        <f>IF(Utilidad!C$46&gt;1,Utilidad!C53/100,Utilidad!C53)</f>
        <v>0.624</v>
      </c>
      <c r="E56" s="151">
        <f>IF(Utilidad!$E$46&gt;1,Utilidad!E53/100,Utilidad!E53)</f>
        <v>0.6129</v>
      </c>
      <c r="G56" s="60" t="s">
        <v>61</v>
      </c>
      <c r="H56" s="150">
        <f>Utilidad!B53</f>
        <v>96951.852887999994</v>
      </c>
      <c r="I56" s="151">
        <f>IF(Utilidad!$D$46&gt;1,Utilidad!D53/100,Utilidad!D53)</f>
        <v>0.62661362226999995</v>
      </c>
      <c r="J56" s="151">
        <f>IF(Utilidad!$F$46&gt;1,Utilidad!F53/100,Utilidad!F53)</f>
        <v>0.61040339852000003</v>
      </c>
      <c r="L56" s="63">
        <f t="shared" si="7"/>
        <v>7.3473724345630834E-2</v>
      </c>
      <c r="M56" s="63">
        <f t="shared" si="8"/>
        <v>4.1884972275640208E-3</v>
      </c>
      <c r="N56" s="63">
        <f t="shared" si="9"/>
        <v>-4.0734238538097101E-3</v>
      </c>
      <c r="O56" s="66"/>
      <c r="P56" s="62">
        <f t="shared" si="10"/>
        <v>7.3473724345630834E-2</v>
      </c>
      <c r="Q56" s="62">
        <f t="shared" si="11"/>
        <v>4.1884972275640208E-3</v>
      </c>
      <c r="R56" s="62">
        <f t="shared" si="12"/>
        <v>4.0734238538097101E-3</v>
      </c>
      <c r="T56" s="64" t="str">
        <f t="shared" si="13"/>
        <v>SI</v>
      </c>
    </row>
    <row r="57" spans="2:20" ht="21" x14ac:dyDescent="0.25">
      <c r="B57" s="60" t="s">
        <v>62</v>
      </c>
      <c r="C57" s="150">
        <f>Utilidad!A54</f>
        <v>28769</v>
      </c>
      <c r="D57" s="151">
        <f>IF(Utilidad!C$46&gt;1,Utilidad!C54/100,Utilidad!C54)</f>
        <v>0.5544</v>
      </c>
      <c r="E57" s="151">
        <f>IF(Utilidad!$E$46&gt;1,Utilidad!E54/100,Utilidad!E54)</f>
        <v>0.50369999999999993</v>
      </c>
      <c r="G57" s="60" t="s">
        <v>62</v>
      </c>
      <c r="H57" s="150">
        <f>Utilidad!B54</f>
        <v>27064.852888000001</v>
      </c>
      <c r="I57" s="151">
        <f>IF(Utilidad!$D$46&gt;1,Utilidad!D54/100,Utilidad!D54)</f>
        <v>0.54608400000000001</v>
      </c>
      <c r="J57" s="151">
        <f>IF(Utilidad!$F$46&gt;1,Utilidad!F54/100,Utilidad!F54)</f>
        <v>0.51125549999999997</v>
      </c>
      <c r="L57" s="63">
        <f t="shared" si="7"/>
        <v>-5.9235535194132528E-2</v>
      </c>
      <c r="M57" s="63">
        <f t="shared" si="8"/>
        <v>-1.4999999999999982E-2</v>
      </c>
      <c r="N57" s="63">
        <f t="shared" si="9"/>
        <v>1.5000000000000098E-2</v>
      </c>
      <c r="P57" s="62">
        <f t="shared" si="10"/>
        <v>5.9235535194132528E-2</v>
      </c>
      <c r="Q57" s="62">
        <f t="shared" si="11"/>
        <v>1.4999999999999982E-2</v>
      </c>
      <c r="R57" s="62">
        <f t="shared" si="12"/>
        <v>1.5000000000000098E-2</v>
      </c>
      <c r="T57" s="64" t="str">
        <f t="shared" si="13"/>
        <v>SI</v>
      </c>
    </row>
    <row r="58" spans="2:20" ht="21" x14ac:dyDescent="0.25">
      <c r="B58" s="60" t="s">
        <v>63</v>
      </c>
      <c r="C58" s="150">
        <f>Utilidad!A55</f>
        <v>60621</v>
      </c>
      <c r="D58" s="151">
        <f>IF(Utilidad!C$46&gt;1,Utilidad!C55/100,Utilidad!C55)</f>
        <v>0.65650000000000008</v>
      </c>
      <c r="E58" s="151">
        <f>IF(Utilidad!$E$46&gt;1,Utilidad!E55/100,Utilidad!E55)</f>
        <v>0.64749999999999996</v>
      </c>
      <c r="G58" s="60" t="s">
        <v>63</v>
      </c>
      <c r="H58" s="150">
        <f>Utilidad!B55</f>
        <v>70809.583176999993</v>
      </c>
      <c r="I58" s="151">
        <f>IF(Utilidad!$D$46&gt;1,Utilidad!D55/100,Utilidad!D55)</f>
        <v>0.65648839609000009</v>
      </c>
      <c r="J58" s="151">
        <f>IF(Utilidad!$F$46&gt;1,Utilidad!F55/100,Utilidad!F55)</f>
        <v>0.64696029306000002</v>
      </c>
      <c r="L58" s="63">
        <f t="shared" si="7"/>
        <v>0.16807019311789634</v>
      </c>
      <c r="M58" s="63">
        <f t="shared" si="8"/>
        <v>-1.7675415079955744E-5</v>
      </c>
      <c r="N58" s="63">
        <f t="shared" si="9"/>
        <v>-8.3352423166013886E-4</v>
      </c>
      <c r="P58" s="62">
        <f t="shared" si="10"/>
        <v>0.16807019311789634</v>
      </c>
      <c r="Q58" s="62">
        <f t="shared" si="11"/>
        <v>1.7675415079955744E-5</v>
      </c>
      <c r="R58" s="62">
        <f t="shared" si="12"/>
        <v>8.3352423166013886E-4</v>
      </c>
      <c r="T58" s="64" t="str">
        <f t="shared" si="13"/>
        <v>SI</v>
      </c>
    </row>
    <row r="59" spans="2:20" ht="21" x14ac:dyDescent="0.25">
      <c r="B59" s="60" t="s">
        <v>64</v>
      </c>
      <c r="C59" s="150">
        <f>Utilidad!A56</f>
        <v>925</v>
      </c>
      <c r="D59" s="151">
        <f>IF(Utilidad!C$46&gt;1,Utilidad!C56/100,Utilidad!C56)</f>
        <v>0.55710000000000004</v>
      </c>
      <c r="E59" s="151">
        <f>IF(Utilidad!$E$46&gt;1,Utilidad!E56/100,Utilidad!E56)</f>
        <v>0.50759999999999994</v>
      </c>
      <c r="G59" s="60" t="s">
        <v>64</v>
      </c>
      <c r="H59" s="150">
        <f>Utilidad!B56</f>
        <v>922.58317747000001</v>
      </c>
      <c r="I59" s="151">
        <f>IF(Utilidad!$D$46&gt;1,Utilidad!D56/100,Utilidad!D56)</f>
        <v>0.55713251527999996</v>
      </c>
      <c r="J59" s="151">
        <f>IF(Utilidad!$F$46&gt;1,Utilidad!F56/100,Utilidad!F56)</f>
        <v>0.50759985406999997</v>
      </c>
      <c r="L59" s="63">
        <f t="shared" si="7"/>
        <v>-2.6127811135135031E-3</v>
      </c>
      <c r="M59" s="63">
        <f t="shared" si="8"/>
        <v>5.8365248608728907E-5</v>
      </c>
      <c r="N59" s="63">
        <f t="shared" si="9"/>
        <v>-2.8749014967074739E-7</v>
      </c>
      <c r="O59" s="67"/>
      <c r="P59" s="62">
        <f t="shared" si="10"/>
        <v>2.6127811135135031E-3</v>
      </c>
      <c r="Q59" s="62">
        <f t="shared" si="11"/>
        <v>5.8365248608728907E-5</v>
      </c>
      <c r="R59" s="62">
        <f t="shared" si="12"/>
        <v>2.8749014967074739E-7</v>
      </c>
      <c r="T59" s="64" t="str">
        <f t="shared" si="13"/>
        <v>SI</v>
      </c>
    </row>
    <row r="60" spans="2:20" ht="21" x14ac:dyDescent="0.25">
      <c r="B60" s="60" t="s">
        <v>65</v>
      </c>
      <c r="C60" s="150">
        <f>Utilidad!A57</f>
        <v>0</v>
      </c>
      <c r="D60" s="151">
        <f>IF(Utilidad!C$46&gt;1,Utilidad!C57/100,Utilidad!C57)</f>
        <v>0</v>
      </c>
      <c r="E60" s="151">
        <f>IF(Utilidad!$E$46&gt;1,Utilidad!E57/100,Utilidad!E57)</f>
        <v>0</v>
      </c>
      <c r="G60" s="60" t="s">
        <v>65</v>
      </c>
      <c r="H60" s="150">
        <f>Utilidad!B57</f>
        <v>0</v>
      </c>
      <c r="I60" s="151">
        <f>IF(Utilidad!$D$46&gt;1,Utilidad!D57/100,Utilidad!D57)</f>
        <v>0</v>
      </c>
      <c r="J60" s="151">
        <f>IF(Utilidad!$F$46&gt;1,Utilidad!F57/100,Utilidad!F57)</f>
        <v>0</v>
      </c>
      <c r="L60" s="63">
        <f t="shared" si="7"/>
        <v>0</v>
      </c>
      <c r="M60" s="63">
        <f t="shared" si="8"/>
        <v>0</v>
      </c>
      <c r="N60" s="63">
        <f t="shared" si="9"/>
        <v>0</v>
      </c>
      <c r="O60" s="67"/>
      <c r="P60" s="62">
        <f t="shared" si="10"/>
        <v>0</v>
      </c>
      <c r="Q60" s="62">
        <f t="shared" si="11"/>
        <v>0</v>
      </c>
      <c r="R60" s="62">
        <f t="shared" si="12"/>
        <v>0</v>
      </c>
      <c r="T60" s="64" t="str">
        <f t="shared" si="13"/>
        <v>SI</v>
      </c>
    </row>
    <row r="61" spans="2:20" ht="21" x14ac:dyDescent="0.25">
      <c r="B61" s="60" t="s">
        <v>66</v>
      </c>
      <c r="C61" s="150">
        <f>Utilidad!A58</f>
        <v>69887</v>
      </c>
      <c r="D61" s="151">
        <f>IF(Utilidad!C$46&gt;1,Utilidad!C58/100,Utilidad!C58)</f>
        <v>0.65780000000000005</v>
      </c>
      <c r="E61" s="151">
        <f>IF(Utilidad!$E$46&gt;1,Utilidad!E58/100,Utilidad!E58)</f>
        <v>0.64879999999999993</v>
      </c>
      <c r="G61" s="60" t="s">
        <v>66</v>
      </c>
      <c r="H61" s="150">
        <f>Utilidad!B58</f>
        <v>69887</v>
      </c>
      <c r="I61" s="151">
        <f>IF(Utilidad!$D$46&gt;1,Utilidad!D58/100,Utilidad!D58)</f>
        <v>0.65780000000000005</v>
      </c>
      <c r="J61" s="151">
        <f>IF(Utilidad!$F$46&gt;1,Utilidad!F58/100,Utilidad!F58)</f>
        <v>0.64879999999999993</v>
      </c>
      <c r="L61" s="63">
        <f t="shared" si="7"/>
        <v>0</v>
      </c>
      <c r="M61" s="63">
        <f t="shared" si="8"/>
        <v>0</v>
      </c>
      <c r="N61" s="63">
        <f t="shared" si="9"/>
        <v>0</v>
      </c>
      <c r="P61" s="62">
        <f t="shared" si="10"/>
        <v>0</v>
      </c>
      <c r="Q61" s="62">
        <f t="shared" si="11"/>
        <v>0</v>
      </c>
      <c r="R61" s="62">
        <f t="shared" si="12"/>
        <v>0</v>
      </c>
      <c r="T61" s="64" t="str">
        <f t="shared" si="13"/>
        <v>SI</v>
      </c>
    </row>
    <row r="62" spans="2:20" ht="21" x14ac:dyDescent="0.25">
      <c r="B62" s="60" t="s">
        <v>67</v>
      </c>
      <c r="C62" s="150">
        <f>Utilidad!A59</f>
        <v>1009238</v>
      </c>
      <c r="D62" s="151">
        <f>IF(Utilidad!C$46&gt;1,Utilidad!C59/100,Utilidad!C59)</f>
        <v>7.9899999999999999E-2</v>
      </c>
      <c r="E62" s="151">
        <f>IF(Utilidad!$E$46&gt;1,Utilidad!E59/100,Utilidad!E59)</f>
        <v>1.95E-2</v>
      </c>
      <c r="G62" s="60" t="s">
        <v>67</v>
      </c>
      <c r="H62" s="150">
        <f>Utilidad!B59</f>
        <v>1002001.9011</v>
      </c>
      <c r="I62" s="151">
        <f>IF(Utilidad!$D$46&gt;1,Utilidad!D59/100,Utilidad!D59)</f>
        <v>7.8532482927000005E-2</v>
      </c>
      <c r="J62" s="151">
        <f>IF(Utilidad!$F$46&gt;1,Utilidad!F59/100,Utilidad!F59)</f>
        <v>1.9394124140999999E-2</v>
      </c>
      <c r="L62" s="63">
        <f t="shared" si="7"/>
        <v>-7.1698636991472603E-3</v>
      </c>
      <c r="M62" s="63">
        <f t="shared" si="8"/>
        <v>-1.711535760951181E-2</v>
      </c>
      <c r="N62" s="63">
        <f t="shared" si="9"/>
        <v>-5.4295312307693026E-3</v>
      </c>
      <c r="P62" s="62">
        <f t="shared" si="10"/>
        <v>7.1698636991472603E-3</v>
      </c>
      <c r="Q62" s="62">
        <f t="shared" si="11"/>
        <v>1.711535760951181E-2</v>
      </c>
      <c r="R62" s="62">
        <f t="shared" si="12"/>
        <v>5.4295312307693026E-3</v>
      </c>
      <c r="T62" s="64" t="str">
        <f t="shared" si="13"/>
        <v>SI</v>
      </c>
    </row>
    <row r="63" spans="2:20" ht="21" x14ac:dyDescent="0.25">
      <c r="B63" s="60" t="s">
        <v>68</v>
      </c>
      <c r="C63" s="61">
        <f>Utilidad!A60</f>
        <v>0</v>
      </c>
      <c r="D63" s="62">
        <f>IF(Utilidad!C$46&gt;1,Utilidad!C60/100,Utilidad!C60)</f>
        <v>0.41049999999999998</v>
      </c>
      <c r="E63" s="62">
        <f>IF(Utilidad!$E$46&gt;1,Utilidad!E60/100,Utilidad!E60)</f>
        <v>0.37810000000000005</v>
      </c>
      <c r="G63" s="60" t="s">
        <v>68</v>
      </c>
      <c r="H63" s="61">
        <f>Utilidad!B60</f>
        <v>0</v>
      </c>
      <c r="I63" s="62">
        <f>IF(Utilidad!$D$46&gt;1,Utilidad!D60/100,Utilidad!D60)</f>
        <v>0.41051542182</v>
      </c>
      <c r="J63" s="62">
        <f>IF(Utilidad!$F$46&gt;1,Utilidad!F60/100,Utilidad!F60)</f>
        <v>0.37808440324999998</v>
      </c>
      <c r="L63" s="63">
        <f t="shared" si="7"/>
        <v>0</v>
      </c>
      <c r="M63" s="63">
        <f t="shared" si="8"/>
        <v>3.7568380024428223E-5</v>
      </c>
      <c r="N63" s="63">
        <f t="shared" si="9"/>
        <v>-4.1250330600551858E-5</v>
      </c>
      <c r="P63" s="62">
        <f t="shared" si="10"/>
        <v>0</v>
      </c>
      <c r="Q63" s="62">
        <f t="shared" si="11"/>
        <v>3.7568380024428223E-5</v>
      </c>
      <c r="R63" s="62">
        <f t="shared" si="12"/>
        <v>4.1250330600551858E-5</v>
      </c>
      <c r="T63" s="64" t="str">
        <f t="shared" si="13"/>
        <v>SI</v>
      </c>
    </row>
    <row r="64" spans="2:20" ht="21" x14ac:dyDescent="0.25">
      <c r="B64" s="60" t="s">
        <v>69</v>
      </c>
      <c r="C64" s="61">
        <f>Utilidad!A61</f>
        <v>0</v>
      </c>
      <c r="D64" s="62">
        <f>IF(Utilidad!C$46&gt;1,Utilidad!C61/100,Utilidad!C61)</f>
        <v>0.41049999999999998</v>
      </c>
      <c r="E64" s="62">
        <f>IF(Utilidad!$E$46&gt;1,Utilidad!E61/100,Utilidad!E61)</f>
        <v>0.37810000000000005</v>
      </c>
      <c r="G64" s="60" t="s">
        <v>69</v>
      </c>
      <c r="H64" s="61">
        <f>Utilidad!B61</f>
        <v>0</v>
      </c>
      <c r="I64" s="62">
        <f>IF(Utilidad!$D$46&gt;1,Utilidad!D61/100,Utilidad!D61)</f>
        <v>0.41050811533000003</v>
      </c>
      <c r="J64" s="62">
        <f>IF(Utilidad!$F$46&gt;1,Utilidad!F61/100,Utilidad!F61)</f>
        <v>0.37809257101999999</v>
      </c>
      <c r="L64" s="63">
        <f t="shared" si="7"/>
        <v>0</v>
      </c>
      <c r="M64" s="63">
        <f t="shared" si="8"/>
        <v>1.976937880647513E-5</v>
      </c>
      <c r="N64" s="63">
        <f t="shared" si="9"/>
        <v>-1.964818831012191E-5</v>
      </c>
      <c r="P64" s="62">
        <f t="shared" si="10"/>
        <v>0</v>
      </c>
      <c r="Q64" s="62">
        <f t="shared" si="11"/>
        <v>1.976937880647513E-5</v>
      </c>
      <c r="R64" s="62">
        <f t="shared" si="12"/>
        <v>1.964818831012191E-5</v>
      </c>
      <c r="T64" s="64" t="str">
        <f t="shared" si="13"/>
        <v>SI</v>
      </c>
    </row>
    <row r="65" spans="2:20" ht="21" x14ac:dyDescent="0.25">
      <c r="B65" s="60" t="s">
        <v>70</v>
      </c>
      <c r="C65" s="61">
        <f>Utilidad!A62</f>
        <v>121647</v>
      </c>
      <c r="D65" s="62">
        <f>IF(Utilidad!C$46&gt;1,Utilidad!C62/100,Utilidad!C62)</f>
        <v>0.41049999999999998</v>
      </c>
      <c r="E65" s="62">
        <f>IF(Utilidad!$E$46&gt;1,Utilidad!E62/100,Utilidad!E62)</f>
        <v>0.37810000000000005</v>
      </c>
      <c r="G65" s="60" t="s">
        <v>70</v>
      </c>
      <c r="H65" s="61">
        <f>Utilidad!B62</f>
        <v>130683.6026</v>
      </c>
      <c r="I65" s="62">
        <f>IF(Utilidad!$D$46&gt;1,Utilidad!D62/100,Utilidad!D62)</f>
        <v>0.40228999999999998</v>
      </c>
      <c r="J65" s="62">
        <f>IF(Utilidad!$F$46&gt;1,Utilidad!F62/100,Utilidad!F62)</f>
        <v>0.37808373346000002</v>
      </c>
      <c r="L65" s="63">
        <f t="shared" si="7"/>
        <v>7.4285453813082103E-2</v>
      </c>
      <c r="M65" s="63">
        <f t="shared" si="8"/>
        <v>-1.999999999999999E-2</v>
      </c>
      <c r="N65" s="63">
        <f t="shared" si="9"/>
        <v>-4.3021793176492172E-5</v>
      </c>
      <c r="O65" s="68"/>
      <c r="P65" s="62">
        <f t="shared" si="10"/>
        <v>7.4285453813082103E-2</v>
      </c>
      <c r="Q65" s="62">
        <f t="shared" si="11"/>
        <v>1.999999999999999E-2</v>
      </c>
      <c r="R65" s="62">
        <f t="shared" si="12"/>
        <v>4.3021793176492172E-5</v>
      </c>
      <c r="T65" s="64" t="str">
        <f t="shared" si="13"/>
        <v>SI</v>
      </c>
    </row>
    <row r="70" spans="2:20" x14ac:dyDescent="0.2">
      <c r="B70" s="69" t="s">
        <v>107</v>
      </c>
      <c r="C70" s="70" t="s">
        <v>108</v>
      </c>
      <c r="D70" s="71" t="s">
        <v>109</v>
      </c>
      <c r="E70" s="70" t="s">
        <v>110</v>
      </c>
      <c r="F70" s="70" t="s">
        <v>111</v>
      </c>
      <c r="G70" s="70" t="s">
        <v>112</v>
      </c>
      <c r="H70" s="70" t="s">
        <v>113</v>
      </c>
      <c r="I70" s="70" t="s">
        <v>114</v>
      </c>
      <c r="J70" s="70" t="s">
        <v>115</v>
      </c>
    </row>
    <row r="71" spans="2:20" x14ac:dyDescent="0.2">
      <c r="B71" s="72" t="s">
        <v>116</v>
      </c>
      <c r="C71" s="73">
        <f>+I43</f>
        <v>0.10797705657999999</v>
      </c>
      <c r="D71" s="73">
        <f>+C72</f>
        <v>0.32205308953</v>
      </c>
      <c r="E71" s="73">
        <f>+I50</f>
        <v>0.40551046618000003</v>
      </c>
      <c r="F71" s="73">
        <f>E72</f>
        <v>0.47052626748999998</v>
      </c>
      <c r="G71" s="73">
        <f>F72</f>
        <v>0.61794388238999998</v>
      </c>
      <c r="H71" s="73">
        <f>G72</f>
        <v>0.62661362226999995</v>
      </c>
      <c r="I71" s="73">
        <f>+H72</f>
        <v>0.65648839609000009</v>
      </c>
      <c r="J71" s="74"/>
    </row>
    <row r="72" spans="2:20" x14ac:dyDescent="0.2">
      <c r="B72" s="72" t="s">
        <v>117</v>
      </c>
      <c r="C72" s="73">
        <f>+I45</f>
        <v>0.32205308953</v>
      </c>
      <c r="D72" s="73">
        <f>+I47</f>
        <v>0.40228999999999998</v>
      </c>
      <c r="E72" s="73">
        <f>+I52</f>
        <v>0.47052626748999998</v>
      </c>
      <c r="F72" s="73">
        <f>+I54</f>
        <v>0.61794388238999998</v>
      </c>
      <c r="G72" s="73">
        <f>+I56</f>
        <v>0.62661362226999995</v>
      </c>
      <c r="H72" s="73">
        <f>+I58</f>
        <v>0.65648839609000009</v>
      </c>
      <c r="I72" s="73">
        <f>+I61</f>
        <v>0.65780000000000005</v>
      </c>
      <c r="J72" s="75"/>
    </row>
    <row r="73" spans="2:20" x14ac:dyDescent="0.2">
      <c r="B73" s="76" t="s">
        <v>29</v>
      </c>
      <c r="C73" s="77">
        <f>+I44</f>
        <v>6.5225386750999995E-2</v>
      </c>
      <c r="D73" s="77">
        <f>+I46</f>
        <v>7.8129748146000003E-2</v>
      </c>
      <c r="E73" s="77">
        <f>+I51</f>
        <v>5.6760000000000005E-2</v>
      </c>
      <c r="F73" s="77">
        <f>+I53</f>
        <v>6.3975999999999991E-2</v>
      </c>
      <c r="G73" s="77">
        <f>+I55</f>
        <v>7.8766321543000006E-2</v>
      </c>
      <c r="H73" s="77">
        <f>+I57</f>
        <v>0.54608400000000001</v>
      </c>
      <c r="I73" s="77">
        <f>+I59</f>
        <v>0.55713251527999996</v>
      </c>
      <c r="J73" s="78"/>
    </row>
    <row r="74" spans="2:20" x14ac:dyDescent="0.2">
      <c r="B74" s="69" t="s">
        <v>118</v>
      </c>
      <c r="C74" s="79">
        <f t="shared" ref="C74:I74" si="14">+(C71-C73)/(C72-C73)*100</f>
        <v>16.646050782842444</v>
      </c>
      <c r="D74" s="79">
        <f t="shared" si="14"/>
        <v>75.247764026868339</v>
      </c>
      <c r="E74" s="79">
        <f t="shared" si="14"/>
        <v>84.286828961577626</v>
      </c>
      <c r="F74" s="79">
        <f t="shared" si="14"/>
        <v>73.388779460644585</v>
      </c>
      <c r="G74" s="79">
        <f t="shared" si="14"/>
        <v>98.417489715018192</v>
      </c>
      <c r="H74" s="79">
        <f>+(H71-H73)/(H72-H73)*100</f>
        <v>72.940593963625631</v>
      </c>
      <c r="I74" s="79">
        <f t="shared" si="14"/>
        <v>98.697092796499192</v>
      </c>
      <c r="J74" s="79">
        <f>+C74*D74*E74*F74*G74*H74*I74/1000000000000</f>
        <v>5.489592838340144</v>
      </c>
    </row>
    <row r="75" spans="2:20" x14ac:dyDescent="0.2">
      <c r="B75" s="69" t="s">
        <v>119</v>
      </c>
      <c r="C75" s="79">
        <f t="shared" ref="C75:I75" si="15">+(C72/C71)*C74</f>
        <v>49.648622150723241</v>
      </c>
      <c r="D75" s="79">
        <f t="shared" si="15"/>
        <v>93.995133021535594</v>
      </c>
      <c r="E75" s="79">
        <f t="shared" si="15"/>
        <v>97.800600323482257</v>
      </c>
      <c r="F75" s="79">
        <f t="shared" si="15"/>
        <v>96.381754722626667</v>
      </c>
      <c r="G75" s="79">
        <f t="shared" si="15"/>
        <v>99.798285058717809</v>
      </c>
      <c r="H75" s="79">
        <f t="shared" si="15"/>
        <v>76.418149620755671</v>
      </c>
      <c r="I75" s="79">
        <f t="shared" si="15"/>
        <v>98.894280581673343</v>
      </c>
      <c r="J75" s="79">
        <f>+C75*D75*E75*F75*G75*H75*I75/1000000000000</f>
        <v>33.177196735015528</v>
      </c>
    </row>
    <row r="77" spans="2:20" x14ac:dyDescent="0.2">
      <c r="B77" s="69" t="s">
        <v>120</v>
      </c>
      <c r="C77" s="70" t="s">
        <v>108</v>
      </c>
      <c r="D77" s="71" t="s">
        <v>109</v>
      </c>
      <c r="E77" s="70" t="s">
        <v>110</v>
      </c>
      <c r="F77" s="70" t="s">
        <v>111</v>
      </c>
      <c r="G77" s="70" t="s">
        <v>112</v>
      </c>
      <c r="H77" s="70" t="s">
        <v>113</v>
      </c>
      <c r="I77" s="70" t="s">
        <v>114</v>
      </c>
      <c r="J77" s="70" t="s">
        <v>115</v>
      </c>
    </row>
    <row r="78" spans="2:20" x14ac:dyDescent="0.2">
      <c r="B78" s="72" t="s">
        <v>116</v>
      </c>
      <c r="C78" s="73">
        <f>+J43</f>
        <v>5.1604000000000004E-2</v>
      </c>
      <c r="D78" s="73">
        <f>+C79</f>
        <v>0.28849270168000002</v>
      </c>
      <c r="E78" s="73">
        <f>+J50</f>
        <v>0.37892347438000001</v>
      </c>
      <c r="F78" s="73">
        <f>+E79</f>
        <v>0.44687081014999996</v>
      </c>
      <c r="G78" s="73">
        <f>+J54</f>
        <v>0.60086774724000003</v>
      </c>
      <c r="H78" s="73">
        <f>G79</f>
        <v>0.61040339852000003</v>
      </c>
      <c r="I78" s="73">
        <f>+H79</f>
        <v>0.64696029306000002</v>
      </c>
      <c r="J78" s="74"/>
    </row>
    <row r="79" spans="2:20" x14ac:dyDescent="0.2">
      <c r="B79" s="72" t="s">
        <v>117</v>
      </c>
      <c r="C79" s="73">
        <f>+J45</f>
        <v>0.28849270168000002</v>
      </c>
      <c r="D79" s="73">
        <f>+J47</f>
        <v>0.37808373346000002</v>
      </c>
      <c r="E79" s="73">
        <f>+J52</f>
        <v>0.44687081014999996</v>
      </c>
      <c r="F79" s="73">
        <f>+J54</f>
        <v>0.60086774724000003</v>
      </c>
      <c r="G79" s="73">
        <f>+J56</f>
        <v>0.61040339852000003</v>
      </c>
      <c r="H79" s="73">
        <f>+J58</f>
        <v>0.64696029306000002</v>
      </c>
      <c r="I79" s="73">
        <f>+J61</f>
        <v>0.64879999999999993</v>
      </c>
      <c r="J79" s="75"/>
    </row>
    <row r="80" spans="2:20" x14ac:dyDescent="0.2">
      <c r="B80" s="76" t="s">
        <v>29</v>
      </c>
      <c r="C80" s="77">
        <f>+J44</f>
        <v>4.2965672081000002E-3</v>
      </c>
      <c r="D80" s="77">
        <f>+J46</f>
        <v>1.6132465033000001E-2</v>
      </c>
      <c r="E80" s="77">
        <f>+J51</f>
        <v>1.4448000000000001E-2</v>
      </c>
      <c r="F80" s="77">
        <f>+J53</f>
        <v>2.2176000000000001E-2</v>
      </c>
      <c r="G80" s="77">
        <f>+J55</f>
        <v>7.8385159999000004E-3</v>
      </c>
      <c r="H80" s="77">
        <f>+J57</f>
        <v>0.51125549999999997</v>
      </c>
      <c r="I80" s="77">
        <f>+J59</f>
        <v>0.50759985406999997</v>
      </c>
      <c r="J80" s="78"/>
    </row>
    <row r="81" spans="2:10" x14ac:dyDescent="0.2">
      <c r="B81" s="69" t="s">
        <v>118</v>
      </c>
      <c r="C81" s="79">
        <f t="shared" ref="C81:I81" si="16">+(C78-C80)/(C79-C80)*100</f>
        <v>16.646050756393219</v>
      </c>
      <c r="D81" s="79">
        <f t="shared" si="16"/>
        <v>75.247764106656504</v>
      </c>
      <c r="E81" s="79">
        <f t="shared" si="16"/>
        <v>84.286828961120207</v>
      </c>
      <c r="F81" s="79">
        <f t="shared" si="16"/>
        <v>73.388779462560208</v>
      </c>
      <c r="G81" s="79">
        <f t="shared" si="16"/>
        <v>98.417489708308395</v>
      </c>
      <c r="H81" s="79">
        <f t="shared" si="16"/>
        <v>73.061456625311052</v>
      </c>
      <c r="I81" s="79">
        <f t="shared" si="16"/>
        <v>98.697092748819145</v>
      </c>
      <c r="J81" s="79">
        <f>+C81*D81*E81*F81*G81*H81*I81/1000000000000</f>
        <v>5.4986890951862302</v>
      </c>
    </row>
    <row r="82" spans="2:10" x14ac:dyDescent="0.2">
      <c r="B82" s="69" t="s">
        <v>121</v>
      </c>
      <c r="C82" s="79">
        <f t="shared" ref="C82:I82" si="17">+(C79/C78)*C81</f>
        <v>93.059920839746681</v>
      </c>
      <c r="D82" s="79">
        <f t="shared" si="17"/>
        <v>98.615858988069462</v>
      </c>
      <c r="E82" s="79">
        <f t="shared" si="17"/>
        <v>99.400871388236908</v>
      </c>
      <c r="F82" s="79">
        <f t="shared" si="17"/>
        <v>98.679416034266865</v>
      </c>
      <c r="G82" s="79">
        <f t="shared" si="17"/>
        <v>99.979355636413501</v>
      </c>
      <c r="H82" s="79">
        <f t="shared" si="17"/>
        <v>77.437087513451942</v>
      </c>
      <c r="I82" s="79">
        <f t="shared" si="17"/>
        <v>98.977749426571364</v>
      </c>
      <c r="J82" s="79">
        <f>+C82*D82*E82*F82*G82*H82*I82/1000000000000</f>
        <v>68.979989099589574</v>
      </c>
    </row>
    <row r="85" spans="2:10" x14ac:dyDescent="0.2">
      <c r="D85" s="179">
        <f>C74*D74/100</f>
        <v>12.525781012865952</v>
      </c>
      <c r="E85" s="178">
        <f>H43*D85%</f>
        <v>130683.60269000266</v>
      </c>
      <c r="F85">
        <v>28571.901066920003</v>
      </c>
    </row>
    <row r="86" spans="2:10" x14ac:dyDescent="0.2">
      <c r="E86" s="178">
        <f>E85+F85</f>
        <v>159255.50375692267</v>
      </c>
    </row>
    <row r="87" spans="2:10" x14ac:dyDescent="0.2">
      <c r="E87" s="180">
        <f>H61/E86*100</f>
        <v>43.883569704863078</v>
      </c>
    </row>
    <row r="88" spans="2:10" x14ac:dyDescent="0.2">
      <c r="E88" s="181">
        <f>E87*D85/100</f>
        <v>5.496759841859534</v>
      </c>
    </row>
  </sheetData>
  <mergeCells count="3">
    <mergeCell ref="B2:E2"/>
    <mergeCell ref="G2:J2"/>
    <mergeCell ref="L2:N2"/>
  </mergeCells>
  <conditionalFormatting sqref="L4:N65 O56">
    <cfRule type="expression" dxfId="2" priority="2">
      <formula>ABS(L4)&gt;=10%</formula>
    </cfRule>
  </conditionalFormatting>
  <conditionalFormatting sqref="T4:T65">
    <cfRule type="containsText" dxfId="1" priority="4" operator="containsText" text="NO">
      <formula>NOT(ISERROR(SEARCH("NO",T4)))</formula>
    </cfRule>
    <cfRule type="containsText" dxfId="0" priority="5" operator="containsText" text="SI">
      <formula>NOT(ISERROR(SEARCH("SI",T4)))</formula>
    </cfRule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view="pageBreakPreview" zoomScaleNormal="65" workbookViewId="0">
      <selection activeCell="H12" sqref="H12"/>
    </sheetView>
  </sheetViews>
  <sheetFormatPr baseColWidth="10" defaultColWidth="10.5" defaultRowHeight="15" x14ac:dyDescent="0.2"/>
  <cols>
    <col min="1" max="1" width="17.5" customWidth="1"/>
    <col min="2" max="2" width="10.83203125" style="80" customWidth="1"/>
    <col min="3" max="3" width="10.83203125" style="5" customWidth="1"/>
  </cols>
  <sheetData>
    <row r="1" spans="1:5" ht="19" x14ac:dyDescent="0.2">
      <c r="A1" s="81" t="s">
        <v>122</v>
      </c>
      <c r="B1" s="82">
        <v>93467.25</v>
      </c>
      <c r="C1" s="83">
        <v>0.65706081514000947</v>
      </c>
      <c r="D1" s="84">
        <v>0.64809190711961528</v>
      </c>
      <c r="E1" s="84">
        <v>0</v>
      </c>
    </row>
    <row r="2" spans="1:5" ht="19" x14ac:dyDescent="0.25">
      <c r="A2" s="81" t="s">
        <v>123</v>
      </c>
      <c r="B2" s="85">
        <v>69610</v>
      </c>
      <c r="C2" s="86">
        <v>0.65780000000000005</v>
      </c>
      <c r="D2" s="84">
        <v>0.64882100207488691</v>
      </c>
      <c r="E2" s="84">
        <v>0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0"/>
  <sheetViews>
    <sheetView tabSelected="1" topLeftCell="A8" zoomScale="180" zoomScaleNormal="180" zoomScaleSheetLayoutView="84" zoomScalePageLayoutView="110" workbookViewId="0">
      <selection activeCell="M12" sqref="M12"/>
    </sheetView>
  </sheetViews>
  <sheetFormatPr baseColWidth="10" defaultColWidth="11.5" defaultRowHeight="15" x14ac:dyDescent="0.2"/>
  <cols>
    <col min="1" max="1" width="4.1640625" customWidth="1"/>
    <col min="2" max="2" width="3.5" customWidth="1"/>
    <col min="4" max="4" width="6.83203125" customWidth="1"/>
    <col min="5" max="5" width="7.83203125" customWidth="1"/>
    <col min="7" max="7" width="9.1640625" customWidth="1"/>
    <col min="8" max="8" width="10.5" customWidth="1"/>
    <col min="9" max="9" width="9.1640625" customWidth="1"/>
    <col min="10" max="10" width="14" customWidth="1"/>
    <col min="11" max="11" width="11.83203125" customWidth="1"/>
    <col min="12" max="12" width="10.1640625" customWidth="1"/>
    <col min="13" max="13" width="10.5" customWidth="1"/>
    <col min="14" max="14" width="10.33203125" customWidth="1"/>
    <col min="15" max="15" width="3.33203125" customWidth="1"/>
    <col min="16" max="16" width="3.6640625" customWidth="1"/>
    <col min="17" max="17" width="22" customWidth="1"/>
    <col min="18" max="18" width="12.33203125" customWidth="1"/>
  </cols>
  <sheetData>
    <row r="1" spans="1:18" ht="12.75" customHeight="1" thickBot="1" x14ac:dyDescent="0.25">
      <c r="A1" s="111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110"/>
      <c r="O1" s="88"/>
      <c r="P1" s="110"/>
    </row>
    <row r="2" spans="1:18" ht="12.75" customHeight="1" thickBot="1" x14ac:dyDescent="0.25">
      <c r="A2" s="112"/>
      <c r="B2" s="220"/>
      <c r="C2" s="221"/>
      <c r="D2" s="222" t="s">
        <v>124</v>
      </c>
      <c r="E2" s="223"/>
      <c r="F2" s="223"/>
      <c r="G2" s="223"/>
      <c r="H2" s="223"/>
      <c r="I2" s="223"/>
      <c r="J2" s="223"/>
      <c r="K2" s="223"/>
      <c r="L2" s="223"/>
      <c r="M2" s="223"/>
      <c r="N2" s="102"/>
      <c r="O2" s="89"/>
      <c r="P2" s="102"/>
    </row>
    <row r="3" spans="1:18" ht="12.75" customHeight="1" thickBot="1" x14ac:dyDescent="0.25">
      <c r="A3" s="112"/>
      <c r="B3" s="220"/>
      <c r="C3" s="221"/>
      <c r="D3" s="224"/>
      <c r="E3" s="225"/>
      <c r="F3" s="225"/>
      <c r="G3" s="225"/>
      <c r="H3" s="225"/>
      <c r="I3" s="225"/>
      <c r="J3" s="225"/>
      <c r="K3" s="225"/>
      <c r="L3" s="225"/>
      <c r="M3" s="225"/>
      <c r="N3" s="102"/>
      <c r="O3" s="89"/>
      <c r="P3" s="102"/>
    </row>
    <row r="4" spans="1:18" ht="12.75" customHeight="1" thickBot="1" x14ac:dyDescent="0.25">
      <c r="A4" s="112"/>
      <c r="B4" s="220"/>
      <c r="C4" s="220"/>
      <c r="D4" s="226" t="s">
        <v>125</v>
      </c>
      <c r="E4" s="226"/>
      <c r="F4" s="226"/>
      <c r="G4" s="226"/>
      <c r="H4" s="226"/>
      <c r="I4" s="226"/>
      <c r="J4" s="226"/>
      <c r="K4" s="226"/>
      <c r="L4" s="228">
        <f ca="1">TODAY()-4</f>
        <v>45893</v>
      </c>
      <c r="M4" s="228"/>
      <c r="N4" s="102"/>
      <c r="O4" s="89"/>
      <c r="P4" s="102"/>
    </row>
    <row r="5" spans="1:18" ht="12.75" customHeight="1" thickBot="1" x14ac:dyDescent="0.25">
      <c r="A5" s="112"/>
      <c r="B5" s="220"/>
      <c r="C5" s="220"/>
      <c r="D5" s="227"/>
      <c r="E5" s="227"/>
      <c r="F5" s="227"/>
      <c r="G5" s="227"/>
      <c r="H5" s="227"/>
      <c r="I5" s="227"/>
      <c r="J5" s="227"/>
      <c r="K5" s="227"/>
      <c r="L5" s="229"/>
      <c r="M5" s="229"/>
      <c r="N5" s="102"/>
      <c r="O5" s="89"/>
      <c r="P5" s="102"/>
    </row>
    <row r="6" spans="1:18" x14ac:dyDescent="0.2">
      <c r="A6" s="113"/>
      <c r="B6" s="114"/>
      <c r="C6" s="114"/>
      <c r="D6" s="114"/>
      <c r="E6" s="114"/>
      <c r="F6" s="114"/>
      <c r="G6" s="114"/>
      <c r="H6" s="114"/>
      <c r="I6" s="114"/>
      <c r="J6" s="115"/>
      <c r="K6" s="116"/>
      <c r="L6" s="117"/>
      <c r="M6" s="117"/>
      <c r="N6" s="102"/>
      <c r="O6" s="89"/>
      <c r="P6" s="102"/>
    </row>
    <row r="7" spans="1:18" x14ac:dyDescent="0.2">
      <c r="A7" s="113"/>
      <c r="B7" s="218"/>
      <c r="C7" s="218"/>
      <c r="D7" s="218"/>
      <c r="E7" s="125" t="s">
        <v>126</v>
      </c>
      <c r="F7" s="125" t="s">
        <v>127</v>
      </c>
      <c r="G7" s="125" t="s">
        <v>128</v>
      </c>
      <c r="H7" s="125" t="s">
        <v>127</v>
      </c>
      <c r="I7" s="218"/>
      <c r="J7" s="218"/>
      <c r="K7" s="125" t="s">
        <v>126</v>
      </c>
      <c r="L7" s="125" t="s">
        <v>127</v>
      </c>
      <c r="M7" s="125" t="s">
        <v>128</v>
      </c>
      <c r="N7" s="125" t="s">
        <v>127</v>
      </c>
      <c r="O7" s="89"/>
      <c r="P7" s="102"/>
    </row>
    <row r="8" spans="1:18" x14ac:dyDescent="0.2">
      <c r="A8" s="113"/>
      <c r="B8" s="218"/>
      <c r="C8" s="218"/>
      <c r="D8" s="218"/>
      <c r="E8" s="125" t="s">
        <v>1</v>
      </c>
      <c r="F8" s="125" t="s">
        <v>129</v>
      </c>
      <c r="G8" s="125" t="s">
        <v>130</v>
      </c>
      <c r="H8" s="125" t="s">
        <v>131</v>
      </c>
      <c r="I8" s="218"/>
      <c r="J8" s="218"/>
      <c r="K8" s="125" t="s">
        <v>1</v>
      </c>
      <c r="L8" s="125" t="s">
        <v>129</v>
      </c>
      <c r="M8" s="125" t="s">
        <v>130</v>
      </c>
      <c r="N8" s="125" t="s">
        <v>131</v>
      </c>
      <c r="O8" s="89"/>
      <c r="P8" s="102"/>
    </row>
    <row r="9" spans="1:18" x14ac:dyDescent="0.2">
      <c r="A9" s="113"/>
      <c r="B9" s="205" t="s">
        <v>75</v>
      </c>
      <c r="C9" s="205"/>
      <c r="D9" s="205"/>
      <c r="E9" s="205"/>
      <c r="F9" s="205"/>
      <c r="G9" s="205"/>
      <c r="H9" s="205" t="s">
        <v>132</v>
      </c>
      <c r="I9" s="205"/>
      <c r="J9" s="205"/>
      <c r="K9" s="205"/>
      <c r="L9" s="205"/>
      <c r="M9" s="205"/>
      <c r="N9" s="205"/>
      <c r="O9" s="89"/>
      <c r="P9" s="102"/>
    </row>
    <row r="10" spans="1:18" ht="16" x14ac:dyDescent="0.2">
      <c r="A10" s="113"/>
      <c r="B10" s="216" t="s">
        <v>133</v>
      </c>
      <c r="C10" s="216"/>
      <c r="D10" s="216"/>
      <c r="E10" s="126">
        <f>Flujos!H43</f>
        <v>1043317</v>
      </c>
      <c r="F10" s="90">
        <f>Flujos!I43</f>
        <v>0.10797705657999999</v>
      </c>
      <c r="G10" s="95">
        <f>E10*F10</f>
        <v>112654.29873987586</v>
      </c>
      <c r="H10" s="90">
        <f>Flujos!J43</f>
        <v>5.1604000000000004E-2</v>
      </c>
      <c r="I10" s="124" t="s">
        <v>134</v>
      </c>
      <c r="J10" s="124"/>
      <c r="K10" s="99">
        <f>Flujos!H61</f>
        <v>69887</v>
      </c>
      <c r="L10" s="100">
        <f>Flujos!I61</f>
        <v>0.65780000000000005</v>
      </c>
      <c r="M10" s="99">
        <f>+L10*K10</f>
        <v>45971.668600000005</v>
      </c>
      <c r="N10" s="100">
        <f>Flujos!J61</f>
        <v>0.64879999999999993</v>
      </c>
      <c r="O10" s="89"/>
      <c r="P10" s="102"/>
      <c r="Q10" s="182" t="s">
        <v>149</v>
      </c>
      <c r="R10" s="183">
        <f>Flujos!C74*Flujos!D74/100</f>
        <v>12.525781012865952</v>
      </c>
    </row>
    <row r="11" spans="1:18" ht="16" x14ac:dyDescent="0.2">
      <c r="A11" s="113"/>
      <c r="B11" s="216" t="s">
        <v>6</v>
      </c>
      <c r="C11" s="216"/>
      <c r="D11" s="216"/>
      <c r="E11" s="91">
        <f>Flujos!H6</f>
        <v>0</v>
      </c>
      <c r="F11" s="90">
        <f>Flujos!I6</f>
        <v>0.56565190013</v>
      </c>
      <c r="G11" s="95"/>
      <c r="H11" s="92">
        <f>Flujos!J6</f>
        <v>0.54244773027000004</v>
      </c>
      <c r="I11" s="124" t="s">
        <v>123</v>
      </c>
      <c r="J11" s="124"/>
      <c r="K11" s="93">
        <f>'Datos Extra'!B2</f>
        <v>69610</v>
      </c>
      <c r="L11" s="94">
        <f>'Datos Extra'!C2</f>
        <v>0.65780000000000005</v>
      </c>
      <c r="M11" s="99">
        <f>+L11*K11</f>
        <v>45789.458000000006</v>
      </c>
      <c r="N11" s="100">
        <f>'Datos Extra'!D2</f>
        <v>0.64882100207488691</v>
      </c>
      <c r="O11" s="89"/>
      <c r="P11" s="102"/>
      <c r="Q11" s="182" t="s">
        <v>150</v>
      </c>
      <c r="R11" s="184">
        <f>Flujos!H43*Flujos!D85/100</f>
        <v>130683.60269000266</v>
      </c>
    </row>
    <row r="12" spans="1:18" ht="16" x14ac:dyDescent="0.2">
      <c r="A12" s="118"/>
      <c r="B12" s="219" t="s">
        <v>12</v>
      </c>
      <c r="C12" s="219"/>
      <c r="D12" s="219"/>
      <c r="E12" s="91">
        <f>Utilidad!O76</f>
        <v>20429.797500000001</v>
      </c>
      <c r="F12" s="90">
        <f>Flujos!I12</f>
        <v>0.40894900000000001</v>
      </c>
      <c r="G12" s="95">
        <f t="shared" ref="G12:G20" si="0">+E12*F12</f>
        <v>8354.7452578275006</v>
      </c>
      <c r="H12" s="92">
        <f>Flujos!J12</f>
        <v>0.37491300000000005</v>
      </c>
      <c r="I12" s="102"/>
      <c r="J12" s="102"/>
      <c r="K12" s="132"/>
      <c r="L12" s="102"/>
      <c r="M12" s="102"/>
      <c r="N12" s="102"/>
      <c r="O12" s="89"/>
      <c r="P12" s="102"/>
      <c r="Q12" s="182" t="s">
        <v>151</v>
      </c>
      <c r="R12" s="185">
        <f>SUM(E12:E20)</f>
        <v>28571.901066920003</v>
      </c>
    </row>
    <row r="13" spans="1:18" ht="16" x14ac:dyDescent="0.2">
      <c r="A13" s="118"/>
      <c r="B13" s="219" t="s">
        <v>15</v>
      </c>
      <c r="C13" s="219"/>
      <c r="D13" s="219"/>
      <c r="E13" s="91"/>
      <c r="F13" s="92"/>
      <c r="G13" s="95"/>
      <c r="H13" s="92"/>
      <c r="I13" s="102"/>
      <c r="J13" s="102"/>
      <c r="K13" s="102"/>
      <c r="L13" s="102"/>
      <c r="M13" s="102"/>
      <c r="N13" s="102"/>
      <c r="O13" s="119"/>
      <c r="P13" s="102"/>
      <c r="Q13" s="182" t="s">
        <v>152</v>
      </c>
      <c r="R13" s="184">
        <f>R11+R12</f>
        <v>159255.50375692267</v>
      </c>
    </row>
    <row r="14" spans="1:18" ht="16" x14ac:dyDescent="0.2">
      <c r="A14" s="118"/>
      <c r="B14" s="219" t="s">
        <v>143</v>
      </c>
      <c r="C14" s="219"/>
      <c r="D14" s="219"/>
      <c r="E14" s="91">
        <f>Flujos!H18</f>
        <v>2961.3850000000002</v>
      </c>
      <c r="F14" s="92">
        <f>Flujos!I18</f>
        <v>0.48934499999999997</v>
      </c>
      <c r="G14" s="95">
        <f t="shared" si="0"/>
        <v>1449.138942825</v>
      </c>
      <c r="H14" s="92">
        <f>Flujos!J18</f>
        <v>0.43401600000000001</v>
      </c>
      <c r="I14" s="102"/>
      <c r="J14" s="102"/>
      <c r="K14" s="102"/>
      <c r="L14" s="102"/>
      <c r="M14" s="102"/>
      <c r="N14" s="102"/>
      <c r="O14" s="89"/>
      <c r="P14" s="102"/>
      <c r="Q14" s="182" t="s">
        <v>153</v>
      </c>
      <c r="R14" s="186">
        <f>Flujos!H61/R13*100</f>
        <v>43.883569704863078</v>
      </c>
    </row>
    <row r="15" spans="1:18" ht="16" x14ac:dyDescent="0.2">
      <c r="A15" s="118"/>
      <c r="B15" s="219" t="s">
        <v>142</v>
      </c>
      <c r="C15" s="219"/>
      <c r="D15" s="219"/>
      <c r="E15" s="91">
        <f>Utilidad!O85</f>
        <v>451.74641028000002</v>
      </c>
      <c r="F15" s="92">
        <f>Utilidad!P85</f>
        <v>0.40399999999999997</v>
      </c>
      <c r="G15" s="95">
        <f t="shared" si="0"/>
        <v>182.50554975311999</v>
      </c>
      <c r="H15" s="92">
        <f>Flujos!J21</f>
        <v>0.36352800000000002</v>
      </c>
      <c r="I15" s="102"/>
      <c r="J15" s="102"/>
      <c r="K15" s="102"/>
      <c r="L15" s="102"/>
      <c r="M15" s="102"/>
      <c r="N15" s="102"/>
      <c r="O15" s="89"/>
      <c r="P15" s="102"/>
      <c r="Q15" s="182" t="s">
        <v>154</v>
      </c>
      <c r="R15" s="187">
        <f>R14*R10/100</f>
        <v>5.496759841859534</v>
      </c>
    </row>
    <row r="16" spans="1:18" ht="16" x14ac:dyDescent="0.2">
      <c r="A16" s="118"/>
      <c r="B16" s="219" t="s">
        <v>24</v>
      </c>
      <c r="C16" s="219"/>
      <c r="D16" s="219"/>
      <c r="E16" s="91"/>
      <c r="F16" s="92"/>
      <c r="G16" s="95"/>
      <c r="H16" s="92"/>
      <c r="I16" s="102"/>
      <c r="J16" s="102"/>
      <c r="K16" s="102"/>
      <c r="L16" s="102"/>
      <c r="M16" s="102"/>
      <c r="N16" s="102"/>
      <c r="O16" s="89"/>
      <c r="P16" s="102"/>
      <c r="Q16" s="182" t="s">
        <v>155</v>
      </c>
      <c r="R16" s="187">
        <f>Flujos!J74</f>
        <v>5.489592838340144</v>
      </c>
    </row>
    <row r="17" spans="1:16" x14ac:dyDescent="0.2">
      <c r="A17" s="118"/>
      <c r="B17" s="219" t="s">
        <v>30</v>
      </c>
      <c r="C17" s="219"/>
      <c r="D17" s="219"/>
      <c r="E17" s="91">
        <f>Flujos!H27</f>
        <v>0</v>
      </c>
      <c r="F17" s="92">
        <f>Flujos!I27</f>
        <v>0.63095048019</v>
      </c>
      <c r="G17" s="95"/>
      <c r="H17" s="92">
        <f>Flujos!J27</f>
        <v>0.54504767450000002</v>
      </c>
      <c r="I17" s="102"/>
      <c r="J17" s="102"/>
      <c r="K17" s="102"/>
      <c r="L17" s="102"/>
      <c r="M17" s="102"/>
      <c r="N17" s="102"/>
      <c r="O17" s="89"/>
      <c r="P17" s="102"/>
    </row>
    <row r="18" spans="1:16" x14ac:dyDescent="0.2">
      <c r="A18" s="118"/>
      <c r="B18" s="219" t="s">
        <v>9</v>
      </c>
      <c r="C18" s="219"/>
      <c r="D18" s="219"/>
      <c r="E18" s="91">
        <f>Utilidad!O73</f>
        <v>2654.0249534999998</v>
      </c>
      <c r="F18" s="92">
        <f>Flujos!I9</f>
        <v>0.39713199999999999</v>
      </c>
      <c r="G18" s="95">
        <f t="shared" si="0"/>
        <v>1053.9982378333618</v>
      </c>
      <c r="H18" s="92">
        <f>Flujos!J9</f>
        <v>0.36521099999999995</v>
      </c>
      <c r="I18" s="102"/>
      <c r="J18" s="102"/>
      <c r="K18" s="102"/>
      <c r="L18" s="102"/>
      <c r="M18" s="102"/>
      <c r="N18" s="102"/>
      <c r="O18" s="89"/>
      <c r="P18" s="102"/>
    </row>
    <row r="19" spans="1:16" x14ac:dyDescent="0.2">
      <c r="A19" s="118"/>
      <c r="B19" s="219" t="s">
        <v>144</v>
      </c>
      <c r="C19" s="219"/>
      <c r="D19" s="219"/>
      <c r="E19" s="91">
        <f>Flujos!H30</f>
        <v>482.97720313999997</v>
      </c>
      <c r="F19" s="92">
        <f>Flujos!I30</f>
        <v>0.42682599999999998</v>
      </c>
      <c r="G19" s="95">
        <f t="shared" si="0"/>
        <v>206.14722770743361</v>
      </c>
      <c r="H19" s="92">
        <f>Flujos!J30</f>
        <v>0.39312900000000001</v>
      </c>
      <c r="I19" s="102"/>
      <c r="J19" s="102"/>
      <c r="K19" s="102"/>
      <c r="L19" s="102"/>
      <c r="M19" s="102"/>
      <c r="N19" s="102"/>
      <c r="O19" s="89"/>
      <c r="P19" s="102"/>
    </row>
    <row r="20" spans="1:16" x14ac:dyDescent="0.2">
      <c r="A20" s="118"/>
      <c r="B20" s="219" t="s">
        <v>145</v>
      </c>
      <c r="C20" s="219"/>
      <c r="D20" s="219"/>
      <c r="E20" s="91">
        <f>Flujos!H33</f>
        <v>1591.97</v>
      </c>
      <c r="F20" s="92">
        <f>Flujos!I33</f>
        <v>0.47773000000000004</v>
      </c>
      <c r="G20" s="95">
        <f t="shared" si="0"/>
        <v>760.5318281000001</v>
      </c>
      <c r="H20" s="92">
        <f>Flujos!J33</f>
        <v>0.41975999999999997</v>
      </c>
      <c r="I20" s="102"/>
      <c r="J20" s="102"/>
      <c r="K20" s="102"/>
      <c r="L20" s="102"/>
      <c r="M20" s="102"/>
      <c r="N20" s="102"/>
      <c r="O20" s="89"/>
      <c r="P20" s="102"/>
    </row>
    <row r="21" spans="1:16" x14ac:dyDescent="0.2">
      <c r="A21" s="118"/>
      <c r="B21" s="219"/>
      <c r="C21" s="219"/>
      <c r="D21" s="219"/>
      <c r="E21" s="91"/>
      <c r="F21" s="92"/>
      <c r="G21" s="95"/>
      <c r="H21" s="92"/>
      <c r="I21" s="102"/>
      <c r="J21" s="102"/>
      <c r="K21" s="102"/>
      <c r="L21" s="102"/>
      <c r="M21" s="102"/>
      <c r="N21" s="102"/>
      <c r="O21" s="89"/>
      <c r="P21" s="102"/>
    </row>
    <row r="22" spans="1:16" ht="16" thickBot="1" x14ac:dyDescent="0.25">
      <c r="A22" s="118"/>
      <c r="B22" s="217"/>
      <c r="C22" s="217"/>
      <c r="D22" s="217"/>
      <c r="E22" s="98"/>
      <c r="F22" s="128"/>
      <c r="G22" s="129"/>
      <c r="H22" s="128"/>
      <c r="I22" s="102"/>
      <c r="J22" s="102"/>
      <c r="K22" s="102"/>
      <c r="L22" s="132"/>
      <c r="M22" s="102"/>
      <c r="N22" s="102"/>
      <c r="O22" s="89"/>
      <c r="P22" s="102"/>
    </row>
    <row r="23" spans="1:16" ht="18" customHeight="1" thickBot="1" x14ac:dyDescent="0.25">
      <c r="A23" s="113"/>
      <c r="B23" s="214" t="s">
        <v>135</v>
      </c>
      <c r="C23" s="214"/>
      <c r="D23" s="214"/>
      <c r="E23" s="97">
        <f>SUM(E10:E22)</f>
        <v>1071888.90106692</v>
      </c>
      <c r="F23" s="96">
        <f>+G23/E23</f>
        <v>0.11630064054198042</v>
      </c>
      <c r="G23" s="101">
        <f>SUM(G10:G22)</f>
        <v>124661.36578392227</v>
      </c>
      <c r="H23" s="130">
        <f>SUMPRODUCT(E10:E22,H10:H22)/E23</f>
        <v>6.0431295439503409E-2</v>
      </c>
      <c r="I23" s="102"/>
      <c r="J23" s="102"/>
      <c r="K23" s="102"/>
      <c r="L23" s="102"/>
      <c r="M23" s="117"/>
      <c r="N23" s="102"/>
      <c r="O23" s="89"/>
      <c r="P23" s="102"/>
    </row>
    <row r="24" spans="1:16" x14ac:dyDescent="0.2">
      <c r="A24" s="113"/>
      <c r="B24" s="215" t="s">
        <v>136</v>
      </c>
      <c r="C24" s="215"/>
      <c r="D24" s="215"/>
      <c r="E24" s="215"/>
      <c r="F24" s="215"/>
      <c r="G24" s="215"/>
      <c r="H24" s="215" t="s">
        <v>137</v>
      </c>
      <c r="I24" s="215"/>
      <c r="J24" s="215"/>
      <c r="K24" s="215"/>
      <c r="L24" s="215"/>
      <c r="M24" s="215"/>
      <c r="N24" s="102"/>
      <c r="O24" s="89"/>
      <c r="P24" s="102"/>
    </row>
    <row r="25" spans="1:16" ht="12.75" customHeight="1" x14ac:dyDescent="0.2">
      <c r="A25" s="113"/>
      <c r="B25" s="216" t="s">
        <v>122</v>
      </c>
      <c r="C25" s="216"/>
      <c r="D25" s="216"/>
      <c r="E25" s="91">
        <f>'Datos Extra'!B1</f>
        <v>93467.25</v>
      </c>
      <c r="F25" s="127">
        <f>'Datos Extra'!C1</f>
        <v>0.65706081514000947</v>
      </c>
      <c r="G25" s="91">
        <f>+E25*F25</f>
        <v>61413.667473895053</v>
      </c>
      <c r="H25" s="216" t="s">
        <v>133</v>
      </c>
      <c r="I25" s="216"/>
      <c r="J25" s="216"/>
      <c r="K25" s="99">
        <f>Flujos!H62</f>
        <v>1002001.9011</v>
      </c>
      <c r="L25" s="100">
        <f>Flujos!I62</f>
        <v>7.8532482927000005E-2</v>
      </c>
      <c r="M25" s="99">
        <f>+K25*L25</f>
        <v>78689.697190957304</v>
      </c>
      <c r="N25" s="102"/>
      <c r="O25" s="89"/>
      <c r="P25" s="102"/>
    </row>
    <row r="26" spans="1:16" ht="12.75" customHeight="1" x14ac:dyDescent="0.2">
      <c r="A26" s="113"/>
      <c r="B26" s="206" t="s">
        <v>135</v>
      </c>
      <c r="C26" s="206"/>
      <c r="D26" s="206"/>
      <c r="E26" s="105">
        <f>SUM(E24:E25)</f>
        <v>93467.25</v>
      </c>
      <c r="F26" s="106">
        <f>F25</f>
        <v>0.65706081514000947</v>
      </c>
      <c r="G26" s="107">
        <f>SUM(G24:G25)</f>
        <v>61413.667473895053</v>
      </c>
      <c r="H26" s="206" t="s">
        <v>135</v>
      </c>
      <c r="I26" s="206"/>
      <c r="J26" s="206"/>
      <c r="K26" s="108">
        <f>K25</f>
        <v>1002001.9011</v>
      </c>
      <c r="L26" s="109">
        <f>L25</f>
        <v>7.8532482927000005E-2</v>
      </c>
      <c r="M26" s="108">
        <f>M25</f>
        <v>78689.697190957304</v>
      </c>
      <c r="N26" s="102"/>
      <c r="O26" s="89"/>
      <c r="P26" s="102"/>
    </row>
    <row r="27" spans="1:16" ht="12.75" customHeight="1" x14ac:dyDescent="0.2">
      <c r="A27" s="113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17"/>
      <c r="N27" s="102"/>
      <c r="O27" s="89"/>
      <c r="P27" s="102"/>
    </row>
    <row r="28" spans="1:16" ht="12.75" customHeight="1" thickBot="1" x14ac:dyDescent="0.25">
      <c r="A28" s="113"/>
      <c r="B28" s="207" t="s">
        <v>138</v>
      </c>
      <c r="C28" s="207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102"/>
      <c r="O28" s="89"/>
      <c r="P28" s="102"/>
    </row>
    <row r="29" spans="1:16" ht="12.75" customHeight="1" thickBot="1" x14ac:dyDescent="0.25">
      <c r="A29" s="113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17"/>
      <c r="N29" s="102"/>
      <c r="O29" s="89"/>
      <c r="P29" s="102"/>
    </row>
    <row r="30" spans="1:16" ht="12.75" customHeight="1" thickBot="1" x14ac:dyDescent="0.25">
      <c r="A30" s="113"/>
      <c r="B30" s="208" t="s">
        <v>139</v>
      </c>
      <c r="C30" s="209"/>
      <c r="D30" s="210"/>
      <c r="E30" s="102"/>
      <c r="F30" s="102"/>
      <c r="G30" s="211" t="s">
        <v>140</v>
      </c>
      <c r="H30" s="212"/>
      <c r="I30" s="213"/>
      <c r="J30" s="102"/>
      <c r="K30" s="208" t="s">
        <v>141</v>
      </c>
      <c r="L30" s="209"/>
      <c r="M30" s="210"/>
      <c r="N30" s="102"/>
      <c r="O30" s="89"/>
      <c r="P30" s="102"/>
    </row>
    <row r="31" spans="1:16" ht="12.75" customHeight="1" thickBot="1" x14ac:dyDescent="0.25">
      <c r="A31" s="131"/>
      <c r="B31" s="197">
        <f>Flujos!J74/100</f>
        <v>5.4895928383401439E-2</v>
      </c>
      <c r="C31" s="197"/>
      <c r="D31" s="197"/>
      <c r="E31" s="102"/>
      <c r="F31" s="102"/>
      <c r="G31" s="198">
        <f>Utilidad!I94</f>
        <v>0.33177196735015535</v>
      </c>
      <c r="H31" s="198"/>
      <c r="I31" s="198"/>
      <c r="J31" s="102"/>
      <c r="K31" s="199">
        <f>Utilidad!I104</f>
        <v>0.68979989099589545</v>
      </c>
      <c r="L31" s="200"/>
      <c r="M31" s="201"/>
      <c r="N31" s="102"/>
      <c r="O31" s="89"/>
      <c r="P31" s="102"/>
    </row>
    <row r="32" spans="1:16" ht="12.75" customHeight="1" thickBot="1" x14ac:dyDescent="0.25">
      <c r="A32" s="14"/>
      <c r="B32" s="198"/>
      <c r="C32" s="198"/>
      <c r="D32" s="198"/>
      <c r="E32" s="102"/>
      <c r="F32" s="102"/>
      <c r="G32" s="198"/>
      <c r="H32" s="198"/>
      <c r="I32" s="198"/>
      <c r="J32" s="102"/>
      <c r="K32" s="202"/>
      <c r="L32" s="203"/>
      <c r="M32" s="204"/>
      <c r="O32" s="89"/>
    </row>
    <row r="33" spans="1:16" ht="12.75" customHeight="1" thickBot="1" x14ac:dyDescent="0.25">
      <c r="A33" s="120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2"/>
      <c r="N33" s="121"/>
      <c r="O33" s="123"/>
      <c r="P33" s="102"/>
    </row>
    <row r="34" spans="1:16" ht="12.75" customHeight="1" x14ac:dyDescent="0.2">
      <c r="A34" s="103"/>
    </row>
    <row r="35" spans="1:16" ht="12.75" customHeight="1" x14ac:dyDescent="0.2">
      <c r="A35" s="103"/>
      <c r="E35" s="177"/>
    </row>
    <row r="36" spans="1:16" x14ac:dyDescent="0.2">
      <c r="A36" s="103"/>
    </row>
    <row r="37" spans="1:16" x14ac:dyDescent="0.2">
      <c r="A37" s="103"/>
    </row>
    <row r="38" spans="1:16" x14ac:dyDescent="0.2"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</row>
    <row r="39" spans="1:16" x14ac:dyDescent="0.2"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</row>
    <row r="40" spans="1:16" x14ac:dyDescent="0.2"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</sheetData>
  <mergeCells count="36">
    <mergeCell ref="B2:C5"/>
    <mergeCell ref="D2:M3"/>
    <mergeCell ref="D4:I5"/>
    <mergeCell ref="J4:K5"/>
    <mergeCell ref="L4:M5"/>
    <mergeCell ref="B22:D22"/>
    <mergeCell ref="B7:D8"/>
    <mergeCell ref="I7:J8"/>
    <mergeCell ref="B9:G9"/>
    <mergeCell ref="B10:D10"/>
    <mergeCell ref="B17:D17"/>
    <mergeCell ref="B18:D18"/>
    <mergeCell ref="B19:D19"/>
    <mergeCell ref="B20:D20"/>
    <mergeCell ref="B21:D21"/>
    <mergeCell ref="B12:D12"/>
    <mergeCell ref="B13:D13"/>
    <mergeCell ref="B14:D14"/>
    <mergeCell ref="B15:D15"/>
    <mergeCell ref="B16:D16"/>
    <mergeCell ref="B31:D32"/>
    <mergeCell ref="G31:I32"/>
    <mergeCell ref="K31:M32"/>
    <mergeCell ref="H9:N9"/>
    <mergeCell ref="B26:D26"/>
    <mergeCell ref="H26:J26"/>
    <mergeCell ref="B28:M28"/>
    <mergeCell ref="B30:D30"/>
    <mergeCell ref="G30:I30"/>
    <mergeCell ref="K30:M30"/>
    <mergeCell ref="B23:D23"/>
    <mergeCell ref="B24:G24"/>
    <mergeCell ref="H24:M24"/>
    <mergeCell ref="B25:D25"/>
    <mergeCell ref="H25:J25"/>
    <mergeCell ref="B11:D11"/>
  </mergeCells>
  <pageMargins left="0.7" right="0.7" top="0.75" bottom="0.75" header="0.511811023622047" footer="0.511811023622047"/>
  <pageSetup scale="85" orientation="landscape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79</vt:i4>
      </vt:variant>
    </vt:vector>
  </HeadingPairs>
  <TitlesOfParts>
    <vt:vector size="84" baseType="lpstr">
      <vt:lpstr>Utilidad</vt:lpstr>
      <vt:lpstr>Diagrama Fe T</vt:lpstr>
      <vt:lpstr>Flujos</vt:lpstr>
      <vt:lpstr>Datos Extra</vt:lpstr>
      <vt:lpstr>Reporte</vt:lpstr>
      <vt:lpstr>Reporte!Print_Area</vt:lpstr>
      <vt:lpstr>Utilidad!solver_adj</vt:lpstr>
      <vt:lpstr>Utilidad!solver_lhs1</vt:lpstr>
      <vt:lpstr>Utilidad!solver_lhs10</vt:lpstr>
      <vt:lpstr>Utilidad!solver_lhs11</vt:lpstr>
      <vt:lpstr>Utilidad!solver_lhs12</vt:lpstr>
      <vt:lpstr>Utilidad!solver_lhs13</vt:lpstr>
      <vt:lpstr>Utilidad!solver_lhs14</vt:lpstr>
      <vt:lpstr>Utilidad!solver_lhs15</vt:lpstr>
      <vt:lpstr>Utilidad!solver_lhs16</vt:lpstr>
      <vt:lpstr>Utilidad!solver_lhs17</vt:lpstr>
      <vt:lpstr>Utilidad!solver_lhs18</vt:lpstr>
      <vt:lpstr>Utilidad!solver_lhs19</vt:lpstr>
      <vt:lpstr>Utilidad!solver_lhs2</vt:lpstr>
      <vt:lpstr>Utilidad!solver_lhs20</vt:lpstr>
      <vt:lpstr>Utilidad!solver_lhs21</vt:lpstr>
      <vt:lpstr>Utilidad!solver_lhs22</vt:lpstr>
      <vt:lpstr>Utilidad!solver_lhs23</vt:lpstr>
      <vt:lpstr>Utilidad!solver_lhs24</vt:lpstr>
      <vt:lpstr>Utilidad!solver_lhs25</vt:lpstr>
      <vt:lpstr>Utilidad!solver_lhs26</vt:lpstr>
      <vt:lpstr>Utilidad!solver_lhs27</vt:lpstr>
      <vt:lpstr>Utilidad!solver_lhs28</vt:lpstr>
      <vt:lpstr>Utilidad!solver_lhs29</vt:lpstr>
      <vt:lpstr>Utilidad!solver_lhs3</vt:lpstr>
      <vt:lpstr>Utilidad!solver_lhs30</vt:lpstr>
      <vt:lpstr>Utilidad!solver_lhs31</vt:lpstr>
      <vt:lpstr>Utilidad!solver_lhs32</vt:lpstr>
      <vt:lpstr>Utilidad!solver_lhs33</vt:lpstr>
      <vt:lpstr>Utilidad!solver_lhs34</vt:lpstr>
      <vt:lpstr>Utilidad!solver_lhs35</vt:lpstr>
      <vt:lpstr>Utilidad!solver_lhs36</vt:lpstr>
      <vt:lpstr>Utilidad!solver_lhs37</vt:lpstr>
      <vt:lpstr>Utilidad!solver_lhs38</vt:lpstr>
      <vt:lpstr>Utilidad!solver_lhs39</vt:lpstr>
      <vt:lpstr>Utilidad!solver_lhs4</vt:lpstr>
      <vt:lpstr>Utilidad!solver_lhs40</vt:lpstr>
      <vt:lpstr>Utilidad!solver_lhs41</vt:lpstr>
      <vt:lpstr>Utilidad!solver_lhs42</vt:lpstr>
      <vt:lpstr>Utilidad!solver_lhs43</vt:lpstr>
      <vt:lpstr>Utilidad!solver_lhs44</vt:lpstr>
      <vt:lpstr>Utilidad!solver_lhs45</vt:lpstr>
      <vt:lpstr>Utilidad!solver_lhs46</vt:lpstr>
      <vt:lpstr>Utilidad!solver_lhs47</vt:lpstr>
      <vt:lpstr>Utilidad!solver_lhs48</vt:lpstr>
      <vt:lpstr>Utilidad!solver_lhs49</vt:lpstr>
      <vt:lpstr>Utilidad!solver_lhs5</vt:lpstr>
      <vt:lpstr>Utilidad!solver_lhs50</vt:lpstr>
      <vt:lpstr>Utilidad!solver_lhs6</vt:lpstr>
      <vt:lpstr>Utilidad!solver_lhs7</vt:lpstr>
      <vt:lpstr>Utilidad!solver_lhs8</vt:lpstr>
      <vt:lpstr>Utilidad!solver_lhs9</vt:lpstr>
      <vt:lpstr>'Diagrama Fe T'!solver_opt</vt:lpstr>
      <vt:lpstr>Utilidad!solver_opt</vt:lpstr>
      <vt:lpstr>Utilidad!solver_rhs1</vt:lpstr>
      <vt:lpstr>Utilidad!solver_rhs10</vt:lpstr>
      <vt:lpstr>Utilidad!solver_rhs11</vt:lpstr>
      <vt:lpstr>Utilidad!solver_rhs2</vt:lpstr>
      <vt:lpstr>Utilidad!solver_rhs3</vt:lpstr>
      <vt:lpstr>Utilidad!solver_rhs37</vt:lpstr>
      <vt:lpstr>Utilidad!solver_rhs38</vt:lpstr>
      <vt:lpstr>Utilidad!solver_rhs39</vt:lpstr>
      <vt:lpstr>Utilidad!solver_rhs4</vt:lpstr>
      <vt:lpstr>Utilidad!solver_rhs40</vt:lpstr>
      <vt:lpstr>Utilidad!solver_rhs41</vt:lpstr>
      <vt:lpstr>Utilidad!solver_rhs42</vt:lpstr>
      <vt:lpstr>Utilidad!solver_rhs43</vt:lpstr>
      <vt:lpstr>Utilidad!solver_rhs44</vt:lpstr>
      <vt:lpstr>Utilidad!solver_rhs45</vt:lpstr>
      <vt:lpstr>Utilidad!solver_rhs46</vt:lpstr>
      <vt:lpstr>Utilidad!solver_rhs47</vt:lpstr>
      <vt:lpstr>Utilidad!solver_rhs48</vt:lpstr>
      <vt:lpstr>Utilidad!solver_rhs49</vt:lpstr>
      <vt:lpstr>Utilidad!solver_rhs5</vt:lpstr>
      <vt:lpstr>Utilidad!solver_rhs50</vt:lpstr>
      <vt:lpstr>Utilidad!solver_rhs6</vt:lpstr>
      <vt:lpstr>Utilidad!solver_rhs7</vt:lpstr>
      <vt:lpstr>Utilidad!solver_rhs8</vt:lpstr>
      <vt:lpstr>Utilidad!solver_rhs9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Arru</dc:creator>
  <dc:description/>
  <cp:lastModifiedBy>Fernando</cp:lastModifiedBy>
  <cp:revision>5</cp:revision>
  <cp:lastPrinted>2025-08-19T21:48:54Z</cp:lastPrinted>
  <dcterms:created xsi:type="dcterms:W3CDTF">2021-07-19T13:22:17Z</dcterms:created>
  <dcterms:modified xsi:type="dcterms:W3CDTF">2025-10-24T18:25:33Z</dcterms:modified>
  <dc:language>es-CL</dc:language>
</cp:coreProperties>
</file>