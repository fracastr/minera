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fernando/Desktop/"/>
    </mc:Choice>
  </mc:AlternateContent>
  <xr:revisionPtr revIDLastSave="0" documentId="13_ncr:1_{9970288E-A676-7245-9C73-3107C70C8DD9}" xr6:coauthVersionLast="47" xr6:coauthVersionMax="47" xr10:uidLastSave="{00000000-0000-0000-0000-000000000000}"/>
  <bookViews>
    <workbookView xWindow="0" yWindow="0" windowWidth="30080" windowHeight="16920" tabRatio="500" activeTab="1" xr2:uid="{00000000-000D-0000-FFFF-FFFF00000000}"/>
  </bookViews>
  <sheets>
    <sheet name="Utilidad" sheetId="1" state="hidden" r:id="rId1"/>
    <sheet name="Diagrama Fe T" sheetId="2" r:id="rId2"/>
    <sheet name="Flujos" sheetId="3" r:id="rId3"/>
    <sheet name="Datos Extra" sheetId="4" r:id="rId4"/>
    <sheet name="Reporte" sheetId="5" r:id="rId5"/>
  </sheets>
  <externalReferences>
    <externalReference r:id="rId6"/>
  </externalReferences>
  <definedNames>
    <definedName name="_xlnm.Print_Area" localSheetId="4">Reporte!$A$1:$O$33</definedName>
    <definedName name="solver_adj" localSheetId="0">Utilidad!$O$68:$P$120</definedName>
    <definedName name="solver_cvg" localSheetId="0">0.0001</definedName>
    <definedName name="solver_drv" localSheetId="0">1</definedName>
    <definedName name="solver_eng" localSheetId="1">1</definedName>
    <definedName name="solver_eng" localSheetId="0">1</definedName>
    <definedName name="solver_est" localSheetId="0">1</definedName>
    <definedName name="solver_itr" localSheetId="0">2147483647</definedName>
    <definedName name="solver_lhs1" localSheetId="0">Utilidad!$AC$68:$AC$89</definedName>
    <definedName name="solver_lhs10" localSheetId="0">Utilidad!$W$113</definedName>
    <definedName name="solver_lhs11" localSheetId="0">Utilidad!$W$95</definedName>
    <definedName name="solver_lhs12" localSheetId="0">Utilidad!$AA$63</definedName>
    <definedName name="solver_lhs13" localSheetId="0">Utilidad!$AA$64</definedName>
    <definedName name="solver_lhs14" localSheetId="0">Utilidad!$AA$65</definedName>
    <definedName name="solver_lhs15" localSheetId="0">Utilidad!$AA$66</definedName>
    <definedName name="solver_lhs16" localSheetId="0">Utilidad!$AA$67</definedName>
    <definedName name="solver_lhs17" localSheetId="0">Utilidad!$AA$68</definedName>
    <definedName name="solver_lhs18" localSheetId="0">Utilidad!$AA$69</definedName>
    <definedName name="solver_lhs19" localSheetId="0">Utilidad!$AB$52</definedName>
    <definedName name="solver_lhs2" localSheetId="0">Utilidad!$AD$68:$AD$89</definedName>
    <definedName name="solver_lhs20" localSheetId="0">Utilidad!$AB$53</definedName>
    <definedName name="solver_lhs21" localSheetId="0">Utilidad!$AB$54</definedName>
    <definedName name="solver_lhs22" localSheetId="0">Utilidad!$AB$55</definedName>
    <definedName name="solver_lhs23" localSheetId="0">Utilidad!$AB$56</definedName>
    <definedName name="solver_lhs24" localSheetId="0">Utilidad!$AB$57</definedName>
    <definedName name="solver_lhs25" localSheetId="0">Utilidad!$AB$58</definedName>
    <definedName name="solver_lhs26" localSheetId="0">Utilidad!$AB$59</definedName>
    <definedName name="solver_lhs27" localSheetId="0">Utilidad!$AB$60</definedName>
    <definedName name="solver_lhs28" localSheetId="0">Utilidad!$AB$61</definedName>
    <definedName name="solver_lhs29" localSheetId="0">Utilidad!$AB$62</definedName>
    <definedName name="solver_lhs3" localSheetId="0">Utilidad!$U$113</definedName>
    <definedName name="solver_lhs30" localSheetId="0">Utilidad!$AB$63</definedName>
    <definedName name="solver_lhs31" localSheetId="0">Utilidad!$AB$64</definedName>
    <definedName name="solver_lhs32" localSheetId="0">Utilidad!$AB$65</definedName>
    <definedName name="solver_lhs33" localSheetId="0">Utilidad!$AB$66</definedName>
    <definedName name="solver_lhs34" localSheetId="0">Utilidad!$AB$67</definedName>
    <definedName name="solver_lhs35" localSheetId="0">Utilidad!$AB$68</definedName>
    <definedName name="solver_lhs36" localSheetId="0">Utilidad!$AB$69</definedName>
    <definedName name="solver_lhs37" localSheetId="0">Utilidad!$U$52</definedName>
    <definedName name="solver_lhs38" localSheetId="0">Utilidad!$U$54</definedName>
    <definedName name="solver_lhs39" localSheetId="0">Utilidad!$U$55</definedName>
    <definedName name="solver_lhs4" localSheetId="0">Utilidad!$U$120</definedName>
    <definedName name="solver_lhs40" localSheetId="0">Utilidad!$U$58</definedName>
    <definedName name="solver_lhs41" localSheetId="0">Utilidad!$U$60</definedName>
    <definedName name="solver_lhs42" localSheetId="0">Utilidad!$U$61</definedName>
    <definedName name="solver_lhs43" localSheetId="0">Utilidad!$U$64</definedName>
    <definedName name="solver_lhs44" localSheetId="0">Utilidad!$U$67</definedName>
    <definedName name="solver_lhs45" localSheetId="0">Utilidad!$U$70</definedName>
    <definedName name="solver_lhs46" localSheetId="0">Utilidad!$U$73</definedName>
    <definedName name="solver_lhs47" localSheetId="0">Utilidad!$U$79</definedName>
    <definedName name="solver_lhs48" localSheetId="0">Utilidad!$U$95</definedName>
    <definedName name="solver_lhs49" localSheetId="0">Utilidad!$W$79</definedName>
    <definedName name="solver_lhs5" localSheetId="0">Utilidad!$U$68:$U$95</definedName>
    <definedName name="solver_lhs50" localSheetId="0">Utilidad!$W$95</definedName>
    <definedName name="solver_lhs6" localSheetId="0">Utilidad!$W$102:$W$111</definedName>
    <definedName name="solver_lhs7" localSheetId="0">Utilidad!$W$113</definedName>
    <definedName name="solver_lhs8" localSheetId="0">Utilidad!$W$95</definedName>
    <definedName name="solver_lhs9" localSheetId="0">Utilidad!$U$68:$U$95</definedName>
    <definedName name="solver_lin" localSheetId="1">2</definedName>
    <definedName name="solver_lin" localSheetId="0">2</definedName>
    <definedName name="solver_mip" localSheetId="0">2147483647</definedName>
    <definedName name="solver_mni" localSheetId="0">30</definedName>
    <definedName name="solver_mrt" localSheetId="0">0.075</definedName>
    <definedName name="solver_msl" localSheetId="0">2</definedName>
    <definedName name="solver_neg" localSheetId="1">1</definedName>
    <definedName name="solver_neg" localSheetId="0">1</definedName>
    <definedName name="solver_nod" localSheetId="0">2147483647</definedName>
    <definedName name="solver_num" localSheetId="1">0</definedName>
    <definedName name="solver_num" localSheetId="0">8</definedName>
    <definedName name="solver_nwt" localSheetId="0">1</definedName>
    <definedName name="solver_opt" localSheetId="1">'Diagrama Fe T'!$AB$57</definedName>
    <definedName name="solver_opt" localSheetId="0">Utilidad!$AC$93</definedName>
    <definedName name="solver_pre" localSheetId="0">0.00001</definedName>
    <definedName name="solver_rbv" localSheetId="0">1</definedName>
    <definedName name="solver_rel1" localSheetId="0">2</definedName>
    <definedName name="solver_rel10" localSheetId="0">2</definedName>
    <definedName name="solver_rel11" localSheetId="0">1</definedName>
    <definedName name="solver_rel12" localSheetId="0">2</definedName>
    <definedName name="solver_rel13" localSheetId="0">2</definedName>
    <definedName name="solver_rel14" localSheetId="0">2</definedName>
    <definedName name="solver_rel15" localSheetId="0">2</definedName>
    <definedName name="solver_rel16" localSheetId="0">2</definedName>
    <definedName name="solver_rel17" localSheetId="0">2</definedName>
    <definedName name="solver_rel18" localSheetId="0">2</definedName>
    <definedName name="solver_rel19" localSheetId="0">2</definedName>
    <definedName name="solver_rel2" localSheetId="0">2</definedName>
    <definedName name="solver_rel20" localSheetId="0">2</definedName>
    <definedName name="solver_rel21" localSheetId="0">2</definedName>
    <definedName name="solver_rel22" localSheetId="0">2</definedName>
    <definedName name="solver_rel23" localSheetId="0">2</definedName>
    <definedName name="solver_rel24" localSheetId="0">2</definedName>
    <definedName name="solver_rel25" localSheetId="0">2</definedName>
    <definedName name="solver_rel26" localSheetId="0">2</definedName>
    <definedName name="solver_rel27" localSheetId="0">2</definedName>
    <definedName name="solver_rel28" localSheetId="0">2</definedName>
    <definedName name="solver_rel29" localSheetId="0">2</definedName>
    <definedName name="solver_rel3" localSheetId="0">2</definedName>
    <definedName name="solver_rel30" localSheetId="0">2</definedName>
    <definedName name="solver_rel31" localSheetId="0">2</definedName>
    <definedName name="solver_rel32" localSheetId="0">2</definedName>
    <definedName name="solver_rel33" localSheetId="0">2</definedName>
    <definedName name="solver_rel34" localSheetId="0">2</definedName>
    <definedName name="solver_rel35" localSheetId="0">2</definedName>
    <definedName name="solver_rel36" localSheetId="0">2</definedName>
    <definedName name="solver_rel37" localSheetId="0">1</definedName>
    <definedName name="solver_rel38" localSheetId="0">1</definedName>
    <definedName name="solver_rel39" localSheetId="0">1</definedName>
    <definedName name="solver_rel4" localSheetId="0">1</definedName>
    <definedName name="solver_rel40" localSheetId="0">1</definedName>
    <definedName name="solver_rel41" localSheetId="0">1</definedName>
    <definedName name="solver_rel42" localSheetId="0">1</definedName>
    <definedName name="solver_rel43" localSheetId="0">1</definedName>
    <definedName name="solver_rel44" localSheetId="0">1</definedName>
    <definedName name="solver_rel45" localSheetId="0">1</definedName>
    <definedName name="solver_rel46" localSheetId="0">1</definedName>
    <definedName name="solver_rel47" localSheetId="0">2</definedName>
    <definedName name="solver_rel48" localSheetId="0">2</definedName>
    <definedName name="solver_rel49" localSheetId="0">1</definedName>
    <definedName name="solver_rel5" localSheetId="0">1</definedName>
    <definedName name="solver_rel50" localSheetId="0">2</definedName>
    <definedName name="solver_rel6" localSheetId="0">1</definedName>
    <definedName name="solver_rel7" localSheetId="0">2</definedName>
    <definedName name="solver_rel8" localSheetId="0">1</definedName>
    <definedName name="solver_rel9" localSheetId="0">1</definedName>
    <definedName name="solver_rhs1" localSheetId="0">Utilidad!$AE$68:$AE$89</definedName>
    <definedName name="solver_rhs10" localSheetId="0">Utilidad!$X$113</definedName>
    <definedName name="solver_rhs11" localSheetId="0">Utilidad!$X$95</definedName>
    <definedName name="solver_rhs12" localSheetId="0">0</definedName>
    <definedName name="solver_rhs13" localSheetId="0">0</definedName>
    <definedName name="solver_rhs14" localSheetId="0">0</definedName>
    <definedName name="solver_rhs15" localSheetId="0">0</definedName>
    <definedName name="solver_rhs16" localSheetId="0">0</definedName>
    <definedName name="solver_rhs17" localSheetId="0">0</definedName>
    <definedName name="solver_rhs18" localSheetId="0">0</definedName>
    <definedName name="solver_rhs19" localSheetId="0">0</definedName>
    <definedName name="solver_rhs2" localSheetId="0">Utilidad!$AE$68:$AE$89</definedName>
    <definedName name="solver_rhs20" localSheetId="0">0</definedName>
    <definedName name="solver_rhs21" localSheetId="0">0</definedName>
    <definedName name="solver_rhs22" localSheetId="0">0</definedName>
    <definedName name="solver_rhs23" localSheetId="0">0</definedName>
    <definedName name="solver_rhs24" localSheetId="0">0</definedName>
    <definedName name="solver_rhs25" localSheetId="0">0</definedName>
    <definedName name="solver_rhs26" localSheetId="0">0</definedName>
    <definedName name="solver_rhs27" localSheetId="0">0</definedName>
    <definedName name="solver_rhs28" localSheetId="0">0</definedName>
    <definedName name="solver_rhs29" localSheetId="0">0</definedName>
    <definedName name="solver_rhs3" localSheetId="0">Utilidad!$V$113</definedName>
    <definedName name="solver_rhs30" localSheetId="0">0</definedName>
    <definedName name="solver_rhs31" localSheetId="0">0</definedName>
    <definedName name="solver_rhs32" localSheetId="0">0</definedName>
    <definedName name="solver_rhs33" localSheetId="0">0</definedName>
    <definedName name="solver_rhs34" localSheetId="0">0</definedName>
    <definedName name="solver_rhs35" localSheetId="0">0</definedName>
    <definedName name="solver_rhs36" localSheetId="0">0</definedName>
    <definedName name="solver_rhs37" localSheetId="0">Utilidad!$V$52</definedName>
    <definedName name="solver_rhs38" localSheetId="0">Utilidad!$V$54</definedName>
    <definedName name="solver_rhs39" localSheetId="0">Utilidad!$V$55</definedName>
    <definedName name="solver_rhs4" localSheetId="0">Utilidad!$V$120</definedName>
    <definedName name="solver_rhs40" localSheetId="0">Utilidad!$V$58</definedName>
    <definedName name="solver_rhs41" localSheetId="0">Utilidad!$V$60</definedName>
    <definedName name="solver_rhs42" localSheetId="0">Utilidad!$V$61</definedName>
    <definedName name="solver_rhs43" localSheetId="0">Utilidad!$V$64</definedName>
    <definedName name="solver_rhs44" localSheetId="0">Utilidad!$V$67</definedName>
    <definedName name="solver_rhs45" localSheetId="0">Utilidad!$V$70</definedName>
    <definedName name="solver_rhs46" localSheetId="0">Utilidad!$V$73</definedName>
    <definedName name="solver_rhs47" localSheetId="0">Utilidad!$V$79</definedName>
    <definedName name="solver_rhs48" localSheetId="0">Utilidad!$V$95</definedName>
    <definedName name="solver_rhs49" localSheetId="0">Utilidad!$X$79</definedName>
    <definedName name="solver_rhs5" localSheetId="0">Utilidad!$V$68:$V$95</definedName>
    <definedName name="solver_rhs50" localSheetId="0">Utilidad!$X$95</definedName>
    <definedName name="solver_rhs6" localSheetId="0">Utilidad!$X$102:$X$111</definedName>
    <definedName name="solver_rhs7" localSheetId="0">Utilidad!$X$113</definedName>
    <definedName name="solver_rhs8" localSheetId="0">Utilidad!$X$95</definedName>
    <definedName name="solver_rhs9" localSheetId="0">Utilidad!$V$68:$V$95</definedName>
    <definedName name="solver_rlx" localSheetId="0">2</definedName>
    <definedName name="solver_rsd" localSheetId="0">0</definedName>
    <definedName name="solver_scl" localSheetId="0">1</definedName>
    <definedName name="solver_sho" localSheetId="0">2</definedName>
    <definedName name="solver_ssz" localSheetId="0">100</definedName>
    <definedName name="solver_tim" localSheetId="0">2147483647</definedName>
    <definedName name="solver_tol" localSheetId="0">0.01</definedName>
    <definedName name="solver_typ" localSheetId="1">1</definedName>
    <definedName name="solver_typ" localSheetId="0">2</definedName>
    <definedName name="solver_val" localSheetId="1">0</definedName>
    <definedName name="solver_val" localSheetId="0">0</definedName>
    <definedName name="solver_ver" localSheetId="1">2</definedName>
    <definedName name="solver_ver" localSheetId="0">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69" i="1" l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P104" i="1"/>
  <c r="Q104" i="1"/>
  <c r="P105" i="1"/>
  <c r="Q105" i="1"/>
  <c r="P106" i="1"/>
  <c r="Q106" i="1"/>
  <c r="P107" i="1"/>
  <c r="Q107" i="1"/>
  <c r="P108" i="1"/>
  <c r="Q108" i="1"/>
  <c r="P109" i="1"/>
  <c r="Q109" i="1"/>
  <c r="P110" i="1"/>
  <c r="Q110" i="1"/>
  <c r="P111" i="1"/>
  <c r="Q111" i="1"/>
  <c r="P112" i="1"/>
  <c r="Q112" i="1"/>
  <c r="P113" i="1"/>
  <c r="Q113" i="1"/>
  <c r="P114" i="1"/>
  <c r="Q114" i="1"/>
  <c r="P115" i="1"/>
  <c r="Q115" i="1"/>
  <c r="P116" i="1"/>
  <c r="Q116" i="1"/>
  <c r="P117" i="1"/>
  <c r="Q117" i="1"/>
  <c r="P118" i="1"/>
  <c r="Q118" i="1"/>
  <c r="P119" i="1"/>
  <c r="Q119" i="1"/>
  <c r="P120" i="1"/>
  <c r="Q120" i="1"/>
  <c r="P121" i="1"/>
  <c r="Q121" i="1"/>
  <c r="P122" i="1"/>
  <c r="Q122" i="1"/>
  <c r="P123" i="1"/>
  <c r="Q123" i="1"/>
  <c r="P124" i="1"/>
  <c r="Q124" i="1"/>
  <c r="P125" i="1"/>
  <c r="Q125" i="1"/>
  <c r="P126" i="1"/>
  <c r="Q126" i="1"/>
  <c r="P127" i="1"/>
  <c r="Q127" i="1"/>
  <c r="P128" i="1"/>
  <c r="Q128" i="1"/>
  <c r="P129" i="1"/>
  <c r="Q129" i="1"/>
  <c r="Q68" i="1"/>
  <c r="P68" i="1"/>
  <c r="L4" i="5" l="1"/>
  <c r="C101" i="1"/>
  <c r="B101" i="1"/>
  <c r="J32" i="2"/>
  <c r="M54" i="2"/>
  <c r="M34" i="2"/>
  <c r="M24" i="2"/>
  <c r="J74" i="2"/>
  <c r="J52" i="2"/>
  <c r="J22" i="2"/>
  <c r="F25" i="5"/>
  <c r="F26" i="5" s="1"/>
  <c r="E25" i="5"/>
  <c r="N11" i="5"/>
  <c r="L11" i="5"/>
  <c r="K11" i="5"/>
  <c r="J65" i="3"/>
  <c r="I65" i="3"/>
  <c r="H65" i="3"/>
  <c r="E65" i="3"/>
  <c r="N65" i="3" s="1"/>
  <c r="D65" i="3"/>
  <c r="M65" i="3" s="1"/>
  <c r="R65" i="3" s="1"/>
  <c r="C65" i="3"/>
  <c r="L65" i="3" s="1"/>
  <c r="J64" i="3"/>
  <c r="I64" i="3"/>
  <c r="H64" i="3"/>
  <c r="E64" i="3"/>
  <c r="N64" i="3" s="1"/>
  <c r="D64" i="3"/>
  <c r="M64" i="3" s="1"/>
  <c r="R64" i="3" s="1"/>
  <c r="C64" i="3"/>
  <c r="L64" i="3" s="1"/>
  <c r="J63" i="3"/>
  <c r="I63" i="3"/>
  <c r="H63" i="3"/>
  <c r="E63" i="3"/>
  <c r="N63" i="3" s="1"/>
  <c r="D63" i="3"/>
  <c r="M63" i="3" s="1"/>
  <c r="R63" i="3" s="1"/>
  <c r="C63" i="3"/>
  <c r="L63" i="3" s="1"/>
  <c r="J62" i="3"/>
  <c r="I62" i="3"/>
  <c r="L25" i="5" s="1"/>
  <c r="L26" i="5" s="1"/>
  <c r="H62" i="3"/>
  <c r="K25" i="5" s="1"/>
  <c r="E62" i="3"/>
  <c r="N62" i="3" s="1"/>
  <c r="D62" i="3"/>
  <c r="M62" i="3" s="1"/>
  <c r="R62" i="3" s="1"/>
  <c r="C62" i="3"/>
  <c r="L62" i="3" s="1"/>
  <c r="J61" i="3"/>
  <c r="I61" i="3"/>
  <c r="H61" i="3"/>
  <c r="K10" i="5" s="1"/>
  <c r="E61" i="3"/>
  <c r="N61" i="3" s="1"/>
  <c r="D61" i="3"/>
  <c r="M61" i="3" s="1"/>
  <c r="R61" i="3" s="1"/>
  <c r="C61" i="3"/>
  <c r="L61" i="3" s="1"/>
  <c r="J60" i="3"/>
  <c r="I60" i="3"/>
  <c r="H60" i="3"/>
  <c r="E60" i="3"/>
  <c r="N60" i="3" s="1"/>
  <c r="D60" i="3"/>
  <c r="M60" i="3" s="1"/>
  <c r="R60" i="3" s="1"/>
  <c r="C60" i="3"/>
  <c r="L60" i="3" s="1"/>
  <c r="J59" i="3"/>
  <c r="I59" i="3"/>
  <c r="I73" i="3" s="1"/>
  <c r="H59" i="3"/>
  <c r="E59" i="3"/>
  <c r="N59" i="3" s="1"/>
  <c r="D59" i="3"/>
  <c r="M59" i="3" s="1"/>
  <c r="R59" i="3" s="1"/>
  <c r="C59" i="3"/>
  <c r="L59" i="3" s="1"/>
  <c r="J58" i="3"/>
  <c r="I58" i="3"/>
  <c r="H72" i="3" s="1"/>
  <c r="H58" i="3"/>
  <c r="E58" i="3"/>
  <c r="N58" i="3" s="1"/>
  <c r="D58" i="3"/>
  <c r="M58" i="3" s="1"/>
  <c r="R58" i="3" s="1"/>
  <c r="C58" i="3"/>
  <c r="L58" i="3" s="1"/>
  <c r="J57" i="3"/>
  <c r="I57" i="3"/>
  <c r="H73" i="3" s="1"/>
  <c r="H57" i="3"/>
  <c r="E57" i="3"/>
  <c r="N57" i="3" s="1"/>
  <c r="D57" i="3"/>
  <c r="M57" i="3" s="1"/>
  <c r="R57" i="3" s="1"/>
  <c r="C57" i="3"/>
  <c r="L57" i="3" s="1"/>
  <c r="J56" i="3"/>
  <c r="I56" i="3"/>
  <c r="G72" i="3" s="1"/>
  <c r="H56" i="3"/>
  <c r="E56" i="3"/>
  <c r="N56" i="3" s="1"/>
  <c r="D56" i="3"/>
  <c r="M56" i="3" s="1"/>
  <c r="R56" i="3" s="1"/>
  <c r="C56" i="3"/>
  <c r="L56" i="3" s="1"/>
  <c r="J55" i="3"/>
  <c r="I55" i="3"/>
  <c r="G73" i="3" s="1"/>
  <c r="H55" i="3"/>
  <c r="E55" i="3"/>
  <c r="N55" i="3" s="1"/>
  <c r="D55" i="3"/>
  <c r="M55" i="3" s="1"/>
  <c r="R55" i="3" s="1"/>
  <c r="C55" i="3"/>
  <c r="L55" i="3" s="1"/>
  <c r="J54" i="3"/>
  <c r="I54" i="3"/>
  <c r="F72" i="3" s="1"/>
  <c r="H54" i="3"/>
  <c r="E54" i="3"/>
  <c r="N54" i="3" s="1"/>
  <c r="D54" i="3"/>
  <c r="M54" i="3" s="1"/>
  <c r="R54" i="3" s="1"/>
  <c r="C54" i="3"/>
  <c r="L54" i="3" s="1"/>
  <c r="J53" i="3"/>
  <c r="I53" i="3"/>
  <c r="F73" i="3" s="1"/>
  <c r="H53" i="3"/>
  <c r="E53" i="3"/>
  <c r="N53" i="3" s="1"/>
  <c r="D53" i="3"/>
  <c r="M53" i="3" s="1"/>
  <c r="R53" i="3" s="1"/>
  <c r="C53" i="3"/>
  <c r="L53" i="3" s="1"/>
  <c r="J52" i="3"/>
  <c r="I52" i="3"/>
  <c r="E72" i="3" s="1"/>
  <c r="H52" i="3"/>
  <c r="E52" i="3"/>
  <c r="N52" i="3" s="1"/>
  <c r="D52" i="3"/>
  <c r="M52" i="3" s="1"/>
  <c r="R52" i="3" s="1"/>
  <c r="C52" i="3"/>
  <c r="L52" i="3" s="1"/>
  <c r="J51" i="3"/>
  <c r="I51" i="3"/>
  <c r="E73" i="3" s="1"/>
  <c r="H51" i="3"/>
  <c r="E51" i="3"/>
  <c r="N51" i="3" s="1"/>
  <c r="D51" i="3"/>
  <c r="M51" i="3" s="1"/>
  <c r="R51" i="3" s="1"/>
  <c r="C51" i="3"/>
  <c r="L51" i="3" s="1"/>
  <c r="J50" i="3"/>
  <c r="I50" i="3"/>
  <c r="E71" i="3" s="1"/>
  <c r="E74" i="3" s="1"/>
  <c r="H50" i="3"/>
  <c r="E50" i="3"/>
  <c r="N50" i="3" s="1"/>
  <c r="D50" i="3"/>
  <c r="M50" i="3" s="1"/>
  <c r="R50" i="3" s="1"/>
  <c r="C50" i="3"/>
  <c r="L50" i="3" s="1"/>
  <c r="J49" i="3"/>
  <c r="I49" i="3"/>
  <c r="H49" i="3"/>
  <c r="E49" i="3"/>
  <c r="N49" i="3" s="1"/>
  <c r="D49" i="3"/>
  <c r="M49" i="3" s="1"/>
  <c r="R49" i="3" s="1"/>
  <c r="C49" i="3"/>
  <c r="L49" i="3" s="1"/>
  <c r="J48" i="3"/>
  <c r="I48" i="3"/>
  <c r="H48" i="3"/>
  <c r="E48" i="3"/>
  <c r="N48" i="3" s="1"/>
  <c r="D48" i="3"/>
  <c r="M48" i="3" s="1"/>
  <c r="R48" i="3" s="1"/>
  <c r="C48" i="3"/>
  <c r="L48" i="3" s="1"/>
  <c r="J47" i="3"/>
  <c r="I47" i="3"/>
  <c r="D72" i="3" s="1"/>
  <c r="H47" i="3"/>
  <c r="E47" i="3"/>
  <c r="N47" i="3" s="1"/>
  <c r="D47" i="3"/>
  <c r="M47" i="3" s="1"/>
  <c r="R47" i="3" s="1"/>
  <c r="C47" i="3"/>
  <c r="L47" i="3" s="1"/>
  <c r="J46" i="3"/>
  <c r="I46" i="3"/>
  <c r="D73" i="3" s="1"/>
  <c r="H46" i="3"/>
  <c r="E46" i="3"/>
  <c r="N46" i="3" s="1"/>
  <c r="D46" i="3"/>
  <c r="M46" i="3" s="1"/>
  <c r="R46" i="3" s="1"/>
  <c r="C46" i="3"/>
  <c r="L46" i="3" s="1"/>
  <c r="J45" i="3"/>
  <c r="I45" i="3"/>
  <c r="C72" i="3" s="1"/>
  <c r="H45" i="3"/>
  <c r="E45" i="3"/>
  <c r="N45" i="3" s="1"/>
  <c r="D45" i="3"/>
  <c r="M45" i="3" s="1"/>
  <c r="R45" i="3" s="1"/>
  <c r="C45" i="3"/>
  <c r="L45" i="3" s="1"/>
  <c r="J44" i="3"/>
  <c r="I44" i="3"/>
  <c r="C73" i="3" s="1"/>
  <c r="H44" i="3"/>
  <c r="E44" i="3"/>
  <c r="N44" i="3" s="1"/>
  <c r="D44" i="3"/>
  <c r="M44" i="3" s="1"/>
  <c r="R44" i="3" s="1"/>
  <c r="C44" i="3"/>
  <c r="L44" i="3" s="1"/>
  <c r="J43" i="3"/>
  <c r="I43" i="3"/>
  <c r="H43" i="3"/>
  <c r="E10" i="5" s="1"/>
  <c r="E43" i="3"/>
  <c r="N43" i="3" s="1"/>
  <c r="D43" i="3"/>
  <c r="M43" i="3" s="1"/>
  <c r="R43" i="3" s="1"/>
  <c r="C43" i="3"/>
  <c r="L43" i="3" s="1"/>
  <c r="J42" i="3"/>
  <c r="I42" i="3"/>
  <c r="H42" i="3"/>
  <c r="E42" i="3"/>
  <c r="N42" i="3" s="1"/>
  <c r="D42" i="3"/>
  <c r="M42" i="3" s="1"/>
  <c r="R42" i="3" s="1"/>
  <c r="C42" i="3"/>
  <c r="L42" i="3" s="1"/>
  <c r="J41" i="3"/>
  <c r="I41" i="3"/>
  <c r="H41" i="3"/>
  <c r="E41" i="3"/>
  <c r="N41" i="3" s="1"/>
  <c r="D41" i="3"/>
  <c r="M41" i="3" s="1"/>
  <c r="R41" i="3" s="1"/>
  <c r="C41" i="3"/>
  <c r="L41" i="3" s="1"/>
  <c r="J40" i="3"/>
  <c r="I40" i="3"/>
  <c r="H40" i="3"/>
  <c r="E40" i="3"/>
  <c r="N40" i="3" s="1"/>
  <c r="D40" i="3"/>
  <c r="M40" i="3" s="1"/>
  <c r="R40" i="3" s="1"/>
  <c r="C40" i="3"/>
  <c r="L40" i="3" s="1"/>
  <c r="J39" i="3"/>
  <c r="I39" i="3"/>
  <c r="H39" i="3"/>
  <c r="E39" i="3"/>
  <c r="N39" i="3" s="1"/>
  <c r="D39" i="3"/>
  <c r="M39" i="3" s="1"/>
  <c r="R39" i="3" s="1"/>
  <c r="C39" i="3"/>
  <c r="L39" i="3" s="1"/>
  <c r="J38" i="3"/>
  <c r="I38" i="3"/>
  <c r="H38" i="3"/>
  <c r="E38" i="3"/>
  <c r="N38" i="3" s="1"/>
  <c r="D38" i="3"/>
  <c r="M38" i="3" s="1"/>
  <c r="R38" i="3" s="1"/>
  <c r="C38" i="3"/>
  <c r="L38" i="3" s="1"/>
  <c r="J37" i="3"/>
  <c r="I37" i="3"/>
  <c r="H37" i="3"/>
  <c r="E37" i="3"/>
  <c r="N37" i="3" s="1"/>
  <c r="D37" i="3"/>
  <c r="M37" i="3" s="1"/>
  <c r="R37" i="3" s="1"/>
  <c r="C37" i="3"/>
  <c r="L37" i="3" s="1"/>
  <c r="J36" i="3"/>
  <c r="I36" i="3"/>
  <c r="H36" i="3"/>
  <c r="E36" i="3"/>
  <c r="N36" i="3" s="1"/>
  <c r="D36" i="3"/>
  <c r="M36" i="3" s="1"/>
  <c r="R36" i="3" s="1"/>
  <c r="C36" i="3"/>
  <c r="L36" i="3" s="1"/>
  <c r="J35" i="3"/>
  <c r="I35" i="3"/>
  <c r="H35" i="3"/>
  <c r="E35" i="3"/>
  <c r="N35" i="3" s="1"/>
  <c r="D35" i="3"/>
  <c r="M35" i="3" s="1"/>
  <c r="R35" i="3" s="1"/>
  <c r="C35" i="3"/>
  <c r="L35" i="3" s="1"/>
  <c r="J34" i="3"/>
  <c r="I34" i="3"/>
  <c r="H34" i="3"/>
  <c r="E34" i="3"/>
  <c r="N34" i="3" s="1"/>
  <c r="D34" i="3"/>
  <c r="M34" i="3" s="1"/>
  <c r="R34" i="3" s="1"/>
  <c r="C34" i="3"/>
  <c r="L34" i="3" s="1"/>
  <c r="J33" i="3"/>
  <c r="I33" i="3"/>
  <c r="H33" i="3"/>
  <c r="E33" i="3"/>
  <c r="N33" i="3" s="1"/>
  <c r="D33" i="3"/>
  <c r="M33" i="3" s="1"/>
  <c r="R33" i="3" s="1"/>
  <c r="C33" i="3"/>
  <c r="L33" i="3" s="1"/>
  <c r="J32" i="3"/>
  <c r="I32" i="3"/>
  <c r="H32" i="3"/>
  <c r="E32" i="3"/>
  <c r="N32" i="3" s="1"/>
  <c r="D32" i="3"/>
  <c r="M32" i="3" s="1"/>
  <c r="R32" i="3" s="1"/>
  <c r="C32" i="3"/>
  <c r="L32" i="3" s="1"/>
  <c r="J31" i="3"/>
  <c r="I31" i="3"/>
  <c r="H31" i="3"/>
  <c r="E31" i="3"/>
  <c r="N31" i="3" s="1"/>
  <c r="D31" i="3"/>
  <c r="M31" i="3" s="1"/>
  <c r="R31" i="3" s="1"/>
  <c r="C31" i="3"/>
  <c r="L31" i="3" s="1"/>
  <c r="J30" i="3"/>
  <c r="I30" i="3"/>
  <c r="H30" i="3"/>
  <c r="E30" i="3"/>
  <c r="N30" i="3" s="1"/>
  <c r="D30" i="3"/>
  <c r="M30" i="3" s="1"/>
  <c r="R30" i="3" s="1"/>
  <c r="C30" i="3"/>
  <c r="L30" i="3" s="1"/>
  <c r="J29" i="3"/>
  <c r="I29" i="3"/>
  <c r="H29" i="3"/>
  <c r="E29" i="3"/>
  <c r="N29" i="3" s="1"/>
  <c r="D29" i="3"/>
  <c r="M29" i="3" s="1"/>
  <c r="R29" i="3" s="1"/>
  <c r="C29" i="3"/>
  <c r="L29" i="3" s="1"/>
  <c r="J28" i="3"/>
  <c r="I28" i="3"/>
  <c r="H28" i="3"/>
  <c r="E28" i="3"/>
  <c r="N28" i="3" s="1"/>
  <c r="D28" i="3"/>
  <c r="M28" i="3" s="1"/>
  <c r="R28" i="3" s="1"/>
  <c r="C28" i="3"/>
  <c r="L28" i="3" s="1"/>
  <c r="J27" i="3"/>
  <c r="I27" i="3"/>
  <c r="H27" i="3"/>
  <c r="E27" i="3"/>
  <c r="N27" i="3" s="1"/>
  <c r="D27" i="3"/>
  <c r="M27" i="3" s="1"/>
  <c r="R27" i="3" s="1"/>
  <c r="C27" i="3"/>
  <c r="L27" i="3" s="1"/>
  <c r="J26" i="3"/>
  <c r="I26" i="3"/>
  <c r="H26" i="3"/>
  <c r="E26" i="3"/>
  <c r="N26" i="3" s="1"/>
  <c r="D26" i="3"/>
  <c r="M26" i="3" s="1"/>
  <c r="R26" i="3" s="1"/>
  <c r="C26" i="3"/>
  <c r="L26" i="3" s="1"/>
  <c r="J25" i="3"/>
  <c r="I25" i="3"/>
  <c r="H25" i="3"/>
  <c r="E25" i="3"/>
  <c r="N25" i="3" s="1"/>
  <c r="D25" i="3"/>
  <c r="M25" i="3" s="1"/>
  <c r="R25" i="3" s="1"/>
  <c r="C25" i="3"/>
  <c r="L25" i="3" s="1"/>
  <c r="J24" i="3"/>
  <c r="I24" i="3"/>
  <c r="H24" i="3"/>
  <c r="E24" i="3"/>
  <c r="N24" i="3" s="1"/>
  <c r="D24" i="3"/>
  <c r="M24" i="3" s="1"/>
  <c r="R24" i="3" s="1"/>
  <c r="C24" i="3"/>
  <c r="L24" i="3" s="1"/>
  <c r="J23" i="3"/>
  <c r="I23" i="3"/>
  <c r="H23" i="3"/>
  <c r="E23" i="3"/>
  <c r="N23" i="3" s="1"/>
  <c r="D23" i="3"/>
  <c r="M23" i="3" s="1"/>
  <c r="R23" i="3" s="1"/>
  <c r="C23" i="3"/>
  <c r="L23" i="3" s="1"/>
  <c r="J22" i="3"/>
  <c r="I22" i="3"/>
  <c r="H22" i="3"/>
  <c r="E22" i="3"/>
  <c r="N22" i="3" s="1"/>
  <c r="D22" i="3"/>
  <c r="M22" i="3" s="1"/>
  <c r="R22" i="3" s="1"/>
  <c r="C22" i="3"/>
  <c r="L22" i="3" s="1"/>
  <c r="J21" i="3"/>
  <c r="I21" i="3"/>
  <c r="H21" i="3"/>
  <c r="E21" i="3"/>
  <c r="N21" i="3" s="1"/>
  <c r="D21" i="3"/>
  <c r="M21" i="3" s="1"/>
  <c r="R21" i="3" s="1"/>
  <c r="C21" i="3"/>
  <c r="L21" i="3" s="1"/>
  <c r="J20" i="3"/>
  <c r="I20" i="3"/>
  <c r="H20" i="3"/>
  <c r="E20" i="3"/>
  <c r="N20" i="3" s="1"/>
  <c r="D20" i="3"/>
  <c r="M20" i="3" s="1"/>
  <c r="R20" i="3" s="1"/>
  <c r="C20" i="3"/>
  <c r="L20" i="3" s="1"/>
  <c r="J19" i="3"/>
  <c r="I19" i="3"/>
  <c r="H19" i="3"/>
  <c r="E19" i="3"/>
  <c r="N19" i="3" s="1"/>
  <c r="D19" i="3"/>
  <c r="M19" i="3" s="1"/>
  <c r="R19" i="3" s="1"/>
  <c r="C19" i="3"/>
  <c r="L19" i="3" s="1"/>
  <c r="J18" i="3"/>
  <c r="I18" i="3"/>
  <c r="H18" i="3"/>
  <c r="E18" i="3"/>
  <c r="N18" i="3" s="1"/>
  <c r="D18" i="3"/>
  <c r="M18" i="3" s="1"/>
  <c r="R18" i="3" s="1"/>
  <c r="C18" i="3"/>
  <c r="L18" i="3" s="1"/>
  <c r="J17" i="3"/>
  <c r="I17" i="3"/>
  <c r="H17" i="3"/>
  <c r="E17" i="3"/>
  <c r="N17" i="3" s="1"/>
  <c r="D17" i="3"/>
  <c r="M17" i="3" s="1"/>
  <c r="R17" i="3" s="1"/>
  <c r="C17" i="3"/>
  <c r="L17" i="3" s="1"/>
  <c r="J16" i="3"/>
  <c r="I16" i="3"/>
  <c r="H16" i="3"/>
  <c r="E16" i="3"/>
  <c r="N16" i="3" s="1"/>
  <c r="D16" i="3"/>
  <c r="M16" i="3" s="1"/>
  <c r="R16" i="3" s="1"/>
  <c r="C16" i="3"/>
  <c r="L16" i="3" s="1"/>
  <c r="J15" i="3"/>
  <c r="I15" i="3"/>
  <c r="H15" i="3"/>
  <c r="E15" i="3"/>
  <c r="N15" i="3" s="1"/>
  <c r="D15" i="3"/>
  <c r="M15" i="3" s="1"/>
  <c r="R15" i="3" s="1"/>
  <c r="C15" i="3"/>
  <c r="L15" i="3" s="1"/>
  <c r="J14" i="3"/>
  <c r="I14" i="3"/>
  <c r="H14" i="3"/>
  <c r="E14" i="3"/>
  <c r="N14" i="3" s="1"/>
  <c r="D14" i="3"/>
  <c r="M14" i="3" s="1"/>
  <c r="R14" i="3" s="1"/>
  <c r="C14" i="3"/>
  <c r="L14" i="3" s="1"/>
  <c r="J13" i="3"/>
  <c r="I13" i="3"/>
  <c r="H13" i="3"/>
  <c r="E13" i="3"/>
  <c r="N13" i="3" s="1"/>
  <c r="D13" i="3"/>
  <c r="M13" i="3" s="1"/>
  <c r="R13" i="3" s="1"/>
  <c r="C13" i="3"/>
  <c r="L13" i="3" s="1"/>
  <c r="J12" i="3"/>
  <c r="I12" i="3"/>
  <c r="F12" i="5" s="1"/>
  <c r="H12" i="3"/>
  <c r="E12" i="3"/>
  <c r="N12" i="3" s="1"/>
  <c r="D12" i="3"/>
  <c r="M12" i="3" s="1"/>
  <c r="R12" i="3" s="1"/>
  <c r="C12" i="3"/>
  <c r="L12" i="3" s="1"/>
  <c r="J11" i="3"/>
  <c r="I11" i="3"/>
  <c r="H11" i="3"/>
  <c r="E11" i="3"/>
  <c r="N11" i="3" s="1"/>
  <c r="D11" i="3"/>
  <c r="M11" i="3" s="1"/>
  <c r="R11" i="3" s="1"/>
  <c r="C11" i="3"/>
  <c r="L11" i="3" s="1"/>
  <c r="J10" i="3"/>
  <c r="I10" i="3"/>
  <c r="H10" i="3"/>
  <c r="E10" i="3"/>
  <c r="N10" i="3" s="1"/>
  <c r="D10" i="3"/>
  <c r="M10" i="3" s="1"/>
  <c r="R10" i="3" s="1"/>
  <c r="C10" i="3"/>
  <c r="L10" i="3" s="1"/>
  <c r="J9" i="3"/>
  <c r="I9" i="3"/>
  <c r="F18" i="5" s="1"/>
  <c r="H9" i="3"/>
  <c r="E9" i="3"/>
  <c r="N9" i="3" s="1"/>
  <c r="D9" i="3"/>
  <c r="M9" i="3" s="1"/>
  <c r="R9" i="3" s="1"/>
  <c r="C9" i="3"/>
  <c r="L9" i="3" s="1"/>
  <c r="J8" i="3"/>
  <c r="I8" i="3"/>
  <c r="H8" i="3"/>
  <c r="E8" i="3"/>
  <c r="N8" i="3" s="1"/>
  <c r="D8" i="3"/>
  <c r="M8" i="3" s="1"/>
  <c r="R8" i="3" s="1"/>
  <c r="C8" i="3"/>
  <c r="L8" i="3" s="1"/>
  <c r="J7" i="3"/>
  <c r="I7" i="3"/>
  <c r="H7" i="3"/>
  <c r="E7" i="3"/>
  <c r="N7" i="3" s="1"/>
  <c r="D7" i="3"/>
  <c r="M7" i="3" s="1"/>
  <c r="R7" i="3" s="1"/>
  <c r="C7" i="3"/>
  <c r="L7" i="3" s="1"/>
  <c r="J6" i="3"/>
  <c r="I6" i="3"/>
  <c r="H6" i="3"/>
  <c r="E6" i="3"/>
  <c r="N6" i="3" s="1"/>
  <c r="D6" i="3"/>
  <c r="M6" i="3" s="1"/>
  <c r="R6" i="3" s="1"/>
  <c r="C6" i="3"/>
  <c r="L6" i="3" s="1"/>
  <c r="J5" i="3"/>
  <c r="I5" i="3"/>
  <c r="H5" i="3"/>
  <c r="E5" i="3"/>
  <c r="N5" i="3" s="1"/>
  <c r="D5" i="3"/>
  <c r="M5" i="3" s="1"/>
  <c r="R5" i="3" s="1"/>
  <c r="C5" i="3"/>
  <c r="L5" i="3" s="1"/>
  <c r="J4" i="3"/>
  <c r="I4" i="3"/>
  <c r="H4" i="3"/>
  <c r="E4" i="3"/>
  <c r="N4" i="3" s="1"/>
  <c r="D4" i="3"/>
  <c r="M4" i="3" s="1"/>
  <c r="R4" i="3" s="1"/>
  <c r="C4" i="3"/>
  <c r="L4" i="3" s="1"/>
  <c r="O62" i="2"/>
  <c r="F62" i="2"/>
  <c r="AD91" i="2" s="1"/>
  <c r="S61" i="2"/>
  <c r="O61" i="2"/>
  <c r="F61" i="2"/>
  <c r="AD69" i="2" s="1"/>
  <c r="S60" i="2"/>
  <c r="S62" i="2" s="1"/>
  <c r="AF79" i="2" s="1"/>
  <c r="G59" i="2"/>
  <c r="D59" i="2"/>
  <c r="G58" i="2"/>
  <c r="D58" i="2"/>
  <c r="AF57" i="2"/>
  <c r="Q55" i="2"/>
  <c r="O55" i="2"/>
  <c r="F55" i="2"/>
  <c r="AD90" i="2" s="1"/>
  <c r="Q54" i="2"/>
  <c r="Q56" i="2" s="1"/>
  <c r="O54" i="2"/>
  <c r="O56" i="2" s="1"/>
  <c r="F54" i="2"/>
  <c r="AD68" i="2" s="1"/>
  <c r="G52" i="2"/>
  <c r="D52" i="2"/>
  <c r="G51" i="2"/>
  <c r="D51" i="2"/>
  <c r="S49" i="2"/>
  <c r="R49" i="2"/>
  <c r="T49" i="2" s="1"/>
  <c r="F47" i="2"/>
  <c r="AD89" i="2" s="1"/>
  <c r="U46" i="2"/>
  <c r="P46" i="2"/>
  <c r="G46" i="2"/>
  <c r="F46" i="2"/>
  <c r="AD67" i="2" s="1"/>
  <c r="U45" i="2"/>
  <c r="R45" i="2"/>
  <c r="P45" i="2"/>
  <c r="P47" i="2" s="1"/>
  <c r="G45" i="2"/>
  <c r="D45" i="2"/>
  <c r="R44" i="2"/>
  <c r="S45" i="2" s="1"/>
  <c r="D44" i="2"/>
  <c r="S42" i="2"/>
  <c r="S41" i="2"/>
  <c r="S43" i="2" s="1"/>
  <c r="F40" i="2"/>
  <c r="AD88" i="2" s="1"/>
  <c r="R39" i="2"/>
  <c r="G39" i="2"/>
  <c r="F39" i="2"/>
  <c r="AD66" i="2" s="1"/>
  <c r="R38" i="2"/>
  <c r="R40" i="2" s="1"/>
  <c r="G38" i="2"/>
  <c r="S37" i="2"/>
  <c r="D37" i="2"/>
  <c r="S36" i="2"/>
  <c r="S38" i="2" s="1"/>
  <c r="D36" i="2"/>
  <c r="R32" i="2"/>
  <c r="R31" i="2"/>
  <c r="R33" i="2" s="1"/>
  <c r="S30" i="2"/>
  <c r="O30" i="2"/>
  <c r="S29" i="2"/>
  <c r="O29" i="2"/>
  <c r="R25" i="2"/>
  <c r="N25" i="2"/>
  <c r="R24" i="2"/>
  <c r="R26" i="2" s="1"/>
  <c r="N24" i="2"/>
  <c r="N26" i="2" s="1"/>
  <c r="S23" i="2"/>
  <c r="S22" i="2"/>
  <c r="S24" i="2" s="1"/>
  <c r="R21" i="2"/>
  <c r="R20" i="2"/>
  <c r="P19" i="2"/>
  <c r="N19" i="2"/>
  <c r="R18" i="2"/>
  <c r="P18" i="2"/>
  <c r="N18" i="2"/>
  <c r="N20" i="2" s="1"/>
  <c r="R17" i="2"/>
  <c r="S15" i="2"/>
  <c r="S14" i="2"/>
  <c r="S16" i="2" s="1"/>
  <c r="O14" i="2"/>
  <c r="O13" i="2"/>
  <c r="O15" i="2" s="1"/>
  <c r="R12" i="2"/>
  <c r="R11" i="2"/>
  <c r="R13" i="2" s="1"/>
  <c r="U10" i="2"/>
  <c r="U9" i="2"/>
  <c r="O9" i="2"/>
  <c r="AD82" i="2" s="1"/>
  <c r="O8" i="2"/>
  <c r="AD60" i="2" s="1"/>
  <c r="R6" i="2"/>
  <c r="R5" i="2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H105" i="1"/>
  <c r="G105" i="1"/>
  <c r="F105" i="1"/>
  <c r="E105" i="1"/>
  <c r="D105" i="1"/>
  <c r="C105" i="1"/>
  <c r="B105" i="1"/>
  <c r="I105" i="1" s="1"/>
  <c r="O104" i="1"/>
  <c r="O103" i="1"/>
  <c r="I103" i="1"/>
  <c r="O102" i="1"/>
  <c r="O101" i="1"/>
  <c r="H101" i="1"/>
  <c r="G101" i="1"/>
  <c r="F101" i="1"/>
  <c r="E101" i="1"/>
  <c r="D101" i="1"/>
  <c r="O100" i="1"/>
  <c r="I100" i="1"/>
  <c r="H100" i="1"/>
  <c r="G100" i="1"/>
  <c r="F100" i="1"/>
  <c r="E100" i="1"/>
  <c r="D100" i="1"/>
  <c r="C100" i="1"/>
  <c r="B100" i="1"/>
  <c r="O99" i="1"/>
  <c r="H99" i="1"/>
  <c r="G99" i="1"/>
  <c r="F99" i="1"/>
  <c r="E99" i="1"/>
  <c r="D99" i="1"/>
  <c r="C99" i="1"/>
  <c r="B99" i="1"/>
  <c r="O98" i="1"/>
  <c r="O97" i="1"/>
  <c r="O96" i="1"/>
  <c r="O95" i="1"/>
  <c r="O94" i="1"/>
  <c r="O93" i="1"/>
  <c r="I93" i="1"/>
  <c r="O92" i="1"/>
  <c r="O91" i="1"/>
  <c r="H91" i="1"/>
  <c r="G91" i="1"/>
  <c r="F91" i="1"/>
  <c r="E91" i="1"/>
  <c r="D91" i="1"/>
  <c r="C91" i="1"/>
  <c r="B91" i="1"/>
  <c r="O90" i="1"/>
  <c r="L76" i="2" s="1"/>
  <c r="AD64" i="2" s="1"/>
  <c r="I90" i="1"/>
  <c r="H90" i="1"/>
  <c r="G90" i="1"/>
  <c r="F90" i="1"/>
  <c r="E90" i="1"/>
  <c r="D90" i="1"/>
  <c r="C90" i="1"/>
  <c r="B90" i="1"/>
  <c r="O89" i="1"/>
  <c r="J73" i="2" s="1"/>
  <c r="AB65" i="2" s="1"/>
  <c r="H89" i="1"/>
  <c r="G89" i="1"/>
  <c r="F89" i="1"/>
  <c r="E89" i="1"/>
  <c r="D89" i="1"/>
  <c r="C89" i="1"/>
  <c r="B89" i="1"/>
  <c r="O88" i="1"/>
  <c r="H88" i="1"/>
  <c r="G88" i="1"/>
  <c r="F88" i="1"/>
  <c r="E88" i="1"/>
  <c r="D88" i="1"/>
  <c r="C88" i="1"/>
  <c r="B88" i="1"/>
  <c r="O87" i="1"/>
  <c r="L69" i="2" s="1"/>
  <c r="AD63" i="2" s="1"/>
  <c r="O86" i="1"/>
  <c r="J66" i="2" s="1"/>
  <c r="AB64" i="2" s="1"/>
  <c r="O85" i="1"/>
  <c r="O84" i="1"/>
  <c r="L61" i="2" s="1"/>
  <c r="AD62" i="2" s="1"/>
  <c r="O83" i="1"/>
  <c r="J59" i="2" s="1"/>
  <c r="AB63" i="2" s="1"/>
  <c r="O82" i="1"/>
  <c r="O81" i="1"/>
  <c r="L54" i="2" s="1"/>
  <c r="AD61" i="2" s="1"/>
  <c r="O80" i="1"/>
  <c r="J51" i="2" s="1"/>
  <c r="AB62" i="2" s="1"/>
  <c r="O79" i="1"/>
  <c r="O78" i="1"/>
  <c r="O77" i="1"/>
  <c r="O76" i="1"/>
  <c r="O75" i="1"/>
  <c r="L34" i="2" s="1"/>
  <c r="AD59" i="2" s="1"/>
  <c r="O74" i="1"/>
  <c r="J31" i="2" s="1"/>
  <c r="AB60" i="2" s="1"/>
  <c r="O73" i="1"/>
  <c r="O72" i="1"/>
  <c r="L24" i="2" s="1"/>
  <c r="AD58" i="2" s="1"/>
  <c r="O71" i="1"/>
  <c r="J21" i="2" s="1"/>
  <c r="AB59" i="2" s="1"/>
  <c r="O70" i="1"/>
  <c r="O69" i="1"/>
  <c r="L12" i="2" s="1"/>
  <c r="AD57" i="2" s="1"/>
  <c r="AD71" i="2" s="1"/>
  <c r="O68" i="1"/>
  <c r="J9" i="2" s="1"/>
  <c r="AB58" i="2" s="1"/>
  <c r="AO2" i="1"/>
  <c r="AP2" i="1" s="1"/>
  <c r="AQ2" i="1" s="1"/>
  <c r="AR2" i="1" s="1"/>
  <c r="AS2" i="1" s="1"/>
  <c r="AT2" i="1" s="1"/>
  <c r="AU2" i="1" s="1"/>
  <c r="AV2" i="1" s="1"/>
  <c r="AW2" i="1" s="1"/>
  <c r="AX2" i="1" s="1"/>
  <c r="AY2" i="1" s="1"/>
  <c r="AZ2" i="1" s="1"/>
  <c r="BA2" i="1" s="1"/>
  <c r="BB2" i="1" s="1"/>
  <c r="BC2" i="1" s="1"/>
  <c r="BD2" i="1" s="1"/>
  <c r="BE2" i="1" s="1"/>
  <c r="BF2" i="1" s="1"/>
  <c r="BG2" i="1" s="1"/>
  <c r="BH2" i="1" s="1"/>
  <c r="BI2" i="1" s="1"/>
  <c r="BJ2" i="1" s="1"/>
  <c r="BK2" i="1" s="1"/>
  <c r="BL2" i="1" s="1"/>
  <c r="BM2" i="1" s="1"/>
  <c r="BN2" i="1" s="1"/>
  <c r="BO2" i="1" s="1"/>
  <c r="BP2" i="1" s="1"/>
  <c r="BQ2" i="1" s="1"/>
  <c r="BR2" i="1" s="1"/>
  <c r="BS2" i="1" s="1"/>
  <c r="BT2" i="1" s="1"/>
  <c r="BU2" i="1" s="1"/>
  <c r="BV2" i="1" s="1"/>
  <c r="BW2" i="1" s="1"/>
  <c r="BX2" i="1" s="1"/>
  <c r="BY2" i="1" s="1"/>
  <c r="BZ2" i="1" s="1"/>
  <c r="CA2" i="1" s="1"/>
  <c r="CB2" i="1" s="1"/>
  <c r="CC2" i="1" s="1"/>
  <c r="CD2" i="1" s="1"/>
  <c r="CE2" i="1" s="1"/>
  <c r="J10" i="2" l="1"/>
  <c r="R68" i="1"/>
  <c r="J11" i="2" s="1"/>
  <c r="AB80" i="2" s="1"/>
  <c r="R69" i="1"/>
  <c r="L13" i="2" s="1"/>
  <c r="AD79" i="2" s="1"/>
  <c r="M11" i="2"/>
  <c r="M12" i="2"/>
  <c r="R70" i="1"/>
  <c r="M13" i="2" s="1"/>
  <c r="R71" i="1"/>
  <c r="J23" i="2" s="1"/>
  <c r="AB81" i="2" s="1"/>
  <c r="R72" i="1"/>
  <c r="L25" i="2" s="1"/>
  <c r="AD80" i="2" s="1"/>
  <c r="E18" i="5"/>
  <c r="G18" i="5" s="1"/>
  <c r="M23" i="2"/>
  <c r="R73" i="1"/>
  <c r="M25" i="2" s="1"/>
  <c r="R74" i="1"/>
  <c r="J33" i="2" s="1"/>
  <c r="AB82" i="2" s="1"/>
  <c r="R75" i="1"/>
  <c r="L35" i="2" s="1"/>
  <c r="AD81" i="2" s="1"/>
  <c r="E12" i="5"/>
  <c r="G12" i="5" s="1"/>
  <c r="M33" i="2"/>
  <c r="R76" i="1"/>
  <c r="M35" i="2" s="1"/>
  <c r="R77" i="1"/>
  <c r="R78" i="1"/>
  <c r="R79" i="1"/>
  <c r="R80" i="1"/>
  <c r="J53" i="2" s="1"/>
  <c r="R81" i="1"/>
  <c r="L55" i="2" s="1"/>
  <c r="AD83" i="2" s="1"/>
  <c r="M53" i="2"/>
  <c r="R82" i="1"/>
  <c r="M55" i="2" s="1"/>
  <c r="J60" i="2"/>
  <c r="R83" i="1"/>
  <c r="J61" i="2" s="1"/>
  <c r="R84" i="1"/>
  <c r="L62" i="2" s="1"/>
  <c r="AD84" i="2" s="1"/>
  <c r="E15" i="5"/>
  <c r="M60" i="2"/>
  <c r="F15" i="5"/>
  <c r="M61" i="2"/>
  <c r="R85" i="1"/>
  <c r="M62" i="2" s="1"/>
  <c r="J67" i="2"/>
  <c r="R86" i="1"/>
  <c r="J68" i="2" s="1"/>
  <c r="AB86" i="2" s="1"/>
  <c r="R87" i="1"/>
  <c r="L70" i="2" s="1"/>
  <c r="AD85" i="2" s="1"/>
  <c r="M66" i="2"/>
  <c r="M67" i="2"/>
  <c r="R88" i="1"/>
  <c r="M68" i="2" s="1"/>
  <c r="R89" i="1"/>
  <c r="J75" i="2" s="1"/>
  <c r="AB87" i="2" s="1"/>
  <c r="B94" i="1"/>
  <c r="C94" i="1"/>
  <c r="D94" i="1"/>
  <c r="E94" i="1"/>
  <c r="F94" i="1"/>
  <c r="G94" i="1"/>
  <c r="H94" i="1"/>
  <c r="R90" i="1"/>
  <c r="L77" i="2" s="1"/>
  <c r="AD86" i="2" s="1"/>
  <c r="M73" i="2"/>
  <c r="M74" i="2"/>
  <c r="R91" i="1"/>
  <c r="M75" i="2" s="1"/>
  <c r="R92" i="1"/>
  <c r="R93" i="1"/>
  <c r="R94" i="1"/>
  <c r="R95" i="1"/>
  <c r="R96" i="1"/>
  <c r="R97" i="1"/>
  <c r="R98" i="1"/>
  <c r="R99" i="1"/>
  <c r="B104" i="1"/>
  <c r="C104" i="1"/>
  <c r="D104" i="1"/>
  <c r="E104" i="1"/>
  <c r="F104" i="1"/>
  <c r="G104" i="1"/>
  <c r="H104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AB57" i="2"/>
  <c r="R7" i="2"/>
  <c r="AB79" i="2" s="1"/>
  <c r="Y15" i="2"/>
  <c r="U11" i="2"/>
  <c r="S31" i="2"/>
  <c r="AB66" i="2"/>
  <c r="D38" i="2"/>
  <c r="AB88" i="2" s="1"/>
  <c r="G40" i="2"/>
  <c r="AB67" i="2"/>
  <c r="D46" i="2"/>
  <c r="AB89" i="2" s="1"/>
  <c r="G47" i="2"/>
  <c r="U47" i="2"/>
  <c r="AB68" i="2"/>
  <c r="D53" i="2"/>
  <c r="AB90" i="2" s="1"/>
  <c r="G53" i="2"/>
  <c r="AB69" i="2"/>
  <c r="D60" i="2"/>
  <c r="AB91" i="2" s="1"/>
  <c r="G60" i="2"/>
  <c r="Q4" i="3"/>
  <c r="P4" i="3"/>
  <c r="T4" i="3"/>
  <c r="Q5" i="3"/>
  <c r="P5" i="3"/>
  <c r="T5" i="3"/>
  <c r="Q6" i="3"/>
  <c r="P6" i="3"/>
  <c r="T6" i="3"/>
  <c r="Q7" i="3"/>
  <c r="P7" i="3"/>
  <c r="T7" i="3"/>
  <c r="Q8" i="3"/>
  <c r="P8" i="3"/>
  <c r="T8" i="3"/>
  <c r="Q9" i="3"/>
  <c r="P9" i="3"/>
  <c r="H18" i="5"/>
  <c r="T9" i="3"/>
  <c r="Q10" i="3"/>
  <c r="P10" i="3"/>
  <c r="T10" i="3"/>
  <c r="Q11" i="3"/>
  <c r="P11" i="3"/>
  <c r="T11" i="3"/>
  <c r="Q12" i="3"/>
  <c r="P12" i="3"/>
  <c r="H12" i="5"/>
  <c r="T12" i="3"/>
  <c r="Q13" i="3"/>
  <c r="P13" i="3"/>
  <c r="T13" i="3"/>
  <c r="Q14" i="3"/>
  <c r="P14" i="3"/>
  <c r="T14" i="3"/>
  <c r="Q15" i="3"/>
  <c r="P15" i="3"/>
  <c r="T15" i="3"/>
  <c r="Q16" i="3"/>
  <c r="P16" i="3"/>
  <c r="T16" i="3"/>
  <c r="Q17" i="3"/>
  <c r="P17" i="3"/>
  <c r="T17" i="3"/>
  <c r="Q18" i="3"/>
  <c r="P18" i="3"/>
  <c r="H15" i="5"/>
  <c r="T18" i="3"/>
  <c r="Q19" i="3"/>
  <c r="P19" i="3"/>
  <c r="T19" i="3"/>
  <c r="Q20" i="3"/>
  <c r="P20" i="3"/>
  <c r="T20" i="3"/>
  <c r="Q21" i="3"/>
  <c r="P21" i="3"/>
  <c r="T21" i="3"/>
  <c r="Q22" i="3"/>
  <c r="P22" i="3"/>
  <c r="T22" i="3"/>
  <c r="Q23" i="3"/>
  <c r="P23" i="3"/>
  <c r="T23" i="3"/>
  <c r="Q24" i="3"/>
  <c r="P24" i="3"/>
  <c r="T24" i="3"/>
  <c r="Q25" i="3"/>
  <c r="P25" i="3"/>
  <c r="T25" i="3"/>
  <c r="Q26" i="3"/>
  <c r="P26" i="3"/>
  <c r="T26" i="3"/>
  <c r="Q27" i="3"/>
  <c r="P27" i="3"/>
  <c r="T27" i="3"/>
  <c r="Q28" i="3"/>
  <c r="P28" i="3"/>
  <c r="T28" i="3"/>
  <c r="Q29" i="3"/>
  <c r="P29" i="3"/>
  <c r="T29" i="3"/>
  <c r="Q30" i="3"/>
  <c r="P30" i="3"/>
  <c r="T30" i="3"/>
  <c r="Q31" i="3"/>
  <c r="P31" i="3"/>
  <c r="T31" i="3"/>
  <c r="Q32" i="3"/>
  <c r="P32" i="3"/>
  <c r="T32" i="3"/>
  <c r="Q33" i="3"/>
  <c r="P33" i="3"/>
  <c r="T33" i="3"/>
  <c r="Q34" i="3"/>
  <c r="P34" i="3"/>
  <c r="T34" i="3"/>
  <c r="Q35" i="3"/>
  <c r="P35" i="3"/>
  <c r="T35" i="3"/>
  <c r="Q36" i="3"/>
  <c r="P36" i="3"/>
  <c r="T36" i="3"/>
  <c r="Q37" i="3"/>
  <c r="P37" i="3"/>
  <c r="T37" i="3"/>
  <c r="Q38" i="3"/>
  <c r="P38" i="3"/>
  <c r="T38" i="3"/>
  <c r="Q39" i="3"/>
  <c r="P39" i="3"/>
  <c r="T39" i="3"/>
  <c r="Q40" i="3"/>
  <c r="P40" i="3"/>
  <c r="T40" i="3"/>
  <c r="Q41" i="3"/>
  <c r="P41" i="3"/>
  <c r="T41" i="3"/>
  <c r="Q42" i="3"/>
  <c r="P42" i="3"/>
  <c r="T42" i="3"/>
  <c r="Q43" i="3"/>
  <c r="P43" i="3"/>
  <c r="E23" i="5"/>
  <c r="F10" i="5"/>
  <c r="G10" i="5" s="1"/>
  <c r="C71" i="3"/>
  <c r="C74" i="3" s="1"/>
  <c r="H10" i="5"/>
  <c r="C78" i="3"/>
  <c r="T43" i="3"/>
  <c r="Q44" i="3"/>
  <c r="P44" i="3"/>
  <c r="C80" i="3"/>
  <c r="T44" i="3"/>
  <c r="Q45" i="3"/>
  <c r="P45" i="3"/>
  <c r="C75" i="3"/>
  <c r="D71" i="3"/>
  <c r="D74" i="3" s="1"/>
  <c r="C79" i="3"/>
  <c r="T45" i="3"/>
  <c r="Q46" i="3"/>
  <c r="P46" i="3"/>
  <c r="D80" i="3"/>
  <c r="T46" i="3"/>
  <c r="Q47" i="3"/>
  <c r="P47" i="3"/>
  <c r="D75" i="3"/>
  <c r="D79" i="3"/>
  <c r="T47" i="3"/>
  <c r="Q48" i="3"/>
  <c r="P48" i="3"/>
  <c r="T48" i="3"/>
  <c r="Q49" i="3"/>
  <c r="P49" i="3"/>
  <c r="T49" i="3"/>
  <c r="Q50" i="3"/>
  <c r="P50" i="3"/>
  <c r="E78" i="3"/>
  <c r="T50" i="3"/>
  <c r="Q51" i="3"/>
  <c r="P51" i="3"/>
  <c r="E80" i="3"/>
  <c r="T51" i="3"/>
  <c r="Q52" i="3"/>
  <c r="P52" i="3"/>
  <c r="E75" i="3"/>
  <c r="F71" i="3"/>
  <c r="F74" i="3" s="1"/>
  <c r="E79" i="3"/>
  <c r="T52" i="3"/>
  <c r="Q53" i="3"/>
  <c r="P53" i="3"/>
  <c r="F80" i="3"/>
  <c r="T53" i="3"/>
  <c r="Q54" i="3"/>
  <c r="P54" i="3"/>
  <c r="F75" i="3"/>
  <c r="G71" i="3"/>
  <c r="G74" i="3" s="1"/>
  <c r="F79" i="3"/>
  <c r="G78" i="3"/>
  <c r="T54" i="3"/>
  <c r="Q55" i="3"/>
  <c r="P55" i="3"/>
  <c r="G80" i="3"/>
  <c r="T55" i="3"/>
  <c r="Q56" i="3"/>
  <c r="P56" i="3"/>
  <c r="G75" i="3"/>
  <c r="H71" i="3"/>
  <c r="H74" i="3" s="1"/>
  <c r="G79" i="3"/>
  <c r="T56" i="3"/>
  <c r="Q57" i="3"/>
  <c r="P57" i="3"/>
  <c r="H80" i="3"/>
  <c r="T57" i="3"/>
  <c r="Q58" i="3"/>
  <c r="P58" i="3"/>
  <c r="H75" i="3"/>
  <c r="I71" i="3"/>
  <c r="H79" i="3"/>
  <c r="T58" i="3"/>
  <c r="Q59" i="3"/>
  <c r="P59" i="3"/>
  <c r="I80" i="3"/>
  <c r="T59" i="3"/>
  <c r="Q60" i="3"/>
  <c r="P60" i="3"/>
  <c r="T60" i="3"/>
  <c r="Q61" i="3"/>
  <c r="P61" i="3"/>
  <c r="L10" i="5"/>
  <c r="M10" i="5" s="1"/>
  <c r="I72" i="3"/>
  <c r="N10" i="5"/>
  <c r="I79" i="3"/>
  <c r="T61" i="3"/>
  <c r="Q62" i="3"/>
  <c r="P62" i="3"/>
  <c r="K26" i="5"/>
  <c r="M25" i="5"/>
  <c r="M26" i="5" s="1"/>
  <c r="T62" i="3"/>
  <c r="Q63" i="3"/>
  <c r="P63" i="3"/>
  <c r="T63" i="3"/>
  <c r="Q64" i="3"/>
  <c r="P64" i="3"/>
  <c r="T64" i="3"/>
  <c r="Q65" i="3"/>
  <c r="P65" i="3"/>
  <c r="T65" i="3"/>
  <c r="M11" i="5"/>
  <c r="E26" i="5"/>
  <c r="G25" i="5"/>
  <c r="G26" i="5" s="1"/>
  <c r="AD93" i="2" l="1"/>
  <c r="I78" i="3"/>
  <c r="I74" i="3"/>
  <c r="I75" i="3" s="1"/>
  <c r="H78" i="3"/>
  <c r="G81" i="3"/>
  <c r="G82" i="3" s="1"/>
  <c r="F78" i="3"/>
  <c r="E81" i="3"/>
  <c r="E82" i="3" s="1"/>
  <c r="D78" i="3"/>
  <c r="J75" i="3"/>
  <c r="C81" i="3"/>
  <c r="J74" i="3"/>
  <c r="B31" i="5" s="1"/>
  <c r="AF58" i="2"/>
  <c r="AF71" i="2" s="1"/>
  <c r="Y16" i="2"/>
  <c r="Y17" i="2" s="1"/>
  <c r="AF80" i="2" s="1"/>
  <c r="AF93" i="2" s="1"/>
  <c r="Y33" i="2"/>
  <c r="AB71" i="2"/>
  <c r="AE73" i="2" s="1"/>
  <c r="I104" i="1"/>
  <c r="K31" i="5" s="1"/>
  <c r="I94" i="1"/>
  <c r="G31" i="5" s="1"/>
  <c r="G15" i="5"/>
  <c r="G23" i="5" s="1"/>
  <c r="F23" i="5" s="1"/>
  <c r="AB85" i="2"/>
  <c r="J63" i="2"/>
  <c r="AB84" i="2"/>
  <c r="J55" i="2"/>
  <c r="AB93" i="2" l="1"/>
  <c r="AE95" i="2"/>
  <c r="C82" i="3"/>
  <c r="D81" i="3"/>
  <c r="D82" i="3"/>
  <c r="F81" i="3"/>
  <c r="F82" i="3"/>
  <c r="H81" i="3"/>
  <c r="H82" i="3"/>
  <c r="I81" i="3"/>
  <c r="I82" i="3"/>
  <c r="J81" i="3" l="1"/>
  <c r="J82" i="3"/>
  <c r="H23" i="5"/>
</calcChain>
</file>

<file path=xl/sharedStrings.xml><?xml version="1.0" encoding="utf-8"?>
<sst xmlns="http://schemas.openxmlformats.org/spreadsheetml/2006/main" count="373" uniqueCount="147">
  <si>
    <t>Valores Calculados</t>
  </si>
  <si>
    <t>TMS</t>
  </si>
  <si>
    <t>%FeT</t>
  </si>
  <si>
    <t>%FeMag</t>
  </si>
  <si>
    <t>Recepción P55</t>
  </si>
  <si>
    <t>Delta Stock P55</t>
  </si>
  <si>
    <t>Alim P55</t>
  </si>
  <si>
    <t>Recepción Alianza</t>
  </si>
  <si>
    <t>Delta Stock Alianza</t>
  </si>
  <si>
    <t>Alim Alianza</t>
  </si>
  <si>
    <t>Recepción P40</t>
  </si>
  <si>
    <t>Delta Stock P40</t>
  </si>
  <si>
    <t>Alim P40</t>
  </si>
  <si>
    <t>Recepción Repulpeo</t>
  </si>
  <si>
    <t>Delta Stock Repulpeo</t>
  </si>
  <si>
    <t>Alim Repulpeo</t>
  </si>
  <si>
    <t>Recepción Hnos araya</t>
  </si>
  <si>
    <t>Delta Stock Hnos Araya</t>
  </si>
  <si>
    <t>Alim Hnos Araya</t>
  </si>
  <si>
    <t>Recep San Andrés</t>
  </si>
  <si>
    <t>Delta Stock San Andrés</t>
  </si>
  <si>
    <t>Alim San Andrés</t>
  </si>
  <si>
    <t>Recep A&amp;Q</t>
  </si>
  <si>
    <t>Delta Stock A&amp;Q</t>
  </si>
  <si>
    <t>Alim A&amp;Q</t>
  </si>
  <si>
    <t>Alimentación</t>
  </si>
  <si>
    <t>Recep Autech</t>
  </si>
  <si>
    <t>Concentrado</t>
  </si>
  <si>
    <t>Delta Stock Autech</t>
  </si>
  <si>
    <t>Cola</t>
  </si>
  <si>
    <t>Alim Autech</t>
  </si>
  <si>
    <t>Recepción 1</t>
  </si>
  <si>
    <t>Delta Stock 1</t>
  </si>
  <si>
    <t>Rec Met Calc</t>
  </si>
  <si>
    <t>Alim 1</t>
  </si>
  <si>
    <t>Recepción 2</t>
  </si>
  <si>
    <t>Delta Stock 2</t>
  </si>
  <si>
    <t>Alim 2</t>
  </si>
  <si>
    <t>Recepción 3</t>
  </si>
  <si>
    <t>Delta Stock 3</t>
  </si>
  <si>
    <t>Alim 3</t>
  </si>
  <si>
    <t>Recepción 4</t>
  </si>
  <si>
    <t>Delta Stock 4</t>
  </si>
  <si>
    <t>Alim 4</t>
  </si>
  <si>
    <t>Espesador a Bz Intermedio</t>
  </si>
  <si>
    <t>Rp Etapa</t>
  </si>
  <si>
    <t>Delta Stock Intermedio</t>
  </si>
  <si>
    <t>Descarga Intermedio</t>
  </si>
  <si>
    <t>Alimentación CMCC</t>
  </si>
  <si>
    <t>Cola Rougher 1</t>
  </si>
  <si>
    <t>Conc Rougher 1</t>
  </si>
  <si>
    <t>Cola Rougher 2</t>
  </si>
  <si>
    <t>Conc Rougher  2</t>
  </si>
  <si>
    <t>Rechazos Gruesos</t>
  </si>
  <si>
    <t>Alimentaciones consolidades Stocks</t>
  </si>
  <si>
    <t>Alim Hidro</t>
  </si>
  <si>
    <t>Cola Hidro</t>
  </si>
  <si>
    <t>Conc Hidro</t>
  </si>
  <si>
    <t>Cola Finisher</t>
  </si>
  <si>
    <t>Conc Finisher</t>
  </si>
  <si>
    <t>Cola Flotación Magnética</t>
  </si>
  <si>
    <t>Conc Flotación Magnética</t>
  </si>
  <si>
    <t>Cola Flotación Neumática</t>
  </si>
  <si>
    <t>Conc Flotación Neumática</t>
  </si>
  <si>
    <t>Cola Espesador</t>
  </si>
  <si>
    <t>Delta INV Espesador</t>
  </si>
  <si>
    <t>Producción PM</t>
  </si>
  <si>
    <t>Relave Final</t>
  </si>
  <si>
    <t>Rebose ciclones a hidro</t>
  </si>
  <si>
    <t>CR2 a Desaguado</t>
  </si>
  <si>
    <t>CR2 a Molienda</t>
  </si>
  <si>
    <t>Repulpeo</t>
  </si>
  <si>
    <t>T2</t>
  </si>
  <si>
    <t>T3</t>
  </si>
  <si>
    <t>BALANCE GLOBAL MASA</t>
  </si>
  <si>
    <t>ENTRADAS</t>
  </si>
  <si>
    <t>VARIACIONES DE INVENTARIOS</t>
  </si>
  <si>
    <t>SALIDAS</t>
  </si>
  <si>
    <t>T4</t>
  </si>
  <si>
    <t>San Andres</t>
  </si>
  <si>
    <t>Relaves</t>
  </si>
  <si>
    <r>
      <rPr>
        <sz val="11"/>
        <color rgb="FF000000"/>
        <rFont val="Calibri"/>
        <family val="2"/>
        <charset val="1"/>
      </rPr>
      <t xml:space="preserve">PRODUCCIÓN </t>
    </r>
    <r>
      <rPr>
        <b/>
        <sz val="11"/>
        <color rgb="FF000000"/>
        <rFont val="Calibri"/>
        <family val="2"/>
        <charset val="1"/>
      </rPr>
      <t>PM</t>
    </r>
  </si>
  <si>
    <t>A&amp;Q</t>
  </si>
  <si>
    <t>Delta Invent Cancha/Repulpeo</t>
  </si>
  <si>
    <t>T1</t>
  </si>
  <si>
    <t>Delta T1</t>
  </si>
  <si>
    <t>Delta T2</t>
  </si>
  <si>
    <t>Delta T3</t>
  </si>
  <si>
    <t>Delta T4</t>
  </si>
  <si>
    <t>TOTAL ENTRADAS</t>
  </si>
  <si>
    <t xml:space="preserve">VAR NETA </t>
  </si>
  <si>
    <t>Autech</t>
  </si>
  <si>
    <t>ENTRADAS - VAR INVENTARIO - SALIDAS</t>
  </si>
  <si>
    <t>BALANCE GLOBAL FINOS</t>
  </si>
  <si>
    <t>Mediciones</t>
  </si>
  <si>
    <t>Balance</t>
  </si>
  <si>
    <t>% Cambio relativo</t>
  </si>
  <si>
    <t>Max Var Ton</t>
  </si>
  <si>
    <t>Max Var  FeT</t>
  </si>
  <si>
    <t>Max Var  FeMag</t>
  </si>
  <si>
    <t>FeMag &lt; FeT</t>
  </si>
  <si>
    <t>Flujos</t>
  </si>
  <si>
    <t>Ley FeT</t>
  </si>
  <si>
    <t>Ley FeMag</t>
  </si>
  <si>
    <t>TMSD</t>
  </si>
  <si>
    <t>%Fe T</t>
  </si>
  <si>
    <t>%Fe M</t>
  </si>
  <si>
    <t>Fe total (%)</t>
  </si>
  <si>
    <t>R1</t>
  </si>
  <si>
    <t>R2</t>
  </si>
  <si>
    <t>Hidro</t>
  </si>
  <si>
    <t>Finisher</t>
  </si>
  <si>
    <t>Flot. Magnética</t>
  </si>
  <si>
    <t>Flot Neumática</t>
  </si>
  <si>
    <t>Esp. Concentrado</t>
  </si>
  <si>
    <t>Total (Planta)</t>
  </si>
  <si>
    <t xml:space="preserve">Alimentación </t>
  </si>
  <si>
    <t xml:space="preserve">Concentrado </t>
  </si>
  <si>
    <t>Rp</t>
  </si>
  <si>
    <t>Rm</t>
  </si>
  <si>
    <t>Fe Magnético (%)</t>
  </si>
  <si>
    <t>Rmm</t>
  </si>
  <si>
    <t>Pellet Feed</t>
  </si>
  <si>
    <t>Produccion Filtrado</t>
  </si>
  <si>
    <t>BALANCE METALÚRGICO - VALLE COPIAPO</t>
  </si>
  <si>
    <t>REPORTE DE PLANTA MAGNETITA</t>
  </si>
  <si>
    <t>TONELAJE</t>
  </si>
  <si>
    <t>LEY</t>
  </si>
  <si>
    <t>FINO</t>
  </si>
  <si>
    <t>% FeT</t>
  </si>
  <si>
    <t>TMF</t>
  </si>
  <si>
    <t>% Fe Mag</t>
  </si>
  <si>
    <t>SALIDA</t>
  </si>
  <si>
    <t>Relaves CCMC</t>
  </si>
  <si>
    <t>Produccion Planta</t>
  </si>
  <si>
    <t>Alim Terceros 1</t>
  </si>
  <si>
    <t>Alim Terceros 2</t>
  </si>
  <si>
    <t>Alim Terceros 3</t>
  </si>
  <si>
    <t>Alim Terceros 4</t>
  </si>
  <si>
    <t>TOTAL</t>
  </si>
  <si>
    <t>EMBARQUES</t>
  </si>
  <si>
    <t xml:space="preserve">PÉRDIDAS </t>
  </si>
  <si>
    <t>INDICADORES PLANTA MAGNETITA</t>
  </si>
  <si>
    <t>RECUPERACIÓN EN PESO</t>
  </si>
  <si>
    <t>RECUPERACIÓN METALÚRGICA</t>
  </si>
  <si>
    <t>RECUPERACIÓN MAGNÉTICA METALÚRGICA</t>
  </si>
  <si>
    <t>Alim Marcela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</si>
</sst>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* #,##0.00_-;\-* #,##0.00_-;_-* \-??_-;_-@_-"/>
    <numFmt numFmtId="165" formatCode="0.00\ %"/>
    <numFmt numFmtId="166" formatCode="0.0%"/>
    <numFmt numFmtId="167" formatCode="0\ %"/>
    <numFmt numFmtId="168" formatCode="#,##0_ ;\-#,##0\ "/>
    <numFmt numFmtId="169" formatCode="dd/mm/yyyy;@"/>
    <numFmt numFmtId="170" formatCode="#,##0.00_ ;\-#,##0.00\ "/>
  </numFmts>
  <fonts count="36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2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1"/>
      <color rgb="FF843C0B"/>
      <name val="Calibri"/>
      <family val="2"/>
      <charset val="1"/>
    </font>
    <font>
      <b/>
      <sz val="11"/>
      <color rgb="FF2E75B6"/>
      <name val="Calibri"/>
      <family val="2"/>
      <charset val="1"/>
    </font>
    <font>
      <sz val="11"/>
      <color rgb="FF7F7F7F"/>
      <name val="Calibri"/>
      <family val="2"/>
      <charset val="1"/>
    </font>
    <font>
      <b/>
      <sz val="16"/>
      <color rgb="FF000000"/>
      <name val="Calibri"/>
      <family val="2"/>
      <charset val="1"/>
    </font>
    <font>
      <sz val="16"/>
      <color rgb="FF000000"/>
      <name val="Calibri"/>
      <family val="2"/>
      <charset val="1"/>
    </font>
    <font>
      <sz val="14"/>
      <name val="Calibri"/>
      <family val="2"/>
      <charset val="1"/>
    </font>
    <font>
      <sz val="10"/>
      <color rgb="FF44546A"/>
      <name val="Calibri"/>
      <family val="2"/>
      <charset val="1"/>
    </font>
    <font>
      <sz val="11"/>
      <color rgb="FF44546A"/>
      <name val="Calibri"/>
      <family val="2"/>
      <charset val="1"/>
    </font>
    <font>
      <b/>
      <sz val="12"/>
      <color rgb="FF44546A"/>
      <name val="Calibri"/>
      <family val="2"/>
      <charset val="1"/>
    </font>
    <font>
      <sz val="8"/>
      <color rgb="FF44546A"/>
      <name val="Calibri"/>
      <family val="2"/>
      <charset val="1"/>
    </font>
    <font>
      <b/>
      <sz val="8"/>
      <color rgb="FF44546A"/>
      <name val="Calibri"/>
      <family val="2"/>
      <charset val="1"/>
    </font>
    <font>
      <b/>
      <sz val="8"/>
      <color rgb="FFFFFFFF"/>
      <name val="Calibri"/>
      <family val="2"/>
      <charset val="1"/>
    </font>
    <font>
      <sz val="8"/>
      <name val="Calibri"/>
      <family val="2"/>
      <charset val="1"/>
    </font>
    <font>
      <b/>
      <sz val="8"/>
      <name val="Calibri"/>
      <family val="2"/>
      <charset val="1"/>
    </font>
    <font>
      <b/>
      <sz val="10"/>
      <color rgb="FFFFFFFF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8"/>
      <color rgb="FFFF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name val="Calibri (Body)"/>
      <charset val="1"/>
    </font>
    <font>
      <b/>
      <sz val="14"/>
      <name val="Calibri (Body)"/>
      <charset val="1"/>
    </font>
    <font>
      <b/>
      <sz val="12"/>
      <name val="Calibri (Body)"/>
      <charset val="1"/>
    </font>
    <font>
      <b/>
      <sz val="14"/>
      <name val="Calibri"/>
      <family val="2"/>
      <charset val="1"/>
    </font>
    <font>
      <sz val="12"/>
      <name val="Calibri"/>
      <family val="2"/>
      <charset val="1"/>
    </font>
    <font>
      <b/>
      <sz val="12"/>
      <name val="Calibri"/>
      <family val="2"/>
      <charset val="1"/>
    </font>
    <font>
      <b/>
      <sz val="11"/>
      <name val="Calibri (Body)"/>
      <charset val="1"/>
    </font>
    <font>
      <sz val="18"/>
      <name val="Calibri"/>
      <family val="2"/>
      <charset val="1"/>
    </font>
    <font>
      <b/>
      <sz val="11"/>
      <name val="Calibri"/>
      <family val="2"/>
      <charset val="1"/>
    </font>
    <font>
      <sz val="14"/>
      <name val="Calibri (Body)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5E0B4"/>
        <bgColor rgb="FFC6EFCE"/>
      </patternFill>
    </fill>
    <fill>
      <patternFill patternType="solid">
        <fgColor rgb="FFE2F0D9"/>
        <bgColor rgb="FFE7E6E6"/>
      </patternFill>
    </fill>
    <fill>
      <patternFill patternType="solid">
        <fgColor rgb="FF767171"/>
        <bgColor rgb="FF7F7F7F"/>
      </patternFill>
    </fill>
    <fill>
      <patternFill patternType="solid">
        <fgColor rgb="FFFFF2CC"/>
        <bgColor rgb="FFF2F2F2"/>
      </patternFill>
    </fill>
    <fill>
      <patternFill patternType="solid">
        <fgColor rgb="FFADB9CA"/>
        <bgColor rgb="FFD0CECE"/>
      </patternFill>
    </fill>
    <fill>
      <patternFill patternType="solid">
        <fgColor rgb="FFBDD7EE"/>
        <bgColor rgb="FFD0CECE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E7E6E6"/>
      </patternFill>
    </fill>
    <fill>
      <patternFill patternType="solid">
        <fgColor rgb="FF44546A"/>
        <bgColor rgb="FF333333"/>
      </patternFill>
    </fill>
    <fill>
      <patternFill patternType="solid">
        <fgColor rgb="FFE7E6E6"/>
        <bgColor rgb="FFE2F0D9"/>
      </patternFill>
    </fill>
    <fill>
      <patternFill patternType="solid">
        <fgColor rgb="FF00B0F0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medium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 style="medium">
        <color rgb="FFFFFFFF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</borders>
  <cellStyleXfs count="5">
    <xf numFmtId="0" fontId="0" fillId="0" borderId="0"/>
    <xf numFmtId="167" fontId="24" fillId="0" borderId="0" applyBorder="0" applyProtection="0"/>
    <xf numFmtId="164" fontId="24" fillId="0" borderId="0" applyBorder="0" applyProtection="0"/>
    <xf numFmtId="0" fontId="24" fillId="0" borderId="0"/>
    <xf numFmtId="0" fontId="1" fillId="0" borderId="0"/>
  </cellStyleXfs>
  <cellXfs count="219">
    <xf numFmtId="0" fontId="0" fillId="0" borderId="0" xfId="0"/>
    <xf numFmtId="0" fontId="0" fillId="0" borderId="0" xfId="0" applyAlignment="1">
      <alignment horizontal="center" wrapText="1"/>
    </xf>
    <xf numFmtId="0" fontId="3" fillId="0" borderId="0" xfId="0" applyFont="1"/>
    <xf numFmtId="0" fontId="0" fillId="0" borderId="0" xfId="0" applyAlignment="1">
      <alignment wrapText="1"/>
    </xf>
    <xf numFmtId="3" fontId="0" fillId="0" borderId="0" xfId="0" applyNumberFormat="1"/>
    <xf numFmtId="165" fontId="0" fillId="0" borderId="0" xfId="0" applyNumberFormat="1"/>
    <xf numFmtId="0" fontId="5" fillId="0" borderId="0" xfId="0" applyFon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6" fillId="0" borderId="0" xfId="0" applyFont="1"/>
    <xf numFmtId="0" fontId="2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3" fontId="4" fillId="0" borderId="0" xfId="0" applyNumberFormat="1" applyFont="1" applyAlignment="1">
      <alignment horizontal="left"/>
    </xf>
    <xf numFmtId="165" fontId="0" fillId="0" borderId="0" xfId="0" applyNumberFormat="1" applyAlignment="1">
      <alignment horizontal="left"/>
    </xf>
    <xf numFmtId="3" fontId="7" fillId="0" borderId="0" xfId="0" applyNumberFormat="1" applyFont="1" applyAlignment="1">
      <alignment horizontal="left"/>
    </xf>
    <xf numFmtId="3" fontId="8" fillId="0" borderId="0" xfId="0" applyNumberFormat="1" applyFont="1" applyAlignment="1">
      <alignment horizontal="left"/>
    </xf>
    <xf numFmtId="3" fontId="4" fillId="0" borderId="0" xfId="0" applyNumberFormat="1" applyFont="1" applyAlignment="1">
      <alignment horizontal="right"/>
    </xf>
    <xf numFmtId="165" fontId="0" fillId="0" borderId="0" xfId="0" applyNumberFormat="1" applyAlignment="1">
      <alignment horizontal="right"/>
    </xf>
    <xf numFmtId="3" fontId="7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center"/>
    </xf>
    <xf numFmtId="3" fontId="7" fillId="0" borderId="0" xfId="0" applyNumberFormat="1" applyFont="1" applyAlignment="1">
      <alignment horizontal="center"/>
    </xf>
    <xf numFmtId="3" fontId="4" fillId="0" borderId="8" xfId="0" applyNumberFormat="1" applyFont="1" applyBorder="1" applyAlignment="1">
      <alignment horizontal="left"/>
    </xf>
    <xf numFmtId="165" fontId="0" fillId="0" borderId="8" xfId="0" applyNumberFormat="1" applyBorder="1" applyAlignment="1">
      <alignment horizontal="left"/>
    </xf>
    <xf numFmtId="3" fontId="7" fillId="0" borderId="8" xfId="0" applyNumberFormat="1" applyFont="1" applyBorder="1" applyAlignment="1">
      <alignment horizontal="left"/>
    </xf>
    <xf numFmtId="3" fontId="0" fillId="0" borderId="8" xfId="0" applyNumberFormat="1" applyBorder="1"/>
    <xf numFmtId="3" fontId="4" fillId="0" borderId="0" xfId="0" applyNumberFormat="1" applyFont="1"/>
    <xf numFmtId="0" fontId="3" fillId="4" borderId="1" xfId="0" applyFont="1" applyFill="1" applyBorder="1" applyAlignment="1">
      <alignment vertical="center"/>
    </xf>
    <xf numFmtId="0" fontId="3" fillId="4" borderId="9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0" fillId="0" borderId="9" xfId="0" applyBorder="1" applyAlignment="1">
      <alignment vertical="center" wrapText="1"/>
    </xf>
    <xf numFmtId="3" fontId="0" fillId="0" borderId="1" xfId="0" applyNumberFormat="1" applyBorder="1" applyAlignment="1">
      <alignment horizontal="right" vertical="center" indent="1"/>
    </xf>
    <xf numFmtId="3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9" xfId="0" applyBorder="1" applyAlignment="1">
      <alignment vertical="center"/>
    </xf>
    <xf numFmtId="0" fontId="9" fillId="5" borderId="9" xfId="0" applyFont="1" applyFill="1" applyBorder="1" applyAlignment="1">
      <alignment vertical="center" wrapText="1"/>
    </xf>
    <xf numFmtId="0" fontId="0" fillId="0" borderId="9" xfId="0" applyBorder="1" applyAlignment="1">
      <alignment horizontal="left" vertical="center" indent="1"/>
    </xf>
    <xf numFmtId="0" fontId="9" fillId="5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5" fillId="0" borderId="1" xfId="0" applyNumberFormat="1" applyFont="1" applyBorder="1" applyAlignment="1">
      <alignment vertical="center"/>
    </xf>
    <xf numFmtId="3" fontId="6" fillId="0" borderId="1" xfId="0" applyNumberFormat="1" applyFont="1" applyBorder="1" applyAlignment="1">
      <alignment horizontal="left" vertical="center"/>
    </xf>
    <xf numFmtId="0" fontId="2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3" fontId="3" fillId="0" borderId="1" xfId="0" applyNumberFormat="1" applyFont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" fillId="6" borderId="9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3" fillId="8" borderId="1" xfId="0" applyFont="1" applyFill="1" applyBorder="1"/>
    <xf numFmtId="0" fontId="3" fillId="3" borderId="1" xfId="0" applyFont="1" applyFill="1" applyBorder="1" applyAlignment="1">
      <alignment wrapText="1"/>
    </xf>
    <xf numFmtId="0" fontId="10" fillId="3" borderId="1" xfId="0" applyFont="1" applyFill="1" applyBorder="1" applyAlignment="1">
      <alignment wrapText="1"/>
    </xf>
    <xf numFmtId="0" fontId="3" fillId="7" borderId="1" xfId="0" applyFont="1" applyFill="1" applyBorder="1"/>
    <xf numFmtId="0" fontId="5" fillId="2" borderId="1" xfId="3" applyFont="1" applyFill="1" applyBorder="1" applyAlignment="1">
      <alignment horizontal="center"/>
    </xf>
    <xf numFmtId="165" fontId="3" fillId="6" borderId="1" xfId="0" applyNumberFormat="1" applyFont="1" applyFill="1" applyBorder="1"/>
    <xf numFmtId="0" fontId="0" fillId="7" borderId="1" xfId="0" applyFill="1" applyBorder="1"/>
    <xf numFmtId="3" fontId="5" fillId="0" borderId="1" xfId="0" applyNumberFormat="1" applyFont="1" applyBorder="1"/>
    <xf numFmtId="165" fontId="5" fillId="0" borderId="1" xfId="0" applyNumberFormat="1" applyFont="1" applyBorder="1"/>
    <xf numFmtId="166" fontId="5" fillId="0" borderId="1" xfId="0" applyNumberFormat="1" applyFont="1" applyBorder="1"/>
    <xf numFmtId="0" fontId="11" fillId="0" borderId="1" xfId="0" applyFont="1" applyBorder="1" applyAlignment="1">
      <alignment horizontal="center"/>
    </xf>
    <xf numFmtId="165" fontId="0" fillId="0" borderId="14" xfId="0" applyNumberFormat="1" applyBorder="1"/>
    <xf numFmtId="166" fontId="0" fillId="0" borderId="0" xfId="0" applyNumberFormat="1"/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6" borderId="15" xfId="0" applyFill="1" applyBorder="1"/>
    <xf numFmtId="0" fontId="0" fillId="6" borderId="15" xfId="0" applyFill="1" applyBorder="1" applyAlignment="1">
      <alignment horizontal="center"/>
    </xf>
    <xf numFmtId="165" fontId="0" fillId="6" borderId="15" xfId="0" applyNumberFormat="1" applyFill="1" applyBorder="1" applyAlignment="1">
      <alignment horizontal="center"/>
    </xf>
    <xf numFmtId="0" fontId="0" fillId="6" borderId="16" xfId="0" applyFill="1" applyBorder="1"/>
    <xf numFmtId="165" fontId="0" fillId="0" borderId="16" xfId="0" applyNumberFormat="1" applyBorder="1" applyAlignment="1">
      <alignment horizontal="center"/>
    </xf>
    <xf numFmtId="0" fontId="0" fillId="0" borderId="17" xfId="0" applyBorder="1"/>
    <xf numFmtId="0" fontId="0" fillId="0" borderId="16" xfId="0" applyBorder="1"/>
    <xf numFmtId="0" fontId="0" fillId="6" borderId="18" xfId="0" applyFill="1" applyBorder="1"/>
    <xf numFmtId="165" fontId="0" fillId="0" borderId="18" xfId="0" applyNumberFormat="1" applyBorder="1" applyAlignment="1">
      <alignment horizontal="center"/>
    </xf>
    <xf numFmtId="0" fontId="0" fillId="0" borderId="18" xfId="0" applyBorder="1"/>
    <xf numFmtId="2" fontId="0" fillId="0" borderId="15" xfId="0" applyNumberFormat="1" applyBorder="1" applyAlignment="1">
      <alignment horizontal="center"/>
    </xf>
    <xf numFmtId="1" fontId="0" fillId="0" borderId="0" xfId="0" applyNumberFormat="1"/>
    <xf numFmtId="0" fontId="4" fillId="0" borderId="1" xfId="0" applyFont="1" applyBorder="1"/>
    <xf numFmtId="1" fontId="12" fillId="0" borderId="19" xfId="2" applyNumberFormat="1" applyFont="1" applyBorder="1" applyAlignment="1" applyProtection="1">
      <alignment horizontal="right" vertical="center"/>
    </xf>
    <xf numFmtId="165" fontId="12" fillId="0" borderId="19" xfId="2" applyNumberFormat="1" applyFont="1" applyBorder="1" applyAlignment="1" applyProtection="1">
      <alignment horizontal="right" vertical="center"/>
    </xf>
    <xf numFmtId="165" fontId="0" fillId="0" borderId="1" xfId="0" applyNumberFormat="1" applyBorder="1"/>
    <xf numFmtId="1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13" fillId="9" borderId="5" xfId="4" applyFont="1" applyFill="1" applyBorder="1" applyAlignment="1">
      <alignment horizontal="center" vertical="center"/>
    </xf>
    <xf numFmtId="168" fontId="13" fillId="9" borderId="6" xfId="2" applyNumberFormat="1" applyFont="1" applyFill="1" applyBorder="1" applyAlignment="1" applyProtection="1">
      <alignment horizontal="center"/>
    </xf>
    <xf numFmtId="168" fontId="13" fillId="9" borderId="8" xfId="2" applyNumberFormat="1" applyFont="1" applyFill="1" applyBorder="1" applyAlignment="1" applyProtection="1">
      <alignment horizontal="center"/>
    </xf>
    <xf numFmtId="165" fontId="16" fillId="0" borderId="1" xfId="1" applyNumberFormat="1" applyFont="1" applyBorder="1" applyAlignment="1" applyProtection="1">
      <alignment horizontal="center" vertical="center"/>
    </xf>
    <xf numFmtId="168" fontId="19" fillId="0" borderId="1" xfId="2" applyNumberFormat="1" applyFont="1" applyBorder="1" applyAlignment="1" applyProtection="1">
      <alignment horizontal="center" vertical="center"/>
    </xf>
    <xf numFmtId="165" fontId="19" fillId="0" borderId="1" xfId="1" applyNumberFormat="1" applyFont="1" applyBorder="1" applyAlignment="1" applyProtection="1">
      <alignment horizontal="center" vertical="center"/>
    </xf>
    <xf numFmtId="3" fontId="16" fillId="9" borderId="1" xfId="2" applyNumberFormat="1" applyFont="1" applyFill="1" applyBorder="1" applyAlignment="1" applyProtection="1">
      <alignment horizontal="center" vertical="center"/>
    </xf>
    <xf numFmtId="165" fontId="16" fillId="9" borderId="1" xfId="2" applyNumberFormat="1" applyFont="1" applyFill="1" applyBorder="1" applyAlignment="1" applyProtection="1">
      <alignment horizontal="center" vertical="center"/>
    </xf>
    <xf numFmtId="3" fontId="16" fillId="0" borderId="1" xfId="1" applyNumberFormat="1" applyFont="1" applyBorder="1" applyAlignment="1" applyProtection="1">
      <alignment horizontal="center" vertical="center"/>
    </xf>
    <xf numFmtId="165" fontId="17" fillId="12" borderId="3" xfId="1" applyNumberFormat="1" applyFont="1" applyFill="1" applyBorder="1" applyAlignment="1" applyProtection="1">
      <alignment horizontal="center" vertical="center"/>
    </xf>
    <xf numFmtId="168" fontId="17" fillId="12" borderId="26" xfId="4" applyNumberFormat="1" applyFont="1" applyFill="1" applyBorder="1" applyAlignment="1">
      <alignment horizontal="center" vertical="center" wrapText="1"/>
    </xf>
    <xf numFmtId="168" fontId="19" fillId="0" borderId="19" xfId="2" applyNumberFormat="1" applyFont="1" applyBorder="1" applyAlignment="1" applyProtection="1">
      <alignment horizontal="center" vertical="center"/>
    </xf>
    <xf numFmtId="168" fontId="16" fillId="9" borderId="1" xfId="2" applyNumberFormat="1" applyFont="1" applyFill="1" applyBorder="1" applyAlignment="1" applyProtection="1">
      <alignment horizontal="center" vertical="center"/>
    </xf>
    <xf numFmtId="165" fontId="16" fillId="9" borderId="1" xfId="1" applyNumberFormat="1" applyFont="1" applyFill="1" applyBorder="1" applyAlignment="1" applyProtection="1">
      <alignment horizontal="center" vertical="center"/>
    </xf>
    <xf numFmtId="168" fontId="17" fillId="12" borderId="3" xfId="4" applyNumberFormat="1" applyFont="1" applyFill="1" applyBorder="1" applyAlignment="1">
      <alignment horizontal="center" vertical="center" wrapText="1"/>
    </xf>
    <xf numFmtId="168" fontId="13" fillId="9" borderId="0" xfId="2" applyNumberFormat="1" applyFont="1" applyFill="1" applyBorder="1" applyAlignment="1" applyProtection="1">
      <alignment horizontal="center"/>
    </xf>
    <xf numFmtId="170" fontId="23" fillId="0" borderId="0" xfId="2" applyNumberFormat="1" applyFont="1" applyBorder="1" applyAlignment="1" applyProtection="1">
      <alignment horizontal="center" vertical="center"/>
    </xf>
    <xf numFmtId="168" fontId="13" fillId="0" borderId="0" xfId="2" applyNumberFormat="1" applyFont="1" applyBorder="1" applyAlignment="1" applyProtection="1">
      <alignment horizontal="center"/>
    </xf>
    <xf numFmtId="168" fontId="20" fillId="12" borderId="1" xfId="4" applyNumberFormat="1" applyFont="1" applyFill="1" applyBorder="1" applyAlignment="1">
      <alignment horizontal="center" vertical="center" wrapText="1"/>
    </xf>
    <xf numFmtId="165" fontId="20" fillId="12" borderId="1" xfId="4" applyNumberFormat="1" applyFont="1" applyFill="1" applyBorder="1" applyAlignment="1">
      <alignment horizontal="center" vertical="center" wrapText="1"/>
    </xf>
    <xf numFmtId="168" fontId="17" fillId="12" borderId="1" xfId="4" applyNumberFormat="1" applyFont="1" applyFill="1" applyBorder="1" applyAlignment="1">
      <alignment horizontal="center" vertical="center" wrapText="1"/>
    </xf>
    <xf numFmtId="168" fontId="17" fillId="12" borderId="1" xfId="2" applyNumberFormat="1" applyFont="1" applyFill="1" applyBorder="1" applyAlignment="1" applyProtection="1">
      <alignment horizontal="center" vertical="center"/>
    </xf>
    <xf numFmtId="165" fontId="17" fillId="12" borderId="1" xfId="1" applyNumberFormat="1" applyFont="1" applyFill="1" applyBorder="1" applyAlignment="1" applyProtection="1">
      <alignment horizontal="center" vertical="center"/>
    </xf>
    <xf numFmtId="168" fontId="13" fillId="9" borderId="5" xfId="2" applyNumberFormat="1" applyFont="1" applyFill="1" applyBorder="1" applyAlignment="1" applyProtection="1">
      <alignment horizontal="center"/>
    </xf>
    <xf numFmtId="0" fontId="13" fillId="9" borderId="4" xfId="4" applyFont="1" applyFill="1" applyBorder="1" applyAlignment="1">
      <alignment horizontal="center" vertical="center"/>
    </xf>
    <xf numFmtId="0" fontId="13" fillId="9" borderId="7" xfId="4" applyFont="1" applyFill="1" applyBorder="1" applyAlignment="1">
      <alignment horizontal="center" vertical="center"/>
    </xf>
    <xf numFmtId="168" fontId="13" fillId="9" borderId="7" xfId="2" applyNumberFormat="1" applyFont="1" applyFill="1" applyBorder="1" applyAlignment="1" applyProtection="1">
      <alignment horizontal="center"/>
    </xf>
    <xf numFmtId="0" fontId="13" fillId="9" borderId="0" xfId="4" applyFont="1" applyFill="1"/>
    <xf numFmtId="14" fontId="13" fillId="9" borderId="0" xfId="4" applyNumberFormat="1" applyFont="1" applyFill="1"/>
    <xf numFmtId="0" fontId="13" fillId="9" borderId="0" xfId="4" applyFont="1" applyFill="1" applyAlignment="1">
      <alignment horizontal="center" vertical="center"/>
    </xf>
    <xf numFmtId="0" fontId="13" fillId="0" borderId="0" xfId="4" applyFont="1"/>
    <xf numFmtId="168" fontId="13" fillId="9" borderId="35" xfId="2" applyNumberFormat="1" applyFont="1" applyFill="1" applyBorder="1" applyAlignment="1" applyProtection="1">
      <alignment horizontal="center"/>
    </xf>
    <xf numFmtId="170" fontId="23" fillId="0" borderId="8" xfId="2" applyNumberFormat="1" applyFont="1" applyBorder="1" applyAlignment="1" applyProtection="1">
      <alignment horizontal="center" vertical="center"/>
    </xf>
    <xf numFmtId="168" fontId="13" fillId="9" borderId="11" xfId="2" applyNumberFormat="1" applyFont="1" applyFill="1" applyBorder="1" applyAlignment="1" applyProtection="1">
      <alignment horizontal="center"/>
    </xf>
    <xf numFmtId="168" fontId="13" fillId="9" borderId="12" xfId="2" applyNumberFormat="1" applyFont="1" applyFill="1" applyBorder="1" applyAlignment="1" applyProtection="1">
      <alignment horizontal="center"/>
    </xf>
    <xf numFmtId="0" fontId="13" fillId="0" borderId="12" xfId="4" applyFont="1" applyBorder="1"/>
    <xf numFmtId="170" fontId="23" fillId="0" borderId="13" xfId="2" applyNumberFormat="1" applyFont="1" applyBorder="1" applyAlignment="1" applyProtection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9" borderId="1" xfId="4" applyFont="1" applyFill="1" applyBorder="1" applyAlignment="1">
      <alignment horizontal="center" vertical="center"/>
    </xf>
    <xf numFmtId="3" fontId="16" fillId="0" borderId="1" xfId="2" applyNumberFormat="1" applyFont="1" applyBorder="1" applyAlignment="1" applyProtection="1">
      <alignment horizontal="center" vertical="center"/>
    </xf>
    <xf numFmtId="165" fontId="19" fillId="0" borderId="1" xfId="2" applyNumberFormat="1" applyFont="1" applyBorder="1" applyAlignment="1" applyProtection="1">
      <alignment horizontal="center" vertical="center"/>
    </xf>
    <xf numFmtId="165" fontId="19" fillId="0" borderId="19" xfId="1" applyNumberFormat="1" applyFont="1" applyBorder="1" applyAlignment="1" applyProtection="1">
      <alignment horizontal="center" vertical="center"/>
    </xf>
    <xf numFmtId="3" fontId="16" fillId="0" borderId="19" xfId="1" applyNumberFormat="1" applyFont="1" applyBorder="1" applyAlignment="1" applyProtection="1">
      <alignment horizontal="center" vertical="center"/>
    </xf>
    <xf numFmtId="10" fontId="17" fillId="12" borderId="30" xfId="4" applyNumberFormat="1" applyFont="1" applyFill="1" applyBorder="1" applyAlignment="1">
      <alignment horizontal="center" vertical="center" wrapText="1"/>
    </xf>
    <xf numFmtId="170" fontId="23" fillId="0" borderId="38" xfId="2" applyNumberFormat="1" applyFont="1" applyBorder="1" applyAlignment="1" applyProtection="1">
      <alignment horizontal="center" vertical="center"/>
    </xf>
    <xf numFmtId="168" fontId="16" fillId="0" borderId="0" xfId="2" applyNumberFormat="1" applyFont="1" applyBorder="1" applyAlignment="1" applyProtection="1">
      <alignment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center" wrapText="1"/>
    </xf>
    <xf numFmtId="0" fontId="27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7" fillId="0" borderId="0" xfId="0" applyFont="1"/>
    <xf numFmtId="0" fontId="27" fillId="0" borderId="0" xfId="0" applyFont="1" applyAlignment="1">
      <alignment wrapText="1"/>
    </xf>
    <xf numFmtId="0" fontId="29" fillId="0" borderId="0" xfId="0" applyFont="1"/>
    <xf numFmtId="0" fontId="12" fillId="0" borderId="0" xfId="0" applyFont="1"/>
    <xf numFmtId="0" fontId="30" fillId="0" borderId="0" xfId="0" applyFont="1"/>
    <xf numFmtId="0" fontId="26" fillId="0" borderId="0" xfId="0" applyFont="1" applyAlignment="1">
      <alignment horizontal="center"/>
    </xf>
    <xf numFmtId="3" fontId="26" fillId="0" borderId="0" xfId="0" applyNumberFormat="1" applyFont="1"/>
    <xf numFmtId="165" fontId="26" fillId="0" borderId="0" xfId="0" applyNumberFormat="1" applyFont="1"/>
    <xf numFmtId="3" fontId="25" fillId="0" borderId="0" xfId="0" applyNumberFormat="1" applyFont="1"/>
    <xf numFmtId="167" fontId="25" fillId="0" borderId="0" xfId="0" applyNumberFormat="1" applyFont="1"/>
    <xf numFmtId="3" fontId="31" fillId="0" borderId="0" xfId="0" applyNumberFormat="1" applyFont="1"/>
    <xf numFmtId="167" fontId="31" fillId="0" borderId="0" xfId="0" applyNumberFormat="1" applyFont="1"/>
    <xf numFmtId="3" fontId="5" fillId="13" borderId="1" xfId="0" applyNumberFormat="1" applyFont="1" applyFill="1" applyBorder="1"/>
    <xf numFmtId="165" fontId="5" fillId="13" borderId="1" xfId="0" applyNumberFormat="1" applyFont="1" applyFill="1" applyBorder="1"/>
    <xf numFmtId="0" fontId="31" fillId="0" borderId="0" xfId="0" applyFont="1" applyAlignment="1">
      <alignment horizontal="center" vertical="center" wrapText="1"/>
    </xf>
    <xf numFmtId="0" fontId="31" fillId="0" borderId="0" xfId="0" applyFont="1" applyAlignment="1">
      <alignment vertical="center"/>
    </xf>
    <xf numFmtId="0" fontId="25" fillId="0" borderId="0" xfId="0" applyFont="1" applyAlignment="1">
      <alignment horizontal="center" wrapText="1"/>
    </xf>
    <xf numFmtId="0" fontId="32" fillId="0" borderId="0" xfId="0" applyFont="1" applyAlignment="1">
      <alignment horizontal="center"/>
    </xf>
    <xf numFmtId="0" fontId="25" fillId="0" borderId="0" xfId="0" applyFont="1" applyAlignment="1">
      <alignment wrapText="1"/>
    </xf>
    <xf numFmtId="0" fontId="25" fillId="0" borderId="0" xfId="3" applyFont="1" applyAlignment="1">
      <alignment horizontal="center"/>
    </xf>
    <xf numFmtId="165" fontId="34" fillId="0" borderId="0" xfId="0" applyNumberFormat="1" applyFont="1"/>
    <xf numFmtId="166" fontId="25" fillId="0" borderId="0" xfId="0" applyNumberFormat="1" applyFont="1"/>
    <xf numFmtId="165" fontId="25" fillId="0" borderId="0" xfId="0" applyNumberFormat="1" applyFont="1"/>
    <xf numFmtId="165" fontId="31" fillId="0" borderId="0" xfId="0" applyNumberFormat="1" applyFont="1"/>
    <xf numFmtId="165" fontId="26" fillId="0" borderId="0" xfId="0" applyNumberFormat="1" applyFont="1" applyAlignment="1">
      <alignment horizontal="center"/>
    </xf>
    <xf numFmtId="2" fontId="26" fillId="0" borderId="0" xfId="0" applyNumberFormat="1" applyFont="1" applyAlignment="1">
      <alignment horizontal="center"/>
    </xf>
    <xf numFmtId="0" fontId="32" fillId="0" borderId="0" xfId="0" applyFont="1"/>
    <xf numFmtId="165" fontId="26" fillId="2" borderId="0" xfId="0" applyNumberFormat="1" applyFont="1" applyFill="1"/>
    <xf numFmtId="3" fontId="27" fillId="0" borderId="0" xfId="0" applyNumberFormat="1" applyFont="1"/>
    <xf numFmtId="165" fontId="27" fillId="0" borderId="0" xfId="0" applyNumberFormat="1" applyFont="1"/>
    <xf numFmtId="0" fontId="26" fillId="0" borderId="0" xfId="0" applyFont="1" applyAlignment="1">
      <alignment horizontal="right"/>
    </xf>
    <xf numFmtId="0" fontId="26" fillId="0" borderId="0" xfId="0" applyFont="1" applyAlignment="1">
      <alignment wrapText="1"/>
    </xf>
    <xf numFmtId="165" fontId="25" fillId="0" borderId="0" xfId="0" applyNumberFormat="1" applyFont="1" applyAlignment="1">
      <alignment horizontal="center"/>
    </xf>
    <xf numFmtId="2" fontId="25" fillId="0" borderId="0" xfId="0" applyNumberFormat="1" applyFont="1" applyAlignment="1">
      <alignment horizontal="center"/>
    </xf>
    <xf numFmtId="0" fontId="35" fillId="0" borderId="0" xfId="0" applyFont="1"/>
    <xf numFmtId="1" fontId="26" fillId="0" borderId="0" xfId="0" applyNumberFormat="1" applyFont="1"/>
    <xf numFmtId="0" fontId="25" fillId="0" borderId="0" xfId="0" applyFont="1" applyAlignment="1">
      <alignment horizontal="center"/>
    </xf>
    <xf numFmtId="3" fontId="25" fillId="0" borderId="0" xfId="0" applyNumberFormat="1" applyFont="1" applyAlignment="1">
      <alignment horizont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26" fillId="0" borderId="0" xfId="3" applyFont="1" applyAlignment="1">
      <alignment horizontal="center"/>
    </xf>
    <xf numFmtId="0" fontId="25" fillId="0" borderId="0" xfId="0" applyFont="1" applyAlignment="1">
      <alignment horizontal="left" wrapText="1"/>
    </xf>
    <xf numFmtId="0" fontId="25" fillId="0" borderId="0" xfId="3" applyFont="1" applyAlignment="1">
      <alignment horizontal="center"/>
    </xf>
    <xf numFmtId="0" fontId="32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31" fillId="0" borderId="0" xfId="3" applyFont="1" applyAlignment="1">
      <alignment horizontal="center" wrapText="1"/>
    </xf>
    <xf numFmtId="0" fontId="3" fillId="7" borderId="1" xfId="0" applyFont="1" applyFill="1" applyBorder="1" applyAlignment="1">
      <alignment horizontal="center"/>
    </xf>
    <xf numFmtId="0" fontId="3" fillId="2" borderId="1" xfId="3" applyFont="1" applyFill="1" applyBorder="1" applyAlignment="1">
      <alignment horizontal="center" wrapText="1"/>
    </xf>
    <xf numFmtId="165" fontId="13" fillId="0" borderId="18" xfId="1" applyNumberFormat="1" applyFont="1" applyBorder="1" applyAlignment="1" applyProtection="1">
      <alignment horizontal="center" vertical="center"/>
    </xf>
    <xf numFmtId="165" fontId="13" fillId="0" borderId="15" xfId="1" applyNumberFormat="1" applyFont="1" applyBorder="1" applyAlignment="1" applyProtection="1">
      <alignment horizontal="center" vertical="center"/>
    </xf>
    <xf numFmtId="165" fontId="13" fillId="0" borderId="31" xfId="1" applyNumberFormat="1" applyFont="1" applyBorder="1" applyAlignment="1" applyProtection="1">
      <alignment horizontal="center" vertical="center" wrapText="1"/>
    </xf>
    <xf numFmtId="165" fontId="13" fillId="0" borderId="1" xfId="1" applyNumberFormat="1" applyFont="1" applyBorder="1" applyAlignment="1" applyProtection="1">
      <alignment horizontal="center" vertical="center" wrapText="1"/>
    </xf>
    <xf numFmtId="165" fontId="13" fillId="0" borderId="25" xfId="1" applyNumberFormat="1" applyFont="1" applyBorder="1" applyAlignment="1" applyProtection="1">
      <alignment horizontal="center" vertical="center" wrapText="1"/>
    </xf>
    <xf numFmtId="165" fontId="13" fillId="0" borderId="39" xfId="1" applyNumberFormat="1" applyFont="1" applyBorder="1" applyAlignment="1" applyProtection="1">
      <alignment horizontal="center" vertical="center" wrapText="1"/>
    </xf>
    <xf numFmtId="165" fontId="13" fillId="0" borderId="22" xfId="1" applyNumberFormat="1" applyFont="1" applyBorder="1" applyAlignment="1" applyProtection="1">
      <alignment horizontal="center" vertical="center" wrapText="1"/>
    </xf>
    <xf numFmtId="165" fontId="13" fillId="0" borderId="23" xfId="1" applyNumberFormat="1" applyFont="1" applyBorder="1" applyAlignment="1" applyProtection="1">
      <alignment horizontal="center" vertical="center" wrapText="1"/>
    </xf>
    <xf numFmtId="0" fontId="18" fillId="11" borderId="1" xfId="4" applyFont="1" applyFill="1" applyBorder="1" applyAlignment="1">
      <alignment horizontal="center" vertical="center"/>
    </xf>
    <xf numFmtId="0" fontId="17" fillId="12" borderId="1" xfId="4" applyFont="1" applyFill="1" applyBorder="1" applyAlignment="1">
      <alignment horizontal="left" vertical="center" wrapText="1"/>
    </xf>
    <xf numFmtId="0" fontId="21" fillId="11" borderId="11" xfId="4" applyFont="1" applyFill="1" applyBorder="1" applyAlignment="1">
      <alignment horizontal="center" vertical="center"/>
    </xf>
    <xf numFmtId="0" fontId="22" fillId="11" borderId="29" xfId="4" applyFont="1" applyFill="1" applyBorder="1" applyAlignment="1">
      <alignment horizontal="center"/>
    </xf>
    <xf numFmtId="0" fontId="22" fillId="11" borderId="24" xfId="4" applyFont="1" applyFill="1" applyBorder="1" applyAlignment="1">
      <alignment horizontal="center"/>
    </xf>
    <xf numFmtId="0" fontId="22" fillId="11" borderId="21" xfId="4" applyFont="1" applyFill="1" applyBorder="1" applyAlignment="1">
      <alignment horizontal="center"/>
    </xf>
    <xf numFmtId="0" fontId="22" fillId="11" borderId="32" xfId="4" applyFont="1" applyFill="1" applyBorder="1" applyAlignment="1">
      <alignment horizontal="center"/>
    </xf>
    <xf numFmtId="0" fontId="22" fillId="11" borderId="33" xfId="4" applyFont="1" applyFill="1" applyBorder="1" applyAlignment="1">
      <alignment horizontal="center"/>
    </xf>
    <xf numFmtId="0" fontId="22" fillId="11" borderId="34" xfId="4" applyFont="1" applyFill="1" applyBorder="1" applyAlignment="1">
      <alignment horizontal="center"/>
    </xf>
    <xf numFmtId="0" fontId="17" fillId="12" borderId="2" xfId="4" applyFont="1" applyFill="1" applyBorder="1" applyAlignment="1">
      <alignment horizontal="left" vertical="center" wrapText="1"/>
    </xf>
    <xf numFmtId="0" fontId="18" fillId="11" borderId="37" xfId="4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6" fillId="0" borderId="20" xfId="0" applyFont="1" applyBorder="1" applyAlignment="1">
      <alignment horizontal="left" vertical="center"/>
    </xf>
    <xf numFmtId="0" fontId="16" fillId="0" borderId="1" xfId="4" applyFont="1" applyBorder="1" applyAlignment="1">
      <alignment horizontal="center" vertical="center"/>
    </xf>
    <xf numFmtId="0" fontId="16" fillId="0" borderId="10" xfId="0" applyFont="1" applyBorder="1" applyAlignment="1">
      <alignment horizontal="left" vertical="center"/>
    </xf>
    <xf numFmtId="0" fontId="14" fillId="10" borderId="2" xfId="0" applyFont="1" applyFill="1" applyBorder="1" applyAlignment="1">
      <alignment horizontal="center"/>
    </xf>
    <xf numFmtId="0" fontId="14" fillId="10" borderId="32" xfId="0" applyFont="1" applyFill="1" applyBorder="1" applyAlignment="1">
      <alignment horizontal="center"/>
    </xf>
    <xf numFmtId="49" fontId="15" fillId="10" borderId="36" xfId="0" applyNumberFormat="1" applyFont="1" applyFill="1" applyBorder="1" applyAlignment="1">
      <alignment horizontal="center" vertical="center" wrapText="1"/>
    </xf>
    <xf numFmtId="49" fontId="15" fillId="10" borderId="21" xfId="0" applyNumberFormat="1" applyFont="1" applyFill="1" applyBorder="1" applyAlignment="1">
      <alignment horizontal="center" vertical="center" wrapText="1"/>
    </xf>
    <xf numFmtId="49" fontId="15" fillId="10" borderId="15" xfId="0" applyNumberFormat="1" applyFont="1" applyFill="1" applyBorder="1" applyAlignment="1">
      <alignment horizontal="center" vertical="center" wrapText="1"/>
    </xf>
    <xf numFmtId="49" fontId="15" fillId="10" borderId="30" xfId="0" applyNumberFormat="1" applyFont="1" applyFill="1" applyBorder="1" applyAlignment="1">
      <alignment horizontal="center" vertical="center" wrapText="1"/>
    </xf>
    <xf numFmtId="49" fontId="15" fillId="10" borderId="27" xfId="0" applyNumberFormat="1" applyFont="1" applyFill="1" applyBorder="1" applyAlignment="1">
      <alignment horizontal="center" vertical="center" wrapText="1"/>
    </xf>
    <xf numFmtId="49" fontId="15" fillId="10" borderId="22" xfId="0" applyNumberFormat="1" applyFont="1" applyFill="1" applyBorder="1" applyAlignment="1">
      <alignment horizontal="center" vertical="center" wrapText="1"/>
    </xf>
    <xf numFmtId="169" fontId="15" fillId="10" borderId="28" xfId="0" applyNumberFormat="1" applyFont="1" applyFill="1" applyBorder="1" applyAlignment="1">
      <alignment horizontal="center" vertical="center" wrapText="1"/>
    </xf>
    <xf numFmtId="169" fontId="15" fillId="10" borderId="23" xfId="0" applyNumberFormat="1" applyFont="1" applyFill="1" applyBorder="1" applyAlignment="1">
      <alignment horizontal="center" vertical="center" wrapText="1"/>
    </xf>
  </cellXfs>
  <cellStyles count="5">
    <cellStyle name="Millares 2" xfId="2" xr:uid="{00000000-0005-0000-0000-000006000000}"/>
    <cellStyle name="Normal" xfId="0" builtinId="0"/>
    <cellStyle name="Normal 2" xfId="3" xr:uid="{00000000-0005-0000-0000-000007000000}"/>
    <cellStyle name="Normal 2 2" xfId="4" xr:uid="{00000000-0005-0000-0000-000008000000}"/>
    <cellStyle name="Percent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</dxfs>
  <tableStyles count="1" defaultTableStyle="TableStyleMedium2" defaultPivotStyle="PivotStyleLight16">
    <tableStyle name="Invisible" pivot="0" table="0" count="0" xr9:uid="{D6D1E9ED-C982-4752-95AC-DC9F0CC7A30F}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DB9CA"/>
      <rgbColor rgb="FF7F7F7F"/>
      <rgbColor rgb="FF9999FF"/>
      <rgbColor rgb="FF993366"/>
      <rgbColor rgb="FFFFF2CC"/>
      <rgbColor rgb="FFE2F0D9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E7E6E6"/>
      <rgbColor rgb="FFD0CECE"/>
      <rgbColor rgb="FFFF99CC"/>
      <rgbColor rgb="FFC5E0B4"/>
      <rgbColor rgb="FFFFC7CE"/>
      <rgbColor rgb="FF2E75B6"/>
      <rgbColor rgb="FF33CCCC"/>
      <rgbColor rgb="FF99CC00"/>
      <rgbColor rgb="FFFFCC00"/>
      <rgbColor rgb="FFFF9900"/>
      <rgbColor rgb="FFFF6600"/>
      <rgbColor rgb="FF767171"/>
      <rgbColor rgb="FF969696"/>
      <rgbColor rgb="FF003366"/>
      <rgbColor rgb="FF339966"/>
      <rgbColor rgb="FF003300"/>
      <rgbColor rgb="FF333300"/>
      <rgbColor rgb="FF843C0B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523800</xdr:colOff>
      <xdr:row>12</xdr:row>
      <xdr:rowOff>1080</xdr:rowOff>
    </xdr:from>
    <xdr:to>
      <xdr:col>23</xdr:col>
      <xdr:colOff>38880</xdr:colOff>
      <xdr:row>14</xdr:row>
      <xdr:rowOff>126720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7816040" y="2296440"/>
          <a:ext cx="2287440" cy="50688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Relaves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13</xdr:col>
      <xdr:colOff>423000</xdr:colOff>
      <xdr:row>26</xdr:row>
      <xdr:rowOff>104040</xdr:rowOff>
    </xdr:from>
    <xdr:to>
      <xdr:col>13</xdr:col>
      <xdr:colOff>645120</xdr:colOff>
      <xdr:row>27</xdr:row>
      <xdr:rowOff>116640</xdr:rowOff>
    </xdr:to>
    <xdr:sp macro="" textlink="">
      <xdr:nvSpPr>
        <xdr:cNvPr id="3" name="Elips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10614240" y="5066640"/>
          <a:ext cx="222120" cy="203040"/>
        </a:xfrm>
        <a:prstGeom prst="ellipse">
          <a:avLst/>
        </a:prstGeom>
        <a:solidFill>
          <a:schemeClr val="accent1">
            <a:lumMod val="50000"/>
          </a:schemeClr>
        </a:solidFill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16</xdr:col>
      <xdr:colOff>612360</xdr:colOff>
      <xdr:row>3</xdr:row>
      <xdr:rowOff>61560</xdr:rowOff>
    </xdr:from>
    <xdr:to>
      <xdr:col>16</xdr:col>
      <xdr:colOff>630000</xdr:colOff>
      <xdr:row>7</xdr:row>
      <xdr:rowOff>38520</xdr:rowOff>
    </xdr:to>
    <xdr:cxnSp macro="">
      <xdr:nvCxnSpPr>
        <xdr:cNvPr id="4" name="Conector recto de flecha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/>
      </xdr:nvCxnSpPr>
      <xdr:spPr>
        <a:xfrm flipH="1">
          <a:off x="13032360" y="642600"/>
          <a:ext cx="18000" cy="73944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10</xdr:col>
      <xdr:colOff>750960</xdr:colOff>
      <xdr:row>8</xdr:row>
      <xdr:rowOff>8280</xdr:rowOff>
    </xdr:from>
    <xdr:to>
      <xdr:col>11</xdr:col>
      <xdr:colOff>567000</xdr:colOff>
      <xdr:row>10</xdr:row>
      <xdr:rowOff>160200</xdr:rowOff>
    </xdr:to>
    <xdr:sp macro="" textlink="">
      <xdr:nvSpPr>
        <xdr:cNvPr id="5" name="Triángulo isósceles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8157600" y="1541880"/>
          <a:ext cx="732240" cy="53280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10</xdr:col>
      <xdr:colOff>282240</xdr:colOff>
      <xdr:row>6</xdr:row>
      <xdr:rowOff>174960</xdr:rowOff>
    </xdr:from>
    <xdr:to>
      <xdr:col>11</xdr:col>
      <xdr:colOff>534600</xdr:colOff>
      <xdr:row>8</xdr:row>
      <xdr:rowOff>158760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>
        <a:xfrm>
          <a:off x="7688880" y="1327320"/>
          <a:ext cx="1168560" cy="3650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P55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10</xdr:col>
      <xdr:colOff>750960</xdr:colOff>
      <xdr:row>19</xdr:row>
      <xdr:rowOff>165960</xdr:rowOff>
    </xdr:from>
    <xdr:to>
      <xdr:col>11</xdr:col>
      <xdr:colOff>567000</xdr:colOff>
      <xdr:row>22</xdr:row>
      <xdr:rowOff>133560</xdr:rowOff>
    </xdr:to>
    <xdr:sp macro="" textlink="">
      <xdr:nvSpPr>
        <xdr:cNvPr id="7" name="Triángulo isósceles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8157600" y="3795120"/>
          <a:ext cx="732240" cy="53892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10</xdr:col>
      <xdr:colOff>243720</xdr:colOff>
      <xdr:row>18</xdr:row>
      <xdr:rowOff>173880</xdr:rowOff>
    </xdr:from>
    <xdr:to>
      <xdr:col>11</xdr:col>
      <xdr:colOff>496080</xdr:colOff>
      <xdr:row>20</xdr:row>
      <xdr:rowOff>157680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7650360" y="3612240"/>
          <a:ext cx="1168560" cy="3650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Alianza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10</xdr:col>
      <xdr:colOff>743400</xdr:colOff>
      <xdr:row>30</xdr:row>
      <xdr:rowOff>1440</xdr:rowOff>
    </xdr:from>
    <xdr:to>
      <xdr:col>11</xdr:col>
      <xdr:colOff>559440</xdr:colOff>
      <xdr:row>32</xdr:row>
      <xdr:rowOff>154080</xdr:rowOff>
    </xdr:to>
    <xdr:sp macro="" textlink="">
      <xdr:nvSpPr>
        <xdr:cNvPr id="9" name="Triángulo isósceles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>
          <a:off x="8150040" y="5725800"/>
          <a:ext cx="732240" cy="53388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10</xdr:col>
      <xdr:colOff>224280</xdr:colOff>
      <xdr:row>29</xdr:row>
      <xdr:rowOff>90360</xdr:rowOff>
    </xdr:from>
    <xdr:to>
      <xdr:col>11</xdr:col>
      <xdr:colOff>476640</xdr:colOff>
      <xdr:row>31</xdr:row>
      <xdr:rowOff>74160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>
          <a:off x="7630920" y="5624280"/>
          <a:ext cx="1168560" cy="3650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P40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11</xdr:col>
      <xdr:colOff>9720</xdr:colOff>
      <xdr:row>50</xdr:row>
      <xdr:rowOff>37440</xdr:rowOff>
    </xdr:from>
    <xdr:to>
      <xdr:col>11</xdr:col>
      <xdr:colOff>587880</xdr:colOff>
      <xdr:row>53</xdr:row>
      <xdr:rowOff>5040</xdr:rowOff>
    </xdr:to>
    <xdr:sp macro="" textlink="">
      <xdr:nvSpPr>
        <xdr:cNvPr id="11" name="Triángulo isósceles 12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8332560" y="9572040"/>
          <a:ext cx="578160" cy="53892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10</xdr:col>
      <xdr:colOff>282240</xdr:colOff>
      <xdr:row>50</xdr:row>
      <xdr:rowOff>42840</xdr:rowOff>
    </xdr:from>
    <xdr:to>
      <xdr:col>11</xdr:col>
      <xdr:colOff>98280</xdr:colOff>
      <xdr:row>51</xdr:row>
      <xdr:rowOff>132120</xdr:rowOff>
    </xdr:to>
    <xdr:sp macro="" textlink="">
      <xdr:nvSpPr>
        <xdr:cNvPr id="12" name="Rectángulo 13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/>
      </xdr:nvSpPr>
      <xdr:spPr>
        <a:xfrm>
          <a:off x="7688880" y="9577440"/>
          <a:ext cx="732240" cy="2797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GC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16</xdr:col>
      <xdr:colOff>19080</xdr:colOff>
      <xdr:row>7</xdr:row>
      <xdr:rowOff>38880</xdr:rowOff>
    </xdr:from>
    <xdr:to>
      <xdr:col>17</xdr:col>
      <xdr:colOff>443880</xdr:colOff>
      <xdr:row>9</xdr:row>
      <xdr:rowOff>164520</xdr:rowOff>
    </xdr:to>
    <xdr:sp macro="" textlink="">
      <xdr:nvSpPr>
        <xdr:cNvPr id="13" name="Rectángulo 14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/>
      </xdr:nvSpPr>
      <xdr:spPr>
        <a:xfrm>
          <a:off x="12439080" y="1382040"/>
          <a:ext cx="1167840" cy="50652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Rougher 1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16</xdr:col>
      <xdr:colOff>9360</xdr:colOff>
      <xdr:row>12</xdr:row>
      <xdr:rowOff>163440</xdr:rowOff>
    </xdr:from>
    <xdr:to>
      <xdr:col>17</xdr:col>
      <xdr:colOff>434160</xdr:colOff>
      <xdr:row>15</xdr:row>
      <xdr:rowOff>87840</xdr:rowOff>
    </xdr:to>
    <xdr:sp macro="" textlink="">
      <xdr:nvSpPr>
        <xdr:cNvPr id="14" name="Rectángulo 15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>
        <a:xfrm>
          <a:off x="12429360" y="2458800"/>
          <a:ext cx="1167840" cy="49608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Rougher 2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15</xdr:col>
      <xdr:colOff>711000</xdr:colOff>
      <xdr:row>26</xdr:row>
      <xdr:rowOff>114120</xdr:rowOff>
    </xdr:from>
    <xdr:to>
      <xdr:col>17</xdr:col>
      <xdr:colOff>489240</xdr:colOff>
      <xdr:row>29</xdr:row>
      <xdr:rowOff>58320</xdr:rowOff>
    </xdr:to>
    <xdr:sp macro="" textlink="">
      <xdr:nvSpPr>
        <xdr:cNvPr id="15" name="Rectángulo 16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/>
      </xdr:nvSpPr>
      <xdr:spPr>
        <a:xfrm>
          <a:off x="12387960" y="5076720"/>
          <a:ext cx="1264320" cy="51552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HIDROSEPARACIÓN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15</xdr:col>
      <xdr:colOff>709200</xdr:colOff>
      <xdr:row>33</xdr:row>
      <xdr:rowOff>110880</xdr:rowOff>
    </xdr:from>
    <xdr:to>
      <xdr:col>17</xdr:col>
      <xdr:colOff>487440</xdr:colOff>
      <xdr:row>36</xdr:row>
      <xdr:rowOff>55080</xdr:rowOff>
    </xdr:to>
    <xdr:sp macro="" textlink="">
      <xdr:nvSpPr>
        <xdr:cNvPr id="16" name="Rectángulo 17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/>
      </xdr:nvSpPr>
      <xdr:spPr>
        <a:xfrm>
          <a:off x="12386160" y="6406920"/>
          <a:ext cx="1264320" cy="51552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FINISHER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15</xdr:col>
      <xdr:colOff>716760</xdr:colOff>
      <xdr:row>40</xdr:row>
      <xdr:rowOff>1800</xdr:rowOff>
    </xdr:from>
    <xdr:to>
      <xdr:col>17</xdr:col>
      <xdr:colOff>495000</xdr:colOff>
      <xdr:row>42</xdr:row>
      <xdr:rowOff>126000</xdr:rowOff>
    </xdr:to>
    <xdr:sp macro="" textlink="">
      <xdr:nvSpPr>
        <xdr:cNvPr id="17" name="Rectángulo 18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/>
      </xdr:nvSpPr>
      <xdr:spPr>
        <a:xfrm>
          <a:off x="12393720" y="7631280"/>
          <a:ext cx="1264320" cy="50508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FLOTACIÓN MAGNETICA 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15</xdr:col>
      <xdr:colOff>640080</xdr:colOff>
      <xdr:row>49</xdr:row>
      <xdr:rowOff>64440</xdr:rowOff>
    </xdr:from>
    <xdr:to>
      <xdr:col>17</xdr:col>
      <xdr:colOff>418320</xdr:colOff>
      <xdr:row>52</xdr:row>
      <xdr:rowOff>8640</xdr:rowOff>
    </xdr:to>
    <xdr:sp macro="" textlink="">
      <xdr:nvSpPr>
        <xdr:cNvPr id="18" name="Rectángulo 19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/>
      </xdr:nvSpPr>
      <xdr:spPr>
        <a:xfrm>
          <a:off x="12317040" y="9408600"/>
          <a:ext cx="1264320" cy="51552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ESPESADOR 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13</xdr:col>
      <xdr:colOff>14040</xdr:colOff>
      <xdr:row>56</xdr:row>
      <xdr:rowOff>114480</xdr:rowOff>
    </xdr:from>
    <xdr:to>
      <xdr:col>14</xdr:col>
      <xdr:colOff>64440</xdr:colOff>
      <xdr:row>57</xdr:row>
      <xdr:rowOff>267840</xdr:rowOff>
    </xdr:to>
    <xdr:sp macro="" textlink="">
      <xdr:nvSpPr>
        <xdr:cNvPr id="19" name="Triángulo isósceles 20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SpPr/>
      </xdr:nvSpPr>
      <xdr:spPr>
        <a:xfrm>
          <a:off x="10205280" y="10849320"/>
          <a:ext cx="793080" cy="55332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12</xdr:col>
      <xdr:colOff>702360</xdr:colOff>
      <xdr:row>57</xdr:row>
      <xdr:rowOff>91440</xdr:rowOff>
    </xdr:from>
    <xdr:to>
      <xdr:col>14</xdr:col>
      <xdr:colOff>77400</xdr:colOff>
      <xdr:row>59</xdr:row>
      <xdr:rowOff>75240</xdr:rowOff>
    </xdr:to>
    <xdr:sp macro="" textlink="">
      <xdr:nvSpPr>
        <xdr:cNvPr id="20" name="Rectángulo 21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SpPr/>
      </xdr:nvSpPr>
      <xdr:spPr>
        <a:xfrm>
          <a:off x="9941760" y="11226240"/>
          <a:ext cx="1069560" cy="7837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INTERMEDIO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16</xdr:col>
      <xdr:colOff>122760</xdr:colOff>
      <xdr:row>1</xdr:row>
      <xdr:rowOff>83880</xdr:rowOff>
    </xdr:from>
    <xdr:to>
      <xdr:col>17</xdr:col>
      <xdr:colOff>375120</xdr:colOff>
      <xdr:row>3</xdr:row>
      <xdr:rowOff>61560</xdr:rowOff>
    </xdr:to>
    <xdr:sp macro="" textlink="">
      <xdr:nvSpPr>
        <xdr:cNvPr id="21" name="Rectángulo 22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/>
      </xdr:nvSpPr>
      <xdr:spPr>
        <a:xfrm>
          <a:off x="12542760" y="284040"/>
          <a:ext cx="995400" cy="358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1" strike="noStrike" spc="-1">
              <a:solidFill>
                <a:srgbClr val="000000"/>
              </a:solidFill>
              <a:latin typeface="Calibri"/>
            </a:rPr>
            <a:t>ALIMENTACIÓN CMCC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10</xdr:col>
      <xdr:colOff>194040</xdr:colOff>
      <xdr:row>9</xdr:row>
      <xdr:rowOff>74520</xdr:rowOff>
    </xdr:from>
    <xdr:to>
      <xdr:col>11</xdr:col>
      <xdr:colOff>133560</xdr:colOff>
      <xdr:row>9</xdr:row>
      <xdr:rowOff>84240</xdr:rowOff>
    </xdr:to>
    <xdr:cxnSp macro="">
      <xdr:nvCxnSpPr>
        <xdr:cNvPr id="22" name="Conector recto de flecha 23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CxnSpPr/>
      </xdr:nvCxnSpPr>
      <xdr:spPr>
        <a:xfrm>
          <a:off x="7600680" y="1798560"/>
          <a:ext cx="856080" cy="1008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10</xdr:col>
      <xdr:colOff>117720</xdr:colOff>
      <xdr:row>21</xdr:row>
      <xdr:rowOff>54360</xdr:rowOff>
    </xdr:from>
    <xdr:to>
      <xdr:col>11</xdr:col>
      <xdr:colOff>133560</xdr:colOff>
      <xdr:row>21</xdr:row>
      <xdr:rowOff>59040</xdr:rowOff>
    </xdr:to>
    <xdr:cxnSp macro="">
      <xdr:nvCxnSpPr>
        <xdr:cNvPr id="23" name="Conector recto de flecha 24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CxnSpPr/>
      </xdr:nvCxnSpPr>
      <xdr:spPr>
        <a:xfrm>
          <a:off x="7524360" y="4064400"/>
          <a:ext cx="932400" cy="504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10</xdr:col>
      <xdr:colOff>11520</xdr:colOff>
      <xdr:row>31</xdr:row>
      <xdr:rowOff>77400</xdr:rowOff>
    </xdr:from>
    <xdr:to>
      <xdr:col>11</xdr:col>
      <xdr:colOff>125640</xdr:colOff>
      <xdr:row>31</xdr:row>
      <xdr:rowOff>87120</xdr:rowOff>
    </xdr:to>
    <xdr:cxnSp macro="">
      <xdr:nvCxnSpPr>
        <xdr:cNvPr id="24" name="Conector recto de flecha 25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CxnSpPr/>
      </xdr:nvCxnSpPr>
      <xdr:spPr>
        <a:xfrm flipV="1">
          <a:off x="7418160" y="5992560"/>
          <a:ext cx="1030680" cy="1008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11</xdr:col>
      <xdr:colOff>422640</xdr:colOff>
      <xdr:row>21</xdr:row>
      <xdr:rowOff>59040</xdr:rowOff>
    </xdr:from>
    <xdr:to>
      <xdr:col>13</xdr:col>
      <xdr:colOff>423000</xdr:colOff>
      <xdr:row>27</xdr:row>
      <xdr:rowOff>19440</xdr:rowOff>
    </xdr:to>
    <xdr:cxnSp macro="">
      <xdr:nvCxnSpPr>
        <xdr:cNvPr id="25" name="Conector: angular 27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CxnSpPr/>
      </xdr:nvCxnSpPr>
      <xdr:spPr>
        <a:xfrm>
          <a:off x="8745480" y="4069080"/>
          <a:ext cx="1869120" cy="1103760"/>
        </a:xfrm>
        <a:prstGeom prst="bentConnector3">
          <a:avLst>
            <a:gd name="adj1" fmla="val 50009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11</xdr:col>
      <xdr:colOff>415080</xdr:colOff>
      <xdr:row>27</xdr:row>
      <xdr:rowOff>19440</xdr:rowOff>
    </xdr:from>
    <xdr:to>
      <xdr:col>13</xdr:col>
      <xdr:colOff>423000</xdr:colOff>
      <xdr:row>31</xdr:row>
      <xdr:rowOff>77760</xdr:rowOff>
    </xdr:to>
    <xdr:cxnSp macro="">
      <xdr:nvCxnSpPr>
        <xdr:cNvPr id="26" name="Conector: angular 28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CxnSpPr/>
      </xdr:nvCxnSpPr>
      <xdr:spPr>
        <a:xfrm flipV="1">
          <a:off x="8737920" y="5172480"/>
          <a:ext cx="1876680" cy="82080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11</xdr:col>
      <xdr:colOff>443520</xdr:colOff>
      <xdr:row>27</xdr:row>
      <xdr:rowOff>19440</xdr:rowOff>
    </xdr:from>
    <xdr:to>
      <xdr:col>13</xdr:col>
      <xdr:colOff>423000</xdr:colOff>
      <xdr:row>51</xdr:row>
      <xdr:rowOff>111960</xdr:rowOff>
    </xdr:to>
    <xdr:cxnSp macro="">
      <xdr:nvCxnSpPr>
        <xdr:cNvPr id="27" name="Conector: angular 30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CxnSpPr/>
      </xdr:nvCxnSpPr>
      <xdr:spPr>
        <a:xfrm rot="5400000" flipH="1" flipV="1">
          <a:off x="7357680" y="6580800"/>
          <a:ext cx="4664880" cy="1848240"/>
        </a:xfrm>
        <a:prstGeom prst="bentConnector3">
          <a:avLst>
            <a:gd name="adj1" fmla="val 49996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11</xdr:col>
      <xdr:colOff>422640</xdr:colOff>
      <xdr:row>9</xdr:row>
      <xdr:rowOff>84240</xdr:rowOff>
    </xdr:from>
    <xdr:to>
      <xdr:col>13</xdr:col>
      <xdr:colOff>423000</xdr:colOff>
      <xdr:row>27</xdr:row>
      <xdr:rowOff>19440</xdr:rowOff>
    </xdr:to>
    <xdr:cxnSp macro="">
      <xdr:nvCxnSpPr>
        <xdr:cNvPr id="28" name="Conector: angular 31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CxnSpPr/>
      </xdr:nvCxnSpPr>
      <xdr:spPr>
        <a:xfrm rot="16200000" flipH="1">
          <a:off x="7997760" y="2555640"/>
          <a:ext cx="3364560" cy="1869120"/>
        </a:xfrm>
        <a:prstGeom prst="bentConnector3">
          <a:avLst>
            <a:gd name="adj1" fmla="val 50005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10</xdr:col>
      <xdr:colOff>95040</xdr:colOff>
      <xdr:row>51</xdr:row>
      <xdr:rowOff>113400</xdr:rowOff>
    </xdr:from>
    <xdr:to>
      <xdr:col>11</xdr:col>
      <xdr:colOff>154440</xdr:colOff>
      <xdr:row>51</xdr:row>
      <xdr:rowOff>113400</xdr:rowOff>
    </xdr:to>
    <xdr:cxnSp macro="">
      <xdr:nvCxnSpPr>
        <xdr:cNvPr id="29" name="Conector recto de flecha 32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CxnSpPr/>
      </xdr:nvCxnSpPr>
      <xdr:spPr>
        <a:xfrm>
          <a:off x="7501680" y="9838440"/>
          <a:ext cx="97596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13</xdr:col>
      <xdr:colOff>455760</xdr:colOff>
      <xdr:row>27</xdr:row>
      <xdr:rowOff>116640</xdr:rowOff>
    </xdr:from>
    <xdr:to>
      <xdr:col>13</xdr:col>
      <xdr:colOff>534240</xdr:colOff>
      <xdr:row>56</xdr:row>
      <xdr:rowOff>114120</xdr:rowOff>
    </xdr:to>
    <xdr:cxnSp macro="">
      <xdr:nvCxnSpPr>
        <xdr:cNvPr id="30" name="Conector recto de flecha 33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CxnSpPr/>
      </xdr:nvCxnSpPr>
      <xdr:spPr>
        <a:xfrm flipV="1">
          <a:off x="10647000" y="5269680"/>
          <a:ext cx="78840" cy="557964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600120</xdr:colOff>
      <xdr:row>23</xdr:row>
      <xdr:rowOff>36000</xdr:rowOff>
    </xdr:from>
    <xdr:to>
      <xdr:col>16</xdr:col>
      <xdr:colOff>603000</xdr:colOff>
      <xdr:row>26</xdr:row>
      <xdr:rowOff>113760</xdr:rowOff>
    </xdr:to>
    <xdr:cxnSp macro="">
      <xdr:nvCxnSpPr>
        <xdr:cNvPr id="31" name="Conector: angular 34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CxnSpPr/>
      </xdr:nvCxnSpPr>
      <xdr:spPr>
        <a:xfrm rot="5400000">
          <a:off x="12696840" y="4750200"/>
          <a:ext cx="649800" cy="324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646200</xdr:colOff>
      <xdr:row>9</xdr:row>
      <xdr:rowOff>164520</xdr:rowOff>
    </xdr:from>
    <xdr:to>
      <xdr:col>16</xdr:col>
      <xdr:colOff>651600</xdr:colOff>
      <xdr:row>12</xdr:row>
      <xdr:rowOff>67680</xdr:rowOff>
    </xdr:to>
    <xdr:cxnSp macro="">
      <xdr:nvCxnSpPr>
        <xdr:cNvPr id="32" name="Conector recto de flecha 35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CxnSpPr/>
      </xdr:nvCxnSpPr>
      <xdr:spPr>
        <a:xfrm>
          <a:off x="13066200" y="1888560"/>
          <a:ext cx="5760" cy="47484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636840</xdr:colOff>
      <xdr:row>15</xdr:row>
      <xdr:rowOff>88200</xdr:rowOff>
    </xdr:from>
    <xdr:to>
      <xdr:col>16</xdr:col>
      <xdr:colOff>636840</xdr:colOff>
      <xdr:row>21</xdr:row>
      <xdr:rowOff>36720</xdr:rowOff>
    </xdr:to>
    <xdr:cxnSp macro="">
      <xdr:nvCxnSpPr>
        <xdr:cNvPr id="33" name="Conector recto de flecha 36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CxnSpPr/>
      </xdr:nvCxnSpPr>
      <xdr:spPr>
        <a:xfrm>
          <a:off x="13056840" y="2955240"/>
          <a:ext cx="360" cy="109188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598320</xdr:colOff>
      <xdr:row>29</xdr:row>
      <xdr:rowOff>58320</xdr:rowOff>
    </xdr:from>
    <xdr:to>
      <xdr:col>16</xdr:col>
      <xdr:colOff>600120</xdr:colOff>
      <xdr:row>33</xdr:row>
      <xdr:rowOff>110880</xdr:rowOff>
    </xdr:to>
    <xdr:cxnSp macro="">
      <xdr:nvCxnSpPr>
        <xdr:cNvPr id="34" name="Conector recto de flecha 37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CxnSpPr/>
      </xdr:nvCxnSpPr>
      <xdr:spPr>
        <a:xfrm flipH="1">
          <a:off x="13018320" y="5592240"/>
          <a:ext cx="2160" cy="81504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598320</xdr:colOff>
      <xdr:row>36</xdr:row>
      <xdr:rowOff>55440</xdr:rowOff>
    </xdr:from>
    <xdr:to>
      <xdr:col>16</xdr:col>
      <xdr:colOff>606240</xdr:colOff>
      <xdr:row>40</xdr:row>
      <xdr:rowOff>1440</xdr:rowOff>
    </xdr:to>
    <xdr:cxnSp macro="">
      <xdr:nvCxnSpPr>
        <xdr:cNvPr id="35" name="Conector recto de flecha 38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CxnSpPr/>
      </xdr:nvCxnSpPr>
      <xdr:spPr>
        <a:xfrm>
          <a:off x="13018320" y="6922800"/>
          <a:ext cx="8280" cy="70848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589320</xdr:colOff>
      <xdr:row>42</xdr:row>
      <xdr:rowOff>126000</xdr:rowOff>
    </xdr:from>
    <xdr:to>
      <xdr:col>16</xdr:col>
      <xdr:colOff>606240</xdr:colOff>
      <xdr:row>45</xdr:row>
      <xdr:rowOff>82080</xdr:rowOff>
    </xdr:to>
    <xdr:cxnSp macro="">
      <xdr:nvCxnSpPr>
        <xdr:cNvPr id="36" name="Conector recto de flecha 39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CxnSpPr/>
      </xdr:nvCxnSpPr>
      <xdr:spPr>
        <a:xfrm flipH="1">
          <a:off x="13009320" y="8136360"/>
          <a:ext cx="17280" cy="52812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15</xdr:col>
      <xdr:colOff>640080</xdr:colOff>
      <xdr:row>46</xdr:row>
      <xdr:rowOff>87120</xdr:rowOff>
    </xdr:from>
    <xdr:to>
      <xdr:col>15</xdr:col>
      <xdr:colOff>674280</xdr:colOff>
      <xdr:row>50</xdr:row>
      <xdr:rowOff>133920</xdr:rowOff>
    </xdr:to>
    <xdr:cxnSp macro="">
      <xdr:nvCxnSpPr>
        <xdr:cNvPr id="37" name="Conector: angular 40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CxnSpPr/>
      </xdr:nvCxnSpPr>
      <xdr:spPr>
        <a:xfrm rot="5400000" flipH="1" flipV="1">
          <a:off x="11929320" y="9246960"/>
          <a:ext cx="809280" cy="34560"/>
        </a:xfrm>
        <a:prstGeom prst="bentConnector3">
          <a:avLst>
            <a:gd name="adj1" fmla="val 49977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13</xdr:col>
      <xdr:colOff>676440</xdr:colOff>
      <xdr:row>52</xdr:row>
      <xdr:rowOff>8640</xdr:rowOff>
    </xdr:from>
    <xdr:to>
      <xdr:col>16</xdr:col>
      <xdr:colOff>529200</xdr:colOff>
      <xdr:row>56</xdr:row>
      <xdr:rowOff>395640</xdr:rowOff>
    </xdr:to>
    <xdr:cxnSp macro="">
      <xdr:nvCxnSpPr>
        <xdr:cNvPr id="38" name="Conector: angular 41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CxnSpPr/>
      </xdr:nvCxnSpPr>
      <xdr:spPr>
        <a:xfrm rot="10800000" flipV="1">
          <a:off x="10867680" y="9923760"/>
          <a:ext cx="2081880" cy="120672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17</xdr:col>
      <xdr:colOff>418680</xdr:colOff>
      <xdr:row>50</xdr:row>
      <xdr:rowOff>128520</xdr:rowOff>
    </xdr:from>
    <xdr:to>
      <xdr:col>17</xdr:col>
      <xdr:colOff>611280</xdr:colOff>
      <xdr:row>61</xdr:row>
      <xdr:rowOff>95760</xdr:rowOff>
    </xdr:to>
    <xdr:cxnSp macro="">
      <xdr:nvCxnSpPr>
        <xdr:cNvPr id="39" name="Conector: angular 42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CxnSpPr/>
      </xdr:nvCxnSpPr>
      <xdr:spPr>
        <a:xfrm rot="16200000" flipH="1">
          <a:off x="12094200" y="11150280"/>
          <a:ext cx="3168000" cy="192960"/>
        </a:xfrm>
        <a:prstGeom prst="bentConnector3">
          <a:avLst>
            <a:gd name="adj1" fmla="val 50005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17</xdr:col>
      <xdr:colOff>495360</xdr:colOff>
      <xdr:row>13</xdr:row>
      <xdr:rowOff>63720</xdr:rowOff>
    </xdr:from>
    <xdr:to>
      <xdr:col>21</xdr:col>
      <xdr:colOff>523800</xdr:colOff>
      <xdr:row>41</xdr:row>
      <xdr:rowOff>61560</xdr:rowOff>
    </xdr:to>
    <xdr:cxnSp macro="">
      <xdr:nvCxnSpPr>
        <xdr:cNvPr id="40" name="Conector: angular 43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CxnSpPr/>
      </xdr:nvCxnSpPr>
      <xdr:spPr>
        <a:xfrm rot="5400000" flipH="1" flipV="1">
          <a:off x="13071240" y="3137040"/>
          <a:ext cx="5331960" cy="415800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17</xdr:col>
      <xdr:colOff>487440</xdr:colOff>
      <xdr:row>13</xdr:row>
      <xdr:rowOff>63720</xdr:rowOff>
    </xdr:from>
    <xdr:to>
      <xdr:col>21</xdr:col>
      <xdr:colOff>523800</xdr:colOff>
      <xdr:row>34</xdr:row>
      <xdr:rowOff>173880</xdr:rowOff>
    </xdr:to>
    <xdr:cxnSp macro="">
      <xdr:nvCxnSpPr>
        <xdr:cNvPr id="41" name="Conector: angular 44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CxnSpPr/>
      </xdr:nvCxnSpPr>
      <xdr:spPr>
        <a:xfrm flipV="1">
          <a:off x="13650480" y="2549880"/>
          <a:ext cx="4165920" cy="4110840"/>
        </a:xfrm>
        <a:prstGeom prst="bentConnector3">
          <a:avLst>
            <a:gd name="adj1" fmla="val 50004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17</xdr:col>
      <xdr:colOff>489600</xdr:colOff>
      <xdr:row>13</xdr:row>
      <xdr:rowOff>63720</xdr:rowOff>
    </xdr:from>
    <xdr:to>
      <xdr:col>21</xdr:col>
      <xdr:colOff>523800</xdr:colOff>
      <xdr:row>27</xdr:row>
      <xdr:rowOff>176760</xdr:rowOff>
    </xdr:to>
    <xdr:cxnSp macro="">
      <xdr:nvCxnSpPr>
        <xdr:cNvPr id="42" name="Conector: angular 45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CxnSpPr/>
      </xdr:nvCxnSpPr>
      <xdr:spPr>
        <a:xfrm flipV="1">
          <a:off x="13652640" y="2549880"/>
          <a:ext cx="4163760" cy="2780280"/>
        </a:xfrm>
        <a:prstGeom prst="bentConnector3">
          <a:avLst>
            <a:gd name="adj1" fmla="val 50004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17</xdr:col>
      <xdr:colOff>434520</xdr:colOff>
      <xdr:row>13</xdr:row>
      <xdr:rowOff>63720</xdr:rowOff>
    </xdr:from>
    <xdr:to>
      <xdr:col>21</xdr:col>
      <xdr:colOff>523800</xdr:colOff>
      <xdr:row>14</xdr:row>
      <xdr:rowOff>28440</xdr:rowOff>
    </xdr:to>
    <xdr:cxnSp macro="">
      <xdr:nvCxnSpPr>
        <xdr:cNvPr id="43" name="Conector: angular 46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CxnSpPr/>
      </xdr:nvCxnSpPr>
      <xdr:spPr>
        <a:xfrm flipV="1">
          <a:off x="13597560" y="2549880"/>
          <a:ext cx="4218840" cy="15552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17</xdr:col>
      <xdr:colOff>443880</xdr:colOff>
      <xdr:row>8</xdr:row>
      <xdr:rowOff>101520</xdr:rowOff>
    </xdr:from>
    <xdr:to>
      <xdr:col>21</xdr:col>
      <xdr:colOff>523800</xdr:colOff>
      <xdr:row>13</xdr:row>
      <xdr:rowOff>63720</xdr:rowOff>
    </xdr:to>
    <xdr:cxnSp macro="">
      <xdr:nvCxnSpPr>
        <xdr:cNvPr id="44" name="Conector: angular 47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CxnSpPr/>
      </xdr:nvCxnSpPr>
      <xdr:spPr>
        <a:xfrm>
          <a:off x="13606920" y="1635120"/>
          <a:ext cx="4209480" cy="91512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13</xdr:col>
      <xdr:colOff>559800</xdr:colOff>
      <xdr:row>22</xdr:row>
      <xdr:rowOff>36360</xdr:rowOff>
    </xdr:from>
    <xdr:to>
      <xdr:col>16</xdr:col>
      <xdr:colOff>63360</xdr:colOff>
      <xdr:row>26</xdr:row>
      <xdr:rowOff>137520</xdr:rowOff>
    </xdr:to>
    <xdr:cxnSp macro="">
      <xdr:nvCxnSpPr>
        <xdr:cNvPr id="45" name="Conector: angular 56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CxnSpPr/>
      </xdr:nvCxnSpPr>
      <xdr:spPr>
        <a:xfrm flipV="1">
          <a:off x="10751040" y="4236840"/>
          <a:ext cx="1732680" cy="86364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63360</xdr:colOff>
      <xdr:row>21</xdr:row>
      <xdr:rowOff>37080</xdr:rowOff>
    </xdr:from>
    <xdr:to>
      <xdr:col>17</xdr:col>
      <xdr:colOff>380160</xdr:colOff>
      <xdr:row>23</xdr:row>
      <xdr:rowOff>36000</xdr:rowOff>
    </xdr:to>
    <xdr:sp macro="" textlink="">
      <xdr:nvSpPr>
        <xdr:cNvPr id="46" name="Rectángulo 66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SpPr/>
      </xdr:nvSpPr>
      <xdr:spPr>
        <a:xfrm>
          <a:off x="12483360" y="4047120"/>
          <a:ext cx="1059840" cy="37980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Molienda /clasif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17</xdr:col>
      <xdr:colOff>380520</xdr:colOff>
      <xdr:row>13</xdr:row>
      <xdr:rowOff>63720</xdr:rowOff>
    </xdr:from>
    <xdr:to>
      <xdr:col>21</xdr:col>
      <xdr:colOff>523800</xdr:colOff>
      <xdr:row>22</xdr:row>
      <xdr:rowOff>36360</xdr:rowOff>
    </xdr:to>
    <xdr:cxnSp macro="">
      <xdr:nvCxnSpPr>
        <xdr:cNvPr id="47" name="Conector: angular 69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CxnSpPr/>
      </xdr:nvCxnSpPr>
      <xdr:spPr>
        <a:xfrm flipV="1">
          <a:off x="13543560" y="2549880"/>
          <a:ext cx="4272840" cy="168732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10</xdr:col>
      <xdr:colOff>578520</xdr:colOff>
      <xdr:row>57</xdr:row>
      <xdr:rowOff>28440</xdr:rowOff>
    </xdr:from>
    <xdr:to>
      <xdr:col>11</xdr:col>
      <xdr:colOff>578880</xdr:colOff>
      <xdr:row>59</xdr:row>
      <xdr:rowOff>155160</xdr:rowOff>
    </xdr:to>
    <xdr:sp macro="" textlink="">
      <xdr:nvSpPr>
        <xdr:cNvPr id="48" name="Triángulo isósceles 79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SpPr/>
      </xdr:nvSpPr>
      <xdr:spPr>
        <a:xfrm>
          <a:off x="7985160" y="11163240"/>
          <a:ext cx="916560" cy="92664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10</xdr:col>
      <xdr:colOff>706680</xdr:colOff>
      <xdr:row>64</xdr:row>
      <xdr:rowOff>135360</xdr:rowOff>
    </xdr:from>
    <xdr:to>
      <xdr:col>11</xdr:col>
      <xdr:colOff>522720</xdr:colOff>
      <xdr:row>67</xdr:row>
      <xdr:rowOff>102960</xdr:rowOff>
    </xdr:to>
    <xdr:sp macro="" textlink="">
      <xdr:nvSpPr>
        <xdr:cNvPr id="49" name="Triángulo isósceles 80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SpPr/>
      </xdr:nvSpPr>
      <xdr:spPr>
        <a:xfrm>
          <a:off x="8113320" y="14070600"/>
          <a:ext cx="732240" cy="76752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10</xdr:col>
      <xdr:colOff>676800</xdr:colOff>
      <xdr:row>71</xdr:row>
      <xdr:rowOff>87480</xdr:rowOff>
    </xdr:from>
    <xdr:to>
      <xdr:col>11</xdr:col>
      <xdr:colOff>492840</xdr:colOff>
      <xdr:row>74</xdr:row>
      <xdr:rowOff>51840</xdr:rowOff>
    </xdr:to>
    <xdr:sp macro="" textlink="">
      <xdr:nvSpPr>
        <xdr:cNvPr id="50" name="Triángulo isósceles 81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SpPr/>
      </xdr:nvSpPr>
      <xdr:spPr>
        <a:xfrm>
          <a:off x="8083440" y="15651360"/>
          <a:ext cx="732240" cy="58356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9</xdr:col>
      <xdr:colOff>380880</xdr:colOff>
      <xdr:row>59</xdr:row>
      <xdr:rowOff>32040</xdr:rowOff>
    </xdr:from>
    <xdr:to>
      <xdr:col>10</xdr:col>
      <xdr:colOff>595440</xdr:colOff>
      <xdr:row>59</xdr:row>
      <xdr:rowOff>32040</xdr:rowOff>
    </xdr:to>
    <xdr:cxnSp macro="">
      <xdr:nvCxnSpPr>
        <xdr:cNvPr id="51" name="Conector recto de flecha 55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CxnSpPr/>
      </xdr:nvCxnSpPr>
      <xdr:spPr>
        <a:xfrm>
          <a:off x="7044480" y="11966760"/>
          <a:ext cx="95796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10</xdr:col>
      <xdr:colOff>16920</xdr:colOff>
      <xdr:row>66</xdr:row>
      <xdr:rowOff>97920</xdr:rowOff>
    </xdr:from>
    <xdr:to>
      <xdr:col>11</xdr:col>
      <xdr:colOff>57240</xdr:colOff>
      <xdr:row>66</xdr:row>
      <xdr:rowOff>97920</xdr:rowOff>
    </xdr:to>
    <xdr:cxnSp macro="">
      <xdr:nvCxnSpPr>
        <xdr:cNvPr id="52" name="Conector recto de flecha 57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CxnSpPr/>
      </xdr:nvCxnSpPr>
      <xdr:spPr>
        <a:xfrm>
          <a:off x="7423560" y="14632920"/>
          <a:ext cx="95688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10</xdr:col>
      <xdr:colOff>12600</xdr:colOff>
      <xdr:row>73</xdr:row>
      <xdr:rowOff>23400</xdr:rowOff>
    </xdr:from>
    <xdr:to>
      <xdr:col>11</xdr:col>
      <xdr:colOff>72000</xdr:colOff>
      <xdr:row>73</xdr:row>
      <xdr:rowOff>23400</xdr:rowOff>
    </xdr:to>
    <xdr:cxnSp macro="">
      <xdr:nvCxnSpPr>
        <xdr:cNvPr id="53" name="Conector recto de flecha 58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CxnSpPr/>
      </xdr:nvCxnSpPr>
      <xdr:spPr>
        <a:xfrm>
          <a:off x="7419240" y="16016040"/>
          <a:ext cx="97596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11</xdr:col>
      <xdr:colOff>331920</xdr:colOff>
      <xdr:row>27</xdr:row>
      <xdr:rowOff>174600</xdr:rowOff>
    </xdr:from>
    <xdr:to>
      <xdr:col>12</xdr:col>
      <xdr:colOff>492120</xdr:colOff>
      <xdr:row>58</xdr:row>
      <xdr:rowOff>91440</xdr:rowOff>
    </xdr:to>
    <xdr:cxnSp macro="">
      <xdr:nvCxnSpPr>
        <xdr:cNvPr id="54" name="Conector: angular 59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CxnSpPr/>
      </xdr:nvCxnSpPr>
      <xdr:spPr>
        <a:xfrm rot="5400000" flipH="1" flipV="1">
          <a:off x="6043680" y="7938720"/>
          <a:ext cx="6298920" cy="107712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11</xdr:col>
      <xdr:colOff>378360</xdr:colOff>
      <xdr:row>28</xdr:row>
      <xdr:rowOff>79200</xdr:rowOff>
    </xdr:from>
    <xdr:to>
      <xdr:col>12</xdr:col>
      <xdr:colOff>475920</xdr:colOff>
      <xdr:row>66</xdr:row>
      <xdr:rowOff>23760</xdr:rowOff>
    </xdr:to>
    <xdr:cxnSp macro="">
      <xdr:nvCxnSpPr>
        <xdr:cNvPr id="55" name="Conector: angular 61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CxnSpPr/>
      </xdr:nvCxnSpPr>
      <xdr:spPr>
        <a:xfrm rot="5400000" flipH="1" flipV="1">
          <a:off x="4640040" y="9483840"/>
          <a:ext cx="9136440" cy="101448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11</xdr:col>
      <xdr:colOff>348480</xdr:colOff>
      <xdr:row>28</xdr:row>
      <xdr:rowOff>183240</xdr:rowOff>
    </xdr:from>
    <xdr:to>
      <xdr:col>12</xdr:col>
      <xdr:colOff>512640</xdr:colOff>
      <xdr:row>72</xdr:row>
      <xdr:rowOff>162000</xdr:rowOff>
    </xdr:to>
    <xdr:cxnSp macro="">
      <xdr:nvCxnSpPr>
        <xdr:cNvPr id="56" name="Conector: angular 64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CxnSpPr/>
      </xdr:nvCxnSpPr>
      <xdr:spPr>
        <a:xfrm rot="5400000" flipH="1" flipV="1">
          <a:off x="4016880" y="10181160"/>
          <a:ext cx="10389960" cy="108108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14</xdr:col>
      <xdr:colOff>29160</xdr:colOff>
      <xdr:row>14</xdr:row>
      <xdr:rowOff>171000</xdr:rowOff>
    </xdr:from>
    <xdr:to>
      <xdr:col>15</xdr:col>
      <xdr:colOff>98640</xdr:colOff>
      <xdr:row>18</xdr:row>
      <xdr:rowOff>56520</xdr:rowOff>
    </xdr:to>
    <xdr:sp macro="" textlink="">
      <xdr:nvSpPr>
        <xdr:cNvPr id="57" name="Rectángulo 50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SpPr/>
      </xdr:nvSpPr>
      <xdr:spPr>
        <a:xfrm>
          <a:off x="10963080" y="2847600"/>
          <a:ext cx="812520" cy="64728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100" b="0" strike="noStrike" spc="-1">
              <a:solidFill>
                <a:srgbClr val="000000"/>
              </a:solidFill>
              <a:latin typeface="Calibri"/>
            </a:rPr>
            <a:t>Desaguado</a:t>
          </a:r>
          <a:endParaRPr lang="es-CL" sz="1100" b="0" strike="noStrike" spc="-1">
            <a:latin typeface="Times New Roman"/>
          </a:endParaRPr>
        </a:p>
      </xdr:txBody>
    </xdr:sp>
    <xdr:clientData/>
  </xdr:twoCellAnchor>
  <xdr:twoCellAnchor>
    <xdr:from>
      <xdr:col>14</xdr:col>
      <xdr:colOff>542520</xdr:colOff>
      <xdr:row>18</xdr:row>
      <xdr:rowOff>56520</xdr:rowOff>
    </xdr:from>
    <xdr:to>
      <xdr:col>15</xdr:col>
      <xdr:colOff>710640</xdr:colOff>
      <xdr:row>27</xdr:row>
      <xdr:rowOff>183600</xdr:rowOff>
    </xdr:to>
    <xdr:cxnSp macro="">
      <xdr:nvCxnSpPr>
        <xdr:cNvPr id="58" name="Conector: angular 67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CxnSpPr/>
      </xdr:nvCxnSpPr>
      <xdr:spPr>
        <a:xfrm rot="16200000" flipH="1">
          <a:off x="11010960" y="3960000"/>
          <a:ext cx="1842120" cy="911520"/>
        </a:xfrm>
        <a:prstGeom prst="bentConnector3">
          <a:avLst>
            <a:gd name="adj1" fmla="val 50000"/>
          </a:avLst>
        </a:prstGeom>
        <a:ln w="12700"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14</xdr:col>
      <xdr:colOff>52920</xdr:colOff>
      <xdr:row>12</xdr:row>
      <xdr:rowOff>75960</xdr:rowOff>
    </xdr:from>
    <xdr:to>
      <xdr:col>14</xdr:col>
      <xdr:colOff>66240</xdr:colOff>
      <xdr:row>16</xdr:row>
      <xdr:rowOff>111600</xdr:rowOff>
    </xdr:to>
    <xdr:cxnSp macro="">
      <xdr:nvCxnSpPr>
        <xdr:cNvPr id="59" name="Conector recto de flecha 70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CxnSpPr/>
      </xdr:nvCxnSpPr>
      <xdr:spPr>
        <a:xfrm flipH="1" flipV="1">
          <a:off x="10986840" y="2371320"/>
          <a:ext cx="13680" cy="798120"/>
        </a:xfrm>
        <a:prstGeom prst="straightConnector1">
          <a:avLst/>
        </a:prstGeom>
        <a:ln w="12700"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13</xdr:col>
      <xdr:colOff>86040</xdr:colOff>
      <xdr:row>8</xdr:row>
      <xdr:rowOff>182520</xdr:rowOff>
    </xdr:from>
    <xdr:to>
      <xdr:col>14</xdr:col>
      <xdr:colOff>52920</xdr:colOff>
      <xdr:row>12</xdr:row>
      <xdr:rowOff>40680</xdr:rowOff>
    </xdr:to>
    <xdr:sp macro="" textlink="">
      <xdr:nvSpPr>
        <xdr:cNvPr id="60" name="Triángulo isósceles 71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SpPr/>
      </xdr:nvSpPr>
      <xdr:spPr>
        <a:xfrm>
          <a:off x="10277280" y="1716120"/>
          <a:ext cx="709560" cy="61992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13</xdr:col>
      <xdr:colOff>85680</xdr:colOff>
      <xdr:row>12</xdr:row>
      <xdr:rowOff>41040</xdr:rowOff>
    </xdr:from>
    <xdr:to>
      <xdr:col>13</xdr:col>
      <xdr:colOff>455400</xdr:colOff>
      <xdr:row>27</xdr:row>
      <xdr:rowOff>87120</xdr:rowOff>
    </xdr:to>
    <xdr:cxnSp macro="">
      <xdr:nvCxnSpPr>
        <xdr:cNvPr id="61" name="Conector: angular 73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CxnSpPr/>
      </xdr:nvCxnSpPr>
      <xdr:spPr>
        <a:xfrm rot="16200000" flipH="1">
          <a:off x="9009720" y="3603240"/>
          <a:ext cx="2904120" cy="370080"/>
        </a:xfrm>
        <a:prstGeom prst="bentConnector3">
          <a:avLst>
            <a:gd name="adj1" fmla="val 50000"/>
          </a:avLst>
        </a:prstGeom>
        <a:ln w="12700"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15</xdr:col>
      <xdr:colOff>699840</xdr:colOff>
      <xdr:row>45</xdr:row>
      <xdr:rowOff>82080</xdr:rowOff>
    </xdr:from>
    <xdr:to>
      <xdr:col>17</xdr:col>
      <xdr:colOff>478080</xdr:colOff>
      <xdr:row>48</xdr:row>
      <xdr:rowOff>15840</xdr:rowOff>
    </xdr:to>
    <xdr:sp macro="" textlink="">
      <xdr:nvSpPr>
        <xdr:cNvPr id="62" name="Rectángulo 18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SpPr/>
      </xdr:nvSpPr>
      <xdr:spPr>
        <a:xfrm>
          <a:off x="12376800" y="8664120"/>
          <a:ext cx="1264320" cy="50508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FLOTACIÓN NEUMATICA 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16</xdr:col>
      <xdr:colOff>529920</xdr:colOff>
      <xdr:row>48</xdr:row>
      <xdr:rowOff>15840</xdr:rowOff>
    </xdr:from>
    <xdr:to>
      <xdr:col>16</xdr:col>
      <xdr:colOff>529920</xdr:colOff>
      <xdr:row>49</xdr:row>
      <xdr:rowOff>39600</xdr:rowOff>
    </xdr:to>
    <xdr:cxnSp macro="">
      <xdr:nvCxnSpPr>
        <xdr:cNvPr id="63" name="Conector recto de flecha 39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CxnSpPr/>
      </xdr:nvCxnSpPr>
      <xdr:spPr>
        <a:xfrm>
          <a:off x="12949920" y="9169200"/>
          <a:ext cx="360" cy="21492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17</xdr:col>
      <xdr:colOff>478440</xdr:colOff>
      <xdr:row>14</xdr:row>
      <xdr:rowOff>126720</xdr:rowOff>
    </xdr:from>
    <xdr:to>
      <xdr:col>22</xdr:col>
      <xdr:colOff>281160</xdr:colOff>
      <xdr:row>46</xdr:row>
      <xdr:rowOff>146160</xdr:rowOff>
    </xdr:to>
    <xdr:cxnSp macro="">
      <xdr:nvCxnSpPr>
        <xdr:cNvPr id="64" name="Conector: angular 43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CxnSpPr/>
      </xdr:nvCxnSpPr>
      <xdr:spPr>
        <a:xfrm rot="5400000" flipH="1" flipV="1">
          <a:off x="13448520" y="2995920"/>
          <a:ext cx="6115680" cy="5730120"/>
        </a:xfrm>
        <a:prstGeom prst="bentConnector3">
          <a:avLst>
            <a:gd name="adj1" fmla="val 49997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499320</xdr:colOff>
      <xdr:row>17</xdr:row>
      <xdr:rowOff>96840</xdr:rowOff>
    </xdr:from>
    <xdr:to>
      <xdr:col>16</xdr:col>
      <xdr:colOff>721440</xdr:colOff>
      <xdr:row>18</xdr:row>
      <xdr:rowOff>109440</xdr:rowOff>
    </xdr:to>
    <xdr:sp macro="" textlink="">
      <xdr:nvSpPr>
        <xdr:cNvPr id="65" name="Elipse 2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SpPr/>
      </xdr:nvSpPr>
      <xdr:spPr>
        <a:xfrm>
          <a:off x="12919320" y="3344760"/>
          <a:ext cx="222120" cy="203040"/>
        </a:xfrm>
        <a:prstGeom prst="ellipse">
          <a:avLst/>
        </a:prstGeom>
        <a:solidFill>
          <a:schemeClr val="accent1">
            <a:lumMod val="50000"/>
          </a:schemeClr>
        </a:solidFill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15</xdr:col>
      <xdr:colOff>75960</xdr:colOff>
      <xdr:row>18</xdr:row>
      <xdr:rowOff>5760</xdr:rowOff>
    </xdr:from>
    <xdr:to>
      <xdr:col>16</xdr:col>
      <xdr:colOff>499320</xdr:colOff>
      <xdr:row>18</xdr:row>
      <xdr:rowOff>8280</xdr:rowOff>
    </xdr:to>
    <xdr:cxnSp macro="">
      <xdr:nvCxnSpPr>
        <xdr:cNvPr id="66" name="Conector recto de flecha 70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CxnSpPr/>
      </xdr:nvCxnSpPr>
      <xdr:spPr>
        <a:xfrm flipH="1">
          <a:off x="11752920" y="3444120"/>
          <a:ext cx="1166760" cy="2880"/>
        </a:xfrm>
        <a:prstGeom prst="straightConnector1">
          <a:avLst/>
        </a:prstGeom>
        <a:ln w="12700"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5</xdr:col>
      <xdr:colOff>9720</xdr:colOff>
      <xdr:row>35</xdr:row>
      <xdr:rowOff>37440</xdr:rowOff>
    </xdr:from>
    <xdr:to>
      <xdr:col>5</xdr:col>
      <xdr:colOff>587880</xdr:colOff>
      <xdr:row>38</xdr:row>
      <xdr:rowOff>5040</xdr:rowOff>
    </xdr:to>
    <xdr:sp macro="" textlink="">
      <xdr:nvSpPr>
        <xdr:cNvPr id="67" name="Triángulo isósceles 12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SpPr/>
      </xdr:nvSpPr>
      <xdr:spPr>
        <a:xfrm>
          <a:off x="3251520" y="6714360"/>
          <a:ext cx="578160" cy="53928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4</xdr:col>
      <xdr:colOff>282240</xdr:colOff>
      <xdr:row>35</xdr:row>
      <xdr:rowOff>42840</xdr:rowOff>
    </xdr:from>
    <xdr:to>
      <xdr:col>5</xdr:col>
      <xdr:colOff>98280</xdr:colOff>
      <xdr:row>36</xdr:row>
      <xdr:rowOff>132120</xdr:rowOff>
    </xdr:to>
    <xdr:sp macro="" textlink="">
      <xdr:nvSpPr>
        <xdr:cNvPr id="68" name="Rectángulo 13">
          <a:extLst>
            <a:ext uri="{FF2B5EF4-FFF2-40B4-BE49-F238E27FC236}">
              <a16:creationId xmlns:a16="http://schemas.microsoft.com/office/drawing/2014/main" id="{00000000-0008-0000-0100-000044000000}"/>
            </a:ext>
          </a:extLst>
        </xdr:cNvPr>
        <xdr:cNvSpPr/>
      </xdr:nvSpPr>
      <xdr:spPr>
        <a:xfrm>
          <a:off x="2781000" y="6719760"/>
          <a:ext cx="559080" cy="2797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T1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4</xdr:col>
      <xdr:colOff>95040</xdr:colOff>
      <xdr:row>37</xdr:row>
      <xdr:rowOff>99000</xdr:rowOff>
    </xdr:from>
    <xdr:to>
      <xdr:col>5</xdr:col>
      <xdr:colOff>154440</xdr:colOff>
      <xdr:row>37</xdr:row>
      <xdr:rowOff>99000</xdr:rowOff>
    </xdr:to>
    <xdr:cxnSp macro="">
      <xdr:nvCxnSpPr>
        <xdr:cNvPr id="69" name="Conector recto de flecha 32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CxnSpPr/>
      </xdr:nvCxnSpPr>
      <xdr:spPr>
        <a:xfrm>
          <a:off x="2593800" y="7157160"/>
          <a:ext cx="80280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5</xdr:col>
      <xdr:colOff>720</xdr:colOff>
      <xdr:row>42</xdr:row>
      <xdr:rowOff>28440</xdr:rowOff>
    </xdr:from>
    <xdr:to>
      <xdr:col>5</xdr:col>
      <xdr:colOff>578880</xdr:colOff>
      <xdr:row>44</xdr:row>
      <xdr:rowOff>177480</xdr:rowOff>
    </xdr:to>
    <xdr:sp macro="" textlink="">
      <xdr:nvSpPr>
        <xdr:cNvPr id="70" name="Triángulo isósceles 79">
          <a:extLst>
            <a:ext uri="{FF2B5EF4-FFF2-40B4-BE49-F238E27FC236}">
              <a16:creationId xmlns:a16="http://schemas.microsoft.com/office/drawing/2014/main" id="{00000000-0008-0000-0100-000046000000}"/>
            </a:ext>
          </a:extLst>
        </xdr:cNvPr>
        <xdr:cNvSpPr/>
      </xdr:nvSpPr>
      <xdr:spPr>
        <a:xfrm>
          <a:off x="3242520" y="8038800"/>
          <a:ext cx="578160" cy="53028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4</xdr:col>
      <xdr:colOff>706680</xdr:colOff>
      <xdr:row>49</xdr:row>
      <xdr:rowOff>135360</xdr:rowOff>
    </xdr:from>
    <xdr:to>
      <xdr:col>5</xdr:col>
      <xdr:colOff>522720</xdr:colOff>
      <xdr:row>52</xdr:row>
      <xdr:rowOff>102960</xdr:rowOff>
    </xdr:to>
    <xdr:sp macro="" textlink="">
      <xdr:nvSpPr>
        <xdr:cNvPr id="71" name="Triángulo isósceles 80">
          <a:extLst>
            <a:ext uri="{FF2B5EF4-FFF2-40B4-BE49-F238E27FC236}">
              <a16:creationId xmlns:a16="http://schemas.microsoft.com/office/drawing/2014/main" id="{00000000-0008-0000-0100-000047000000}"/>
            </a:ext>
          </a:extLst>
        </xdr:cNvPr>
        <xdr:cNvSpPr/>
      </xdr:nvSpPr>
      <xdr:spPr>
        <a:xfrm>
          <a:off x="3205440" y="9479520"/>
          <a:ext cx="559080" cy="53892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4</xdr:col>
      <xdr:colOff>522000</xdr:colOff>
      <xdr:row>56</xdr:row>
      <xdr:rowOff>87480</xdr:rowOff>
    </xdr:from>
    <xdr:to>
      <xdr:col>5</xdr:col>
      <xdr:colOff>492840</xdr:colOff>
      <xdr:row>58</xdr:row>
      <xdr:rowOff>140760</xdr:rowOff>
    </xdr:to>
    <xdr:sp macro="" textlink="">
      <xdr:nvSpPr>
        <xdr:cNvPr id="72" name="Triángulo isósceles 81">
          <a:extLst>
            <a:ext uri="{FF2B5EF4-FFF2-40B4-BE49-F238E27FC236}">
              <a16:creationId xmlns:a16="http://schemas.microsoft.com/office/drawing/2014/main" id="{00000000-0008-0000-0100-000048000000}"/>
            </a:ext>
          </a:extLst>
        </xdr:cNvPr>
        <xdr:cNvSpPr/>
      </xdr:nvSpPr>
      <xdr:spPr>
        <a:xfrm>
          <a:off x="3020760" y="10822320"/>
          <a:ext cx="713880" cy="85320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4</xdr:col>
      <xdr:colOff>0</xdr:colOff>
      <xdr:row>44</xdr:row>
      <xdr:rowOff>18000</xdr:rowOff>
    </xdr:from>
    <xdr:to>
      <xdr:col>5</xdr:col>
      <xdr:colOff>59040</xdr:colOff>
      <xdr:row>44</xdr:row>
      <xdr:rowOff>18000</xdr:rowOff>
    </xdr:to>
    <xdr:cxnSp macro="">
      <xdr:nvCxnSpPr>
        <xdr:cNvPr id="73" name="Conector recto de flecha 55">
          <a:extLst>
            <a:ext uri="{FF2B5EF4-FFF2-40B4-BE49-F238E27FC236}">
              <a16:creationId xmlns:a16="http://schemas.microsoft.com/office/drawing/2014/main" id="{00000000-0008-0000-0100-000049000000}"/>
            </a:ext>
          </a:extLst>
        </xdr:cNvPr>
        <xdr:cNvCxnSpPr/>
      </xdr:nvCxnSpPr>
      <xdr:spPr>
        <a:xfrm>
          <a:off x="2498760" y="8409600"/>
          <a:ext cx="80244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4</xdr:col>
      <xdr:colOff>16920</xdr:colOff>
      <xdr:row>51</xdr:row>
      <xdr:rowOff>97920</xdr:rowOff>
    </xdr:from>
    <xdr:to>
      <xdr:col>5</xdr:col>
      <xdr:colOff>57240</xdr:colOff>
      <xdr:row>51</xdr:row>
      <xdr:rowOff>97920</xdr:rowOff>
    </xdr:to>
    <xdr:cxnSp macro="">
      <xdr:nvCxnSpPr>
        <xdr:cNvPr id="74" name="Conector recto de flecha 57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CxnSpPr/>
      </xdr:nvCxnSpPr>
      <xdr:spPr>
        <a:xfrm>
          <a:off x="2515680" y="9822960"/>
          <a:ext cx="78372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3</xdr:col>
      <xdr:colOff>520560</xdr:colOff>
      <xdr:row>57</xdr:row>
      <xdr:rowOff>178560</xdr:rowOff>
    </xdr:from>
    <xdr:to>
      <xdr:col>4</xdr:col>
      <xdr:colOff>579960</xdr:colOff>
      <xdr:row>57</xdr:row>
      <xdr:rowOff>178560</xdr:rowOff>
    </xdr:to>
    <xdr:cxnSp macro="">
      <xdr:nvCxnSpPr>
        <xdr:cNvPr id="75" name="Conector recto de flecha 58">
          <a:extLst>
            <a:ext uri="{FF2B5EF4-FFF2-40B4-BE49-F238E27FC236}">
              <a16:creationId xmlns:a16="http://schemas.microsoft.com/office/drawing/2014/main" id="{00000000-0008-0000-0100-00004B000000}"/>
            </a:ext>
          </a:extLst>
        </xdr:cNvPr>
        <xdr:cNvCxnSpPr/>
      </xdr:nvCxnSpPr>
      <xdr:spPr>
        <a:xfrm>
          <a:off x="2276280" y="11313360"/>
          <a:ext cx="80280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5</xdr:col>
      <xdr:colOff>444960</xdr:colOff>
      <xdr:row>36</xdr:row>
      <xdr:rowOff>124560</xdr:rowOff>
    </xdr:from>
    <xdr:to>
      <xdr:col>12</xdr:col>
      <xdr:colOff>451440</xdr:colOff>
      <xdr:row>36</xdr:row>
      <xdr:rowOff>140760</xdr:rowOff>
    </xdr:to>
    <xdr:cxnSp macro="">
      <xdr:nvCxnSpPr>
        <xdr:cNvPr id="76" name="Conector recto de flecha 32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CxnSpPr/>
      </xdr:nvCxnSpPr>
      <xdr:spPr>
        <a:xfrm>
          <a:off x="3686760" y="6991920"/>
          <a:ext cx="6004440" cy="165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5</xdr:col>
      <xdr:colOff>484560</xdr:colOff>
      <xdr:row>44</xdr:row>
      <xdr:rowOff>1800</xdr:rowOff>
    </xdr:from>
    <xdr:to>
      <xdr:col>12</xdr:col>
      <xdr:colOff>491040</xdr:colOff>
      <xdr:row>44</xdr:row>
      <xdr:rowOff>11160</xdr:rowOff>
    </xdr:to>
    <xdr:cxnSp macro="">
      <xdr:nvCxnSpPr>
        <xdr:cNvPr id="77" name="Conector recto de flecha 32">
          <a:extLst>
            <a:ext uri="{FF2B5EF4-FFF2-40B4-BE49-F238E27FC236}">
              <a16:creationId xmlns:a16="http://schemas.microsoft.com/office/drawing/2014/main" id="{00000000-0008-0000-0100-00004D000000}"/>
            </a:ext>
          </a:extLst>
        </xdr:cNvPr>
        <xdr:cNvCxnSpPr/>
      </xdr:nvCxnSpPr>
      <xdr:spPr>
        <a:xfrm>
          <a:off x="3726360" y="8393400"/>
          <a:ext cx="6004440" cy="972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5</xdr:col>
      <xdr:colOff>360720</xdr:colOff>
      <xdr:row>46</xdr:row>
      <xdr:rowOff>42120</xdr:rowOff>
    </xdr:from>
    <xdr:to>
      <xdr:col>12</xdr:col>
      <xdr:colOff>479520</xdr:colOff>
      <xdr:row>51</xdr:row>
      <xdr:rowOff>20520</xdr:rowOff>
    </xdr:to>
    <xdr:cxnSp macro="">
      <xdr:nvCxnSpPr>
        <xdr:cNvPr id="78" name="Conector: angular 42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CxnSpPr/>
      </xdr:nvCxnSpPr>
      <xdr:spPr>
        <a:xfrm flipV="1">
          <a:off x="3602520" y="8814600"/>
          <a:ext cx="6116760" cy="93132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5</xdr:col>
      <xdr:colOff>291960</xdr:colOff>
      <xdr:row>49</xdr:row>
      <xdr:rowOff>126720</xdr:rowOff>
    </xdr:from>
    <xdr:to>
      <xdr:col>12</xdr:col>
      <xdr:colOff>465480</xdr:colOff>
      <xdr:row>57</xdr:row>
      <xdr:rowOff>114120</xdr:rowOff>
    </xdr:to>
    <xdr:cxnSp macro="">
      <xdr:nvCxnSpPr>
        <xdr:cNvPr id="79" name="Conector: angular 42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CxnSpPr/>
      </xdr:nvCxnSpPr>
      <xdr:spPr>
        <a:xfrm flipV="1">
          <a:off x="3533760" y="9470880"/>
          <a:ext cx="6171480" cy="177840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2</xdr:col>
      <xdr:colOff>589320</xdr:colOff>
      <xdr:row>7</xdr:row>
      <xdr:rowOff>185760</xdr:rowOff>
    </xdr:from>
    <xdr:to>
      <xdr:col>3</xdr:col>
      <xdr:colOff>684000</xdr:colOff>
      <xdr:row>8</xdr:row>
      <xdr:rowOff>5040</xdr:rowOff>
    </xdr:to>
    <xdr:cxnSp macro="">
      <xdr:nvCxnSpPr>
        <xdr:cNvPr id="80" name="Conector recto de flecha 23">
          <a:extLst>
            <a:ext uri="{FF2B5EF4-FFF2-40B4-BE49-F238E27FC236}">
              <a16:creationId xmlns:a16="http://schemas.microsoft.com/office/drawing/2014/main" id="{00000000-0008-0000-0100-000050000000}"/>
            </a:ext>
          </a:extLst>
        </xdr:cNvPr>
        <xdr:cNvCxnSpPr/>
      </xdr:nvCxnSpPr>
      <xdr:spPr>
        <a:xfrm>
          <a:off x="1602000" y="1528920"/>
          <a:ext cx="838080" cy="1008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23</xdr:col>
      <xdr:colOff>14040</xdr:colOff>
      <xdr:row>13</xdr:row>
      <xdr:rowOff>28080</xdr:rowOff>
    </xdr:from>
    <xdr:to>
      <xdr:col>24</xdr:col>
      <xdr:colOff>451440</xdr:colOff>
      <xdr:row>13</xdr:row>
      <xdr:rowOff>28080</xdr:rowOff>
    </xdr:to>
    <xdr:cxnSp macro="">
      <xdr:nvCxnSpPr>
        <xdr:cNvPr id="81" name="Conector recto de flecha 23">
          <a:extLst>
            <a:ext uri="{FF2B5EF4-FFF2-40B4-BE49-F238E27FC236}">
              <a16:creationId xmlns:a16="http://schemas.microsoft.com/office/drawing/2014/main" id="{00000000-0008-0000-0100-000051000000}"/>
            </a:ext>
          </a:extLst>
        </xdr:cNvPr>
        <xdr:cNvCxnSpPr/>
      </xdr:nvCxnSpPr>
      <xdr:spPr>
        <a:xfrm>
          <a:off x="20078640" y="2514240"/>
          <a:ext cx="162396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71280</xdr:colOff>
      <xdr:row>1</xdr:row>
      <xdr:rowOff>108360</xdr:rowOff>
    </xdr:from>
    <xdr:to>
      <xdr:col>3</xdr:col>
      <xdr:colOff>1668</xdr:colOff>
      <xdr:row>4</xdr:row>
      <xdr:rowOff>24480</xdr:rowOff>
    </xdr:to>
    <xdr:pic>
      <xdr:nvPicPr>
        <xdr:cNvPr id="80" name="Imagen 1">
          <a:extLst>
            <a:ext uri="{FF2B5EF4-FFF2-40B4-BE49-F238E27FC236}">
              <a16:creationId xmlns:a16="http://schemas.microsoft.com/office/drawing/2014/main" id="{00000000-0008-0000-0400-000050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69720" y="270360"/>
          <a:ext cx="937080" cy="4017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pmineria-my.sharepoint.com/personal/lbravo_cmp_cl/Documents/BALANCES%20MAGNETITA/Balances%20METALURGICOS%20mensuales/2022/12.%20Diciembre%202022/BALANCE%20final%20Octubre%202022%20PM3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cion Planta"/>
      <sheetName val="Calc Nodos Stock"/>
      <sheetName val="Bal Fe Tot"/>
      <sheetName val="Bal FeMag"/>
      <sheetName val="Diagrama Fe T"/>
    </sheetNames>
    <sheetDataSet>
      <sheetData sheetId="0">
        <row r="41">
          <cell r="B41" t="str">
            <v>R1</v>
          </cell>
          <cell r="C41" t="str">
            <v>R2</v>
          </cell>
          <cell r="D41" t="str">
            <v>Hidro</v>
          </cell>
          <cell r="E41" t="str">
            <v>Finisher</v>
          </cell>
          <cell r="F41" t="str">
            <v>Flot Magn</v>
          </cell>
          <cell r="G41" t="str">
            <v>Flot Neum</v>
          </cell>
          <cell r="H41" t="str">
            <v>Esp. Conc</v>
          </cell>
        </row>
      </sheetData>
      <sheetData sheetId="1">
        <row r="12">
          <cell r="E12">
            <v>2097.3996419743298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E574"/>
  <sheetViews>
    <sheetView topLeftCell="A93" zoomScale="134" zoomScaleNormal="134" zoomScaleSheetLayoutView="77" workbookViewId="0">
      <selection activeCell="G108" sqref="G108"/>
    </sheetView>
  </sheetViews>
  <sheetFormatPr baseColWidth="10" defaultColWidth="11.5" defaultRowHeight="15" outlineLevelCol="1" x14ac:dyDescent="0.2"/>
  <cols>
    <col min="1" max="8" width="11.5" outlineLevel="1"/>
    <col min="9" max="9" width="11.5" bestFit="1" customWidth="1" outlineLevel="1"/>
    <col min="10" max="10" width="5.33203125" customWidth="1"/>
    <col min="11" max="11" width="27.6640625" customWidth="1"/>
    <col min="14" max="14" width="24.83203125" customWidth="1"/>
    <col min="15" max="17" width="11.5" style="133"/>
    <col min="18" max="18" width="15.5" style="133" bestFit="1" customWidth="1"/>
    <col min="29" max="29" width="16.33203125" customWidth="1"/>
  </cols>
  <sheetData>
    <row r="1" spans="1:83" x14ac:dyDescent="0.2">
      <c r="A1" s="133">
        <v>0</v>
      </c>
      <c r="B1" s="133">
        <v>0</v>
      </c>
      <c r="C1" s="133">
        <v>0</v>
      </c>
      <c r="D1" s="133">
        <v>0</v>
      </c>
      <c r="E1" s="133">
        <v>0</v>
      </c>
      <c r="F1" s="133">
        <v>0</v>
      </c>
      <c r="G1" s="134">
        <v>0</v>
      </c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</row>
    <row r="2" spans="1:83" x14ac:dyDescent="0.2">
      <c r="A2" s="133">
        <v>0</v>
      </c>
      <c r="B2" s="133">
        <v>0</v>
      </c>
      <c r="C2" s="133">
        <v>0</v>
      </c>
      <c r="D2" s="133">
        <v>0</v>
      </c>
      <c r="E2" s="133">
        <v>0</v>
      </c>
      <c r="F2" s="133">
        <v>0</v>
      </c>
      <c r="G2" s="134">
        <v>0</v>
      </c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>
        <v>1</v>
      </c>
      <c r="AO2" s="133">
        <f t="shared" ref="AO2:CE2" si="0">AN2+1</f>
        <v>2</v>
      </c>
      <c r="AP2">
        <f t="shared" si="0"/>
        <v>3</v>
      </c>
      <c r="AQ2">
        <f t="shared" si="0"/>
        <v>4</v>
      </c>
      <c r="AR2">
        <f t="shared" si="0"/>
        <v>5</v>
      </c>
      <c r="AS2">
        <f t="shared" si="0"/>
        <v>6</v>
      </c>
      <c r="AT2">
        <f t="shared" si="0"/>
        <v>7</v>
      </c>
      <c r="AU2">
        <f t="shared" si="0"/>
        <v>8</v>
      </c>
      <c r="AV2">
        <f t="shared" si="0"/>
        <v>9</v>
      </c>
      <c r="AW2">
        <f t="shared" si="0"/>
        <v>10</v>
      </c>
      <c r="AX2">
        <f t="shared" si="0"/>
        <v>11</v>
      </c>
      <c r="AY2">
        <f t="shared" si="0"/>
        <v>12</v>
      </c>
      <c r="AZ2">
        <f t="shared" si="0"/>
        <v>13</v>
      </c>
      <c r="BA2">
        <f t="shared" si="0"/>
        <v>14</v>
      </c>
      <c r="BB2">
        <f t="shared" si="0"/>
        <v>15</v>
      </c>
      <c r="BC2">
        <f t="shared" si="0"/>
        <v>16</v>
      </c>
      <c r="BD2">
        <f t="shared" si="0"/>
        <v>17</v>
      </c>
      <c r="BE2">
        <f t="shared" si="0"/>
        <v>18</v>
      </c>
      <c r="BF2">
        <f t="shared" si="0"/>
        <v>19</v>
      </c>
      <c r="BG2">
        <f t="shared" si="0"/>
        <v>20</v>
      </c>
      <c r="BH2">
        <f t="shared" si="0"/>
        <v>21</v>
      </c>
      <c r="BI2">
        <f t="shared" si="0"/>
        <v>22</v>
      </c>
      <c r="BJ2">
        <f t="shared" si="0"/>
        <v>23</v>
      </c>
      <c r="BK2">
        <f t="shared" si="0"/>
        <v>24</v>
      </c>
      <c r="BL2">
        <f t="shared" si="0"/>
        <v>25</v>
      </c>
      <c r="BM2">
        <f t="shared" si="0"/>
        <v>26</v>
      </c>
      <c r="BN2">
        <f t="shared" si="0"/>
        <v>27</v>
      </c>
      <c r="BO2">
        <f t="shared" si="0"/>
        <v>28</v>
      </c>
      <c r="BP2">
        <f t="shared" si="0"/>
        <v>29</v>
      </c>
      <c r="BQ2">
        <f t="shared" si="0"/>
        <v>30</v>
      </c>
      <c r="BR2">
        <f t="shared" si="0"/>
        <v>31</v>
      </c>
      <c r="BS2">
        <f t="shared" si="0"/>
        <v>32</v>
      </c>
      <c r="BT2">
        <f t="shared" si="0"/>
        <v>33</v>
      </c>
      <c r="BU2">
        <f t="shared" si="0"/>
        <v>34</v>
      </c>
      <c r="BV2">
        <f t="shared" si="0"/>
        <v>35</v>
      </c>
      <c r="BW2">
        <f t="shared" si="0"/>
        <v>36</v>
      </c>
      <c r="BX2">
        <f t="shared" si="0"/>
        <v>37</v>
      </c>
      <c r="BY2">
        <f t="shared" si="0"/>
        <v>38</v>
      </c>
      <c r="BZ2">
        <f t="shared" si="0"/>
        <v>39</v>
      </c>
      <c r="CA2">
        <f t="shared" si="0"/>
        <v>40</v>
      </c>
      <c r="CB2">
        <f t="shared" si="0"/>
        <v>41</v>
      </c>
      <c r="CC2">
        <f t="shared" si="0"/>
        <v>42</v>
      </c>
      <c r="CD2">
        <f t="shared" si="0"/>
        <v>43</v>
      </c>
      <c r="CE2">
        <f t="shared" si="0"/>
        <v>44</v>
      </c>
    </row>
    <row r="3" spans="1:83" s="1" customFormat="1" ht="45" customHeight="1" x14ac:dyDescent="0.25">
      <c r="A3" s="133">
        <v>0</v>
      </c>
      <c r="B3" s="133">
        <v>0</v>
      </c>
      <c r="C3" s="133">
        <v>0</v>
      </c>
      <c r="D3" s="133">
        <v>0</v>
      </c>
      <c r="E3" s="133">
        <v>0</v>
      </c>
      <c r="F3" s="133">
        <v>0</v>
      </c>
      <c r="G3" s="134">
        <v>0</v>
      </c>
      <c r="H3" s="135"/>
      <c r="I3" s="135"/>
      <c r="J3" s="135"/>
      <c r="K3" s="136"/>
      <c r="L3" s="137"/>
      <c r="M3" s="137"/>
      <c r="N3" s="137"/>
      <c r="O3" s="137"/>
      <c r="P3" s="137"/>
      <c r="Q3" s="137"/>
      <c r="R3" s="137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3"/>
      <c r="AF3" s="153"/>
      <c r="AG3" s="153"/>
      <c r="AH3" s="154"/>
      <c r="AI3" s="154"/>
      <c r="AJ3" s="154"/>
      <c r="AK3" s="154"/>
      <c r="AL3" s="154"/>
      <c r="AM3" s="154"/>
      <c r="AN3" s="140"/>
      <c r="AO3" s="140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U3" s="3"/>
      <c r="BV3" s="3"/>
    </row>
    <row r="4" spans="1:83" ht="18" customHeight="1" x14ac:dyDescent="0.25">
      <c r="A4" s="133">
        <v>2538</v>
      </c>
      <c r="B4" s="133">
        <v>2538</v>
      </c>
      <c r="C4" s="133">
        <v>42.76</v>
      </c>
      <c r="D4" s="133">
        <v>42.787408671000001</v>
      </c>
      <c r="E4" s="133">
        <v>40.49</v>
      </c>
      <c r="F4" s="133">
        <v>40.464046330000002</v>
      </c>
      <c r="G4" s="134">
        <v>0</v>
      </c>
      <c r="H4" s="134"/>
      <c r="I4" s="134"/>
      <c r="J4" s="134"/>
      <c r="K4" s="138"/>
      <c r="L4" s="134"/>
      <c r="M4" s="134"/>
      <c r="N4" s="134"/>
      <c r="O4" s="134"/>
      <c r="P4" s="134"/>
      <c r="Q4" s="134"/>
      <c r="R4" s="134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54"/>
      <c r="AM4" s="152"/>
      <c r="AN4" s="133"/>
      <c r="AO4" s="133"/>
    </row>
    <row r="5" spans="1:83" ht="18" customHeight="1" x14ac:dyDescent="0.25">
      <c r="A5" s="133">
        <v>2247</v>
      </c>
      <c r="B5" s="133">
        <v>2247.7275</v>
      </c>
      <c r="C5" s="133">
        <v>42.76</v>
      </c>
      <c r="D5" s="133">
        <v>42.735727789999999</v>
      </c>
      <c r="E5" s="133">
        <v>40.49</v>
      </c>
      <c r="F5" s="133">
        <v>40.512983622999997</v>
      </c>
      <c r="G5" s="134">
        <v>0</v>
      </c>
      <c r="H5" s="134"/>
      <c r="I5" s="134"/>
      <c r="J5" s="134"/>
      <c r="K5" s="138"/>
      <c r="L5" s="134"/>
      <c r="M5" s="134"/>
      <c r="N5" s="134"/>
      <c r="O5" s="134"/>
      <c r="P5" s="134"/>
      <c r="Q5" s="134"/>
      <c r="R5" s="134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54"/>
      <c r="AM5" s="152"/>
      <c r="AN5" s="133"/>
      <c r="AO5" s="133"/>
    </row>
    <row r="6" spans="1:83" ht="18" customHeight="1" x14ac:dyDescent="0.25">
      <c r="A6" s="133">
        <v>291</v>
      </c>
      <c r="B6" s="133">
        <v>290.27249999999998</v>
      </c>
      <c r="C6" s="133">
        <v>42.76</v>
      </c>
      <c r="D6" s="133">
        <v>43.187600000000003</v>
      </c>
      <c r="E6" s="133">
        <v>40.49</v>
      </c>
      <c r="F6" s="133">
        <v>40.085099999999997</v>
      </c>
      <c r="G6" s="134">
        <v>0</v>
      </c>
      <c r="H6" s="134"/>
      <c r="I6" s="134"/>
      <c r="J6" s="134"/>
      <c r="K6" s="138"/>
      <c r="L6" s="134"/>
      <c r="M6" s="134"/>
      <c r="N6" s="134"/>
      <c r="O6" s="134"/>
      <c r="P6" s="134"/>
      <c r="Q6" s="134"/>
      <c r="R6" s="134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  <c r="AH6" s="133"/>
      <c r="AI6" s="133"/>
      <c r="AJ6" s="133"/>
      <c r="AK6" s="133"/>
      <c r="AL6" s="154"/>
      <c r="AM6" s="152"/>
      <c r="AN6" s="133"/>
      <c r="AO6" s="133"/>
    </row>
    <row r="7" spans="1:83" ht="18" customHeight="1" x14ac:dyDescent="0.25">
      <c r="A7" s="133">
        <v>12718</v>
      </c>
      <c r="B7" s="133">
        <v>12718</v>
      </c>
      <c r="C7" s="133">
        <v>44.51</v>
      </c>
      <c r="D7" s="133">
        <v>44.566456983000002</v>
      </c>
      <c r="E7" s="133">
        <v>42.4</v>
      </c>
      <c r="F7" s="133">
        <v>42.346219323</v>
      </c>
      <c r="G7" s="134">
        <v>0</v>
      </c>
      <c r="H7" s="134"/>
      <c r="I7" s="134"/>
      <c r="J7" s="134"/>
      <c r="K7" s="138"/>
      <c r="L7" s="134"/>
      <c r="M7" s="134"/>
      <c r="N7" s="134"/>
      <c r="O7" s="134"/>
      <c r="P7" s="134"/>
      <c r="Q7" s="134"/>
      <c r="R7" s="134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  <c r="AJ7" s="133"/>
      <c r="AK7" s="133"/>
      <c r="AL7" s="154"/>
      <c r="AM7" s="152"/>
      <c r="AN7" s="133"/>
      <c r="AO7" s="133"/>
    </row>
    <row r="8" spans="1:83" ht="18" customHeight="1" x14ac:dyDescent="0.25">
      <c r="A8" s="133">
        <v>10083</v>
      </c>
      <c r="B8" s="133">
        <v>10089.5875</v>
      </c>
      <c r="C8" s="133">
        <v>44.51</v>
      </c>
      <c r="D8" s="133">
        <v>44.46521259</v>
      </c>
      <c r="E8" s="133">
        <v>42.4</v>
      </c>
      <c r="F8" s="133">
        <v>42.442664207</v>
      </c>
      <c r="G8" s="134">
        <v>0</v>
      </c>
      <c r="H8" s="134"/>
      <c r="I8" s="134"/>
      <c r="J8" s="134"/>
      <c r="K8" s="138"/>
      <c r="L8" s="134"/>
      <c r="M8" s="134"/>
      <c r="N8" s="134"/>
      <c r="O8" s="134"/>
      <c r="P8" s="134"/>
      <c r="Q8" s="134"/>
      <c r="R8" s="134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  <c r="AJ8" s="133"/>
      <c r="AK8" s="133"/>
      <c r="AL8" s="154"/>
      <c r="AM8" s="152"/>
      <c r="AN8" s="133"/>
      <c r="AO8" s="133"/>
    </row>
    <row r="9" spans="1:83" ht="18" customHeight="1" x14ac:dyDescent="0.25">
      <c r="A9" s="133">
        <v>2635</v>
      </c>
      <c r="B9" s="133">
        <v>2628.4124999999999</v>
      </c>
      <c r="C9" s="133">
        <v>44.51</v>
      </c>
      <c r="D9" s="133">
        <v>44.955100000000002</v>
      </c>
      <c r="E9" s="133">
        <v>42.4</v>
      </c>
      <c r="F9" s="133">
        <v>41.975999999999999</v>
      </c>
      <c r="G9" s="134">
        <v>0</v>
      </c>
      <c r="H9" s="134"/>
      <c r="I9" s="134"/>
      <c r="J9" s="134"/>
      <c r="K9" s="138"/>
      <c r="L9" s="134"/>
      <c r="M9" s="134"/>
      <c r="N9" s="134"/>
      <c r="O9" s="134"/>
      <c r="P9" s="134"/>
      <c r="Q9" s="134"/>
      <c r="R9" s="134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54"/>
      <c r="AM9" s="152"/>
      <c r="AN9" s="133"/>
      <c r="AO9" s="133"/>
    </row>
    <row r="10" spans="1:83" ht="18" customHeight="1" x14ac:dyDescent="0.25">
      <c r="A10" s="133">
        <v>14995</v>
      </c>
      <c r="B10" s="133">
        <v>14995</v>
      </c>
      <c r="C10" s="133">
        <v>45.65</v>
      </c>
      <c r="D10" s="133">
        <v>45.297055327999999</v>
      </c>
      <c r="E10" s="133">
        <v>43.23</v>
      </c>
      <c r="F10" s="133">
        <v>44.0946</v>
      </c>
      <c r="G10" s="134">
        <v>0</v>
      </c>
      <c r="H10" s="134"/>
      <c r="I10" s="134"/>
      <c r="J10" s="134"/>
      <c r="K10" s="138"/>
      <c r="L10" s="134"/>
      <c r="M10" s="134"/>
      <c r="N10" s="134"/>
      <c r="O10" s="134"/>
      <c r="P10" s="134"/>
      <c r="Q10" s="134"/>
      <c r="R10" s="134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54"/>
      <c r="AM10" s="152"/>
      <c r="AN10" s="133"/>
      <c r="AO10" s="133"/>
    </row>
    <row r="11" spans="1:83" ht="18" customHeight="1" x14ac:dyDescent="0.25">
      <c r="A11" s="133">
        <v>14995</v>
      </c>
      <c r="B11" s="133">
        <v>14995</v>
      </c>
      <c r="C11" s="133">
        <v>45.65</v>
      </c>
      <c r="D11" s="133">
        <v>45.297055327999999</v>
      </c>
      <c r="E11" s="133">
        <v>43.23</v>
      </c>
      <c r="F11" s="133">
        <v>44.0946</v>
      </c>
      <c r="G11" s="134">
        <v>0</v>
      </c>
      <c r="H11" s="134"/>
      <c r="I11" s="134"/>
      <c r="J11" s="134"/>
      <c r="K11" s="138"/>
      <c r="L11" s="134"/>
      <c r="M11" s="134"/>
      <c r="N11" s="134"/>
      <c r="O11" s="134"/>
      <c r="P11" s="134"/>
      <c r="Q11" s="134"/>
      <c r="R11" s="134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54"/>
      <c r="AM11" s="152"/>
      <c r="AN11" s="133"/>
      <c r="AO11" s="133"/>
    </row>
    <row r="12" spans="1:83" ht="18" customHeight="1" x14ac:dyDescent="0.25">
      <c r="A12" s="133">
        <v>0</v>
      </c>
      <c r="B12" s="133">
        <v>0</v>
      </c>
      <c r="C12" s="133">
        <v>45.65</v>
      </c>
      <c r="D12" s="133">
        <v>45.650000820000002</v>
      </c>
      <c r="E12" s="133">
        <v>43.23</v>
      </c>
      <c r="F12" s="133">
        <v>43.229999116000002</v>
      </c>
      <c r="G12" s="134">
        <v>0</v>
      </c>
      <c r="H12" s="134"/>
      <c r="I12" s="134"/>
      <c r="J12" s="134"/>
      <c r="K12" s="138"/>
      <c r="L12" s="134"/>
      <c r="M12" s="134"/>
      <c r="N12" s="134"/>
      <c r="O12" s="134"/>
      <c r="P12" s="134"/>
      <c r="Q12" s="134"/>
      <c r="R12" s="134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54"/>
      <c r="AM12" s="152"/>
      <c r="AN12" s="133"/>
      <c r="AO12" s="133"/>
    </row>
    <row r="13" spans="1:83" ht="18" customHeight="1" x14ac:dyDescent="0.25">
      <c r="A13" s="133">
        <v>1056</v>
      </c>
      <c r="B13" s="133">
        <v>1056</v>
      </c>
      <c r="C13" s="133">
        <v>50.13</v>
      </c>
      <c r="D13" s="133">
        <v>50.130001784000001</v>
      </c>
      <c r="E13" s="133">
        <v>43.85</v>
      </c>
      <c r="F13" s="133">
        <v>43.849999087999997</v>
      </c>
      <c r="G13" s="134">
        <v>0</v>
      </c>
      <c r="H13" s="134"/>
      <c r="I13" s="134"/>
      <c r="J13" s="134"/>
      <c r="K13" s="138"/>
      <c r="L13" s="134"/>
      <c r="M13" s="134"/>
      <c r="N13" s="134"/>
      <c r="O13" s="134"/>
      <c r="P13" s="134"/>
      <c r="Q13" s="134"/>
      <c r="R13" s="134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54"/>
      <c r="AM13" s="152"/>
      <c r="AN13" s="133"/>
      <c r="AO13" s="133"/>
    </row>
    <row r="14" spans="1:83" ht="18" customHeight="1" x14ac:dyDescent="0.25">
      <c r="A14" s="133">
        <v>1056</v>
      </c>
      <c r="B14" s="133">
        <v>1056</v>
      </c>
      <c r="C14" s="133">
        <v>50.13</v>
      </c>
      <c r="D14" s="133">
        <v>50.130001784000001</v>
      </c>
      <c r="E14" s="133">
        <v>43.85</v>
      </c>
      <c r="F14" s="133">
        <v>43.849999087999997</v>
      </c>
      <c r="G14" s="134">
        <v>0</v>
      </c>
      <c r="H14" s="134"/>
      <c r="I14" s="134"/>
      <c r="J14" s="134"/>
      <c r="K14" s="138"/>
      <c r="L14" s="134"/>
      <c r="M14" s="134"/>
      <c r="N14" s="134"/>
      <c r="O14" s="134"/>
      <c r="P14" s="134"/>
      <c r="Q14" s="134"/>
      <c r="R14" s="134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54"/>
      <c r="AM14" s="152"/>
      <c r="AN14" s="133"/>
      <c r="AO14" s="133"/>
    </row>
    <row r="15" spans="1:83" ht="18" customHeight="1" x14ac:dyDescent="0.25">
      <c r="A15" s="133">
        <v>0</v>
      </c>
      <c r="B15" s="133">
        <v>0</v>
      </c>
      <c r="C15" s="133">
        <v>50.13</v>
      </c>
      <c r="D15" s="133">
        <v>50.130001772999996</v>
      </c>
      <c r="E15" s="133">
        <v>43.85</v>
      </c>
      <c r="F15" s="133">
        <v>43.849999111000002</v>
      </c>
      <c r="G15" s="134">
        <v>0</v>
      </c>
      <c r="H15" s="134"/>
      <c r="I15" s="134"/>
      <c r="J15" s="134"/>
      <c r="K15" s="138"/>
      <c r="L15" s="134"/>
      <c r="M15" s="134"/>
      <c r="N15" s="134"/>
      <c r="O15" s="134"/>
      <c r="P15" s="134"/>
      <c r="Q15" s="134"/>
      <c r="R15" s="134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54"/>
      <c r="AM15" s="152"/>
      <c r="AN15" s="133"/>
      <c r="AO15" s="133"/>
    </row>
    <row r="16" spans="1:83" ht="18" customHeight="1" x14ac:dyDescent="0.25">
      <c r="A16" s="133">
        <v>0</v>
      </c>
      <c r="B16" s="133">
        <v>0</v>
      </c>
      <c r="C16" s="133">
        <v>43.52</v>
      </c>
      <c r="D16" s="133">
        <v>43.520000910999997</v>
      </c>
      <c r="E16" s="133">
        <v>41.39</v>
      </c>
      <c r="F16" s="133">
        <v>41.389999091</v>
      </c>
      <c r="G16" s="134">
        <v>0</v>
      </c>
      <c r="H16" s="134"/>
      <c r="I16" s="134"/>
      <c r="J16" s="134"/>
      <c r="K16" s="138"/>
      <c r="L16" s="134"/>
      <c r="M16" s="134"/>
      <c r="N16" s="134"/>
      <c r="O16" s="134"/>
      <c r="P16" s="134"/>
      <c r="Q16" s="134"/>
      <c r="R16" s="134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54"/>
      <c r="AM16" s="152"/>
      <c r="AN16" s="133"/>
      <c r="AO16" s="133"/>
    </row>
    <row r="17" spans="1:41" ht="18" customHeight="1" x14ac:dyDescent="0.25">
      <c r="A17" s="133">
        <v>-685</v>
      </c>
      <c r="B17" s="133">
        <v>-683.28750000000002</v>
      </c>
      <c r="C17" s="133">
        <v>43.52</v>
      </c>
      <c r="D17" s="133">
        <v>43.955199999999998</v>
      </c>
      <c r="E17" s="133">
        <v>41.39</v>
      </c>
      <c r="F17" s="133">
        <v>40.976100000000002</v>
      </c>
      <c r="G17" s="134">
        <v>0</v>
      </c>
      <c r="H17" s="134"/>
      <c r="I17" s="134"/>
      <c r="J17" s="134"/>
      <c r="K17" s="138"/>
      <c r="L17" s="134"/>
      <c r="M17" s="134"/>
      <c r="N17" s="134"/>
      <c r="O17" s="134"/>
      <c r="P17" s="134"/>
      <c r="Q17" s="134"/>
      <c r="R17" s="134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54"/>
      <c r="AM17" s="152"/>
      <c r="AN17" s="133"/>
      <c r="AO17" s="133"/>
    </row>
    <row r="18" spans="1:41" ht="18" customHeight="1" x14ac:dyDescent="0.25">
      <c r="A18" s="133">
        <v>685</v>
      </c>
      <c r="B18" s="133">
        <v>683.28750000000002</v>
      </c>
      <c r="C18" s="133">
        <v>43.52</v>
      </c>
      <c r="D18" s="133">
        <v>43.955199999999998</v>
      </c>
      <c r="E18" s="133">
        <v>41.39</v>
      </c>
      <c r="F18" s="133">
        <v>40.976100000000002</v>
      </c>
      <c r="G18" s="134">
        <v>0</v>
      </c>
      <c r="H18" s="134"/>
      <c r="I18" s="134"/>
      <c r="J18" s="134"/>
      <c r="K18" s="138"/>
      <c r="L18" s="134"/>
      <c r="M18" s="134"/>
      <c r="N18" s="134"/>
      <c r="O18" s="134"/>
      <c r="P18" s="134"/>
      <c r="Q18" s="134"/>
      <c r="R18" s="134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54"/>
      <c r="AM18" s="152"/>
      <c r="AN18" s="133"/>
      <c r="AO18" s="133"/>
    </row>
    <row r="19" spans="1:41" ht="18" customHeight="1" x14ac:dyDescent="0.25">
      <c r="A19" s="133">
        <v>0</v>
      </c>
      <c r="B19" s="133">
        <v>0</v>
      </c>
      <c r="C19" s="133">
        <v>0</v>
      </c>
      <c r="D19" s="133">
        <v>0</v>
      </c>
      <c r="E19" s="133">
        <v>0</v>
      </c>
      <c r="F19" s="133">
        <v>0</v>
      </c>
      <c r="G19" s="134">
        <v>0</v>
      </c>
      <c r="H19" s="134"/>
      <c r="I19" s="134"/>
      <c r="J19" s="134"/>
      <c r="K19" s="138"/>
      <c r="L19" s="134"/>
      <c r="M19" s="134"/>
      <c r="N19" s="134"/>
      <c r="O19" s="134"/>
      <c r="P19" s="134"/>
      <c r="Q19" s="134"/>
      <c r="R19" s="134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54"/>
      <c r="AM19" s="152"/>
      <c r="AN19" s="133"/>
      <c r="AO19" s="133"/>
    </row>
    <row r="20" spans="1:41" ht="18" customHeight="1" x14ac:dyDescent="0.25">
      <c r="A20" s="133">
        <v>0</v>
      </c>
      <c r="B20" s="133">
        <v>0</v>
      </c>
      <c r="C20" s="133">
        <v>0</v>
      </c>
      <c r="D20" s="133">
        <v>0</v>
      </c>
      <c r="E20" s="133">
        <v>0</v>
      </c>
      <c r="F20" s="133">
        <v>0</v>
      </c>
      <c r="G20" s="134">
        <v>0</v>
      </c>
      <c r="H20" s="134"/>
      <c r="I20" s="134"/>
      <c r="J20" s="134"/>
      <c r="K20" s="138"/>
      <c r="L20" s="134"/>
      <c r="M20" s="134"/>
      <c r="N20" s="134"/>
      <c r="O20" s="134"/>
      <c r="P20" s="134"/>
      <c r="Q20" s="134"/>
      <c r="R20" s="134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54"/>
      <c r="AM20" s="152"/>
      <c r="AN20" s="133"/>
      <c r="AO20" s="133"/>
    </row>
    <row r="21" spans="1:41" ht="18" customHeight="1" x14ac:dyDescent="0.25">
      <c r="A21" s="133">
        <v>0</v>
      </c>
      <c r="B21" s="133">
        <v>0</v>
      </c>
      <c r="C21" s="133">
        <v>0</v>
      </c>
      <c r="D21" s="133">
        <v>0</v>
      </c>
      <c r="E21" s="133">
        <v>0</v>
      </c>
      <c r="F21" s="133">
        <v>0</v>
      </c>
      <c r="G21" s="134">
        <v>0</v>
      </c>
      <c r="H21" s="134"/>
      <c r="I21" s="134"/>
      <c r="J21" s="134"/>
      <c r="K21" s="138"/>
      <c r="L21" s="134"/>
      <c r="M21" s="134"/>
      <c r="N21" s="134"/>
      <c r="O21" s="134"/>
      <c r="P21" s="134"/>
      <c r="Q21" s="134"/>
      <c r="R21" s="134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54"/>
      <c r="AM21" s="152"/>
      <c r="AN21" s="133"/>
      <c r="AO21" s="133"/>
    </row>
    <row r="22" spans="1:41" ht="18" customHeight="1" x14ac:dyDescent="0.25">
      <c r="A22" s="133">
        <v>55</v>
      </c>
      <c r="B22" s="133">
        <v>55</v>
      </c>
      <c r="C22" s="133">
        <v>64.2</v>
      </c>
      <c r="D22" s="133">
        <v>64.200001799999995</v>
      </c>
      <c r="E22" s="133">
        <v>48.4</v>
      </c>
      <c r="F22" s="133">
        <v>48.399998216999997</v>
      </c>
      <c r="G22" s="134">
        <v>0</v>
      </c>
      <c r="H22" s="134"/>
      <c r="I22" s="134"/>
      <c r="J22" s="134"/>
      <c r="K22" s="138"/>
      <c r="L22" s="134"/>
      <c r="M22" s="134"/>
      <c r="N22" s="134"/>
      <c r="O22" s="134"/>
      <c r="P22" s="134"/>
      <c r="Q22" s="134"/>
      <c r="R22" s="134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54"/>
      <c r="AM22" s="152"/>
      <c r="AN22" s="133"/>
      <c r="AO22" s="133"/>
    </row>
    <row r="23" spans="1:41" ht="18" customHeight="1" x14ac:dyDescent="0.25">
      <c r="A23" s="133">
        <v>55</v>
      </c>
      <c r="B23" s="133">
        <v>55</v>
      </c>
      <c r="C23" s="133">
        <v>64.2</v>
      </c>
      <c r="D23" s="133">
        <v>64.200001799999995</v>
      </c>
      <c r="E23" s="133">
        <v>48.4</v>
      </c>
      <c r="F23" s="133">
        <v>48.399998216999997</v>
      </c>
      <c r="G23" s="134">
        <v>0</v>
      </c>
      <c r="H23" s="134"/>
      <c r="I23" s="134"/>
      <c r="J23" s="134"/>
      <c r="K23" s="138"/>
      <c r="L23" s="134"/>
      <c r="M23" s="134"/>
      <c r="N23" s="134"/>
      <c r="O23" s="134"/>
      <c r="P23" s="134"/>
      <c r="Q23" s="134"/>
      <c r="R23" s="134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54"/>
      <c r="AM23" s="153"/>
      <c r="AN23" s="133"/>
      <c r="AO23" s="133"/>
    </row>
    <row r="24" spans="1:41" ht="18" customHeight="1" x14ac:dyDescent="0.25">
      <c r="A24" s="133">
        <v>0</v>
      </c>
      <c r="B24" s="133">
        <v>0</v>
      </c>
      <c r="C24" s="133">
        <v>64.2</v>
      </c>
      <c r="D24" s="133">
        <v>64.200001772999997</v>
      </c>
      <c r="E24" s="133">
        <v>48.4</v>
      </c>
      <c r="F24" s="133">
        <v>48.399998226999998</v>
      </c>
      <c r="G24" s="134">
        <v>0</v>
      </c>
      <c r="H24" s="134"/>
      <c r="I24" s="134"/>
      <c r="J24" s="134"/>
      <c r="K24" s="138"/>
      <c r="L24" s="134"/>
      <c r="M24" s="134"/>
      <c r="N24" s="134"/>
      <c r="O24" s="134"/>
      <c r="P24" s="134"/>
      <c r="Q24" s="134"/>
      <c r="R24" s="134"/>
      <c r="S24" s="133"/>
      <c r="T24" s="133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54"/>
      <c r="AM24" s="153"/>
      <c r="AN24" s="133"/>
      <c r="AO24" s="133"/>
    </row>
    <row r="25" spans="1:41" ht="18" customHeight="1" x14ac:dyDescent="0.25">
      <c r="A25" s="133">
        <v>0</v>
      </c>
      <c r="B25" s="133">
        <v>0</v>
      </c>
      <c r="C25" s="133">
        <v>0</v>
      </c>
      <c r="D25" s="133">
        <v>0</v>
      </c>
      <c r="E25" s="133">
        <v>0</v>
      </c>
      <c r="F25" s="133">
        <v>0</v>
      </c>
      <c r="G25" s="134">
        <v>0</v>
      </c>
      <c r="H25" s="134"/>
      <c r="I25" s="134"/>
      <c r="J25" s="134"/>
      <c r="K25" s="138"/>
      <c r="L25" s="134"/>
      <c r="M25" s="134"/>
      <c r="N25" s="134"/>
      <c r="O25" s="134"/>
      <c r="P25" s="134"/>
      <c r="Q25" s="134"/>
      <c r="R25" s="134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54"/>
      <c r="AM25" s="153"/>
      <c r="AN25" s="133"/>
      <c r="AO25" s="133"/>
    </row>
    <row r="26" spans="1:41" ht="18" customHeight="1" x14ac:dyDescent="0.25">
      <c r="A26" s="133">
        <v>0</v>
      </c>
      <c r="B26" s="133">
        <v>0</v>
      </c>
      <c r="C26" s="133">
        <v>0</v>
      </c>
      <c r="D26" s="133">
        <v>0</v>
      </c>
      <c r="E26" s="133">
        <v>0</v>
      </c>
      <c r="F26" s="133">
        <v>0</v>
      </c>
      <c r="G26" s="134">
        <v>0</v>
      </c>
      <c r="H26" s="134"/>
      <c r="I26" s="134"/>
      <c r="J26" s="134"/>
      <c r="K26" s="138"/>
      <c r="L26" s="134"/>
      <c r="M26" s="134"/>
      <c r="N26" s="134"/>
      <c r="O26" s="134"/>
      <c r="P26" s="134"/>
      <c r="Q26" s="134"/>
      <c r="R26" s="134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</row>
    <row r="27" spans="1:41" ht="18" customHeight="1" x14ac:dyDescent="0.25">
      <c r="A27" s="133">
        <v>0</v>
      </c>
      <c r="B27" s="133">
        <v>0</v>
      </c>
      <c r="C27" s="133">
        <v>0</v>
      </c>
      <c r="D27" s="133">
        <v>0</v>
      </c>
      <c r="E27" s="133">
        <v>0</v>
      </c>
      <c r="F27" s="133">
        <v>0</v>
      </c>
      <c r="G27" s="134">
        <v>0</v>
      </c>
      <c r="H27" s="134"/>
      <c r="I27" s="134"/>
      <c r="J27" s="134"/>
      <c r="K27" s="138"/>
      <c r="L27" s="134"/>
      <c r="M27" s="134"/>
      <c r="N27" s="134"/>
      <c r="O27" s="134"/>
      <c r="P27" s="134"/>
      <c r="Q27" s="134"/>
      <c r="R27" s="134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</row>
    <row r="28" spans="1:41" ht="18" customHeight="1" x14ac:dyDescent="0.25">
      <c r="A28" s="133">
        <v>0</v>
      </c>
      <c r="B28" s="133">
        <v>0</v>
      </c>
      <c r="C28" s="133">
        <v>0</v>
      </c>
      <c r="D28" s="133">
        <v>0</v>
      </c>
      <c r="E28" s="133">
        <v>0</v>
      </c>
      <c r="F28" s="133">
        <v>0</v>
      </c>
      <c r="G28" s="138">
        <v>0</v>
      </c>
      <c r="H28" s="134"/>
      <c r="I28" s="134"/>
      <c r="J28" s="134"/>
      <c r="K28" s="138"/>
      <c r="L28" s="134"/>
      <c r="M28" s="134"/>
      <c r="N28" s="134"/>
      <c r="O28" s="134"/>
      <c r="P28" s="134"/>
      <c r="Q28" s="134"/>
      <c r="R28" s="134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</row>
    <row r="29" spans="1:41" ht="18" customHeight="1" x14ac:dyDescent="0.25">
      <c r="A29" s="133">
        <v>0</v>
      </c>
      <c r="B29" s="133">
        <v>0</v>
      </c>
      <c r="C29" s="133">
        <v>0</v>
      </c>
      <c r="D29" s="133">
        <v>0</v>
      </c>
      <c r="E29" s="133">
        <v>0</v>
      </c>
      <c r="F29" s="133">
        <v>0</v>
      </c>
      <c r="G29" s="134">
        <v>0</v>
      </c>
      <c r="H29" s="134"/>
      <c r="I29" s="134"/>
      <c r="J29" s="134"/>
      <c r="K29" s="138"/>
      <c r="L29" s="134"/>
      <c r="M29" s="134"/>
      <c r="N29" s="134"/>
      <c r="O29" s="134"/>
      <c r="P29" s="134"/>
      <c r="Q29" s="134"/>
      <c r="R29" s="134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</row>
    <row r="30" spans="1:41" ht="18" customHeight="1" x14ac:dyDescent="0.25">
      <c r="A30" s="133">
        <v>0</v>
      </c>
      <c r="B30" s="133">
        <v>0</v>
      </c>
      <c r="C30" s="133">
        <v>0</v>
      </c>
      <c r="D30" s="133">
        <v>0</v>
      </c>
      <c r="E30" s="133">
        <v>0</v>
      </c>
      <c r="F30" s="133">
        <v>0</v>
      </c>
      <c r="G30" s="134">
        <v>0</v>
      </c>
      <c r="H30" s="134"/>
      <c r="I30" s="134"/>
      <c r="J30" s="134"/>
      <c r="K30" s="138"/>
      <c r="L30" s="134"/>
      <c r="M30" s="134"/>
      <c r="N30" s="134"/>
      <c r="O30" s="134"/>
      <c r="P30" s="134"/>
      <c r="Q30" s="134"/>
      <c r="R30" s="134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  <c r="AO30" s="133"/>
    </row>
    <row r="31" spans="1:41" ht="18" customHeight="1" x14ac:dyDescent="0.25">
      <c r="A31" s="133">
        <v>0</v>
      </c>
      <c r="B31" s="133">
        <v>0</v>
      </c>
      <c r="C31" s="133">
        <v>0</v>
      </c>
      <c r="D31" s="133">
        <v>0</v>
      </c>
      <c r="E31" s="133">
        <v>0</v>
      </c>
      <c r="F31" s="133">
        <v>0</v>
      </c>
      <c r="G31" s="134">
        <v>0</v>
      </c>
      <c r="H31" s="134"/>
      <c r="I31" s="134"/>
      <c r="J31" s="134"/>
      <c r="K31" s="138"/>
      <c r="L31" s="134"/>
      <c r="M31" s="134"/>
      <c r="N31" s="134"/>
      <c r="O31" s="134"/>
      <c r="P31" s="134"/>
      <c r="Q31" s="134"/>
      <c r="R31" s="134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  <c r="AO31" s="133"/>
    </row>
    <row r="32" spans="1:41" ht="18" customHeight="1" x14ac:dyDescent="0.25">
      <c r="A32" s="133">
        <v>0</v>
      </c>
      <c r="B32" s="133">
        <v>0</v>
      </c>
      <c r="C32" s="133">
        <v>0</v>
      </c>
      <c r="D32" s="133">
        <v>0</v>
      </c>
      <c r="E32" s="133">
        <v>0</v>
      </c>
      <c r="F32" s="133">
        <v>0</v>
      </c>
      <c r="G32" s="134">
        <v>0</v>
      </c>
      <c r="H32" s="134"/>
      <c r="I32" s="134"/>
      <c r="J32" s="134"/>
      <c r="K32" s="138"/>
      <c r="L32" s="134"/>
      <c r="M32" s="134"/>
      <c r="N32" s="134"/>
      <c r="O32" s="134"/>
      <c r="P32" s="134"/>
      <c r="Q32" s="134"/>
      <c r="R32" s="134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  <c r="AN32" s="133"/>
      <c r="AO32" s="133"/>
    </row>
    <row r="33" spans="1:41" ht="18" customHeight="1" x14ac:dyDescent="0.25">
      <c r="A33" s="133">
        <v>0</v>
      </c>
      <c r="B33" s="133">
        <v>0</v>
      </c>
      <c r="C33" s="133">
        <v>0</v>
      </c>
      <c r="D33" s="133">
        <v>0</v>
      </c>
      <c r="E33" s="133">
        <v>0</v>
      </c>
      <c r="F33" s="133">
        <v>0</v>
      </c>
      <c r="G33" s="134">
        <v>0</v>
      </c>
      <c r="H33" s="134"/>
      <c r="I33" s="134"/>
      <c r="J33" s="134"/>
      <c r="K33" s="138"/>
      <c r="L33" s="134"/>
      <c r="M33" s="134"/>
      <c r="N33" s="134"/>
      <c r="O33" s="134"/>
      <c r="P33" s="134"/>
      <c r="Q33" s="134"/>
      <c r="R33" s="134"/>
      <c r="S33" s="133"/>
      <c r="T33" s="133"/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46"/>
      <c r="AO33" s="146"/>
    </row>
    <row r="34" spans="1:41" ht="18" customHeight="1" x14ac:dyDescent="0.25">
      <c r="A34" s="133">
        <v>0</v>
      </c>
      <c r="B34" s="133">
        <v>0</v>
      </c>
      <c r="C34" s="133">
        <v>0</v>
      </c>
      <c r="D34" s="133">
        <v>0</v>
      </c>
      <c r="E34" s="133">
        <v>0</v>
      </c>
      <c r="F34" s="133">
        <v>0</v>
      </c>
      <c r="G34" s="134">
        <v>0</v>
      </c>
      <c r="H34" s="134"/>
      <c r="I34" s="134"/>
      <c r="J34" s="134"/>
      <c r="K34" s="138"/>
      <c r="L34" s="134"/>
      <c r="M34" s="134"/>
      <c r="N34" s="134"/>
      <c r="O34" s="134"/>
      <c r="P34" s="134"/>
      <c r="Q34" s="134"/>
      <c r="R34" s="134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  <c r="AN34" s="146"/>
      <c r="AO34" s="146"/>
    </row>
    <row r="35" spans="1:41" ht="18" customHeight="1" x14ac:dyDescent="0.25">
      <c r="A35" s="133">
        <v>0</v>
      </c>
      <c r="B35" s="133">
        <v>0</v>
      </c>
      <c r="C35" s="133">
        <v>0</v>
      </c>
      <c r="D35" s="133">
        <v>0</v>
      </c>
      <c r="E35" s="133">
        <v>0</v>
      </c>
      <c r="F35" s="133">
        <v>0</v>
      </c>
      <c r="G35" s="134">
        <v>0</v>
      </c>
      <c r="H35" s="134"/>
      <c r="I35" s="134"/>
      <c r="J35" s="134"/>
      <c r="K35" s="138"/>
      <c r="L35" s="134"/>
      <c r="M35" s="134"/>
      <c r="N35" s="134"/>
      <c r="O35" s="134"/>
      <c r="P35" s="134"/>
      <c r="Q35" s="134"/>
      <c r="R35" s="134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46"/>
      <c r="AO35" s="146"/>
    </row>
    <row r="36" spans="1:41" ht="18" customHeight="1" x14ac:dyDescent="0.25">
      <c r="A36" s="133">
        <v>0</v>
      </c>
      <c r="B36" s="133">
        <v>0</v>
      </c>
      <c r="C36" s="133">
        <v>0</v>
      </c>
      <c r="D36" s="133">
        <v>0</v>
      </c>
      <c r="E36" s="133">
        <v>0</v>
      </c>
      <c r="F36" s="133">
        <v>0</v>
      </c>
      <c r="G36" s="134">
        <v>0</v>
      </c>
      <c r="H36" s="134"/>
      <c r="I36" s="134"/>
      <c r="J36" s="134"/>
      <c r="K36" s="138"/>
      <c r="L36" s="134"/>
      <c r="M36" s="134"/>
      <c r="N36" s="134"/>
      <c r="O36" s="134"/>
      <c r="P36" s="134"/>
      <c r="Q36" s="134"/>
      <c r="R36" s="134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  <c r="AN36" s="146"/>
      <c r="AO36" s="146"/>
    </row>
    <row r="37" spans="1:41" ht="18" customHeight="1" x14ac:dyDescent="0.25">
      <c r="A37" s="133">
        <v>0</v>
      </c>
      <c r="B37" s="133">
        <v>0</v>
      </c>
      <c r="C37" s="133">
        <v>0</v>
      </c>
      <c r="D37" s="133">
        <v>0</v>
      </c>
      <c r="E37" s="133">
        <v>0</v>
      </c>
      <c r="F37" s="133">
        <v>0</v>
      </c>
      <c r="G37" s="134">
        <v>0</v>
      </c>
      <c r="H37" s="134"/>
      <c r="I37" s="134"/>
      <c r="J37" s="134"/>
      <c r="K37" s="139"/>
      <c r="L37" s="134"/>
      <c r="M37" s="134"/>
      <c r="N37" s="134"/>
      <c r="O37" s="134"/>
      <c r="P37" s="134"/>
      <c r="Q37" s="134"/>
      <c r="R37" s="134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  <c r="AL37" s="133"/>
      <c r="AM37" s="133"/>
      <c r="AN37" s="146"/>
      <c r="AO37" s="146"/>
    </row>
    <row r="38" spans="1:41" ht="18" customHeight="1" x14ac:dyDescent="0.25">
      <c r="A38" s="133">
        <v>0</v>
      </c>
      <c r="B38" s="133">
        <v>0</v>
      </c>
      <c r="C38" s="133">
        <v>0</v>
      </c>
      <c r="D38" s="133">
        <v>0</v>
      </c>
      <c r="E38" s="133">
        <v>0</v>
      </c>
      <c r="F38" s="133">
        <v>0</v>
      </c>
      <c r="G38" s="134">
        <v>0</v>
      </c>
      <c r="H38" s="134"/>
      <c r="I38" s="134"/>
      <c r="J38" s="134"/>
      <c r="K38" s="139"/>
      <c r="L38" s="134"/>
      <c r="M38" s="134"/>
      <c r="N38" s="134"/>
      <c r="O38" s="134"/>
      <c r="P38" s="134"/>
      <c r="Q38" s="134"/>
      <c r="R38" s="134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  <c r="AN38" s="146"/>
      <c r="AO38" s="146"/>
    </row>
    <row r="39" spans="1:41" ht="18" customHeight="1" x14ac:dyDescent="0.25">
      <c r="A39" s="133">
        <v>0</v>
      </c>
      <c r="B39" s="133">
        <v>0</v>
      </c>
      <c r="C39" s="133">
        <v>0</v>
      </c>
      <c r="D39" s="133">
        <v>0</v>
      </c>
      <c r="E39" s="133">
        <v>0</v>
      </c>
      <c r="F39" s="133">
        <v>0</v>
      </c>
      <c r="G39" s="134">
        <v>0</v>
      </c>
      <c r="H39" s="134"/>
      <c r="I39" s="134"/>
      <c r="J39" s="134"/>
      <c r="K39" s="138"/>
      <c r="L39" s="134"/>
      <c r="M39" s="134"/>
      <c r="N39" s="134"/>
      <c r="O39" s="134"/>
      <c r="P39" s="134"/>
      <c r="Q39" s="134"/>
      <c r="R39" s="134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  <c r="AN39" s="146"/>
      <c r="AO39" s="146"/>
    </row>
    <row r="40" spans="1:41" ht="18" customHeight="1" x14ac:dyDescent="0.25">
      <c r="A40" s="133">
        <v>987340</v>
      </c>
      <c r="B40" s="133">
        <v>987340</v>
      </c>
      <c r="C40" s="133">
        <v>14.96</v>
      </c>
      <c r="D40" s="133">
        <v>14.511200000000001</v>
      </c>
      <c r="E40" s="133">
        <v>9.7899999999999991</v>
      </c>
      <c r="F40" s="133">
        <v>9.4962999999999997</v>
      </c>
      <c r="G40" s="134">
        <v>0</v>
      </c>
      <c r="H40" s="134"/>
      <c r="I40" s="134"/>
      <c r="J40" s="134"/>
      <c r="K40" s="138"/>
      <c r="L40" s="134"/>
      <c r="M40" s="134"/>
      <c r="N40" s="134"/>
      <c r="O40" s="134"/>
      <c r="P40" s="134"/>
      <c r="Q40" s="134"/>
      <c r="R40" s="134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  <c r="AN40" s="146"/>
      <c r="AO40" s="146"/>
    </row>
    <row r="41" spans="1:41" ht="18" customHeight="1" x14ac:dyDescent="0.25">
      <c r="A41" s="133">
        <v>708237</v>
      </c>
      <c r="B41" s="133">
        <v>719116.75142999995</v>
      </c>
      <c r="C41" s="133">
        <v>6.23</v>
      </c>
      <c r="D41" s="133">
        <v>6.3589100651999999</v>
      </c>
      <c r="E41" s="133">
        <v>0.47</v>
      </c>
      <c r="F41" s="133">
        <v>0.53045604898999998</v>
      </c>
      <c r="G41" s="134">
        <v>0</v>
      </c>
      <c r="H41" s="134"/>
      <c r="I41" s="134"/>
      <c r="J41" s="134"/>
      <c r="K41" s="138"/>
      <c r="L41" s="134"/>
      <c r="M41" s="134"/>
      <c r="N41" s="134"/>
      <c r="O41" s="134"/>
      <c r="P41" s="134"/>
      <c r="Q41" s="134"/>
      <c r="R41" s="134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  <c r="AN41" s="146"/>
      <c r="AO41" s="146"/>
    </row>
    <row r="42" spans="1:41" ht="18" customHeight="1" x14ac:dyDescent="0.25">
      <c r="A42" s="133">
        <v>279103</v>
      </c>
      <c r="B42" s="133">
        <v>268223.24857</v>
      </c>
      <c r="C42" s="133">
        <v>37.11</v>
      </c>
      <c r="D42" s="133">
        <v>36.367800000000003</v>
      </c>
      <c r="E42" s="133">
        <v>34.1</v>
      </c>
      <c r="F42" s="133">
        <v>33.534069322000001</v>
      </c>
      <c r="G42" s="134">
        <v>0</v>
      </c>
      <c r="H42" s="134"/>
      <c r="I42" s="134"/>
      <c r="J42" s="134"/>
      <c r="K42" s="138"/>
      <c r="L42" s="134"/>
      <c r="M42" s="134"/>
      <c r="N42" s="134"/>
      <c r="O42" s="134"/>
      <c r="P42" s="134"/>
      <c r="Q42" s="134"/>
      <c r="R42" s="134"/>
      <c r="S42" s="133"/>
      <c r="T42" s="133"/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  <c r="AN42" s="146"/>
      <c r="AO42" s="146"/>
    </row>
    <row r="43" spans="1:41" ht="18" customHeight="1" x14ac:dyDescent="0.25">
      <c r="A43" s="133">
        <v>62484</v>
      </c>
      <c r="B43" s="133">
        <v>60464.793945999998</v>
      </c>
      <c r="C43" s="133">
        <v>7.49</v>
      </c>
      <c r="D43" s="133">
        <v>7.6110318892000004</v>
      </c>
      <c r="E43" s="133">
        <v>1.2</v>
      </c>
      <c r="F43" s="133">
        <v>1.2332926971</v>
      </c>
      <c r="G43" s="134">
        <v>0</v>
      </c>
      <c r="H43" s="134"/>
      <c r="I43" s="134"/>
      <c r="J43" s="134"/>
      <c r="K43" s="138"/>
      <c r="L43" s="134"/>
      <c r="M43" s="134"/>
      <c r="N43" s="134"/>
      <c r="O43" s="134"/>
      <c r="P43" s="134"/>
      <c r="Q43" s="134"/>
      <c r="R43" s="134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  <c r="AN43" s="146"/>
      <c r="AO43" s="146"/>
    </row>
    <row r="44" spans="1:41" ht="18" customHeight="1" x14ac:dyDescent="0.25">
      <c r="A44" s="133">
        <v>216619</v>
      </c>
      <c r="B44" s="133">
        <v>207758.45462</v>
      </c>
      <c r="C44" s="133">
        <v>45.65</v>
      </c>
      <c r="D44" s="133">
        <v>44.737000000000002</v>
      </c>
      <c r="E44" s="133">
        <v>43.23</v>
      </c>
      <c r="F44" s="133">
        <v>42.934696633999998</v>
      </c>
      <c r="G44" s="138">
        <v>0</v>
      </c>
      <c r="H44" s="134"/>
      <c r="I44" s="134"/>
      <c r="J44" s="134"/>
      <c r="K44" s="138"/>
      <c r="L44" s="134"/>
      <c r="M44" s="134"/>
      <c r="N44" s="134"/>
      <c r="O44" s="134"/>
      <c r="P44" s="134"/>
      <c r="Q44" s="134"/>
      <c r="R44" s="134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33"/>
      <c r="AN44" s="146"/>
      <c r="AO44" s="146"/>
    </row>
    <row r="45" spans="1:41" ht="18" customHeight="1" x14ac:dyDescent="0.25">
      <c r="A45" s="133">
        <v>0</v>
      </c>
      <c r="B45" s="133">
        <v>0</v>
      </c>
      <c r="C45" s="133">
        <v>0</v>
      </c>
      <c r="D45" s="133">
        <v>0</v>
      </c>
      <c r="E45" s="133">
        <v>0</v>
      </c>
      <c r="F45" s="133">
        <v>0</v>
      </c>
      <c r="G45" s="134">
        <v>0</v>
      </c>
      <c r="H45" s="134"/>
      <c r="I45" s="134"/>
      <c r="J45" s="134"/>
      <c r="K45" s="138"/>
      <c r="L45" s="134"/>
      <c r="M45" s="134"/>
      <c r="N45" s="134"/>
      <c r="O45" s="134"/>
      <c r="P45" s="134"/>
      <c r="Q45" s="134"/>
      <c r="R45" s="134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46"/>
      <c r="AO45" s="146"/>
    </row>
    <row r="46" spans="1:41" ht="18" customHeight="1" x14ac:dyDescent="0.25">
      <c r="A46" s="133">
        <v>3611</v>
      </c>
      <c r="B46" s="133">
        <v>3601.9724999999999</v>
      </c>
      <c r="C46" s="133">
        <v>44.18</v>
      </c>
      <c r="D46" s="133">
        <v>44.622983134999998</v>
      </c>
      <c r="E46" s="133">
        <v>42.05</v>
      </c>
      <c r="F46" s="133">
        <v>41.633938686999997</v>
      </c>
      <c r="G46" s="134">
        <v>0</v>
      </c>
      <c r="H46" s="134"/>
      <c r="I46" s="134"/>
      <c r="J46" s="134"/>
      <c r="K46" s="138"/>
      <c r="L46" s="134"/>
      <c r="M46" s="134"/>
      <c r="N46" s="134"/>
      <c r="O46" s="134"/>
      <c r="P46" s="134"/>
      <c r="Q46" s="134"/>
      <c r="R46" s="134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  <c r="AN46" s="146"/>
      <c r="AO46" s="146"/>
    </row>
    <row r="47" spans="1:41" ht="18" customHeight="1" x14ac:dyDescent="0.25">
      <c r="A47" s="133">
        <v>206804</v>
      </c>
      <c r="B47" s="133">
        <v>191167.49712000001</v>
      </c>
      <c r="C47" s="133">
        <v>42.8</v>
      </c>
      <c r="D47" s="133">
        <v>44.541972203</v>
      </c>
      <c r="E47" s="133">
        <v>39.799999999999997</v>
      </c>
      <c r="F47" s="133">
        <v>42.928720931999997</v>
      </c>
      <c r="G47" s="134">
        <v>0</v>
      </c>
      <c r="H47" s="134"/>
      <c r="I47" s="134"/>
      <c r="J47" s="134"/>
      <c r="K47" s="138"/>
      <c r="L47" s="134"/>
      <c r="M47" s="134"/>
      <c r="N47" s="134"/>
      <c r="O47" s="134"/>
      <c r="P47" s="134"/>
      <c r="Q47" s="134"/>
      <c r="R47" s="134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46"/>
      <c r="AO47" s="146"/>
    </row>
    <row r="48" spans="1:41" ht="18" customHeight="1" x14ac:dyDescent="0.25">
      <c r="A48" s="133">
        <v>26737</v>
      </c>
      <c r="B48" s="133">
        <v>18028.570308999999</v>
      </c>
      <c r="C48" s="133">
        <v>5.95</v>
      </c>
      <c r="D48" s="133">
        <v>5.2359999999999998</v>
      </c>
      <c r="E48" s="133">
        <v>0.46</v>
      </c>
      <c r="F48" s="133">
        <v>0.47169736407000001</v>
      </c>
      <c r="G48" s="134">
        <v>0</v>
      </c>
      <c r="H48" s="134"/>
      <c r="I48" s="134"/>
      <c r="J48" s="134"/>
      <c r="K48" s="138"/>
      <c r="L48" s="134"/>
      <c r="M48" s="134"/>
      <c r="N48" s="134"/>
      <c r="O48" s="134"/>
      <c r="P48" s="134"/>
      <c r="Q48" s="134"/>
      <c r="R48" s="134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  <c r="AN48" s="146"/>
      <c r="AO48" s="146"/>
    </row>
    <row r="49" spans="1:41" ht="18" customHeight="1" x14ac:dyDescent="0.25">
      <c r="A49" s="133">
        <v>180066</v>
      </c>
      <c r="B49" s="133">
        <v>178336.85681</v>
      </c>
      <c r="C49" s="133">
        <v>48.27</v>
      </c>
      <c r="D49" s="133">
        <v>48.680872585000003</v>
      </c>
      <c r="E49" s="133">
        <v>46.18</v>
      </c>
      <c r="F49" s="133">
        <v>47.1036</v>
      </c>
      <c r="G49" s="134">
        <v>0</v>
      </c>
      <c r="H49" s="134"/>
      <c r="I49" s="134"/>
      <c r="J49" s="134"/>
      <c r="K49" s="138"/>
      <c r="L49" s="134"/>
      <c r="M49" s="134"/>
      <c r="N49" s="134"/>
      <c r="O49" s="134"/>
      <c r="P49" s="134"/>
      <c r="Q49" s="134"/>
      <c r="R49" s="134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  <c r="AN49" s="146"/>
      <c r="AO49" s="146"/>
    </row>
    <row r="50" spans="1:41" ht="18" customHeight="1" x14ac:dyDescent="0.25">
      <c r="A50" s="133">
        <v>44461</v>
      </c>
      <c r="B50" s="133">
        <v>39087.765067</v>
      </c>
      <c r="C50" s="133">
        <v>6.38</v>
      </c>
      <c r="D50" s="133">
        <v>5.6143999999999998</v>
      </c>
      <c r="E50" s="133">
        <v>1.31</v>
      </c>
      <c r="F50" s="133">
        <v>1.4672000000000001</v>
      </c>
      <c r="G50" s="134">
        <v>0</v>
      </c>
      <c r="H50" s="134"/>
      <c r="I50" s="134"/>
      <c r="J50" s="134"/>
      <c r="K50" s="138"/>
      <c r="L50" s="134"/>
      <c r="M50" s="134"/>
      <c r="N50" s="134"/>
      <c r="O50" s="134"/>
      <c r="P50" s="134"/>
      <c r="Q50" s="134"/>
      <c r="R50" s="134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33"/>
      <c r="AN50" s="146"/>
      <c r="AO50" s="146"/>
    </row>
    <row r="51" spans="1:41" ht="18" customHeight="1" x14ac:dyDescent="0.25">
      <c r="A51" s="133">
        <v>135605</v>
      </c>
      <c r="B51" s="133">
        <v>139249.09174999999</v>
      </c>
      <c r="C51" s="133">
        <v>62.01</v>
      </c>
      <c r="D51" s="133">
        <v>60.769799999999996</v>
      </c>
      <c r="E51" s="133">
        <v>61.07</v>
      </c>
      <c r="F51" s="133">
        <v>59.913916098999998</v>
      </c>
      <c r="G51" s="134">
        <v>0</v>
      </c>
      <c r="H51" s="134"/>
      <c r="I51" s="134"/>
      <c r="J51" s="134"/>
      <c r="K51" s="138"/>
      <c r="L51" s="134"/>
      <c r="M51" s="134"/>
      <c r="N51" s="134"/>
      <c r="O51" s="134"/>
      <c r="P51" s="134"/>
      <c r="Q51" s="134"/>
      <c r="R51" s="134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33"/>
      <c r="AN51" s="146"/>
      <c r="AO51" s="146"/>
    </row>
    <row r="52" spans="1:41" ht="18" customHeight="1" x14ac:dyDescent="0.25">
      <c r="A52" s="133">
        <v>5079</v>
      </c>
      <c r="B52" s="133">
        <v>4918.3743145999997</v>
      </c>
      <c r="C52" s="133">
        <v>10.4</v>
      </c>
      <c r="D52" s="133">
        <v>9.1519999999999992</v>
      </c>
      <c r="E52" s="133">
        <v>3.46</v>
      </c>
      <c r="F52" s="133">
        <v>3.6312710341000001</v>
      </c>
      <c r="G52" s="134">
        <v>0</v>
      </c>
      <c r="H52" s="134"/>
      <c r="I52" s="134"/>
      <c r="J52" s="134"/>
      <c r="K52" s="138"/>
      <c r="L52" s="134"/>
      <c r="M52" s="134"/>
      <c r="N52" s="134"/>
      <c r="O52" s="134"/>
      <c r="P52" s="134"/>
      <c r="Q52" s="134"/>
      <c r="R52" s="134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  <c r="AL52" s="133"/>
      <c r="AM52" s="133"/>
      <c r="AN52" s="146"/>
      <c r="AO52" s="146"/>
    </row>
    <row r="53" spans="1:41" ht="18" customHeight="1" x14ac:dyDescent="0.25">
      <c r="A53" s="133">
        <v>130526</v>
      </c>
      <c r="B53" s="133">
        <v>134330.71742999999</v>
      </c>
      <c r="C53" s="133">
        <v>64.02</v>
      </c>
      <c r="D53" s="133">
        <v>62.659730066000002</v>
      </c>
      <c r="E53" s="133">
        <v>62.9</v>
      </c>
      <c r="F53" s="133">
        <v>61.974644435000002</v>
      </c>
      <c r="G53" s="134">
        <v>0</v>
      </c>
      <c r="H53" s="134"/>
      <c r="I53" s="134"/>
      <c r="J53" s="134"/>
      <c r="K53" s="138"/>
      <c r="L53" s="134"/>
      <c r="M53" s="134"/>
      <c r="N53" s="134"/>
      <c r="O53" s="134"/>
      <c r="P53" s="134"/>
      <c r="Q53" s="134"/>
      <c r="R53" s="134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  <c r="AM53" s="133"/>
      <c r="AN53" s="146"/>
      <c r="AO53" s="146"/>
    </row>
    <row r="54" spans="1:41" ht="18" customHeight="1" x14ac:dyDescent="0.25">
      <c r="A54" s="134">
        <v>30282</v>
      </c>
      <c r="B54" s="134">
        <v>52756.717430999997</v>
      </c>
      <c r="C54" s="134">
        <v>58.81</v>
      </c>
      <c r="D54" s="134">
        <v>57.927849999999999</v>
      </c>
      <c r="E54" s="134">
        <v>56.45</v>
      </c>
      <c r="F54" s="134">
        <v>57.296750000000003</v>
      </c>
      <c r="G54" s="134">
        <v>0</v>
      </c>
      <c r="H54" s="134"/>
      <c r="I54" s="134"/>
      <c r="J54" s="134"/>
      <c r="K54" s="138"/>
      <c r="L54" s="134"/>
      <c r="M54" s="134"/>
      <c r="N54" s="134"/>
      <c r="O54" s="134"/>
      <c r="P54" s="134"/>
      <c r="Q54" s="134"/>
      <c r="R54" s="134"/>
      <c r="S54" s="133"/>
      <c r="T54" s="133"/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  <c r="AL54" s="133"/>
      <c r="AM54" s="133"/>
      <c r="AN54" s="146"/>
      <c r="AO54" s="146"/>
    </row>
    <row r="55" spans="1:41" ht="18" customHeight="1" x14ac:dyDescent="0.25">
      <c r="A55" s="134">
        <v>98676</v>
      </c>
      <c r="B55" s="134">
        <v>83146.923905000003</v>
      </c>
      <c r="C55" s="134">
        <v>65.59</v>
      </c>
      <c r="D55" s="134">
        <v>65.588713626000001</v>
      </c>
      <c r="E55" s="134">
        <v>64.87</v>
      </c>
      <c r="F55" s="134">
        <v>64.832969227999996</v>
      </c>
      <c r="G55" s="134">
        <v>0</v>
      </c>
      <c r="H55" s="134"/>
      <c r="I55" s="134"/>
      <c r="J55" s="134"/>
      <c r="K55" s="138"/>
      <c r="L55" s="134"/>
      <c r="M55" s="134"/>
      <c r="N55" s="134"/>
      <c r="O55" s="134"/>
      <c r="P55" s="134"/>
      <c r="Q55" s="134"/>
      <c r="R55" s="134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3"/>
      <c r="AN55" s="146"/>
      <c r="AO55" s="146"/>
    </row>
    <row r="56" spans="1:41" ht="18" customHeight="1" x14ac:dyDescent="0.25">
      <c r="A56" s="134">
        <v>1569</v>
      </c>
      <c r="B56" s="134">
        <v>1572.9239052</v>
      </c>
      <c r="C56" s="134">
        <v>58.78</v>
      </c>
      <c r="D56" s="134">
        <v>58.780021439000002</v>
      </c>
      <c r="E56" s="134">
        <v>56.17</v>
      </c>
      <c r="F56" s="134">
        <v>56.170523328999998</v>
      </c>
      <c r="G56" s="134">
        <v>0</v>
      </c>
      <c r="H56" s="134"/>
      <c r="I56" s="134"/>
      <c r="J56" s="134"/>
      <c r="K56" s="138"/>
      <c r="L56" s="134"/>
      <c r="M56" s="134"/>
      <c r="N56" s="134"/>
      <c r="O56" s="134"/>
      <c r="P56" s="134"/>
      <c r="Q56" s="134"/>
      <c r="R56" s="134"/>
      <c r="S56" s="133"/>
      <c r="T56" s="133"/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33"/>
      <c r="AN56" s="146"/>
      <c r="AO56" s="146"/>
    </row>
    <row r="57" spans="1:41" x14ac:dyDescent="0.2">
      <c r="A57" s="134">
        <v>0</v>
      </c>
      <c r="B57" s="134">
        <v>0</v>
      </c>
      <c r="C57" s="134">
        <v>0</v>
      </c>
      <c r="D57" s="134">
        <v>0</v>
      </c>
      <c r="E57" s="134">
        <v>0</v>
      </c>
      <c r="F57" s="134">
        <v>0</v>
      </c>
      <c r="G57" s="134">
        <v>0</v>
      </c>
      <c r="H57" s="134"/>
      <c r="I57" s="134"/>
      <c r="J57" s="134"/>
      <c r="K57" s="134"/>
      <c r="L57" s="134"/>
      <c r="M57" s="134"/>
      <c r="N57" s="134"/>
      <c r="O57" s="134"/>
      <c r="P57" s="134"/>
      <c r="Q57" s="134"/>
      <c r="R57" s="134"/>
      <c r="S57" s="133"/>
      <c r="T57" s="133"/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33"/>
      <c r="AN57" s="146"/>
      <c r="AO57" s="146"/>
    </row>
    <row r="58" spans="1:41" x14ac:dyDescent="0.2">
      <c r="A58" s="134">
        <v>81574</v>
      </c>
      <c r="B58" s="134">
        <v>81574</v>
      </c>
      <c r="C58" s="134">
        <v>65.72</v>
      </c>
      <c r="D58" s="134">
        <v>65.72</v>
      </c>
      <c r="E58" s="134">
        <v>65</v>
      </c>
      <c r="F58" s="134">
        <v>65</v>
      </c>
      <c r="G58" s="134">
        <v>0</v>
      </c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  <c r="AN58" s="146"/>
      <c r="AO58" s="146"/>
    </row>
    <row r="59" spans="1:41" x14ac:dyDescent="0.2">
      <c r="A59" s="134">
        <v>877280</v>
      </c>
      <c r="B59" s="134">
        <v>894372.97250000003</v>
      </c>
      <c r="C59" s="134">
        <v>8.16</v>
      </c>
      <c r="D59" s="134">
        <v>9.4456637232999991</v>
      </c>
      <c r="E59" s="134">
        <v>2.5099999999999998</v>
      </c>
      <c r="F59" s="134">
        <v>3.9832740107000002</v>
      </c>
      <c r="G59" s="134">
        <v>0</v>
      </c>
      <c r="H59" s="134"/>
      <c r="I59" s="134"/>
      <c r="J59" s="134"/>
      <c r="K59" s="134"/>
      <c r="L59" s="134"/>
      <c r="M59" s="134"/>
      <c r="N59" s="134"/>
      <c r="O59" s="134"/>
      <c r="P59" s="134"/>
      <c r="Q59" s="134"/>
      <c r="R59" s="134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  <c r="AN59" s="146"/>
      <c r="AO59" s="146"/>
    </row>
    <row r="60" spans="1:41" x14ac:dyDescent="0.2">
      <c r="A60" s="134">
        <v>4998</v>
      </c>
      <c r="B60" s="134">
        <v>5197.93</v>
      </c>
      <c r="C60" s="134">
        <v>45.65</v>
      </c>
      <c r="D60" s="134">
        <v>50.215000000000003</v>
      </c>
      <c r="E60" s="134">
        <v>43.23</v>
      </c>
      <c r="F60" s="134">
        <v>38.906999999999996</v>
      </c>
      <c r="G60" s="133">
        <v>0</v>
      </c>
      <c r="H60" s="134"/>
      <c r="I60" s="134"/>
      <c r="J60" s="134"/>
      <c r="K60" s="134"/>
      <c r="L60" s="134"/>
      <c r="M60" s="134"/>
      <c r="N60" s="134"/>
      <c r="O60" s="134"/>
      <c r="P60" s="134"/>
      <c r="Q60" s="134"/>
      <c r="R60" s="134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  <c r="AN60" s="146"/>
      <c r="AO60" s="146"/>
    </row>
    <row r="61" spans="1:41" x14ac:dyDescent="0.2">
      <c r="A61" s="134">
        <v>19993</v>
      </c>
      <c r="B61" s="134">
        <v>20192.93</v>
      </c>
      <c r="C61" s="134">
        <v>45.65</v>
      </c>
      <c r="D61" s="134">
        <v>46.563000000000002</v>
      </c>
      <c r="E61" s="134">
        <v>43.23</v>
      </c>
      <c r="F61" s="134">
        <v>42.759242442999998</v>
      </c>
      <c r="G61" s="133">
        <v>0</v>
      </c>
      <c r="H61" s="134"/>
      <c r="I61" s="134"/>
      <c r="J61" s="134"/>
      <c r="K61" s="134"/>
      <c r="L61" s="134"/>
      <c r="M61" s="134"/>
      <c r="N61" s="134"/>
      <c r="O61" s="134"/>
      <c r="P61" s="134"/>
      <c r="Q61" s="134"/>
      <c r="R61" s="134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  <c r="AJ61" s="133"/>
      <c r="AK61" s="133"/>
      <c r="AL61" s="133"/>
      <c r="AM61" s="133"/>
      <c r="AN61" s="146"/>
      <c r="AO61" s="146"/>
    </row>
    <row r="62" spans="1:41" x14ac:dyDescent="0.2">
      <c r="A62" s="134">
        <v>196626</v>
      </c>
      <c r="B62" s="134">
        <v>187565.52462000001</v>
      </c>
      <c r="C62" s="134">
        <v>45.65</v>
      </c>
      <c r="D62" s="134">
        <v>44.540416485000002</v>
      </c>
      <c r="E62" s="134">
        <v>43.23</v>
      </c>
      <c r="F62" s="134">
        <v>42.953585682000003</v>
      </c>
      <c r="G62" s="133">
        <v>0</v>
      </c>
      <c r="H62" s="134"/>
      <c r="I62" s="134"/>
      <c r="J62" s="134"/>
      <c r="K62" s="134"/>
      <c r="L62" s="134"/>
      <c r="M62" s="134"/>
      <c r="N62" s="134"/>
      <c r="O62" s="134"/>
      <c r="P62" s="134"/>
      <c r="Q62" s="134"/>
      <c r="R62" s="134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  <c r="AJ62" s="133"/>
      <c r="AK62" s="133"/>
      <c r="AL62" s="133"/>
      <c r="AM62" s="133"/>
      <c r="AN62" s="146"/>
      <c r="AO62" s="146"/>
    </row>
    <row r="63" spans="1:41" x14ac:dyDescent="0.2">
      <c r="A63" s="134"/>
      <c r="B63" s="134"/>
      <c r="C63" s="134"/>
      <c r="D63" s="134"/>
      <c r="E63" s="134"/>
      <c r="F63" s="134"/>
      <c r="G63" s="134"/>
      <c r="H63" s="134"/>
      <c r="I63" s="134"/>
      <c r="J63" s="134"/>
      <c r="K63" s="134"/>
      <c r="L63" s="134"/>
      <c r="M63" s="134"/>
      <c r="N63" s="134"/>
      <c r="O63" s="134"/>
      <c r="P63" s="134"/>
      <c r="Q63" s="134"/>
      <c r="R63" s="134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  <c r="AJ63" s="133"/>
      <c r="AK63" s="133"/>
      <c r="AL63" s="133"/>
      <c r="AM63" s="133"/>
      <c r="AN63" s="146"/>
      <c r="AO63" s="146"/>
    </row>
    <row r="64" spans="1:41" x14ac:dyDescent="0.2">
      <c r="A64" s="134"/>
      <c r="B64" s="134"/>
      <c r="C64" s="134"/>
      <c r="D64" s="134"/>
      <c r="E64" s="134"/>
      <c r="F64" s="134"/>
      <c r="G64" s="134"/>
      <c r="H64" s="13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  <c r="AN64" s="146"/>
      <c r="AO64" s="146"/>
    </row>
    <row r="65" spans="1:41" x14ac:dyDescent="0.2">
      <c r="A65" s="134"/>
      <c r="B65" s="134"/>
      <c r="C65" s="134"/>
      <c r="D65" s="134"/>
      <c r="E65" s="134"/>
      <c r="F65" s="134"/>
      <c r="G65" s="134"/>
      <c r="H65" s="134"/>
      <c r="I65" s="134"/>
      <c r="J65" s="134"/>
      <c r="K65" s="134"/>
      <c r="L65" s="134"/>
      <c r="M65" s="134"/>
      <c r="N65" s="134"/>
      <c r="O65" s="134"/>
      <c r="P65" s="134"/>
      <c r="Q65" s="134"/>
      <c r="R65" s="134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  <c r="AJ65" s="133"/>
      <c r="AK65" s="133"/>
      <c r="AL65" s="133"/>
      <c r="AM65" s="133"/>
      <c r="AN65" s="146"/>
      <c r="AO65" s="146"/>
    </row>
    <row r="66" spans="1:41" ht="24" x14ac:dyDescent="0.3">
      <c r="A66" s="134"/>
      <c r="B66" s="134"/>
      <c r="C66" s="134"/>
      <c r="D66" s="134"/>
      <c r="E66" s="134"/>
      <c r="F66" s="134"/>
      <c r="G66" s="134"/>
      <c r="H66" s="134"/>
      <c r="I66" s="134"/>
      <c r="J66" s="134"/>
      <c r="K66" s="134"/>
      <c r="L66" s="181"/>
      <c r="M66" s="181"/>
      <c r="N66" s="134"/>
      <c r="O66" s="182" t="s">
        <v>0</v>
      </c>
      <c r="P66" s="182"/>
      <c r="Q66" s="182"/>
      <c r="R66" s="134"/>
      <c r="S66" s="183"/>
      <c r="T66" s="183"/>
      <c r="U66" s="133"/>
      <c r="V66" s="133"/>
      <c r="W66" s="156"/>
      <c r="X66" s="133"/>
      <c r="Y66" s="133"/>
      <c r="Z66" s="133"/>
      <c r="AA66" s="133"/>
      <c r="AB66" s="177"/>
      <c r="AC66" s="177"/>
      <c r="AD66" s="177"/>
      <c r="AE66" s="177"/>
      <c r="AF66" s="133"/>
      <c r="AG66" s="133"/>
      <c r="AH66" s="133"/>
      <c r="AI66" s="133"/>
      <c r="AJ66" s="133"/>
      <c r="AK66" s="133"/>
      <c r="AL66" s="133"/>
      <c r="AM66" s="133"/>
      <c r="AN66" s="146"/>
      <c r="AO66" s="146"/>
    </row>
    <row r="67" spans="1:41" x14ac:dyDescent="0.2">
      <c r="A67" s="134"/>
      <c r="B67" s="134"/>
      <c r="C67" s="134"/>
      <c r="D67" s="134"/>
      <c r="E67" s="134"/>
      <c r="F67" s="134"/>
      <c r="G67" s="134"/>
      <c r="H67" s="134"/>
      <c r="I67" s="134"/>
      <c r="J67" s="134"/>
      <c r="K67" s="134"/>
      <c r="L67" s="143"/>
      <c r="M67" s="143"/>
      <c r="N67" s="134"/>
      <c r="O67" s="143" t="s">
        <v>1</v>
      </c>
      <c r="P67" s="143" t="s">
        <v>2</v>
      </c>
      <c r="Q67" s="143" t="s">
        <v>3</v>
      </c>
      <c r="R67" s="134"/>
      <c r="S67" s="157"/>
      <c r="T67" s="157"/>
      <c r="U67" s="158"/>
      <c r="V67" s="133"/>
      <c r="W67" s="158"/>
      <c r="X67" s="133"/>
      <c r="Y67" s="133"/>
      <c r="Z67" s="133"/>
      <c r="AA67" s="133"/>
      <c r="AB67" s="133"/>
      <c r="AC67" s="133"/>
      <c r="AD67" s="133"/>
      <c r="AE67" s="133"/>
      <c r="AF67" s="133"/>
      <c r="AG67" s="133"/>
      <c r="AH67" s="133"/>
      <c r="AI67" s="133"/>
      <c r="AJ67" s="133"/>
      <c r="AK67" s="133"/>
      <c r="AL67" s="133"/>
      <c r="AM67" s="133"/>
      <c r="AN67" s="146"/>
      <c r="AO67" s="146"/>
    </row>
    <row r="68" spans="1:41" ht="15" customHeight="1" x14ac:dyDescent="0.25">
      <c r="A68" s="134"/>
      <c r="B68" s="134"/>
      <c r="C68" s="134"/>
      <c r="D68" s="134"/>
      <c r="E68" s="134"/>
      <c r="F68" s="134"/>
      <c r="G68" s="134"/>
      <c r="H68" s="134"/>
      <c r="I68" s="134"/>
      <c r="J68" s="134"/>
      <c r="K68" s="134"/>
      <c r="L68" s="144"/>
      <c r="M68" s="145"/>
      <c r="N68" s="134" t="s">
        <v>4</v>
      </c>
      <c r="O68" s="144">
        <f t="shared" ref="O68:O99" si="1">B1</f>
        <v>0</v>
      </c>
      <c r="P68" s="145">
        <f>D1/100</f>
        <v>0</v>
      </c>
      <c r="Q68" s="145">
        <f>F1/100</f>
        <v>0</v>
      </c>
      <c r="R68" s="140">
        <f t="shared" ref="R68:R99" si="2">P68*O68</f>
        <v>0</v>
      </c>
      <c r="S68" s="159"/>
      <c r="T68" s="159"/>
      <c r="U68" s="160"/>
      <c r="V68" s="161"/>
      <c r="W68" s="160"/>
      <c r="X68" s="161"/>
      <c r="Y68" s="133"/>
      <c r="Z68" s="133"/>
      <c r="AA68" s="133"/>
      <c r="AB68" s="152"/>
      <c r="AC68" s="133"/>
      <c r="AD68" s="133"/>
      <c r="AE68" s="133"/>
      <c r="AF68" s="133"/>
      <c r="AG68" s="133"/>
      <c r="AH68" s="133"/>
      <c r="AI68" s="133"/>
      <c r="AJ68" s="133"/>
      <c r="AK68" s="133"/>
      <c r="AL68" s="133"/>
      <c r="AM68" s="133"/>
      <c r="AN68" s="146"/>
      <c r="AO68" s="146"/>
    </row>
    <row r="69" spans="1:41" ht="15" customHeight="1" x14ac:dyDescent="0.25">
      <c r="A69" s="134"/>
      <c r="B69" s="134"/>
      <c r="C69" s="134"/>
      <c r="D69" s="134"/>
      <c r="E69" s="134"/>
      <c r="F69" s="134"/>
      <c r="G69" s="134"/>
      <c r="H69" s="134"/>
      <c r="I69" s="144"/>
      <c r="J69" s="134"/>
      <c r="K69" s="134"/>
      <c r="L69" s="144"/>
      <c r="M69" s="145"/>
      <c r="N69" s="134" t="s">
        <v>5</v>
      </c>
      <c r="O69" s="144">
        <f t="shared" si="1"/>
        <v>0</v>
      </c>
      <c r="P69" s="145">
        <f t="shared" ref="P69:P129" si="3">D2/100</f>
        <v>0</v>
      </c>
      <c r="Q69" s="145">
        <f t="shared" ref="Q69:Q129" si="4">F2/100</f>
        <v>0</v>
      </c>
      <c r="R69" s="140">
        <f t="shared" si="2"/>
        <v>0</v>
      </c>
      <c r="S69" s="159"/>
      <c r="T69" s="159"/>
      <c r="U69" s="160"/>
      <c r="V69" s="161"/>
      <c r="W69" s="160"/>
      <c r="X69" s="161"/>
      <c r="Y69" s="133"/>
      <c r="Z69" s="133"/>
      <c r="AA69" s="133"/>
      <c r="AB69" s="152"/>
      <c r="AC69" s="133"/>
      <c r="AD69" s="133"/>
      <c r="AE69" s="133"/>
      <c r="AF69" s="133"/>
      <c r="AG69" s="133"/>
      <c r="AH69" s="133"/>
      <c r="AI69" s="133"/>
      <c r="AJ69" s="133"/>
      <c r="AK69" s="133"/>
      <c r="AL69" s="133"/>
      <c r="AM69" s="133"/>
      <c r="AN69" s="146"/>
      <c r="AO69" s="146"/>
    </row>
    <row r="70" spans="1:41" ht="15" customHeight="1" x14ac:dyDescent="0.25">
      <c r="A70" s="134"/>
      <c r="B70" s="134"/>
      <c r="C70" s="134"/>
      <c r="D70" s="134"/>
      <c r="E70" s="134"/>
      <c r="F70" s="134"/>
      <c r="G70" s="134"/>
      <c r="H70" s="134"/>
      <c r="I70" s="134"/>
      <c r="J70" s="134"/>
      <c r="K70" s="134"/>
      <c r="L70" s="144"/>
      <c r="M70" s="145"/>
      <c r="N70" s="134" t="s">
        <v>6</v>
      </c>
      <c r="O70" s="144">
        <f t="shared" si="1"/>
        <v>0</v>
      </c>
      <c r="P70" s="145">
        <f t="shared" si="3"/>
        <v>0</v>
      </c>
      <c r="Q70" s="145">
        <f t="shared" si="4"/>
        <v>0</v>
      </c>
      <c r="R70" s="140">
        <f t="shared" si="2"/>
        <v>0</v>
      </c>
      <c r="S70" s="159"/>
      <c r="T70" s="159"/>
      <c r="U70" s="160"/>
      <c r="V70" s="161"/>
      <c r="W70" s="160"/>
      <c r="X70" s="161"/>
      <c r="Y70" s="133"/>
      <c r="Z70" s="133"/>
      <c r="AA70" s="133"/>
      <c r="AB70" s="152"/>
      <c r="AC70" s="133"/>
      <c r="AD70" s="133"/>
      <c r="AE70" s="133"/>
      <c r="AF70" s="133"/>
      <c r="AG70" s="133"/>
      <c r="AH70" s="133"/>
      <c r="AI70" s="133"/>
      <c r="AJ70" s="133"/>
      <c r="AK70" s="133"/>
      <c r="AL70" s="133"/>
      <c r="AM70" s="133"/>
      <c r="AN70" s="146"/>
      <c r="AO70" s="146"/>
    </row>
    <row r="71" spans="1:41" ht="15" customHeight="1" x14ac:dyDescent="0.25">
      <c r="A71" s="134"/>
      <c r="B71" s="134"/>
      <c r="C71" s="134"/>
      <c r="D71" s="134"/>
      <c r="E71" s="134"/>
      <c r="F71" s="134"/>
      <c r="G71" s="134"/>
      <c r="H71" s="134"/>
      <c r="I71" s="134"/>
      <c r="J71" s="134"/>
      <c r="K71" s="134"/>
      <c r="L71" s="144"/>
      <c r="M71" s="145"/>
      <c r="N71" s="134" t="s">
        <v>7</v>
      </c>
      <c r="O71" s="144">
        <f t="shared" si="1"/>
        <v>2538</v>
      </c>
      <c r="P71" s="145">
        <f t="shared" si="3"/>
        <v>0.42787408670999999</v>
      </c>
      <c r="Q71" s="145">
        <f t="shared" si="4"/>
        <v>0.40464046330000003</v>
      </c>
      <c r="R71" s="140">
        <f t="shared" si="2"/>
        <v>1085.9444320699799</v>
      </c>
      <c r="S71" s="159"/>
      <c r="T71" s="159"/>
      <c r="U71" s="160"/>
      <c r="V71" s="161"/>
      <c r="W71" s="160"/>
      <c r="X71" s="161"/>
      <c r="Y71" s="133"/>
      <c r="Z71" s="133"/>
      <c r="AA71" s="133"/>
      <c r="AB71" s="152"/>
      <c r="AC71" s="133"/>
      <c r="AD71" s="133"/>
      <c r="AE71" s="133"/>
      <c r="AF71" s="133"/>
      <c r="AG71" s="133"/>
      <c r="AH71" s="133"/>
      <c r="AI71" s="133"/>
      <c r="AJ71" s="133"/>
      <c r="AK71" s="133"/>
      <c r="AL71" s="133"/>
      <c r="AM71" s="133"/>
      <c r="AN71" s="146"/>
      <c r="AO71" s="146"/>
    </row>
    <row r="72" spans="1:41" ht="15" customHeight="1" x14ac:dyDescent="0.25">
      <c r="A72" s="134"/>
      <c r="B72" s="134"/>
      <c r="C72" s="134"/>
      <c r="D72" s="134"/>
      <c r="E72" s="134"/>
      <c r="F72" s="134"/>
      <c r="G72" s="134"/>
      <c r="H72" s="134"/>
      <c r="I72" s="144"/>
      <c r="J72" s="134"/>
      <c r="K72" s="134"/>
      <c r="L72" s="144"/>
      <c r="M72" s="145"/>
      <c r="N72" s="134" t="s">
        <v>8</v>
      </c>
      <c r="O72" s="144">
        <f t="shared" si="1"/>
        <v>2247.7275</v>
      </c>
      <c r="P72" s="145">
        <f t="shared" si="3"/>
        <v>0.4273572779</v>
      </c>
      <c r="Q72" s="145">
        <f t="shared" si="4"/>
        <v>0.40512983622999998</v>
      </c>
      <c r="R72" s="140">
        <f t="shared" si="2"/>
        <v>960.58270586097228</v>
      </c>
      <c r="S72" s="159"/>
      <c r="T72" s="159"/>
      <c r="U72" s="160"/>
      <c r="V72" s="161"/>
      <c r="W72" s="160"/>
      <c r="X72" s="161"/>
      <c r="Y72" s="133"/>
      <c r="Z72" s="133"/>
      <c r="AA72" s="133"/>
      <c r="AB72" s="152"/>
      <c r="AC72" s="133"/>
      <c r="AD72" s="133"/>
      <c r="AE72" s="133"/>
      <c r="AF72" s="133"/>
      <c r="AG72" s="133"/>
      <c r="AH72" s="133"/>
      <c r="AI72" s="133"/>
      <c r="AJ72" s="133"/>
      <c r="AK72" s="133"/>
      <c r="AL72" s="133"/>
      <c r="AM72" s="133"/>
      <c r="AN72" s="146"/>
      <c r="AO72" s="146"/>
    </row>
    <row r="73" spans="1:41" ht="15" customHeight="1" x14ac:dyDescent="0.25">
      <c r="A73" s="134"/>
      <c r="B73" s="134"/>
      <c r="C73" s="134"/>
      <c r="D73" s="134"/>
      <c r="E73" s="134"/>
      <c r="F73" s="134"/>
      <c r="G73" s="134"/>
      <c r="H73" s="134"/>
      <c r="I73" s="134"/>
      <c r="J73" s="134"/>
      <c r="K73" s="134"/>
      <c r="L73" s="144"/>
      <c r="M73" s="145"/>
      <c r="N73" s="134" t="s">
        <v>9</v>
      </c>
      <c r="O73" s="144">
        <f t="shared" si="1"/>
        <v>290.27249999999998</v>
      </c>
      <c r="P73" s="145">
        <f t="shared" si="3"/>
        <v>0.43187600000000004</v>
      </c>
      <c r="Q73" s="145">
        <f t="shared" si="4"/>
        <v>0.40085099999999996</v>
      </c>
      <c r="R73" s="140">
        <f t="shared" si="2"/>
        <v>125.36172621</v>
      </c>
      <c r="S73" s="159"/>
      <c r="T73" s="159"/>
      <c r="U73" s="160"/>
      <c r="V73" s="161"/>
      <c r="W73" s="160"/>
      <c r="X73" s="161"/>
      <c r="Y73" s="133"/>
      <c r="Z73" s="133"/>
      <c r="AA73" s="133"/>
      <c r="AB73" s="152"/>
      <c r="AC73" s="133"/>
      <c r="AD73" s="133"/>
      <c r="AE73" s="133"/>
      <c r="AF73" s="133"/>
      <c r="AG73" s="133"/>
      <c r="AH73" s="133"/>
      <c r="AI73" s="133"/>
      <c r="AJ73" s="133"/>
      <c r="AK73" s="133"/>
      <c r="AL73" s="133"/>
      <c r="AM73" s="133"/>
      <c r="AN73" s="146"/>
      <c r="AO73" s="146"/>
    </row>
    <row r="74" spans="1:41" ht="15" customHeight="1" x14ac:dyDescent="0.25">
      <c r="A74" s="134"/>
      <c r="B74" s="134"/>
      <c r="C74" s="134"/>
      <c r="D74" s="134"/>
      <c r="E74" s="134"/>
      <c r="F74" s="134"/>
      <c r="G74" s="134"/>
      <c r="H74" s="134"/>
      <c r="I74" s="134"/>
      <c r="J74" s="134"/>
      <c r="K74" s="134"/>
      <c r="L74" s="144"/>
      <c r="M74" s="145"/>
      <c r="N74" s="134" t="s">
        <v>10</v>
      </c>
      <c r="O74" s="144">
        <f t="shared" si="1"/>
        <v>12718</v>
      </c>
      <c r="P74" s="145">
        <f t="shared" si="3"/>
        <v>0.44566456983000002</v>
      </c>
      <c r="Q74" s="145">
        <f t="shared" si="4"/>
        <v>0.42346219323000001</v>
      </c>
      <c r="R74" s="140">
        <f t="shared" si="2"/>
        <v>5667.96199909794</v>
      </c>
      <c r="S74" s="159"/>
      <c r="T74" s="159"/>
      <c r="U74" s="160"/>
      <c r="V74" s="161"/>
      <c r="W74" s="160"/>
      <c r="X74" s="161"/>
      <c r="Y74" s="133"/>
      <c r="Z74" s="133"/>
      <c r="AA74" s="133"/>
      <c r="AB74" s="152"/>
      <c r="AC74" s="133"/>
      <c r="AD74" s="133"/>
      <c r="AE74" s="133"/>
      <c r="AF74" s="133"/>
      <c r="AG74" s="133"/>
      <c r="AH74" s="133"/>
      <c r="AI74" s="133"/>
      <c r="AJ74" s="133"/>
      <c r="AK74" s="133"/>
      <c r="AL74" s="133"/>
      <c r="AM74" s="133"/>
      <c r="AN74" s="146"/>
      <c r="AO74" s="146"/>
    </row>
    <row r="75" spans="1:41" ht="15" customHeight="1" x14ac:dyDescent="0.25">
      <c r="A75" s="134"/>
      <c r="B75" s="134"/>
      <c r="C75" s="134"/>
      <c r="D75" s="134"/>
      <c r="E75" s="134"/>
      <c r="F75" s="134"/>
      <c r="G75" s="134"/>
      <c r="H75" s="134"/>
      <c r="I75" s="144"/>
      <c r="J75" s="134"/>
      <c r="K75" s="134"/>
      <c r="L75" s="144"/>
      <c r="M75" s="145"/>
      <c r="N75" s="134" t="s">
        <v>11</v>
      </c>
      <c r="O75" s="144">
        <f t="shared" si="1"/>
        <v>10089.5875</v>
      </c>
      <c r="P75" s="145">
        <f t="shared" si="3"/>
        <v>0.44465212590000003</v>
      </c>
      <c r="Q75" s="145">
        <f t="shared" si="4"/>
        <v>0.42442664207000003</v>
      </c>
      <c r="R75" s="140">
        <f t="shared" si="2"/>
        <v>4486.3565313290665</v>
      </c>
      <c r="S75" s="159"/>
      <c r="T75" s="159"/>
      <c r="U75" s="160"/>
      <c r="V75" s="161"/>
      <c r="W75" s="160"/>
      <c r="X75" s="161"/>
      <c r="Y75" s="133"/>
      <c r="Z75" s="133"/>
      <c r="AA75" s="133"/>
      <c r="AB75" s="152"/>
      <c r="AC75" s="133"/>
      <c r="AD75" s="133"/>
      <c r="AE75" s="133"/>
      <c r="AF75" s="133"/>
      <c r="AG75" s="133"/>
      <c r="AH75" s="133"/>
      <c r="AI75" s="133"/>
      <c r="AJ75" s="133"/>
      <c r="AK75" s="133"/>
      <c r="AL75" s="133"/>
      <c r="AM75" s="133"/>
      <c r="AN75" s="146"/>
      <c r="AO75" s="146"/>
    </row>
    <row r="76" spans="1:41" ht="15" customHeight="1" x14ac:dyDescent="0.25">
      <c r="A76" s="134"/>
      <c r="B76" s="134"/>
      <c r="C76" s="134"/>
      <c r="D76" s="143"/>
      <c r="E76" s="143"/>
      <c r="F76" s="143"/>
      <c r="G76" s="143"/>
      <c r="H76" s="143"/>
      <c r="I76" s="134"/>
      <c r="J76" s="134"/>
      <c r="K76" s="134"/>
      <c r="L76" s="144"/>
      <c r="M76" s="145"/>
      <c r="N76" s="134" t="s">
        <v>12</v>
      </c>
      <c r="O76" s="144">
        <f t="shared" si="1"/>
        <v>2628.4124999999999</v>
      </c>
      <c r="P76" s="145">
        <f t="shared" si="3"/>
        <v>0.44955100000000003</v>
      </c>
      <c r="Q76" s="145">
        <f t="shared" si="4"/>
        <v>0.41975999999999997</v>
      </c>
      <c r="R76" s="140">
        <f t="shared" si="2"/>
        <v>1181.6054677874999</v>
      </c>
      <c r="S76" s="159"/>
      <c r="T76" s="159"/>
      <c r="U76" s="160"/>
      <c r="V76" s="161"/>
      <c r="W76" s="160"/>
      <c r="X76" s="161"/>
      <c r="Y76" s="133"/>
      <c r="Z76" s="133"/>
      <c r="AA76" s="133"/>
      <c r="AB76" s="152"/>
      <c r="AC76" s="133"/>
      <c r="AD76" s="133"/>
      <c r="AE76" s="133"/>
      <c r="AF76" s="133"/>
      <c r="AG76" s="133"/>
      <c r="AH76" s="133"/>
      <c r="AI76" s="133"/>
      <c r="AJ76" s="133"/>
      <c r="AK76" s="133"/>
      <c r="AL76" s="133"/>
      <c r="AM76" s="133"/>
      <c r="AN76" s="146"/>
      <c r="AO76" s="146"/>
    </row>
    <row r="77" spans="1:41" ht="15" customHeight="1" x14ac:dyDescent="0.25">
      <c r="A77" s="134"/>
      <c r="B77" s="134"/>
      <c r="C77" s="134"/>
      <c r="D77" s="162"/>
      <c r="E77" s="162"/>
      <c r="F77" s="162"/>
      <c r="G77" s="162"/>
      <c r="H77" s="162"/>
      <c r="I77" s="134"/>
      <c r="J77" s="134"/>
      <c r="K77" s="134"/>
      <c r="L77" s="144"/>
      <c r="M77" s="145"/>
      <c r="N77" s="134" t="s">
        <v>13</v>
      </c>
      <c r="O77" s="144">
        <f t="shared" si="1"/>
        <v>14995</v>
      </c>
      <c r="P77" s="145">
        <f t="shared" si="3"/>
        <v>0.45297055327999997</v>
      </c>
      <c r="Q77" s="145">
        <f t="shared" si="4"/>
        <v>0.440946</v>
      </c>
      <c r="R77" s="140">
        <f t="shared" si="2"/>
        <v>6792.2934464335995</v>
      </c>
      <c r="S77" s="159"/>
      <c r="T77" s="159"/>
      <c r="U77" s="160"/>
      <c r="V77" s="161"/>
      <c r="W77" s="160"/>
      <c r="X77" s="161"/>
      <c r="Y77" s="133"/>
      <c r="Z77" s="133"/>
      <c r="AA77" s="133"/>
      <c r="AB77" s="152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46"/>
      <c r="AO77" s="146"/>
    </row>
    <row r="78" spans="1:41" ht="15" customHeight="1" x14ac:dyDescent="0.25">
      <c r="A78" s="134"/>
      <c r="B78" s="134"/>
      <c r="C78" s="134"/>
      <c r="D78" s="162"/>
      <c r="E78" s="162"/>
      <c r="F78" s="162"/>
      <c r="G78" s="162"/>
      <c r="H78" s="162"/>
      <c r="I78" s="144"/>
      <c r="J78" s="134"/>
      <c r="K78" s="134"/>
      <c r="L78" s="144"/>
      <c r="M78" s="145"/>
      <c r="N78" s="134" t="s">
        <v>14</v>
      </c>
      <c r="O78" s="144">
        <f t="shared" si="1"/>
        <v>14995</v>
      </c>
      <c r="P78" s="145">
        <f t="shared" si="3"/>
        <v>0.45297055327999997</v>
      </c>
      <c r="Q78" s="145">
        <f t="shared" si="4"/>
        <v>0.440946</v>
      </c>
      <c r="R78" s="140">
        <f t="shared" si="2"/>
        <v>6792.2934464335995</v>
      </c>
      <c r="S78" s="159"/>
      <c r="T78" s="159"/>
      <c r="U78" s="160"/>
      <c r="V78" s="161"/>
      <c r="W78" s="160"/>
      <c r="X78" s="161"/>
      <c r="Y78" s="133"/>
      <c r="Z78" s="133"/>
      <c r="AA78" s="133"/>
      <c r="AB78" s="152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46"/>
      <c r="AO78" s="146"/>
    </row>
    <row r="79" spans="1:41" ht="15" customHeight="1" x14ac:dyDescent="0.25">
      <c r="A79" s="134"/>
      <c r="B79" s="134"/>
      <c r="C79" s="134"/>
      <c r="D79" s="162"/>
      <c r="E79" s="162"/>
      <c r="F79" s="162"/>
      <c r="G79" s="162"/>
      <c r="H79" s="162"/>
      <c r="I79" s="134"/>
      <c r="J79" s="134"/>
      <c r="K79" s="134"/>
      <c r="L79" s="144"/>
      <c r="M79" s="145"/>
      <c r="N79" s="134" t="s">
        <v>15</v>
      </c>
      <c r="O79" s="144">
        <f t="shared" si="1"/>
        <v>0</v>
      </c>
      <c r="P79" s="145">
        <f t="shared" si="3"/>
        <v>0.45650000820000003</v>
      </c>
      <c r="Q79" s="145">
        <f t="shared" si="4"/>
        <v>0.43229999116000001</v>
      </c>
      <c r="R79" s="140">
        <f t="shared" si="2"/>
        <v>0</v>
      </c>
      <c r="S79" s="159"/>
      <c r="T79" s="159"/>
      <c r="U79" s="160"/>
      <c r="V79" s="161"/>
      <c r="W79" s="160"/>
      <c r="X79" s="161"/>
      <c r="Y79" s="133"/>
      <c r="Z79" s="133"/>
      <c r="AA79" s="133"/>
      <c r="AB79" s="152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46"/>
      <c r="AO79" s="146"/>
    </row>
    <row r="80" spans="1:41" ht="15" customHeight="1" x14ac:dyDescent="0.25">
      <c r="A80" s="134"/>
      <c r="B80" s="162"/>
      <c r="C80" s="162"/>
      <c r="D80" s="162"/>
      <c r="E80" s="162"/>
      <c r="F80" s="162"/>
      <c r="G80" s="162"/>
      <c r="H80" s="162"/>
      <c r="I80" s="134"/>
      <c r="J80" s="134"/>
      <c r="K80" s="134"/>
      <c r="L80" s="144"/>
      <c r="M80" s="145"/>
      <c r="N80" s="134" t="s">
        <v>16</v>
      </c>
      <c r="O80" s="144">
        <f t="shared" si="1"/>
        <v>1056</v>
      </c>
      <c r="P80" s="145">
        <f t="shared" si="3"/>
        <v>0.50130001784</v>
      </c>
      <c r="Q80" s="145">
        <f t="shared" si="4"/>
        <v>0.43849999087999997</v>
      </c>
      <c r="R80" s="140">
        <f t="shared" si="2"/>
        <v>529.37281883903995</v>
      </c>
      <c r="S80" s="159"/>
      <c r="T80" s="159"/>
      <c r="U80" s="160"/>
      <c r="V80" s="161"/>
      <c r="W80" s="160"/>
      <c r="X80" s="161"/>
      <c r="Y80" s="133"/>
      <c r="Z80" s="133"/>
      <c r="AA80" s="133"/>
      <c r="AB80" s="152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46"/>
      <c r="AO80" s="146"/>
    </row>
    <row r="81" spans="1:41" ht="15" customHeight="1" x14ac:dyDescent="0.25">
      <c r="A81" s="134"/>
      <c r="B81" s="134"/>
      <c r="C81" s="134"/>
      <c r="D81" s="134"/>
      <c r="E81" s="134"/>
      <c r="F81" s="134"/>
      <c r="G81" s="134"/>
      <c r="H81" s="134"/>
      <c r="I81" s="144"/>
      <c r="J81" s="134"/>
      <c r="K81" s="134"/>
      <c r="L81" s="144"/>
      <c r="M81" s="145"/>
      <c r="N81" s="134" t="s">
        <v>17</v>
      </c>
      <c r="O81" s="144">
        <f t="shared" si="1"/>
        <v>1056</v>
      </c>
      <c r="P81" s="145">
        <f t="shared" si="3"/>
        <v>0.50130001784</v>
      </c>
      <c r="Q81" s="145">
        <f t="shared" si="4"/>
        <v>0.43849999087999997</v>
      </c>
      <c r="R81" s="140">
        <f t="shared" si="2"/>
        <v>529.37281883903995</v>
      </c>
      <c r="S81" s="159"/>
      <c r="T81" s="159"/>
      <c r="U81" s="160"/>
      <c r="V81" s="161"/>
      <c r="W81" s="160"/>
      <c r="X81" s="161"/>
      <c r="Y81" s="133"/>
      <c r="Z81" s="133"/>
      <c r="AA81" s="133"/>
      <c r="AB81" s="152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46"/>
      <c r="AO81" s="146"/>
    </row>
    <row r="82" spans="1:41" ht="15" customHeight="1" x14ac:dyDescent="0.25">
      <c r="A82" s="143"/>
      <c r="B82" s="162"/>
      <c r="C82" s="162"/>
      <c r="D82" s="162"/>
      <c r="E82" s="162"/>
      <c r="F82" s="162"/>
      <c r="G82" s="162"/>
      <c r="H82" s="162"/>
      <c r="I82" s="163"/>
      <c r="J82" s="134"/>
      <c r="K82" s="134"/>
      <c r="L82" s="144"/>
      <c r="M82" s="145"/>
      <c r="N82" s="134" t="s">
        <v>18</v>
      </c>
      <c r="O82" s="144">
        <f t="shared" si="1"/>
        <v>0</v>
      </c>
      <c r="P82" s="145">
        <f t="shared" si="3"/>
        <v>0.50130001772999999</v>
      </c>
      <c r="Q82" s="145">
        <f t="shared" si="4"/>
        <v>0.43849999111000004</v>
      </c>
      <c r="R82" s="140">
        <f t="shared" si="2"/>
        <v>0</v>
      </c>
      <c r="S82" s="159"/>
      <c r="T82" s="159"/>
      <c r="U82" s="160"/>
      <c r="V82" s="161"/>
      <c r="W82" s="160"/>
      <c r="X82" s="161"/>
      <c r="Y82" s="133"/>
      <c r="Z82" s="133"/>
      <c r="AA82" s="133"/>
      <c r="AB82" s="152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46"/>
      <c r="AO82" s="146"/>
    </row>
    <row r="83" spans="1:41" ht="15" customHeight="1" x14ac:dyDescent="0.25">
      <c r="A83" s="143"/>
      <c r="B83" s="163"/>
      <c r="C83" s="163"/>
      <c r="D83" s="163"/>
      <c r="E83" s="163"/>
      <c r="F83" s="163"/>
      <c r="G83" s="163"/>
      <c r="H83" s="163"/>
      <c r="I83" s="163"/>
      <c r="J83" s="134"/>
      <c r="K83" s="134"/>
      <c r="L83" s="144"/>
      <c r="M83" s="145"/>
      <c r="N83" s="134" t="s">
        <v>19</v>
      </c>
      <c r="O83" s="144">
        <f t="shared" si="1"/>
        <v>0</v>
      </c>
      <c r="P83" s="145">
        <f t="shared" si="3"/>
        <v>0.43520000910999995</v>
      </c>
      <c r="Q83" s="145">
        <f t="shared" si="4"/>
        <v>0.41389999091000002</v>
      </c>
      <c r="R83" s="140">
        <f t="shared" si="2"/>
        <v>0</v>
      </c>
      <c r="S83" s="159"/>
      <c r="T83" s="159"/>
      <c r="U83" s="160"/>
      <c r="V83" s="161"/>
      <c r="W83" s="160"/>
      <c r="X83" s="161"/>
      <c r="Y83" s="133"/>
      <c r="Z83" s="133"/>
      <c r="AA83" s="133"/>
      <c r="AB83" s="152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46"/>
      <c r="AO83" s="146"/>
    </row>
    <row r="84" spans="1:41" ht="15" customHeight="1" x14ac:dyDescent="0.25">
      <c r="A84" s="134"/>
      <c r="B84" s="134"/>
      <c r="C84" s="134"/>
      <c r="D84" s="134"/>
      <c r="E84" s="134"/>
      <c r="F84" s="134"/>
      <c r="G84" s="134"/>
      <c r="H84" s="134"/>
      <c r="I84" s="144"/>
      <c r="J84" s="134"/>
      <c r="K84" s="134"/>
      <c r="L84" s="144"/>
      <c r="M84" s="145"/>
      <c r="N84" s="134" t="s">
        <v>20</v>
      </c>
      <c r="O84" s="144">
        <f t="shared" si="1"/>
        <v>-683.28750000000002</v>
      </c>
      <c r="P84" s="145">
        <f t="shared" si="3"/>
        <v>0.439552</v>
      </c>
      <c r="Q84" s="145">
        <f t="shared" si="4"/>
        <v>0.40976100000000004</v>
      </c>
      <c r="R84" s="140">
        <f t="shared" si="2"/>
        <v>-300.34038720000001</v>
      </c>
      <c r="S84" s="159"/>
      <c r="T84" s="159"/>
      <c r="U84" s="160"/>
      <c r="V84" s="161"/>
      <c r="W84" s="160"/>
      <c r="X84" s="161"/>
      <c r="Y84" s="133"/>
      <c r="Z84" s="133"/>
      <c r="AA84" s="133"/>
      <c r="AB84" s="152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46"/>
      <c r="AO84" s="146"/>
    </row>
    <row r="85" spans="1:41" ht="15" customHeight="1" x14ac:dyDescent="0.25">
      <c r="A85" s="134"/>
      <c r="B85" s="134"/>
      <c r="C85" s="134"/>
      <c r="D85" s="134"/>
      <c r="E85" s="134"/>
      <c r="F85" s="134"/>
      <c r="G85" s="134"/>
      <c r="H85" s="134"/>
      <c r="I85" s="134"/>
      <c r="J85" s="134"/>
      <c r="K85" s="134"/>
      <c r="L85" s="144"/>
      <c r="M85" s="145"/>
      <c r="N85" s="134" t="s">
        <v>21</v>
      </c>
      <c r="O85" s="144">
        <f t="shared" si="1"/>
        <v>683.28750000000002</v>
      </c>
      <c r="P85" s="145">
        <f t="shared" si="3"/>
        <v>0.439552</v>
      </c>
      <c r="Q85" s="145">
        <f t="shared" si="4"/>
        <v>0.40976100000000004</v>
      </c>
      <c r="R85" s="140">
        <f t="shared" si="2"/>
        <v>300.34038720000001</v>
      </c>
      <c r="S85" s="159"/>
      <c r="T85" s="159"/>
      <c r="U85" s="160"/>
      <c r="V85" s="161"/>
      <c r="W85" s="160"/>
      <c r="X85" s="161"/>
      <c r="Y85" s="133"/>
      <c r="Z85" s="133"/>
      <c r="AA85" s="133"/>
      <c r="AB85" s="152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46"/>
      <c r="AO85" s="146"/>
    </row>
    <row r="86" spans="1:41" ht="15" customHeight="1" x14ac:dyDescent="0.25">
      <c r="A86" s="134"/>
      <c r="B86" s="134"/>
      <c r="C86" s="134"/>
      <c r="D86" s="134"/>
      <c r="E86" s="134"/>
      <c r="F86" s="134"/>
      <c r="G86" s="134"/>
      <c r="H86" s="134"/>
      <c r="I86" s="134"/>
      <c r="J86" s="134"/>
      <c r="K86" s="134"/>
      <c r="L86" s="144"/>
      <c r="M86" s="145"/>
      <c r="N86" s="134" t="s">
        <v>22</v>
      </c>
      <c r="O86" s="144">
        <f t="shared" si="1"/>
        <v>0</v>
      </c>
      <c r="P86" s="145">
        <f t="shared" si="3"/>
        <v>0</v>
      </c>
      <c r="Q86" s="145">
        <f t="shared" si="4"/>
        <v>0</v>
      </c>
      <c r="R86" s="140">
        <f t="shared" si="2"/>
        <v>0</v>
      </c>
      <c r="S86" s="159"/>
      <c r="T86" s="159"/>
      <c r="U86" s="160"/>
      <c r="V86" s="161"/>
      <c r="W86" s="160"/>
      <c r="X86" s="161"/>
      <c r="Y86" s="133"/>
      <c r="Z86" s="133"/>
      <c r="AA86" s="133"/>
      <c r="AB86" s="152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</row>
    <row r="87" spans="1:41" ht="15" customHeight="1" x14ac:dyDescent="0.25">
      <c r="A87" s="134"/>
      <c r="B87" s="134"/>
      <c r="C87" s="134"/>
      <c r="D87" s="134"/>
      <c r="E87" s="134"/>
      <c r="F87" s="134"/>
      <c r="G87" s="134"/>
      <c r="H87" s="134"/>
      <c r="I87" s="144"/>
      <c r="J87" s="134"/>
      <c r="K87" s="134"/>
      <c r="L87" s="144"/>
      <c r="M87" s="145"/>
      <c r="N87" s="134" t="s">
        <v>23</v>
      </c>
      <c r="O87" s="144">
        <f t="shared" si="1"/>
        <v>0</v>
      </c>
      <c r="P87" s="145">
        <f t="shared" si="3"/>
        <v>0</v>
      </c>
      <c r="Q87" s="145">
        <f t="shared" si="4"/>
        <v>0</v>
      </c>
      <c r="R87" s="140">
        <f t="shared" si="2"/>
        <v>0</v>
      </c>
      <c r="S87" s="159"/>
      <c r="T87" s="159"/>
      <c r="U87" s="160"/>
      <c r="V87" s="161"/>
      <c r="W87" s="160"/>
      <c r="X87" s="161"/>
      <c r="Y87" s="133"/>
      <c r="Z87" s="133"/>
      <c r="AA87" s="133"/>
      <c r="AB87" s="15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</row>
    <row r="88" spans="1:41" ht="15" customHeight="1" x14ac:dyDescent="0.25">
      <c r="A88" s="155" t="s">
        <v>2</v>
      </c>
      <c r="B88" s="143" t="str">
        <f>+'[1]Informacion Planta'!B41</f>
        <v>R1</v>
      </c>
      <c r="C88" s="143" t="str">
        <f>+'[1]Informacion Planta'!C41</f>
        <v>R2</v>
      </c>
      <c r="D88" s="143" t="str">
        <f>+'[1]Informacion Planta'!D41</f>
        <v>Hidro</v>
      </c>
      <c r="E88" s="143" t="str">
        <f>+'[1]Informacion Planta'!E41</f>
        <v>Finisher</v>
      </c>
      <c r="F88" s="143" t="str">
        <f>+'[1]Informacion Planta'!F41</f>
        <v>Flot Magn</v>
      </c>
      <c r="G88" s="143" t="str">
        <f>+'[1]Informacion Planta'!G41</f>
        <v>Flot Neum</v>
      </c>
      <c r="H88" s="143" t="str">
        <f>+'[1]Informacion Planta'!H41</f>
        <v>Esp. Conc</v>
      </c>
      <c r="I88" s="134"/>
      <c r="J88" s="134"/>
      <c r="K88" s="134"/>
      <c r="L88" s="144"/>
      <c r="M88" s="145"/>
      <c r="N88" s="134" t="s">
        <v>24</v>
      </c>
      <c r="O88" s="144">
        <f t="shared" si="1"/>
        <v>0</v>
      </c>
      <c r="P88" s="145">
        <f t="shared" si="3"/>
        <v>0</v>
      </c>
      <c r="Q88" s="145">
        <f t="shared" si="4"/>
        <v>0</v>
      </c>
      <c r="R88" s="140">
        <f t="shared" si="2"/>
        <v>0</v>
      </c>
      <c r="S88" s="159"/>
      <c r="T88" s="159"/>
      <c r="U88" s="160"/>
      <c r="V88" s="161"/>
      <c r="W88" s="160"/>
      <c r="X88" s="161"/>
      <c r="Y88" s="133"/>
      <c r="Z88" s="133"/>
      <c r="AA88" s="133"/>
      <c r="AB88" s="15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</row>
    <row r="89" spans="1:41" ht="15" customHeight="1" x14ac:dyDescent="0.25">
      <c r="A89" s="143" t="s">
        <v>25</v>
      </c>
      <c r="B89" s="162">
        <f>+P107</f>
        <v>0.14511200000000002</v>
      </c>
      <c r="C89" s="162">
        <f>+P109</f>
        <v>0.363678</v>
      </c>
      <c r="D89" s="162">
        <f>+P114</f>
        <v>0.44541972203000002</v>
      </c>
      <c r="E89" s="162">
        <f>+P116</f>
        <v>0.48680872585000001</v>
      </c>
      <c r="F89" s="162">
        <f>+P118</f>
        <v>0.60769799999999996</v>
      </c>
      <c r="G89" s="162">
        <f>+P120</f>
        <v>0.62659730065999997</v>
      </c>
      <c r="H89" s="162">
        <f>+P122</f>
        <v>0.65588713626000006</v>
      </c>
      <c r="I89" s="134"/>
      <c r="J89" s="134"/>
      <c r="K89" s="134"/>
      <c r="L89" s="144"/>
      <c r="M89" s="145"/>
      <c r="N89" s="134" t="s">
        <v>26</v>
      </c>
      <c r="O89" s="144">
        <f t="shared" si="1"/>
        <v>55</v>
      </c>
      <c r="P89" s="145">
        <f t="shared" si="3"/>
        <v>0.64200001799999995</v>
      </c>
      <c r="Q89" s="145">
        <f t="shared" si="4"/>
        <v>0.48399998216999995</v>
      </c>
      <c r="R89" s="140">
        <f t="shared" si="2"/>
        <v>35.310000989999999</v>
      </c>
      <c r="S89" s="159"/>
      <c r="T89" s="159"/>
      <c r="U89" s="160"/>
      <c r="V89" s="161"/>
      <c r="W89" s="160"/>
      <c r="X89" s="161"/>
      <c r="Y89" s="133"/>
      <c r="Z89" s="133"/>
      <c r="AA89" s="133"/>
      <c r="AB89" s="15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</row>
    <row r="90" spans="1:41" ht="15" customHeight="1" x14ac:dyDescent="0.25">
      <c r="A90" s="143" t="s">
        <v>27</v>
      </c>
      <c r="B90" s="162">
        <f>+P109</f>
        <v>0.363678</v>
      </c>
      <c r="C90" s="162">
        <f>+P111</f>
        <v>0.44737000000000005</v>
      </c>
      <c r="D90" s="162">
        <f>+P116</f>
        <v>0.48680872585000001</v>
      </c>
      <c r="E90" s="162">
        <f>+P118</f>
        <v>0.60769799999999996</v>
      </c>
      <c r="F90" s="162">
        <f>+P120</f>
        <v>0.62659730065999997</v>
      </c>
      <c r="G90" s="162">
        <f>+P122</f>
        <v>0.65588713626000006</v>
      </c>
      <c r="H90" s="162">
        <f>+P125</f>
        <v>0.65720000000000001</v>
      </c>
      <c r="I90" s="144">
        <f>+'[1]Calc Nodos Stock'!E12</f>
        <v>2097.3996419743298</v>
      </c>
      <c r="J90" s="134"/>
      <c r="K90" s="134"/>
      <c r="L90" s="144"/>
      <c r="M90" s="145"/>
      <c r="N90" s="134" t="s">
        <v>28</v>
      </c>
      <c r="O90" s="144">
        <f t="shared" si="1"/>
        <v>55</v>
      </c>
      <c r="P90" s="145">
        <f t="shared" si="3"/>
        <v>0.64200001799999995</v>
      </c>
      <c r="Q90" s="145">
        <f t="shared" si="4"/>
        <v>0.48399998216999995</v>
      </c>
      <c r="R90" s="140">
        <f t="shared" si="2"/>
        <v>35.310000989999999</v>
      </c>
      <c r="S90" s="159"/>
      <c r="T90" s="159"/>
      <c r="U90" s="160"/>
      <c r="V90" s="161"/>
      <c r="W90" s="160"/>
      <c r="X90" s="161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</row>
    <row r="91" spans="1:41" ht="15" customHeight="1" x14ac:dyDescent="0.25">
      <c r="A91" s="143" t="s">
        <v>29</v>
      </c>
      <c r="B91" s="162">
        <f>+P108</f>
        <v>6.3589100652000005E-2</v>
      </c>
      <c r="C91" s="162">
        <f>+P110</f>
        <v>7.6110318891999998E-2</v>
      </c>
      <c r="D91" s="162">
        <f>+P115</f>
        <v>5.2359999999999997E-2</v>
      </c>
      <c r="E91" s="162">
        <f>+P117</f>
        <v>5.6143999999999999E-2</v>
      </c>
      <c r="F91" s="162">
        <f>+P119</f>
        <v>9.151999999999999E-2</v>
      </c>
      <c r="G91" s="162">
        <f>+P121</f>
        <v>0.57927850000000003</v>
      </c>
      <c r="H91" s="162">
        <f>+P123</f>
        <v>0.58780021439000008</v>
      </c>
      <c r="I91" s="134"/>
      <c r="J91" s="134"/>
      <c r="K91" s="134"/>
      <c r="L91" s="144"/>
      <c r="M91" s="145"/>
      <c r="N91" s="134" t="s">
        <v>30</v>
      </c>
      <c r="O91" s="144">
        <f t="shared" si="1"/>
        <v>0</v>
      </c>
      <c r="P91" s="145">
        <f t="shared" si="3"/>
        <v>0.64200001772999993</v>
      </c>
      <c r="Q91" s="145">
        <f t="shared" si="4"/>
        <v>0.48399998226999996</v>
      </c>
      <c r="R91" s="140">
        <f t="shared" si="2"/>
        <v>0</v>
      </c>
      <c r="S91" s="159"/>
      <c r="T91" s="159"/>
      <c r="U91" s="160"/>
      <c r="V91" s="161"/>
      <c r="W91" s="160"/>
      <c r="X91" s="161"/>
      <c r="Y91" s="133"/>
      <c r="Z91" s="133"/>
      <c r="AA91" s="133"/>
      <c r="AB91" s="141"/>
      <c r="AC91" s="141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</row>
    <row r="92" spans="1:41" ht="15" customHeight="1" x14ac:dyDescent="0.25">
      <c r="A92" s="134"/>
      <c r="B92" s="145"/>
      <c r="C92" s="145"/>
      <c r="D92" s="145"/>
      <c r="E92" s="145"/>
      <c r="F92" s="145"/>
      <c r="G92" s="145"/>
      <c r="H92" s="145"/>
      <c r="I92" s="134"/>
      <c r="J92" s="134"/>
      <c r="K92" s="134"/>
      <c r="L92" s="144"/>
      <c r="M92" s="144"/>
      <c r="N92" s="134" t="s">
        <v>31</v>
      </c>
      <c r="O92" s="144">
        <f t="shared" si="1"/>
        <v>0</v>
      </c>
      <c r="P92" s="145">
        <f t="shared" si="3"/>
        <v>0</v>
      </c>
      <c r="Q92" s="145">
        <f t="shared" si="4"/>
        <v>0</v>
      </c>
      <c r="R92" s="140">
        <f t="shared" si="2"/>
        <v>0</v>
      </c>
      <c r="S92" s="159"/>
      <c r="T92" s="159"/>
      <c r="U92" s="160"/>
      <c r="V92" s="161"/>
      <c r="W92" s="160"/>
      <c r="X92" s="161"/>
      <c r="Y92" s="133"/>
      <c r="Z92" s="133"/>
      <c r="AA92" s="133"/>
      <c r="AB92" s="141"/>
      <c r="AC92" s="141"/>
      <c r="AD92" s="133"/>
      <c r="AE92" s="133"/>
      <c r="AF92" s="133"/>
      <c r="AG92" s="133"/>
      <c r="AH92" s="133"/>
      <c r="AI92" s="133"/>
      <c r="AJ92" s="133"/>
      <c r="AK92" s="133"/>
      <c r="AL92" s="133"/>
      <c r="AM92" s="133"/>
      <c r="AN92" s="133"/>
      <c r="AO92" s="133"/>
    </row>
    <row r="93" spans="1:41" ht="15" customHeight="1" x14ac:dyDescent="0.25">
      <c r="A93" s="134"/>
      <c r="B93" s="134"/>
      <c r="C93" s="134"/>
      <c r="D93" s="134"/>
      <c r="E93" s="134"/>
      <c r="F93" s="134"/>
      <c r="G93" s="134"/>
      <c r="H93" s="134"/>
      <c r="I93" s="144">
        <f>+L92-L94</f>
        <v>0</v>
      </c>
      <c r="J93" s="134"/>
      <c r="K93" s="134"/>
      <c r="L93" s="144"/>
      <c r="M93" s="144"/>
      <c r="N93" s="134" t="s">
        <v>32</v>
      </c>
      <c r="O93" s="144">
        <f t="shared" si="1"/>
        <v>0</v>
      </c>
      <c r="P93" s="145">
        <f t="shared" si="3"/>
        <v>0</v>
      </c>
      <c r="Q93" s="145">
        <f t="shared" si="4"/>
        <v>0</v>
      </c>
      <c r="R93" s="140">
        <f t="shared" si="2"/>
        <v>0</v>
      </c>
      <c r="S93" s="159"/>
      <c r="T93" s="159"/>
      <c r="U93" s="160"/>
      <c r="V93" s="161"/>
      <c r="W93" s="160"/>
      <c r="X93" s="161"/>
      <c r="Y93" s="133"/>
      <c r="Z93" s="133"/>
      <c r="AA93" s="133"/>
      <c r="AB93" s="141"/>
      <c r="AC93" s="141"/>
      <c r="AD93" s="133"/>
      <c r="AE93" s="133"/>
      <c r="AF93" s="133"/>
      <c r="AG93" s="133"/>
      <c r="AH93" s="133"/>
      <c r="AI93" s="133"/>
      <c r="AJ93" s="133"/>
      <c r="AK93" s="133"/>
      <c r="AL93" s="133"/>
      <c r="AM93" s="133"/>
      <c r="AN93" s="133"/>
      <c r="AO93" s="133"/>
    </row>
    <row r="94" spans="1:41" ht="15" customHeight="1" x14ac:dyDescent="0.25">
      <c r="A94" s="164" t="s">
        <v>33</v>
      </c>
      <c r="B94" s="145">
        <f t="shared" ref="B94:H94" si="5">+IF((B90-B91)&lt;&gt;0,(B90/B89)*(B89-B91)/(B90-B91),0)</f>
        <v>0.68083737481752882</v>
      </c>
      <c r="C94" s="145">
        <f t="shared" si="5"/>
        <v>0.95282274470872341</v>
      </c>
      <c r="D94" s="145">
        <f t="shared" si="5"/>
        <v>0.98880106713713511</v>
      </c>
      <c r="E94" s="145">
        <f t="shared" si="5"/>
        <v>0.97472188250691105</v>
      </c>
      <c r="F94" s="145">
        <f t="shared" si="5"/>
        <v>0.99468066415621614</v>
      </c>
      <c r="G94" s="145">
        <f t="shared" si="5"/>
        <v>0.64654177437531946</v>
      </c>
      <c r="H94" s="145">
        <f t="shared" si="5"/>
        <v>0.98304639143337369</v>
      </c>
      <c r="I94" s="165">
        <f>+B94*C94*D94*E94*F94*G94*H94</f>
        <v>0.39527507192083183</v>
      </c>
      <c r="J94" s="134"/>
      <c r="K94" s="134"/>
      <c r="L94" s="144"/>
      <c r="M94" s="144"/>
      <c r="N94" s="134" t="s">
        <v>34</v>
      </c>
      <c r="O94" s="144">
        <f t="shared" si="1"/>
        <v>0</v>
      </c>
      <c r="P94" s="145">
        <f t="shared" si="3"/>
        <v>0</v>
      </c>
      <c r="Q94" s="145">
        <f t="shared" si="4"/>
        <v>0</v>
      </c>
      <c r="R94" s="140">
        <f t="shared" si="2"/>
        <v>0</v>
      </c>
      <c r="S94" s="159"/>
      <c r="T94" s="159"/>
      <c r="U94" s="160"/>
      <c r="V94" s="161"/>
      <c r="W94" s="160"/>
      <c r="X94" s="161"/>
      <c r="Y94" s="133"/>
      <c r="Z94" s="133"/>
      <c r="AA94" s="133"/>
      <c r="AB94" s="133"/>
      <c r="AC94" s="133"/>
      <c r="AD94" s="133"/>
      <c r="AE94" s="133"/>
      <c r="AF94" s="133"/>
      <c r="AG94" s="133"/>
      <c r="AH94" s="133"/>
      <c r="AI94" s="133"/>
      <c r="AJ94" s="133"/>
      <c r="AK94" s="133"/>
      <c r="AL94" s="133"/>
      <c r="AM94" s="133"/>
      <c r="AN94" s="133"/>
      <c r="AO94" s="133"/>
    </row>
    <row r="95" spans="1:41" ht="22.5" customHeight="1" x14ac:dyDescent="0.25">
      <c r="A95" s="134"/>
      <c r="B95" s="145"/>
      <c r="C95" s="145"/>
      <c r="D95" s="145"/>
      <c r="E95" s="145"/>
      <c r="F95" s="145"/>
      <c r="G95" s="145"/>
      <c r="H95" s="145"/>
      <c r="I95" s="145"/>
      <c r="J95" s="134"/>
      <c r="K95" s="138"/>
      <c r="L95" s="166"/>
      <c r="M95" s="167"/>
      <c r="N95" s="138" t="s">
        <v>35</v>
      </c>
      <c r="O95" s="144">
        <f t="shared" si="1"/>
        <v>0</v>
      </c>
      <c r="P95" s="145">
        <f t="shared" si="3"/>
        <v>0</v>
      </c>
      <c r="Q95" s="145">
        <f t="shared" si="4"/>
        <v>0</v>
      </c>
      <c r="R95" s="140">
        <f t="shared" si="2"/>
        <v>0</v>
      </c>
      <c r="S95" s="159"/>
      <c r="T95" s="159"/>
      <c r="U95" s="160"/>
      <c r="V95" s="161"/>
      <c r="W95" s="160"/>
      <c r="X95" s="161"/>
      <c r="Y95" s="133"/>
      <c r="Z95" s="133"/>
      <c r="AA95" s="133"/>
      <c r="AB95" s="133"/>
      <c r="AC95" s="133"/>
      <c r="AD95" s="133"/>
      <c r="AE95" s="133"/>
      <c r="AF95" s="133"/>
      <c r="AG95" s="133"/>
      <c r="AH95" s="133"/>
      <c r="AI95" s="133"/>
      <c r="AJ95" s="133"/>
      <c r="AK95" s="133"/>
      <c r="AL95" s="133"/>
      <c r="AM95" s="133"/>
      <c r="AN95" s="133"/>
      <c r="AO95" s="133"/>
    </row>
    <row r="96" spans="1:41" ht="15" customHeight="1" x14ac:dyDescent="0.25">
      <c r="A96" s="134"/>
      <c r="B96" s="134"/>
      <c r="C96" s="134"/>
      <c r="D96" s="134"/>
      <c r="E96" s="134"/>
      <c r="F96" s="134"/>
      <c r="G96" s="134"/>
      <c r="H96" s="134"/>
      <c r="I96" s="134"/>
      <c r="J96" s="134"/>
      <c r="K96" s="134"/>
      <c r="L96" s="144"/>
      <c r="M96" s="145"/>
      <c r="N96" s="134" t="s">
        <v>36</v>
      </c>
      <c r="O96" s="144">
        <f t="shared" si="1"/>
        <v>0</v>
      </c>
      <c r="P96" s="145">
        <f t="shared" si="3"/>
        <v>0</v>
      </c>
      <c r="Q96" s="145">
        <f t="shared" si="4"/>
        <v>0</v>
      </c>
      <c r="R96" s="140">
        <f t="shared" si="2"/>
        <v>0</v>
      </c>
      <c r="S96" s="159"/>
      <c r="T96" s="159"/>
      <c r="U96" s="160"/>
      <c r="V96" s="161"/>
      <c r="W96" s="160"/>
      <c r="X96" s="161"/>
      <c r="Y96" s="133"/>
      <c r="Z96" s="133"/>
      <c r="AA96" s="133"/>
      <c r="AB96" s="133"/>
      <c r="AC96" s="133"/>
      <c r="AD96" s="133"/>
      <c r="AE96" s="133"/>
      <c r="AF96" s="133"/>
      <c r="AG96" s="133"/>
      <c r="AH96" s="133"/>
      <c r="AI96" s="133"/>
      <c r="AJ96" s="133"/>
      <c r="AK96" s="133"/>
      <c r="AL96" s="133"/>
      <c r="AM96" s="133"/>
      <c r="AN96" s="133"/>
      <c r="AO96" s="133"/>
    </row>
    <row r="97" spans="1:41" ht="15" customHeight="1" x14ac:dyDescent="0.25">
      <c r="A97" s="134"/>
      <c r="B97" s="162"/>
      <c r="C97" s="134"/>
      <c r="D97" s="134"/>
      <c r="E97" s="134"/>
      <c r="F97" s="134"/>
      <c r="G97" s="134"/>
      <c r="H97" s="168"/>
      <c r="I97" s="145"/>
      <c r="J97" s="134"/>
      <c r="K97" s="134"/>
      <c r="L97" s="144"/>
      <c r="M97" s="145"/>
      <c r="N97" s="134" t="s">
        <v>37</v>
      </c>
      <c r="O97" s="144">
        <f t="shared" si="1"/>
        <v>0</v>
      </c>
      <c r="P97" s="145">
        <f t="shared" si="3"/>
        <v>0</v>
      </c>
      <c r="Q97" s="145">
        <f t="shared" si="4"/>
        <v>0</v>
      </c>
      <c r="R97" s="140">
        <f t="shared" si="2"/>
        <v>0</v>
      </c>
      <c r="S97" s="159"/>
      <c r="T97" s="159"/>
      <c r="U97" s="160"/>
      <c r="V97" s="161"/>
      <c r="W97" s="160"/>
      <c r="X97" s="161"/>
      <c r="Y97" s="133"/>
      <c r="Z97" s="133"/>
      <c r="AA97" s="133"/>
      <c r="AB97" s="133"/>
      <c r="AC97" s="133"/>
      <c r="AD97" s="133"/>
      <c r="AE97" s="133"/>
      <c r="AF97" s="133"/>
      <c r="AG97" s="133"/>
      <c r="AH97" s="133"/>
      <c r="AI97" s="133"/>
      <c r="AJ97" s="133"/>
      <c r="AK97" s="133"/>
      <c r="AL97" s="133"/>
      <c r="AM97" s="133"/>
      <c r="AN97" s="133"/>
      <c r="AO97" s="133"/>
    </row>
    <row r="98" spans="1:41" ht="15" customHeight="1" x14ac:dyDescent="0.25">
      <c r="A98" s="155" t="s">
        <v>3</v>
      </c>
      <c r="B98" s="143"/>
      <c r="C98" s="143"/>
      <c r="D98" s="143"/>
      <c r="E98" s="143"/>
      <c r="F98" s="143"/>
      <c r="G98" s="143"/>
      <c r="H98" s="143"/>
      <c r="I98" s="134"/>
      <c r="J98" s="134"/>
      <c r="K98" s="134"/>
      <c r="L98" s="144"/>
      <c r="M98" s="145"/>
      <c r="N98" s="134" t="s">
        <v>38</v>
      </c>
      <c r="O98" s="144">
        <f t="shared" si="1"/>
        <v>0</v>
      </c>
      <c r="P98" s="145">
        <f t="shared" si="3"/>
        <v>0</v>
      </c>
      <c r="Q98" s="145">
        <f t="shared" si="4"/>
        <v>0</v>
      </c>
      <c r="R98" s="140">
        <f t="shared" si="2"/>
        <v>0</v>
      </c>
      <c r="S98" s="159"/>
      <c r="T98" s="159"/>
      <c r="U98" s="160"/>
      <c r="V98" s="161"/>
      <c r="W98" s="160"/>
      <c r="X98" s="161"/>
      <c r="Y98" s="133"/>
      <c r="Z98" s="133"/>
      <c r="AA98" s="133"/>
      <c r="AB98" s="133"/>
      <c r="AC98" s="133"/>
      <c r="AD98" s="133"/>
      <c r="AE98" s="133"/>
      <c r="AF98" s="133"/>
      <c r="AG98" s="133"/>
      <c r="AH98" s="133"/>
      <c r="AI98" s="133"/>
      <c r="AJ98" s="133"/>
      <c r="AK98" s="133"/>
      <c r="AL98" s="133"/>
      <c r="AM98" s="133"/>
      <c r="AN98" s="133"/>
      <c r="AO98" s="133"/>
    </row>
    <row r="99" spans="1:41" ht="15" customHeight="1" x14ac:dyDescent="0.25">
      <c r="A99" s="143" t="s">
        <v>25</v>
      </c>
      <c r="B99" s="162">
        <f>+Q107</f>
        <v>9.4962999999999992E-2</v>
      </c>
      <c r="C99" s="162">
        <f>+Q109</f>
        <v>0.33534069321999999</v>
      </c>
      <c r="D99" s="162">
        <f>+Q114</f>
        <v>0.42928720931999997</v>
      </c>
      <c r="E99" s="162">
        <f>+Q116</f>
        <v>0.47103600000000001</v>
      </c>
      <c r="F99" s="162">
        <f>+Q118</f>
        <v>0.59913916098999997</v>
      </c>
      <c r="G99" s="162">
        <f>+Q120</f>
        <v>0.61974644435000004</v>
      </c>
      <c r="H99" s="162">
        <f>+Q122</f>
        <v>0.64832969227999993</v>
      </c>
      <c r="I99" s="134"/>
      <c r="J99" s="134"/>
      <c r="K99" s="134"/>
      <c r="L99" s="144"/>
      <c r="M99" s="145"/>
      <c r="N99" s="134" t="s">
        <v>39</v>
      </c>
      <c r="O99" s="144">
        <f t="shared" si="1"/>
        <v>0</v>
      </c>
      <c r="P99" s="145">
        <f t="shared" si="3"/>
        <v>0</v>
      </c>
      <c r="Q99" s="145">
        <f t="shared" si="4"/>
        <v>0</v>
      </c>
      <c r="R99" s="140">
        <f t="shared" si="2"/>
        <v>0</v>
      </c>
      <c r="S99" s="159"/>
      <c r="T99" s="159"/>
      <c r="U99" s="160"/>
      <c r="V99" s="161"/>
      <c r="W99" s="160"/>
      <c r="X99" s="161"/>
      <c r="Y99" s="133"/>
      <c r="Z99" s="133"/>
      <c r="AA99" s="133"/>
      <c r="AB99" s="133"/>
      <c r="AC99" s="133"/>
      <c r="AD99" s="133"/>
      <c r="AE99" s="133"/>
      <c r="AF99" s="133"/>
      <c r="AG99" s="133"/>
      <c r="AH99" s="133"/>
      <c r="AI99" s="133"/>
      <c r="AJ99" s="133"/>
      <c r="AK99" s="133"/>
      <c r="AL99" s="133"/>
      <c r="AM99" s="133"/>
      <c r="AN99" s="133"/>
      <c r="AO99" s="133"/>
    </row>
    <row r="100" spans="1:41" ht="19" x14ac:dyDescent="0.25">
      <c r="A100" s="143" t="s">
        <v>27</v>
      </c>
      <c r="B100" s="162">
        <f>+Q109</f>
        <v>0.33534069321999999</v>
      </c>
      <c r="C100" s="162">
        <f>+Q111</f>
        <v>0.42934696633999997</v>
      </c>
      <c r="D100" s="162">
        <f>+Q116</f>
        <v>0.47103600000000001</v>
      </c>
      <c r="E100" s="162">
        <f>+Q118</f>
        <v>0.59913916098999997</v>
      </c>
      <c r="F100" s="162">
        <f>+Q120</f>
        <v>0.61974644435000004</v>
      </c>
      <c r="G100" s="162">
        <f>+Q122</f>
        <v>0.64832969227999993</v>
      </c>
      <c r="H100" s="162">
        <f>+Q125</f>
        <v>0.65</v>
      </c>
      <c r="I100" s="144">
        <f>+'[1]Calc Nodos Stock'!E22</f>
        <v>0</v>
      </c>
      <c r="J100" s="134"/>
      <c r="K100" s="134"/>
      <c r="L100" s="144"/>
      <c r="M100" s="145"/>
      <c r="N100" s="134" t="s">
        <v>40</v>
      </c>
      <c r="O100" s="144">
        <f t="shared" ref="O100:O129" si="6">B33</f>
        <v>0</v>
      </c>
      <c r="P100" s="145">
        <f t="shared" si="3"/>
        <v>0</v>
      </c>
      <c r="Q100" s="145">
        <f t="shared" si="4"/>
        <v>0</v>
      </c>
      <c r="R100" s="140">
        <f t="shared" ref="R100:R129" si="7">P100*O100</f>
        <v>0</v>
      </c>
      <c r="S100" s="159"/>
      <c r="T100" s="159"/>
      <c r="U100" s="160"/>
      <c r="V100" s="161"/>
      <c r="W100" s="160"/>
      <c r="X100" s="161"/>
      <c r="Y100" s="133"/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  <c r="AK100" s="133"/>
      <c r="AL100" s="133"/>
      <c r="AM100" s="133"/>
      <c r="AN100" s="133"/>
      <c r="AO100" s="133"/>
    </row>
    <row r="101" spans="1:41" ht="28.5" customHeight="1" x14ac:dyDescent="0.25">
      <c r="A101" s="143" t="s">
        <v>29</v>
      </c>
      <c r="B101" s="162">
        <f>+Q108</f>
        <v>5.3045604898999997E-3</v>
      </c>
      <c r="C101" s="162">
        <f>+Q110</f>
        <v>1.2332926971E-2</v>
      </c>
      <c r="D101" s="162">
        <f>+Q115</f>
        <v>4.7169736407000002E-3</v>
      </c>
      <c r="E101" s="162">
        <f>+Q117</f>
        <v>1.4672000000000001E-2</v>
      </c>
      <c r="F101" s="162">
        <f>+Q119</f>
        <v>3.6312710341000004E-2</v>
      </c>
      <c r="G101" s="162">
        <f>+Q121</f>
        <v>0.57296750000000007</v>
      </c>
      <c r="H101" s="162">
        <f>+Q123</f>
        <v>0.56170523328999999</v>
      </c>
      <c r="I101" s="134"/>
      <c r="J101" s="134"/>
      <c r="K101" s="169"/>
      <c r="L101" s="144"/>
      <c r="M101" s="145"/>
      <c r="N101" s="134" t="s">
        <v>41</v>
      </c>
      <c r="O101" s="144">
        <f t="shared" si="6"/>
        <v>0</v>
      </c>
      <c r="P101" s="145">
        <f t="shared" si="3"/>
        <v>0</v>
      </c>
      <c r="Q101" s="145">
        <f t="shared" si="4"/>
        <v>0</v>
      </c>
      <c r="R101" s="140">
        <f t="shared" si="7"/>
        <v>0</v>
      </c>
      <c r="S101" s="159"/>
      <c r="T101" s="159"/>
      <c r="U101" s="160"/>
      <c r="V101" s="161"/>
      <c r="W101" s="160"/>
      <c r="X101" s="161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3"/>
      <c r="AJ101" s="133"/>
      <c r="AK101" s="133"/>
      <c r="AL101" s="133"/>
      <c r="AM101" s="133"/>
      <c r="AN101" s="133"/>
      <c r="AO101" s="133"/>
    </row>
    <row r="102" spans="1:41" ht="19" x14ac:dyDescent="0.25">
      <c r="A102" s="134"/>
      <c r="B102" s="145"/>
      <c r="C102" s="145"/>
      <c r="D102" s="145"/>
      <c r="E102" s="145"/>
      <c r="F102" s="145"/>
      <c r="G102" s="145"/>
      <c r="H102" s="145"/>
      <c r="I102" s="134"/>
      <c r="J102" s="134"/>
      <c r="K102" s="169"/>
      <c r="L102" s="144"/>
      <c r="M102" s="145"/>
      <c r="N102" s="134" t="s">
        <v>42</v>
      </c>
      <c r="O102" s="144">
        <f t="shared" si="6"/>
        <v>0</v>
      </c>
      <c r="P102" s="145">
        <f t="shared" si="3"/>
        <v>0</v>
      </c>
      <c r="Q102" s="145">
        <f t="shared" si="4"/>
        <v>0</v>
      </c>
      <c r="R102" s="140">
        <f t="shared" si="7"/>
        <v>0</v>
      </c>
      <c r="S102" s="159"/>
      <c r="T102" s="159"/>
      <c r="U102" s="160"/>
      <c r="V102" s="161"/>
      <c r="W102" s="160"/>
      <c r="X102" s="161"/>
      <c r="Y102" s="133"/>
      <c r="Z102" s="133"/>
      <c r="AA102" s="133"/>
      <c r="AB102" s="133"/>
      <c r="AC102" s="133"/>
      <c r="AD102" s="133"/>
      <c r="AE102" s="133"/>
      <c r="AF102" s="133"/>
      <c r="AG102" s="133"/>
      <c r="AH102" s="133"/>
      <c r="AI102" s="133"/>
      <c r="AJ102" s="133"/>
      <c r="AK102" s="133"/>
      <c r="AL102" s="133"/>
      <c r="AM102" s="133"/>
      <c r="AN102" s="133"/>
      <c r="AO102" s="133"/>
    </row>
    <row r="103" spans="1:41" ht="19" x14ac:dyDescent="0.25">
      <c r="A103" s="134"/>
      <c r="B103" s="134"/>
      <c r="C103" s="134"/>
      <c r="D103" s="134"/>
      <c r="E103" s="134"/>
      <c r="F103" s="134"/>
      <c r="G103" s="134"/>
      <c r="H103" s="134"/>
      <c r="I103" s="144">
        <f>+L102-L104</f>
        <v>0</v>
      </c>
      <c r="J103" s="134"/>
      <c r="K103" s="134"/>
      <c r="L103" s="144"/>
      <c r="M103" s="145"/>
      <c r="N103" s="134" t="s">
        <v>43</v>
      </c>
      <c r="O103" s="144">
        <f t="shared" si="6"/>
        <v>0</v>
      </c>
      <c r="P103" s="145">
        <f t="shared" si="3"/>
        <v>0</v>
      </c>
      <c r="Q103" s="145">
        <f t="shared" si="4"/>
        <v>0</v>
      </c>
      <c r="R103" s="140">
        <f t="shared" si="7"/>
        <v>0</v>
      </c>
      <c r="S103" s="159"/>
      <c r="T103" s="159"/>
      <c r="U103" s="160"/>
      <c r="V103" s="161"/>
      <c r="W103" s="160"/>
      <c r="X103" s="161"/>
      <c r="Y103" s="133"/>
      <c r="Z103" s="133"/>
      <c r="AA103" s="133"/>
      <c r="AB103" s="133"/>
      <c r="AC103" s="133"/>
      <c r="AD103" s="133"/>
      <c r="AE103" s="133"/>
      <c r="AF103" s="133"/>
      <c r="AG103" s="133"/>
      <c r="AH103" s="133"/>
      <c r="AI103" s="133"/>
      <c r="AJ103" s="133"/>
      <c r="AK103" s="133"/>
      <c r="AL103" s="133"/>
      <c r="AM103" s="133"/>
      <c r="AN103" s="133"/>
      <c r="AO103" s="133"/>
    </row>
    <row r="104" spans="1:41" ht="19" x14ac:dyDescent="0.25">
      <c r="A104" s="164" t="s">
        <v>33</v>
      </c>
      <c r="B104" s="145">
        <f t="shared" ref="B104:H104" si="8">+IF((B100-B101)&lt;&gt;0,(B100/B99)*(B99-B101)/(B100-B101),0)</f>
        <v>0.95931562452452901</v>
      </c>
      <c r="C104" s="145">
        <f t="shared" si="8"/>
        <v>0.99170939810900605</v>
      </c>
      <c r="D104" s="145">
        <f t="shared" si="8"/>
        <v>0.99901626920933084</v>
      </c>
      <c r="E104" s="145">
        <f t="shared" si="8"/>
        <v>0.99317292066881713</v>
      </c>
      <c r="F104" s="145">
        <f t="shared" si="8"/>
        <v>0.99785927852863021</v>
      </c>
      <c r="G104" s="145">
        <f t="shared" si="8"/>
        <v>0.64934987541086242</v>
      </c>
      <c r="H104" s="145">
        <f t="shared" si="8"/>
        <v>0.98361018380492193</v>
      </c>
      <c r="I104" s="145">
        <f>+B104*C104*D104*E104*F104*G104*H104</f>
        <v>0.60160918139617092</v>
      </c>
      <c r="J104" s="134"/>
      <c r="K104" s="134"/>
      <c r="L104" s="144"/>
      <c r="M104" s="145"/>
      <c r="N104" s="134" t="s">
        <v>44</v>
      </c>
      <c r="O104" s="144">
        <f t="shared" si="6"/>
        <v>0</v>
      </c>
      <c r="P104" s="145">
        <f t="shared" si="3"/>
        <v>0</v>
      </c>
      <c r="Q104" s="145">
        <f t="shared" si="4"/>
        <v>0</v>
      </c>
      <c r="R104" s="140">
        <f t="shared" si="7"/>
        <v>0</v>
      </c>
      <c r="S104" s="159"/>
      <c r="T104" s="159"/>
      <c r="U104" s="160"/>
      <c r="V104" s="161"/>
      <c r="W104" s="160"/>
      <c r="X104" s="161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  <c r="AN104" s="133"/>
      <c r="AO104" s="133"/>
    </row>
    <row r="105" spans="1:41" ht="19" x14ac:dyDescent="0.25">
      <c r="A105" s="133" t="s">
        <v>45</v>
      </c>
      <c r="B105" s="160">
        <f>O109/O107</f>
        <v>0.27166249576640267</v>
      </c>
      <c r="C105" s="160">
        <f>O111/O109</f>
        <v>0.77457288183496109</v>
      </c>
      <c r="D105" s="160">
        <f>O116/O114</f>
        <v>0.932882731095517</v>
      </c>
      <c r="E105" s="160">
        <f>O118/O116</f>
        <v>0.78082060119718222</v>
      </c>
      <c r="F105" s="160">
        <f>O120/O118</f>
        <v>0.96467930771979338</v>
      </c>
      <c r="G105" s="160">
        <f>O122/O120</f>
        <v>0.61897178468006053</v>
      </c>
      <c r="H105" s="160">
        <f>O125/O122</f>
        <v>0.98108259655165164</v>
      </c>
      <c r="I105" s="160">
        <f>+B105*C105*D105*E105*F105*G105*H105</f>
        <v>8.9790352953774202E-2</v>
      </c>
      <c r="J105" s="134"/>
      <c r="K105" s="134"/>
      <c r="L105" s="144"/>
      <c r="M105" s="145"/>
      <c r="N105" s="134" t="s">
        <v>46</v>
      </c>
      <c r="O105" s="144">
        <f t="shared" si="6"/>
        <v>0</v>
      </c>
      <c r="P105" s="145">
        <f t="shared" si="3"/>
        <v>0</v>
      </c>
      <c r="Q105" s="145">
        <f t="shared" si="4"/>
        <v>0</v>
      </c>
      <c r="R105" s="140">
        <f t="shared" si="7"/>
        <v>0</v>
      </c>
      <c r="S105" s="159"/>
      <c r="T105" s="159"/>
      <c r="U105" s="160"/>
      <c r="V105" s="161"/>
      <c r="W105" s="160"/>
      <c r="X105" s="161"/>
      <c r="Y105" s="133"/>
      <c r="Z105" s="133"/>
      <c r="AA105" s="133"/>
      <c r="AB105" s="133"/>
      <c r="AC105" s="133"/>
      <c r="AD105" s="133"/>
      <c r="AE105" s="133"/>
      <c r="AF105" s="133"/>
      <c r="AG105" s="133"/>
      <c r="AH105" s="133"/>
      <c r="AI105" s="133"/>
      <c r="AJ105" s="133"/>
      <c r="AK105" s="133"/>
      <c r="AL105" s="133"/>
      <c r="AM105" s="133"/>
      <c r="AN105" s="133"/>
      <c r="AO105" s="133"/>
    </row>
    <row r="106" spans="1:41" ht="19" x14ac:dyDescent="0.25">
      <c r="A106" s="134"/>
      <c r="B106" s="134"/>
      <c r="C106" s="134"/>
      <c r="D106" s="134"/>
      <c r="E106" s="134"/>
      <c r="F106" s="134"/>
      <c r="G106" s="134"/>
      <c r="H106" s="134"/>
      <c r="I106" s="145"/>
      <c r="J106" s="134"/>
      <c r="K106" s="134"/>
      <c r="L106" s="144"/>
      <c r="M106" s="145"/>
      <c r="N106" s="134" t="s">
        <v>47</v>
      </c>
      <c r="O106" s="144">
        <f t="shared" si="6"/>
        <v>0</v>
      </c>
      <c r="P106" s="145">
        <f t="shared" si="3"/>
        <v>0</v>
      </c>
      <c r="Q106" s="145">
        <f t="shared" si="4"/>
        <v>0</v>
      </c>
      <c r="R106" s="140">
        <f t="shared" si="7"/>
        <v>0</v>
      </c>
      <c r="S106" s="159"/>
      <c r="T106" s="159"/>
      <c r="U106" s="160"/>
      <c r="V106" s="161"/>
      <c r="W106" s="160"/>
      <c r="X106" s="161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/>
      <c r="AJ106" s="133"/>
      <c r="AK106" s="133"/>
      <c r="AL106" s="133"/>
      <c r="AM106" s="133"/>
      <c r="AN106" s="133"/>
      <c r="AO106" s="133"/>
    </row>
    <row r="107" spans="1:41" ht="19" x14ac:dyDescent="0.25">
      <c r="A107" s="134"/>
      <c r="B107" s="170">
        <v>0.12900999999999999</v>
      </c>
      <c r="C107" s="170">
        <v>0.30845345072000002</v>
      </c>
      <c r="D107" s="170">
        <v>0.38879317851000006</v>
      </c>
      <c r="E107" s="170">
        <v>0.48474728956000002</v>
      </c>
      <c r="F107" s="170">
        <v>0.60921973994</v>
      </c>
      <c r="G107" s="170">
        <v>0.61575599999999997</v>
      </c>
      <c r="H107" s="170">
        <v>0.65538078753999995</v>
      </c>
      <c r="I107" s="145"/>
      <c r="J107" s="134"/>
      <c r="K107" s="134"/>
      <c r="L107" s="144"/>
      <c r="M107" s="145"/>
      <c r="N107" s="134" t="s">
        <v>48</v>
      </c>
      <c r="O107" s="144">
        <f t="shared" si="6"/>
        <v>987340</v>
      </c>
      <c r="P107" s="145">
        <f t="shared" si="3"/>
        <v>0.14511200000000002</v>
      </c>
      <c r="Q107" s="145">
        <f t="shared" si="4"/>
        <v>9.4962999999999992E-2</v>
      </c>
      <c r="R107" s="140">
        <f t="shared" si="7"/>
        <v>143274.88208000001</v>
      </c>
      <c r="S107" s="159"/>
      <c r="T107" s="159"/>
      <c r="U107" s="160"/>
      <c r="V107" s="161"/>
      <c r="W107" s="160"/>
      <c r="X107" s="161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  <c r="AJ107" s="133"/>
      <c r="AK107" s="133"/>
      <c r="AL107" s="133"/>
      <c r="AM107" s="133"/>
      <c r="AN107" s="133"/>
      <c r="AO107" s="133"/>
    </row>
    <row r="108" spans="1:41" ht="19" x14ac:dyDescent="0.25">
      <c r="A108" s="134"/>
      <c r="B108" s="170">
        <v>0.30845345072000002</v>
      </c>
      <c r="C108" s="170">
        <v>0.380436</v>
      </c>
      <c r="D108" s="170">
        <v>0.48474728956000002</v>
      </c>
      <c r="E108" s="170">
        <v>0.60921973994</v>
      </c>
      <c r="F108" s="170">
        <v>0.61575599999999997</v>
      </c>
      <c r="G108" s="170">
        <v>0.65538078753999995</v>
      </c>
      <c r="H108" s="170">
        <v>0.65670000000000006</v>
      </c>
      <c r="I108" s="134"/>
      <c r="J108" s="134"/>
      <c r="K108" s="134"/>
      <c r="L108" s="144"/>
      <c r="M108" s="145"/>
      <c r="N108" s="134" t="s">
        <v>49</v>
      </c>
      <c r="O108" s="144">
        <f t="shared" si="6"/>
        <v>719116.75142999995</v>
      </c>
      <c r="P108" s="145">
        <f t="shared" si="3"/>
        <v>6.3589100652000005E-2</v>
      </c>
      <c r="Q108" s="145">
        <f t="shared" si="4"/>
        <v>5.3045604898999997E-3</v>
      </c>
      <c r="R108" s="140">
        <f t="shared" si="7"/>
        <v>45727.987487221537</v>
      </c>
      <c r="S108" s="159"/>
      <c r="T108" s="159"/>
      <c r="U108" s="160"/>
      <c r="V108" s="161"/>
      <c r="W108" s="160"/>
      <c r="X108" s="161"/>
      <c r="Y108" s="133"/>
      <c r="Z108" s="133"/>
      <c r="AA108" s="133"/>
      <c r="AB108" s="133"/>
      <c r="AC108" s="133"/>
      <c r="AD108" s="133"/>
      <c r="AE108" s="133"/>
      <c r="AF108" s="133"/>
      <c r="AG108" s="133"/>
      <c r="AH108" s="133"/>
      <c r="AI108" s="133"/>
      <c r="AJ108" s="133"/>
      <c r="AK108" s="133"/>
      <c r="AL108" s="133"/>
      <c r="AM108" s="133"/>
      <c r="AN108" s="133"/>
      <c r="AO108" s="133"/>
    </row>
    <row r="109" spans="1:41" ht="19" x14ac:dyDescent="0.25">
      <c r="A109" s="134"/>
      <c r="B109" s="170">
        <v>6.0500690777000002E-2</v>
      </c>
      <c r="C109" s="170">
        <v>6.9554272239000001E-2</v>
      </c>
      <c r="D109" s="170">
        <v>5.4912000000000002E-2</v>
      </c>
      <c r="E109" s="170">
        <v>5.7375999999999996E-2</v>
      </c>
      <c r="F109" s="170">
        <v>8.6177368921999994E-2</v>
      </c>
      <c r="G109" s="170">
        <v>0.57194768393999995</v>
      </c>
      <c r="H109" s="170">
        <v>0.55603164372000002</v>
      </c>
      <c r="I109" s="145"/>
      <c r="J109" s="134"/>
      <c r="K109" s="134"/>
      <c r="L109" s="144"/>
      <c r="M109" s="145"/>
      <c r="N109" s="134" t="s">
        <v>50</v>
      </c>
      <c r="O109" s="144">
        <f t="shared" si="6"/>
        <v>268223.24857</v>
      </c>
      <c r="P109" s="145">
        <f t="shared" si="3"/>
        <v>0.363678</v>
      </c>
      <c r="Q109" s="145">
        <f t="shared" si="4"/>
        <v>0.33534069321999999</v>
      </c>
      <c r="R109" s="140">
        <f t="shared" si="7"/>
        <v>97546.894593440462</v>
      </c>
      <c r="S109" s="159"/>
      <c r="T109" s="159"/>
      <c r="U109" s="160"/>
      <c r="V109" s="161"/>
      <c r="W109" s="160"/>
      <c r="X109" s="161"/>
      <c r="Y109" s="133"/>
      <c r="Z109" s="133"/>
      <c r="AA109" s="133"/>
      <c r="AB109" s="133"/>
      <c r="AC109" s="133"/>
      <c r="AD109" s="133"/>
      <c r="AE109" s="133"/>
      <c r="AF109" s="133"/>
      <c r="AG109" s="133"/>
      <c r="AH109" s="133"/>
      <c r="AI109" s="133"/>
      <c r="AJ109" s="133"/>
      <c r="AK109" s="133"/>
      <c r="AL109" s="133"/>
      <c r="AM109" s="133"/>
      <c r="AN109" s="133"/>
      <c r="AO109" s="133"/>
    </row>
    <row r="110" spans="1:41" ht="19" x14ac:dyDescent="0.25">
      <c r="A110" s="134"/>
      <c r="B110" s="171">
        <v>27.629984533646272</v>
      </c>
      <c r="C110" s="171">
        <v>76.845680253250904</v>
      </c>
      <c r="D110" s="171">
        <v>77.676539506976454</v>
      </c>
      <c r="E110" s="171">
        <v>77.444257971734274</v>
      </c>
      <c r="F110" s="171">
        <v>98.765762121727818</v>
      </c>
      <c r="G110" s="171">
        <v>52.50711548503395</v>
      </c>
      <c r="H110" s="171">
        <v>98.68954604132918</v>
      </c>
      <c r="I110" s="134"/>
      <c r="J110" s="134"/>
      <c r="K110" s="134"/>
      <c r="L110" s="144"/>
      <c r="M110" s="145"/>
      <c r="N110" s="134" t="s">
        <v>51</v>
      </c>
      <c r="O110" s="144">
        <f t="shared" si="6"/>
        <v>60464.793945999998</v>
      </c>
      <c r="P110" s="145">
        <f t="shared" si="3"/>
        <v>7.6110318891999998E-2</v>
      </c>
      <c r="Q110" s="145">
        <f t="shared" si="4"/>
        <v>1.2332926971E-2</v>
      </c>
      <c r="R110" s="140">
        <f t="shared" si="7"/>
        <v>4601.9947489691303</v>
      </c>
      <c r="S110" s="159"/>
      <c r="T110" s="159"/>
      <c r="U110" s="160"/>
      <c r="V110" s="161"/>
      <c r="W110" s="160"/>
      <c r="X110" s="161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  <c r="AJ110" s="133"/>
      <c r="AK110" s="133"/>
      <c r="AL110" s="133"/>
      <c r="AM110" s="133"/>
      <c r="AN110" s="133"/>
      <c r="AO110" s="133"/>
    </row>
    <row r="111" spans="1:41" s="6" customFormat="1" ht="19" x14ac:dyDescent="0.25">
      <c r="A111" s="134"/>
      <c r="B111" s="134"/>
      <c r="C111" s="134"/>
      <c r="D111" s="134"/>
      <c r="E111" s="134"/>
      <c r="F111" s="134"/>
      <c r="G111" s="134"/>
      <c r="H111" s="134"/>
      <c r="I111" s="134"/>
      <c r="J111" s="172"/>
      <c r="K111" s="138"/>
      <c r="L111" s="144"/>
      <c r="M111" s="145"/>
      <c r="N111" s="138" t="s">
        <v>52</v>
      </c>
      <c r="O111" s="144">
        <f t="shared" si="6"/>
        <v>207758.45462</v>
      </c>
      <c r="P111" s="145">
        <f t="shared" si="3"/>
        <v>0.44737000000000005</v>
      </c>
      <c r="Q111" s="145">
        <f t="shared" si="4"/>
        <v>0.42934696633999997</v>
      </c>
      <c r="R111" s="140">
        <f t="shared" si="7"/>
        <v>92944.899843349413</v>
      </c>
      <c r="S111" s="159"/>
      <c r="T111" s="159"/>
      <c r="U111" s="160"/>
      <c r="V111" s="141"/>
      <c r="W111" s="160"/>
      <c r="X111" s="161"/>
      <c r="Y111" s="141"/>
      <c r="Z111" s="141"/>
      <c r="AA111" s="141"/>
      <c r="AB111" s="141"/>
      <c r="AC111" s="141"/>
      <c r="AD111" s="141"/>
      <c r="AE111" s="141"/>
      <c r="AF111" s="141"/>
      <c r="AG111" s="141"/>
      <c r="AH111" s="141"/>
      <c r="AI111" s="141"/>
      <c r="AJ111" s="141"/>
      <c r="AK111" s="141"/>
      <c r="AL111" s="141"/>
      <c r="AM111" s="141"/>
      <c r="AN111" s="141"/>
      <c r="AO111" s="141"/>
    </row>
    <row r="112" spans="1:41" ht="19" x14ac:dyDescent="0.25">
      <c r="A112" s="172"/>
      <c r="B112" s="172"/>
      <c r="C112" s="172"/>
      <c r="D112" s="172"/>
      <c r="E112" s="172"/>
      <c r="F112" s="172"/>
      <c r="G112" s="172"/>
      <c r="H112" s="172"/>
      <c r="I112" s="144"/>
      <c r="J112" s="134"/>
      <c r="K112" s="134"/>
      <c r="L112" s="144"/>
      <c r="M112" s="134"/>
      <c r="N112" s="134" t="s">
        <v>53</v>
      </c>
      <c r="O112" s="144">
        <f t="shared" si="6"/>
        <v>0</v>
      </c>
      <c r="P112" s="145">
        <f t="shared" si="3"/>
        <v>0</v>
      </c>
      <c r="Q112" s="145">
        <f t="shared" si="4"/>
        <v>0</v>
      </c>
      <c r="R112" s="140">
        <f t="shared" si="7"/>
        <v>0</v>
      </c>
      <c r="S112" s="159"/>
      <c r="T112" s="159"/>
      <c r="U112" s="160"/>
      <c r="V112" s="161"/>
      <c r="W112" s="160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  <c r="AJ112" s="133"/>
      <c r="AK112" s="133"/>
      <c r="AL112" s="133"/>
      <c r="AM112" s="133"/>
      <c r="AN112" s="133"/>
      <c r="AO112" s="133"/>
    </row>
    <row r="113" spans="1:41" ht="19" x14ac:dyDescent="0.25">
      <c r="A113" s="134"/>
      <c r="B113" s="134"/>
      <c r="C113" s="134"/>
      <c r="D113" s="134"/>
      <c r="E113" s="134"/>
      <c r="F113" s="134"/>
      <c r="G113" s="134"/>
      <c r="H113" s="134"/>
      <c r="I113" s="134"/>
      <c r="J113" s="134"/>
      <c r="K113" s="134"/>
      <c r="L113" s="166"/>
      <c r="M113" s="167"/>
      <c r="N113" s="134" t="s">
        <v>54</v>
      </c>
      <c r="O113" s="144">
        <f t="shared" si="6"/>
        <v>3601.9724999999999</v>
      </c>
      <c r="P113" s="145">
        <f t="shared" si="3"/>
        <v>0.44622983134999999</v>
      </c>
      <c r="Q113" s="145">
        <f t="shared" si="4"/>
        <v>0.41633938686999999</v>
      </c>
      <c r="R113" s="140">
        <f t="shared" si="7"/>
        <v>1607.3075812023378</v>
      </c>
      <c r="S113" s="159"/>
      <c r="T113" s="159"/>
      <c r="U113" s="160"/>
      <c r="V113" s="161"/>
      <c r="W113" s="160"/>
      <c r="X113" s="161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  <c r="AJ113" s="133"/>
      <c r="AK113" s="133"/>
      <c r="AL113" s="133"/>
      <c r="AM113" s="133"/>
      <c r="AN113" s="133"/>
      <c r="AO113" s="133"/>
    </row>
    <row r="114" spans="1:41" ht="19" x14ac:dyDescent="0.25">
      <c r="A114" s="134"/>
      <c r="B114" s="134"/>
      <c r="C114" s="134"/>
      <c r="D114" s="134"/>
      <c r="E114" s="134"/>
      <c r="F114" s="134"/>
      <c r="G114" s="134"/>
      <c r="H114" s="134"/>
      <c r="I114" s="134"/>
      <c r="J114" s="134"/>
      <c r="K114" s="134"/>
      <c r="L114" s="173"/>
      <c r="M114" s="145"/>
      <c r="N114" s="134" t="s">
        <v>55</v>
      </c>
      <c r="O114" s="144">
        <f t="shared" si="6"/>
        <v>191167.49712000001</v>
      </c>
      <c r="P114" s="145">
        <f t="shared" si="3"/>
        <v>0.44541972203000002</v>
      </c>
      <c r="Q114" s="145">
        <f t="shared" si="4"/>
        <v>0.42928720931999997</v>
      </c>
      <c r="R114" s="140">
        <f t="shared" si="7"/>
        <v>85149.773428361237</v>
      </c>
      <c r="S114" s="159"/>
      <c r="T114" s="159"/>
      <c r="U114" s="160"/>
      <c r="V114" s="161"/>
      <c r="W114" s="160"/>
      <c r="X114" s="161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  <c r="AJ114" s="133"/>
      <c r="AK114" s="133"/>
      <c r="AL114" s="133"/>
      <c r="AM114" s="133"/>
      <c r="AN114" s="133"/>
      <c r="AO114" s="133"/>
    </row>
    <row r="115" spans="1:41" ht="19" x14ac:dyDescent="0.25">
      <c r="A115" s="134"/>
      <c r="B115" s="134"/>
      <c r="C115" s="134"/>
      <c r="D115" s="134"/>
      <c r="E115" s="134"/>
      <c r="F115" s="134"/>
      <c r="G115" s="134"/>
      <c r="H115" s="134"/>
      <c r="I115" s="134"/>
      <c r="J115" s="134"/>
      <c r="K115" s="134"/>
      <c r="L115" s="173"/>
      <c r="M115" s="145"/>
      <c r="N115" s="134" t="s">
        <v>56</v>
      </c>
      <c r="O115" s="144">
        <f t="shared" si="6"/>
        <v>18028.570308999999</v>
      </c>
      <c r="P115" s="145">
        <f t="shared" si="3"/>
        <v>5.2359999999999997E-2</v>
      </c>
      <c r="Q115" s="145">
        <f t="shared" si="4"/>
        <v>4.7169736407000002E-3</v>
      </c>
      <c r="R115" s="140">
        <f t="shared" si="7"/>
        <v>943.97594137923988</v>
      </c>
      <c r="S115" s="159"/>
      <c r="T115" s="159"/>
      <c r="U115" s="160"/>
      <c r="V115" s="133"/>
      <c r="W115" s="160"/>
      <c r="X115" s="133"/>
      <c r="Y115" s="133"/>
      <c r="Z115" s="133"/>
      <c r="AA115" s="133"/>
      <c r="AB115" s="133"/>
      <c r="AC115" s="133"/>
      <c r="AD115" s="133"/>
      <c r="AE115" s="133"/>
      <c r="AF115" s="133"/>
      <c r="AG115" s="133"/>
      <c r="AH115" s="133"/>
      <c r="AI115" s="133"/>
      <c r="AJ115" s="133"/>
      <c r="AK115" s="133"/>
      <c r="AL115" s="133"/>
      <c r="AM115" s="133"/>
      <c r="AN115" s="133"/>
      <c r="AO115" s="133"/>
    </row>
    <row r="116" spans="1:41" ht="19" x14ac:dyDescent="0.25">
      <c r="A116" s="134"/>
      <c r="B116" s="134"/>
      <c r="C116" s="134"/>
      <c r="D116" s="134"/>
      <c r="E116" s="134"/>
      <c r="F116" s="134"/>
      <c r="G116" s="134"/>
      <c r="H116" s="134"/>
      <c r="I116" s="134"/>
      <c r="J116" s="134"/>
      <c r="K116" s="134"/>
      <c r="L116" s="173"/>
      <c r="M116" s="145"/>
      <c r="N116" s="134" t="s">
        <v>57</v>
      </c>
      <c r="O116" s="144">
        <f t="shared" si="6"/>
        <v>178336.85681</v>
      </c>
      <c r="P116" s="145">
        <f t="shared" si="3"/>
        <v>0.48680872585000001</v>
      </c>
      <c r="Q116" s="145">
        <f t="shared" si="4"/>
        <v>0.47103600000000001</v>
      </c>
      <c r="R116" s="140">
        <f t="shared" si="7"/>
        <v>86815.938035769999</v>
      </c>
      <c r="S116" s="159"/>
      <c r="T116" s="159"/>
      <c r="U116" s="160"/>
      <c r="V116" s="133"/>
      <c r="W116" s="160"/>
      <c r="X116" s="133"/>
      <c r="Y116" s="133"/>
      <c r="Z116" s="133"/>
      <c r="AA116" s="133"/>
      <c r="AB116" s="133"/>
      <c r="AC116" s="133"/>
      <c r="AD116" s="133"/>
      <c r="AE116" s="133"/>
      <c r="AF116" s="133"/>
      <c r="AG116" s="133"/>
      <c r="AH116" s="133"/>
      <c r="AI116" s="133"/>
      <c r="AJ116" s="133"/>
      <c r="AK116" s="133"/>
      <c r="AL116" s="133"/>
      <c r="AM116" s="133"/>
      <c r="AN116" s="133"/>
      <c r="AO116" s="133"/>
    </row>
    <row r="117" spans="1:41" ht="19" x14ac:dyDescent="0.25">
      <c r="A117" s="134"/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73"/>
      <c r="M117" s="145"/>
      <c r="N117" s="134" t="s">
        <v>58</v>
      </c>
      <c r="O117" s="144">
        <f t="shared" si="6"/>
        <v>39087.765067</v>
      </c>
      <c r="P117" s="145">
        <f t="shared" si="3"/>
        <v>5.6143999999999999E-2</v>
      </c>
      <c r="Q117" s="145">
        <f t="shared" si="4"/>
        <v>1.4672000000000001E-2</v>
      </c>
      <c r="R117" s="140">
        <f t="shared" si="7"/>
        <v>2194.543481921648</v>
      </c>
      <c r="S117" s="159"/>
      <c r="T117" s="159"/>
      <c r="U117" s="160"/>
      <c r="V117" s="133"/>
      <c r="W117" s="160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33"/>
      <c r="AN117" s="133"/>
      <c r="AO117" s="133"/>
    </row>
    <row r="118" spans="1:41" ht="19" x14ac:dyDescent="0.25">
      <c r="A118" s="134"/>
      <c r="B118" s="134"/>
      <c r="C118" s="134"/>
      <c r="D118" s="134"/>
      <c r="E118" s="134"/>
      <c r="F118" s="134"/>
      <c r="G118" s="134"/>
      <c r="H118" s="134"/>
      <c r="I118" s="134"/>
      <c r="J118" s="134"/>
      <c r="K118" s="134"/>
      <c r="L118" s="173"/>
      <c r="M118" s="145"/>
      <c r="N118" s="134" t="s">
        <v>59</v>
      </c>
      <c r="O118" s="144">
        <f t="shared" si="6"/>
        <v>139249.09174999999</v>
      </c>
      <c r="P118" s="145">
        <f t="shared" si="3"/>
        <v>0.60769799999999996</v>
      </c>
      <c r="Q118" s="145">
        <f t="shared" si="4"/>
        <v>0.59913916098999997</v>
      </c>
      <c r="R118" s="140">
        <f t="shared" si="7"/>
        <v>84621.394558291489</v>
      </c>
      <c r="S118" s="159"/>
      <c r="T118" s="159"/>
      <c r="U118" s="160"/>
      <c r="V118" s="133"/>
      <c r="W118" s="160"/>
      <c r="X118" s="133"/>
      <c r="Y118" s="133"/>
      <c r="Z118" s="133"/>
      <c r="AA118" s="133"/>
      <c r="AB118" s="133"/>
      <c r="AC118" s="133"/>
      <c r="AD118" s="133"/>
      <c r="AE118" s="133"/>
      <c r="AF118" s="133"/>
      <c r="AG118" s="133"/>
      <c r="AH118" s="133"/>
      <c r="AI118" s="133"/>
      <c r="AJ118" s="133"/>
      <c r="AK118" s="133"/>
      <c r="AL118" s="133"/>
      <c r="AM118" s="133"/>
      <c r="AN118" s="133"/>
      <c r="AO118" s="133"/>
    </row>
    <row r="119" spans="1:41" ht="19" x14ac:dyDescent="0.25">
      <c r="A119" s="134"/>
      <c r="B119" s="134"/>
      <c r="C119" s="134"/>
      <c r="D119" s="134"/>
      <c r="E119" s="134"/>
      <c r="F119" s="134"/>
      <c r="G119" s="134"/>
      <c r="H119" s="134"/>
      <c r="I119" s="134"/>
      <c r="J119" s="134"/>
      <c r="K119" s="134"/>
      <c r="L119" s="173"/>
      <c r="M119" s="145"/>
      <c r="N119" s="134" t="s">
        <v>60</v>
      </c>
      <c r="O119" s="144">
        <f t="shared" si="6"/>
        <v>4918.3743145999997</v>
      </c>
      <c r="P119" s="145">
        <f t="shared" si="3"/>
        <v>9.151999999999999E-2</v>
      </c>
      <c r="Q119" s="145">
        <f t="shared" si="4"/>
        <v>3.6312710341000004E-2</v>
      </c>
      <c r="R119" s="140">
        <f t="shared" si="7"/>
        <v>450.12961727219192</v>
      </c>
      <c r="S119" s="159"/>
      <c r="T119" s="159"/>
      <c r="U119" s="160"/>
      <c r="V119" s="133"/>
      <c r="W119" s="160"/>
      <c r="X119" s="133"/>
      <c r="Y119" s="133"/>
      <c r="Z119" s="133"/>
      <c r="AA119" s="133"/>
      <c r="AB119" s="133"/>
      <c r="AC119" s="133"/>
      <c r="AD119" s="133"/>
      <c r="AE119" s="133"/>
      <c r="AF119" s="133"/>
      <c r="AG119" s="133"/>
      <c r="AH119" s="133"/>
      <c r="AI119" s="133"/>
      <c r="AJ119" s="133"/>
      <c r="AK119" s="133"/>
      <c r="AL119" s="133"/>
      <c r="AM119" s="133"/>
      <c r="AN119" s="133"/>
      <c r="AO119" s="133"/>
    </row>
    <row r="120" spans="1:41" ht="19" x14ac:dyDescent="0.25">
      <c r="A120" s="134"/>
      <c r="B120" s="134"/>
      <c r="C120" s="134"/>
      <c r="D120" s="134"/>
      <c r="E120" s="134"/>
      <c r="F120" s="134"/>
      <c r="G120" s="134"/>
      <c r="H120" s="134"/>
      <c r="I120" s="144"/>
      <c r="J120" s="134"/>
      <c r="K120" s="134"/>
      <c r="L120" s="173"/>
      <c r="M120" s="145"/>
      <c r="N120" s="134" t="s">
        <v>61</v>
      </c>
      <c r="O120" s="144">
        <f t="shared" si="6"/>
        <v>134330.71742999999</v>
      </c>
      <c r="P120" s="145">
        <f t="shared" si="3"/>
        <v>0.62659730065999997</v>
      </c>
      <c r="Q120" s="145">
        <f t="shared" si="4"/>
        <v>0.61974644435000004</v>
      </c>
      <c r="R120" s="140">
        <f t="shared" si="7"/>
        <v>84171.264937359199</v>
      </c>
      <c r="S120" s="159"/>
      <c r="T120" s="159"/>
      <c r="U120" s="160"/>
      <c r="V120" s="161"/>
      <c r="W120" s="160"/>
      <c r="X120" s="133"/>
      <c r="Y120" s="133"/>
      <c r="Z120" s="133"/>
      <c r="AA120" s="133"/>
      <c r="AB120" s="133"/>
      <c r="AC120" s="133"/>
      <c r="AD120" s="133"/>
      <c r="AE120" s="133"/>
      <c r="AF120" s="133"/>
      <c r="AG120" s="133"/>
      <c r="AH120" s="133"/>
      <c r="AI120" s="133"/>
      <c r="AJ120" s="133"/>
      <c r="AK120" s="133"/>
      <c r="AL120" s="133"/>
      <c r="AM120" s="133"/>
      <c r="AN120" s="133"/>
      <c r="AO120" s="133"/>
    </row>
    <row r="121" spans="1:41" ht="19" x14ac:dyDescent="0.25">
      <c r="A121" s="134"/>
      <c r="B121" s="134"/>
      <c r="C121" s="134"/>
      <c r="D121" s="134"/>
      <c r="E121" s="134"/>
      <c r="F121" s="134"/>
      <c r="G121" s="134"/>
      <c r="H121" s="134"/>
      <c r="I121" s="134"/>
      <c r="J121" s="134"/>
      <c r="K121" s="134"/>
      <c r="L121" s="134"/>
      <c r="M121" s="134"/>
      <c r="N121" s="134" t="s">
        <v>62</v>
      </c>
      <c r="O121" s="144">
        <f t="shared" si="6"/>
        <v>52756.717430999997</v>
      </c>
      <c r="P121" s="145">
        <f t="shared" si="3"/>
        <v>0.57927850000000003</v>
      </c>
      <c r="Q121" s="145">
        <f t="shared" si="4"/>
        <v>0.57296750000000007</v>
      </c>
      <c r="R121" s="140">
        <f t="shared" si="7"/>
        <v>30560.832138353533</v>
      </c>
      <c r="S121" s="133"/>
      <c r="T121" s="133"/>
      <c r="U121" s="133"/>
      <c r="V121" s="133"/>
      <c r="W121" s="133"/>
      <c r="X121" s="133"/>
      <c r="Y121" s="133"/>
      <c r="Z121" s="133"/>
      <c r="AA121" s="133"/>
      <c r="AB121" s="133"/>
      <c r="AC121" s="133"/>
      <c r="AD121" s="133"/>
      <c r="AE121" s="133"/>
      <c r="AF121" s="133"/>
      <c r="AG121" s="133"/>
      <c r="AH121" s="133"/>
      <c r="AI121" s="133"/>
      <c r="AJ121" s="133"/>
      <c r="AK121" s="133"/>
      <c r="AL121" s="133"/>
      <c r="AM121" s="133"/>
      <c r="AN121" s="133"/>
      <c r="AO121" s="133"/>
    </row>
    <row r="122" spans="1:41" ht="19" x14ac:dyDescent="0.25">
      <c r="A122" s="134"/>
      <c r="B122" s="134"/>
      <c r="C122" s="134"/>
      <c r="D122" s="134"/>
      <c r="E122" s="134"/>
      <c r="F122" s="134"/>
      <c r="G122" s="134"/>
      <c r="H122" s="134"/>
      <c r="I122" s="134"/>
      <c r="J122" s="134"/>
      <c r="K122" s="134"/>
      <c r="L122" s="134"/>
      <c r="M122" s="134"/>
      <c r="N122" s="134" t="s">
        <v>63</v>
      </c>
      <c r="O122" s="144">
        <f t="shared" si="6"/>
        <v>83146.923905000003</v>
      </c>
      <c r="P122" s="145">
        <f t="shared" si="3"/>
        <v>0.65588713626000006</v>
      </c>
      <c r="Q122" s="145">
        <f t="shared" si="4"/>
        <v>0.64832969227999993</v>
      </c>
      <c r="R122" s="140">
        <f t="shared" si="7"/>
        <v>54534.997808878594</v>
      </c>
      <c r="S122" s="133"/>
      <c r="T122" s="133"/>
      <c r="U122" s="133"/>
      <c r="V122" s="133"/>
      <c r="W122" s="133"/>
      <c r="X122" s="133"/>
      <c r="Y122" s="133"/>
      <c r="Z122" s="133"/>
      <c r="AA122" s="133"/>
      <c r="AB122" s="133"/>
      <c r="AC122" s="133"/>
      <c r="AD122" s="133"/>
      <c r="AE122" s="133"/>
      <c r="AF122" s="133"/>
      <c r="AG122" s="133"/>
      <c r="AH122" s="133"/>
      <c r="AI122" s="133"/>
      <c r="AJ122" s="133"/>
      <c r="AK122" s="133"/>
      <c r="AL122" s="133"/>
      <c r="AM122" s="133"/>
      <c r="AN122" s="133"/>
      <c r="AO122" s="133"/>
    </row>
    <row r="123" spans="1:41" ht="19" x14ac:dyDescent="0.25">
      <c r="A123" s="134"/>
      <c r="B123" s="134"/>
      <c r="C123" s="134"/>
      <c r="D123" s="134"/>
      <c r="E123" s="134"/>
      <c r="F123" s="134"/>
      <c r="G123" s="134"/>
      <c r="H123" s="134"/>
      <c r="I123" s="134"/>
      <c r="J123" s="134"/>
      <c r="K123" s="134"/>
      <c r="L123" s="134"/>
      <c r="M123" s="134"/>
      <c r="N123" s="134" t="s">
        <v>64</v>
      </c>
      <c r="O123" s="144">
        <f t="shared" si="6"/>
        <v>1572.9239052</v>
      </c>
      <c r="P123" s="145">
        <f t="shared" si="3"/>
        <v>0.58780021439000008</v>
      </c>
      <c r="Q123" s="145">
        <f t="shared" si="4"/>
        <v>0.56170523328999999</v>
      </c>
      <c r="R123" s="140">
        <f t="shared" si="7"/>
        <v>924.56500869571619</v>
      </c>
      <c r="S123" s="133"/>
      <c r="T123" s="133"/>
      <c r="U123" s="133"/>
      <c r="V123" s="133"/>
      <c r="W123" s="133"/>
      <c r="X123" s="133"/>
      <c r="Y123" s="133"/>
      <c r="Z123" s="133"/>
      <c r="AA123" s="133"/>
      <c r="AB123" s="133"/>
      <c r="AC123" s="133"/>
      <c r="AD123" s="133"/>
      <c r="AE123" s="133"/>
      <c r="AF123" s="133"/>
      <c r="AG123" s="133"/>
      <c r="AH123" s="133"/>
      <c r="AI123" s="133"/>
      <c r="AJ123" s="133"/>
      <c r="AK123" s="133"/>
      <c r="AL123" s="133"/>
      <c r="AM123" s="133"/>
      <c r="AN123" s="133"/>
      <c r="AO123" s="133"/>
    </row>
    <row r="124" spans="1:41" ht="19" x14ac:dyDescent="0.25">
      <c r="A124" s="134"/>
      <c r="B124" s="134"/>
      <c r="C124" s="134"/>
      <c r="D124" s="134"/>
      <c r="E124" s="134"/>
      <c r="F124" s="134"/>
      <c r="G124" s="134"/>
      <c r="H124" s="134"/>
      <c r="I124" s="134"/>
      <c r="J124" s="134"/>
      <c r="K124" s="134"/>
      <c r="L124" s="134"/>
      <c r="M124" s="134"/>
      <c r="N124" s="134" t="s">
        <v>65</v>
      </c>
      <c r="O124" s="144">
        <f t="shared" si="6"/>
        <v>0</v>
      </c>
      <c r="P124" s="145">
        <f t="shared" si="3"/>
        <v>0</v>
      </c>
      <c r="Q124" s="145">
        <f t="shared" si="4"/>
        <v>0</v>
      </c>
      <c r="R124" s="140">
        <f t="shared" si="7"/>
        <v>0</v>
      </c>
      <c r="S124" s="133"/>
      <c r="T124" s="133"/>
      <c r="U124" s="133"/>
      <c r="V124" s="133"/>
      <c r="W124" s="133"/>
      <c r="X124" s="133"/>
      <c r="Y124" s="133"/>
      <c r="Z124" s="133"/>
      <c r="AA124" s="133"/>
      <c r="AB124" s="133"/>
      <c r="AC124" s="133"/>
      <c r="AD124" s="133"/>
      <c r="AE124" s="133"/>
      <c r="AF124" s="133"/>
      <c r="AG124" s="133"/>
      <c r="AH124" s="133"/>
      <c r="AI124" s="133"/>
      <c r="AJ124" s="133"/>
      <c r="AK124" s="133"/>
      <c r="AL124" s="133"/>
      <c r="AM124" s="133"/>
      <c r="AN124" s="133"/>
      <c r="AO124" s="133"/>
    </row>
    <row r="125" spans="1:41" ht="19" x14ac:dyDescent="0.25">
      <c r="A125" s="134"/>
      <c r="B125" s="134"/>
      <c r="C125" s="134"/>
      <c r="D125" s="134"/>
      <c r="E125" s="134"/>
      <c r="F125" s="134"/>
      <c r="G125" s="134"/>
      <c r="H125" s="134"/>
      <c r="I125" s="134"/>
      <c r="J125" s="134"/>
      <c r="K125" s="134"/>
      <c r="L125" s="134"/>
      <c r="M125" s="134"/>
      <c r="N125" s="134" t="s">
        <v>66</v>
      </c>
      <c r="O125" s="144">
        <f t="shared" si="6"/>
        <v>81574</v>
      </c>
      <c r="P125" s="145">
        <f t="shared" si="3"/>
        <v>0.65720000000000001</v>
      </c>
      <c r="Q125" s="145">
        <f t="shared" si="4"/>
        <v>0.65</v>
      </c>
      <c r="R125" s="140">
        <f t="shared" si="7"/>
        <v>53610.432800000002</v>
      </c>
      <c r="S125" s="133"/>
      <c r="T125" s="133"/>
      <c r="U125" s="133"/>
      <c r="V125" s="133"/>
      <c r="W125" s="133"/>
      <c r="X125" s="133"/>
      <c r="Y125" s="133"/>
      <c r="Z125" s="133"/>
      <c r="AA125" s="133"/>
      <c r="AB125" s="133"/>
      <c r="AC125" s="133"/>
      <c r="AD125" s="133"/>
      <c r="AE125" s="133"/>
      <c r="AF125" s="133"/>
      <c r="AG125" s="133"/>
      <c r="AH125" s="133"/>
      <c r="AI125" s="133"/>
      <c r="AJ125" s="133"/>
      <c r="AK125" s="133"/>
      <c r="AL125" s="133"/>
      <c r="AM125" s="133"/>
      <c r="AN125" s="133"/>
      <c r="AO125" s="133"/>
    </row>
    <row r="126" spans="1:41" ht="19" x14ac:dyDescent="0.25">
      <c r="A126" s="134"/>
      <c r="B126" s="134"/>
      <c r="C126" s="134"/>
      <c r="D126" s="134"/>
      <c r="E126" s="134"/>
      <c r="F126" s="134"/>
      <c r="G126" s="134"/>
      <c r="H126" s="134"/>
      <c r="I126" s="134"/>
      <c r="J126" s="134"/>
      <c r="K126" s="169"/>
      <c r="L126" s="178"/>
      <c r="M126" s="178"/>
      <c r="N126" s="134" t="s">
        <v>67</v>
      </c>
      <c r="O126" s="144">
        <f t="shared" si="6"/>
        <v>894372.97250000003</v>
      </c>
      <c r="P126" s="145">
        <f t="shared" si="3"/>
        <v>9.445663723299999E-2</v>
      </c>
      <c r="Q126" s="145">
        <f t="shared" si="4"/>
        <v>3.9832740107000005E-2</v>
      </c>
      <c r="R126" s="140">
        <f t="shared" si="7"/>
        <v>84479.463414432379</v>
      </c>
      <c r="S126" s="133"/>
      <c r="T126" s="133"/>
      <c r="U126" s="133"/>
      <c r="V126" s="133"/>
      <c r="W126" s="133"/>
      <c r="X126" s="133"/>
      <c r="Y126" s="133"/>
      <c r="Z126" s="133"/>
      <c r="AA126" s="133"/>
      <c r="AB126" s="133"/>
      <c r="AC126" s="133"/>
      <c r="AD126" s="133"/>
      <c r="AE126" s="133"/>
      <c r="AF126" s="133"/>
      <c r="AG126" s="133"/>
      <c r="AH126" s="133"/>
      <c r="AI126" s="133"/>
      <c r="AJ126" s="133"/>
      <c r="AK126" s="133"/>
      <c r="AL126" s="133"/>
      <c r="AM126" s="133"/>
      <c r="AN126" s="133"/>
      <c r="AO126" s="133"/>
    </row>
    <row r="127" spans="1:41" ht="19" x14ac:dyDescent="0.25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56"/>
      <c r="L127" s="157"/>
      <c r="M127" s="157"/>
      <c r="N127" s="133" t="s">
        <v>68</v>
      </c>
      <c r="O127" s="144">
        <f t="shared" si="6"/>
        <v>5197.93</v>
      </c>
      <c r="P127" s="145">
        <f t="shared" si="3"/>
        <v>0.50214999999999999</v>
      </c>
      <c r="Q127" s="145">
        <f t="shared" si="4"/>
        <v>0.38906999999999997</v>
      </c>
      <c r="R127" s="140">
        <f t="shared" si="7"/>
        <v>2610.1405494999999</v>
      </c>
      <c r="S127" s="179"/>
      <c r="T127" s="179"/>
      <c r="U127" s="179"/>
      <c r="V127" s="133"/>
      <c r="W127" s="133"/>
      <c r="X127" s="133"/>
      <c r="Y127" s="141"/>
      <c r="Z127" s="141"/>
      <c r="AA127" s="133"/>
      <c r="AB127" s="133"/>
      <c r="AC127" s="133"/>
      <c r="AD127" s="133"/>
      <c r="AE127" s="133"/>
      <c r="AF127" s="133"/>
      <c r="AG127" s="133"/>
      <c r="AH127" s="133"/>
      <c r="AI127" s="133"/>
      <c r="AJ127" s="133"/>
      <c r="AK127" s="133"/>
      <c r="AL127" s="133"/>
      <c r="AM127" s="133"/>
      <c r="AN127" s="133"/>
      <c r="AO127" s="133"/>
    </row>
    <row r="128" spans="1:41" ht="19" x14ac:dyDescent="0.25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 t="s">
        <v>69</v>
      </c>
      <c r="O128" s="144">
        <f t="shared" si="6"/>
        <v>20192.93</v>
      </c>
      <c r="P128" s="145">
        <f t="shared" si="3"/>
        <v>0.46563000000000004</v>
      </c>
      <c r="Q128" s="145">
        <f t="shared" si="4"/>
        <v>0.42759242443000001</v>
      </c>
      <c r="R128" s="140">
        <f t="shared" si="7"/>
        <v>9402.4339959000008</v>
      </c>
      <c r="S128" s="174"/>
      <c r="T128" s="174"/>
      <c r="U128" s="174"/>
      <c r="V128" s="133"/>
      <c r="W128" s="133"/>
      <c r="X128" s="133"/>
      <c r="Y128" s="133"/>
      <c r="Z128" s="133"/>
      <c r="AA128" s="133"/>
      <c r="AB128" s="133"/>
      <c r="AC128" s="133"/>
      <c r="AD128" s="133"/>
      <c r="AE128" s="133"/>
      <c r="AF128" s="133"/>
      <c r="AG128" s="133"/>
      <c r="AH128" s="133"/>
      <c r="AI128" s="133"/>
      <c r="AJ128" s="133"/>
      <c r="AK128" s="133"/>
      <c r="AL128" s="133"/>
      <c r="AM128" s="133"/>
      <c r="AN128" s="133"/>
      <c r="AO128" s="133"/>
    </row>
    <row r="129" spans="1:41" ht="19" x14ac:dyDescent="0.25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 t="s">
        <v>70</v>
      </c>
      <c r="O129" s="144">
        <f t="shared" si="6"/>
        <v>187565.52462000001</v>
      </c>
      <c r="P129" s="145">
        <f t="shared" si="3"/>
        <v>0.44540416485000001</v>
      </c>
      <c r="Q129" s="145">
        <f t="shared" si="4"/>
        <v>0.42953585682000006</v>
      </c>
      <c r="R129" s="140">
        <f t="shared" si="7"/>
        <v>83542.465848023217</v>
      </c>
      <c r="S129" s="175"/>
      <c r="T129" s="170"/>
      <c r="U129" s="175"/>
      <c r="V129" s="133"/>
      <c r="W129" s="133"/>
      <c r="X129" s="133"/>
      <c r="Y129" s="133"/>
      <c r="Z129" s="133"/>
      <c r="AA129" s="133"/>
      <c r="AB129" s="133"/>
      <c r="AC129" s="133"/>
      <c r="AD129" s="133"/>
      <c r="AE129" s="133"/>
      <c r="AF129" s="133"/>
      <c r="AG129" s="133"/>
      <c r="AH129" s="133"/>
      <c r="AI129" s="133"/>
      <c r="AJ129" s="133"/>
      <c r="AK129" s="133"/>
      <c r="AL129" s="133"/>
      <c r="AM129" s="133"/>
      <c r="AN129" s="133"/>
      <c r="AO129" s="133"/>
    </row>
    <row r="130" spans="1:41" x14ac:dyDescent="0.2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46"/>
      <c r="P130" s="147"/>
      <c r="S130" s="133"/>
      <c r="T130" s="133"/>
      <c r="U130" s="174"/>
      <c r="V130" s="133"/>
      <c r="W130" s="133"/>
      <c r="X130" s="133"/>
      <c r="Y130" s="133"/>
      <c r="Z130" s="133"/>
      <c r="AA130" s="133"/>
      <c r="AB130" s="133"/>
      <c r="AC130" s="133"/>
      <c r="AD130" s="133"/>
      <c r="AE130" s="133"/>
      <c r="AF130" s="133"/>
      <c r="AG130" s="133"/>
      <c r="AH130" s="133"/>
      <c r="AI130" s="133"/>
      <c r="AJ130" s="133"/>
      <c r="AK130" s="133"/>
      <c r="AL130" s="133"/>
      <c r="AM130" s="133"/>
      <c r="AN130" s="133"/>
      <c r="AO130" s="133"/>
    </row>
    <row r="131" spans="1:41" x14ac:dyDescent="0.2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46"/>
      <c r="P131" s="147"/>
      <c r="S131" s="133"/>
      <c r="T131" s="133"/>
      <c r="U131" s="133"/>
      <c r="V131" s="133"/>
      <c r="W131" s="133"/>
      <c r="X131" s="133"/>
      <c r="Y131" s="133"/>
      <c r="Z131" s="133"/>
      <c r="AA131" s="133"/>
      <c r="AB131" s="133"/>
      <c r="AC131" s="133"/>
      <c r="AD131" s="133"/>
      <c r="AE131" s="133"/>
      <c r="AF131" s="133"/>
      <c r="AG131" s="133"/>
      <c r="AH131" s="133"/>
      <c r="AI131" s="133"/>
      <c r="AJ131" s="133"/>
      <c r="AK131" s="133"/>
      <c r="AL131" s="133"/>
      <c r="AM131" s="133"/>
      <c r="AN131" s="133"/>
      <c r="AO131" s="133"/>
    </row>
    <row r="132" spans="1:41" x14ac:dyDescent="0.2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46"/>
      <c r="P132" s="147"/>
      <c r="S132" s="133"/>
      <c r="T132" s="133"/>
      <c r="U132" s="133"/>
      <c r="V132" s="133"/>
      <c r="W132" s="133"/>
      <c r="X132" s="133"/>
      <c r="Y132" s="133"/>
      <c r="Z132" s="133"/>
      <c r="AA132" s="133"/>
      <c r="AB132" s="133"/>
      <c r="AC132" s="133"/>
      <c r="AD132" s="133"/>
      <c r="AE132" s="133"/>
      <c r="AF132" s="133"/>
      <c r="AG132" s="133"/>
      <c r="AH132" s="133"/>
      <c r="AI132" s="133"/>
      <c r="AJ132" s="133"/>
      <c r="AK132" s="133"/>
      <c r="AL132" s="133"/>
      <c r="AM132" s="133"/>
      <c r="AN132" s="133"/>
      <c r="AO132" s="133"/>
    </row>
    <row r="133" spans="1:41" x14ac:dyDescent="0.2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46"/>
      <c r="P133" s="147"/>
      <c r="S133" s="133"/>
      <c r="T133" s="133"/>
      <c r="U133" s="133"/>
      <c r="V133" s="133"/>
      <c r="W133" s="133"/>
      <c r="X133" s="133"/>
      <c r="Y133" s="133"/>
      <c r="Z133" s="133"/>
      <c r="AA133" s="133"/>
      <c r="AB133" s="133"/>
      <c r="AC133" s="133"/>
      <c r="AD133" s="133"/>
      <c r="AE133" s="133"/>
      <c r="AF133" s="133"/>
      <c r="AG133" s="133"/>
      <c r="AH133" s="133"/>
      <c r="AI133" s="133"/>
      <c r="AJ133" s="133"/>
      <c r="AK133" s="133"/>
      <c r="AL133" s="133"/>
      <c r="AM133" s="133"/>
      <c r="AN133" s="133"/>
      <c r="AO133" s="133"/>
    </row>
    <row r="134" spans="1:41" x14ac:dyDescent="0.2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46"/>
      <c r="P134" s="147"/>
      <c r="S134" s="133"/>
      <c r="T134" s="133"/>
      <c r="U134" s="133"/>
      <c r="V134" s="133"/>
      <c r="W134" s="133"/>
      <c r="X134" s="133"/>
      <c r="Y134" s="133"/>
      <c r="Z134" s="133"/>
      <c r="AA134" s="133"/>
      <c r="AB134" s="133"/>
      <c r="AC134" s="133"/>
      <c r="AD134" s="133"/>
      <c r="AE134" s="133"/>
      <c r="AF134" s="133"/>
      <c r="AG134" s="133"/>
      <c r="AH134" s="133"/>
      <c r="AI134" s="133"/>
      <c r="AJ134" s="133"/>
      <c r="AK134" s="133"/>
      <c r="AL134" s="133"/>
      <c r="AM134" s="133"/>
      <c r="AN134" s="133"/>
      <c r="AO134" s="133"/>
    </row>
    <row r="135" spans="1:41" x14ac:dyDescent="0.2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46"/>
      <c r="P135" s="147"/>
      <c r="S135" s="133"/>
      <c r="T135" s="133"/>
      <c r="U135" s="133"/>
      <c r="V135" s="133"/>
      <c r="W135" s="133"/>
      <c r="X135" s="133"/>
      <c r="Y135" s="133"/>
      <c r="Z135" s="133"/>
      <c r="AA135" s="133"/>
      <c r="AB135" s="133"/>
      <c r="AC135" s="133"/>
      <c r="AD135" s="133"/>
      <c r="AE135" s="133"/>
      <c r="AF135" s="133"/>
      <c r="AG135" s="133"/>
      <c r="AH135" s="133"/>
      <c r="AI135" s="133"/>
      <c r="AJ135" s="133"/>
      <c r="AK135" s="133"/>
      <c r="AL135" s="133"/>
      <c r="AM135" s="133"/>
      <c r="AN135" s="133"/>
      <c r="AO135" s="133"/>
    </row>
    <row r="136" spans="1:41" x14ac:dyDescent="0.2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46"/>
      <c r="P136" s="147"/>
      <c r="S136" s="133"/>
      <c r="T136" s="133"/>
      <c r="U136" s="133"/>
      <c r="V136" s="133"/>
      <c r="W136" s="133"/>
      <c r="X136" s="133"/>
      <c r="Y136" s="133"/>
      <c r="Z136" s="133"/>
      <c r="AA136" s="133"/>
      <c r="AB136" s="133"/>
      <c r="AC136" s="133"/>
      <c r="AD136" s="133"/>
      <c r="AE136" s="133"/>
      <c r="AF136" s="133"/>
      <c r="AG136" s="133"/>
      <c r="AH136" s="133"/>
      <c r="AI136" s="133"/>
      <c r="AJ136" s="133"/>
      <c r="AK136" s="133"/>
      <c r="AL136" s="133"/>
      <c r="AM136" s="133"/>
      <c r="AN136" s="133"/>
      <c r="AO136" s="133"/>
    </row>
    <row r="137" spans="1:41" x14ac:dyDescent="0.2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46"/>
      <c r="P137" s="147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3"/>
      <c r="AH137" s="133"/>
      <c r="AI137" s="133"/>
      <c r="AJ137" s="133"/>
      <c r="AK137" s="133"/>
      <c r="AL137" s="133"/>
      <c r="AM137" s="133"/>
      <c r="AN137" s="133"/>
      <c r="AO137" s="133"/>
    </row>
    <row r="138" spans="1:41" x14ac:dyDescent="0.2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46"/>
      <c r="P138" s="147"/>
      <c r="S138" s="133"/>
      <c r="T138" s="133"/>
      <c r="U138" s="133"/>
      <c r="V138" s="133"/>
      <c r="W138" s="133"/>
      <c r="X138" s="133"/>
      <c r="Y138" s="133"/>
      <c r="Z138" s="133"/>
      <c r="AA138" s="133"/>
      <c r="AB138" s="133"/>
      <c r="AC138" s="133"/>
      <c r="AD138" s="133"/>
      <c r="AE138" s="133"/>
      <c r="AF138" s="133"/>
      <c r="AG138" s="133"/>
      <c r="AH138" s="133"/>
      <c r="AI138" s="133"/>
      <c r="AJ138" s="133"/>
      <c r="AK138" s="133"/>
      <c r="AL138" s="133"/>
      <c r="AM138" s="133"/>
      <c r="AN138" s="133"/>
      <c r="AO138" s="133"/>
    </row>
    <row r="139" spans="1:41" ht="19" x14ac:dyDescent="0.25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40"/>
      <c r="L139" s="140"/>
      <c r="M139" s="140"/>
      <c r="N139" s="133"/>
      <c r="O139" s="146"/>
      <c r="P139" s="147"/>
      <c r="Q139" s="141"/>
      <c r="R139" s="141"/>
      <c r="S139" s="141"/>
      <c r="T139" s="141"/>
      <c r="U139" s="141"/>
      <c r="V139" s="141"/>
      <c r="W139" s="141"/>
      <c r="X139" s="141"/>
      <c r="Y139" s="133"/>
      <c r="Z139" s="133"/>
      <c r="AA139" s="133"/>
      <c r="AB139" s="133"/>
      <c r="AC139" s="133"/>
      <c r="AD139" s="133"/>
      <c r="AE139" s="133"/>
      <c r="AF139" s="133"/>
      <c r="AG139" s="133"/>
      <c r="AH139" s="133"/>
      <c r="AI139" s="133"/>
      <c r="AJ139" s="133"/>
      <c r="AK139" s="133"/>
      <c r="AL139" s="133"/>
      <c r="AM139" s="133"/>
      <c r="AN139" s="133"/>
      <c r="AO139" s="133"/>
    </row>
    <row r="140" spans="1:41" x14ac:dyDescent="0.2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46"/>
      <c r="P140" s="147"/>
      <c r="S140" s="133"/>
      <c r="T140" s="133"/>
      <c r="U140" s="133"/>
      <c r="V140" s="133"/>
      <c r="W140" s="133"/>
      <c r="X140" s="133"/>
      <c r="Y140" s="133"/>
      <c r="Z140" s="133"/>
      <c r="AA140" s="133"/>
      <c r="AB140" s="133"/>
      <c r="AC140" s="133"/>
      <c r="AD140" s="133"/>
      <c r="AE140" s="133"/>
      <c r="AF140" s="133"/>
      <c r="AG140" s="133"/>
      <c r="AH140" s="133"/>
      <c r="AI140" s="133"/>
      <c r="AJ140" s="133"/>
      <c r="AK140" s="133"/>
      <c r="AL140" s="133"/>
      <c r="AM140" s="133"/>
      <c r="AN140" s="133"/>
      <c r="AO140" s="133"/>
    </row>
    <row r="141" spans="1:41" x14ac:dyDescent="0.2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46"/>
      <c r="P141" s="147"/>
      <c r="S141" s="133"/>
      <c r="T141" s="133"/>
      <c r="U141" s="133"/>
      <c r="V141" s="133"/>
      <c r="W141" s="133"/>
      <c r="X141" s="133"/>
      <c r="Y141" s="133"/>
      <c r="Z141" s="133"/>
      <c r="AA141" s="133"/>
      <c r="AB141" s="133"/>
      <c r="AC141" s="133"/>
      <c r="AD141" s="133"/>
      <c r="AE141" s="133"/>
      <c r="AF141" s="133"/>
      <c r="AG141" s="133"/>
      <c r="AH141" s="133"/>
      <c r="AI141" s="133"/>
      <c r="AJ141" s="133"/>
      <c r="AK141" s="133"/>
      <c r="AL141" s="133"/>
      <c r="AM141" s="133"/>
      <c r="AN141" s="133"/>
      <c r="AO141" s="133"/>
    </row>
    <row r="142" spans="1:41" x14ac:dyDescent="0.2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46"/>
      <c r="P142" s="147"/>
      <c r="S142" s="133"/>
      <c r="T142" s="133"/>
      <c r="U142" s="133"/>
      <c r="V142" s="133"/>
      <c r="W142" s="133"/>
      <c r="X142" s="133"/>
      <c r="Y142" s="133"/>
      <c r="Z142" s="133"/>
      <c r="AA142" s="133"/>
      <c r="AB142" s="133"/>
      <c r="AC142" s="133"/>
      <c r="AD142" s="133"/>
      <c r="AE142" s="133"/>
      <c r="AF142" s="133"/>
      <c r="AG142" s="133"/>
      <c r="AH142" s="133"/>
      <c r="AI142" s="133"/>
      <c r="AJ142" s="133"/>
      <c r="AK142" s="133"/>
      <c r="AL142" s="133"/>
      <c r="AM142" s="133"/>
      <c r="AN142" s="133"/>
      <c r="AO142" s="133"/>
    </row>
    <row r="143" spans="1:41" s="9" customFormat="1" ht="16" x14ac:dyDescent="0.2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6"/>
      <c r="P143" s="147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  <c r="AH143" s="142"/>
      <c r="AI143" s="142"/>
      <c r="AJ143" s="142"/>
      <c r="AK143" s="142"/>
      <c r="AL143" s="142"/>
      <c r="AM143" s="142"/>
      <c r="AN143" s="142"/>
      <c r="AO143" s="142"/>
    </row>
    <row r="144" spans="1:41" ht="16" x14ac:dyDescent="0.2">
      <c r="A144" s="142"/>
      <c r="B144" s="142"/>
      <c r="C144" s="142"/>
      <c r="D144" s="142"/>
      <c r="E144" s="142"/>
      <c r="F144" s="142"/>
      <c r="G144" s="142"/>
      <c r="H144" s="142"/>
      <c r="I144" s="133"/>
      <c r="J144" s="133"/>
      <c r="K144" s="133"/>
      <c r="L144" s="133"/>
      <c r="M144" s="133"/>
      <c r="N144" s="133"/>
      <c r="O144" s="146"/>
      <c r="P144" s="147"/>
      <c r="S144" s="133"/>
      <c r="T144" s="133"/>
      <c r="U144" s="133"/>
      <c r="V144" s="133"/>
      <c r="W144" s="133"/>
      <c r="X144" s="133"/>
      <c r="Y144" s="133"/>
      <c r="Z144" s="133"/>
      <c r="AA144" s="133"/>
      <c r="AB144" s="133"/>
      <c r="AC144" s="133"/>
      <c r="AD144" s="133"/>
      <c r="AE144" s="133"/>
      <c r="AF144" s="133"/>
      <c r="AG144" s="133"/>
      <c r="AH144" s="133"/>
      <c r="AI144" s="133"/>
      <c r="AJ144" s="133"/>
      <c r="AK144" s="133"/>
      <c r="AL144" s="133"/>
      <c r="AM144" s="133"/>
      <c r="AN144" s="133"/>
      <c r="AO144" s="133"/>
    </row>
    <row r="145" spans="1:41" x14ac:dyDescent="0.2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46"/>
      <c r="P145" s="147"/>
      <c r="S145" s="133"/>
      <c r="T145" s="133"/>
      <c r="U145" s="133"/>
      <c r="V145" s="133"/>
      <c r="W145" s="133"/>
      <c r="X145" s="133"/>
      <c r="Y145" s="133"/>
      <c r="Z145" s="133"/>
      <c r="AA145" s="133"/>
      <c r="AB145" s="133"/>
      <c r="AC145" s="133"/>
      <c r="AD145" s="133"/>
      <c r="AE145" s="133"/>
      <c r="AF145" s="133"/>
      <c r="AG145" s="133"/>
      <c r="AH145" s="133"/>
      <c r="AI145" s="133"/>
      <c r="AJ145" s="133"/>
      <c r="AK145" s="133"/>
      <c r="AL145" s="133"/>
      <c r="AM145" s="133"/>
      <c r="AN145" s="133"/>
      <c r="AO145" s="133"/>
    </row>
    <row r="146" spans="1:41" x14ac:dyDescent="0.2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46"/>
      <c r="P146" s="147"/>
      <c r="S146" s="133"/>
      <c r="T146" s="133"/>
      <c r="U146" s="133"/>
      <c r="V146" s="133"/>
      <c r="W146" s="133"/>
      <c r="X146" s="133"/>
      <c r="Y146" s="133"/>
      <c r="Z146" s="133"/>
      <c r="AA146" s="133"/>
      <c r="AB146" s="133"/>
      <c r="AC146" s="133"/>
      <c r="AD146" s="133"/>
      <c r="AE146" s="133"/>
      <c r="AF146" s="133"/>
      <c r="AG146" s="133"/>
      <c r="AH146" s="133"/>
      <c r="AI146" s="133"/>
      <c r="AJ146" s="133"/>
      <c r="AK146" s="133"/>
      <c r="AL146" s="133"/>
      <c r="AM146" s="133"/>
      <c r="AN146" s="133"/>
      <c r="AO146" s="133"/>
    </row>
    <row r="147" spans="1:41" x14ac:dyDescent="0.2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46"/>
      <c r="P147" s="147"/>
      <c r="S147" s="133"/>
      <c r="T147" s="133"/>
      <c r="U147" s="133"/>
      <c r="V147" s="133"/>
      <c r="W147" s="133"/>
      <c r="X147" s="133"/>
      <c r="Y147" s="133"/>
      <c r="Z147" s="133"/>
      <c r="AA147" s="133"/>
      <c r="AB147" s="133"/>
      <c r="AC147" s="133"/>
      <c r="AD147" s="133"/>
      <c r="AE147" s="133"/>
      <c r="AF147" s="133"/>
      <c r="AG147" s="133"/>
      <c r="AH147" s="133"/>
      <c r="AI147" s="133"/>
      <c r="AJ147" s="133"/>
      <c r="AK147" s="133"/>
      <c r="AL147" s="133"/>
      <c r="AM147" s="133"/>
      <c r="AN147" s="133"/>
      <c r="AO147" s="133"/>
    </row>
    <row r="148" spans="1:41" x14ac:dyDescent="0.2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46"/>
      <c r="P148" s="147"/>
      <c r="S148" s="133"/>
      <c r="T148" s="133"/>
      <c r="U148" s="133"/>
      <c r="V148" s="133"/>
      <c r="W148" s="133"/>
      <c r="X148" s="133"/>
      <c r="Y148" s="133"/>
      <c r="Z148" s="133"/>
      <c r="AA148" s="133"/>
      <c r="AB148" s="133"/>
      <c r="AC148" s="133"/>
      <c r="AD148" s="133"/>
      <c r="AE148" s="133"/>
      <c r="AF148" s="133"/>
      <c r="AG148" s="133"/>
      <c r="AH148" s="133"/>
      <c r="AI148" s="133"/>
      <c r="AJ148" s="133"/>
      <c r="AK148" s="133"/>
      <c r="AL148" s="133"/>
      <c r="AM148" s="133"/>
      <c r="AN148" s="133"/>
      <c r="AO148" s="133"/>
    </row>
    <row r="149" spans="1:41" x14ac:dyDescent="0.2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46"/>
      <c r="P149" s="147"/>
      <c r="S149" s="133"/>
      <c r="T149" s="133"/>
      <c r="U149" s="133"/>
      <c r="V149" s="133"/>
      <c r="W149" s="133"/>
      <c r="X149" s="133"/>
      <c r="Y149" s="133"/>
      <c r="Z149" s="133"/>
      <c r="AA149" s="133"/>
      <c r="AB149" s="133"/>
      <c r="AC149" s="133"/>
      <c r="AD149" s="133"/>
      <c r="AE149" s="133"/>
      <c r="AF149" s="133"/>
      <c r="AG149" s="133"/>
      <c r="AH149" s="133"/>
      <c r="AI149" s="133"/>
      <c r="AJ149" s="133"/>
      <c r="AK149" s="133"/>
      <c r="AL149" s="133"/>
      <c r="AM149" s="133"/>
      <c r="AN149" s="133"/>
      <c r="AO149" s="133"/>
    </row>
    <row r="150" spans="1:41" x14ac:dyDescent="0.2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46"/>
      <c r="P150" s="147"/>
      <c r="S150" s="133"/>
      <c r="T150" s="133"/>
      <c r="U150" s="133"/>
      <c r="V150" s="133"/>
      <c r="W150" s="133"/>
      <c r="X150" s="133"/>
      <c r="Y150" s="133"/>
      <c r="Z150" s="133"/>
      <c r="AA150" s="133"/>
      <c r="AB150" s="133"/>
      <c r="AC150" s="133"/>
      <c r="AD150" s="133"/>
      <c r="AE150" s="133"/>
      <c r="AF150" s="133"/>
      <c r="AG150" s="133"/>
      <c r="AH150" s="133"/>
      <c r="AI150" s="133"/>
      <c r="AJ150" s="133"/>
      <c r="AK150" s="133"/>
      <c r="AL150" s="133"/>
      <c r="AM150" s="133"/>
      <c r="AN150" s="133"/>
      <c r="AO150" s="133"/>
    </row>
    <row r="151" spans="1:41" x14ac:dyDescent="0.2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46"/>
      <c r="P151" s="147"/>
      <c r="S151" s="133"/>
      <c r="T151" s="133"/>
      <c r="U151" s="133"/>
      <c r="V151" s="133"/>
      <c r="W151" s="133"/>
      <c r="X151" s="133"/>
      <c r="Y151" s="133"/>
      <c r="Z151" s="133"/>
      <c r="AA151" s="133"/>
      <c r="AB151" s="133"/>
      <c r="AC151" s="133"/>
      <c r="AD151" s="133"/>
      <c r="AE151" s="133"/>
      <c r="AF151" s="133"/>
      <c r="AG151" s="133"/>
      <c r="AH151" s="133"/>
      <c r="AI151" s="133"/>
      <c r="AJ151" s="133"/>
      <c r="AK151" s="133"/>
      <c r="AL151" s="133"/>
      <c r="AM151" s="133"/>
      <c r="AN151" s="133"/>
      <c r="AO151" s="133"/>
    </row>
    <row r="152" spans="1:41" x14ac:dyDescent="0.2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46"/>
      <c r="P152" s="147"/>
      <c r="S152" s="133"/>
      <c r="T152" s="133"/>
      <c r="U152" s="133"/>
      <c r="V152" s="133"/>
      <c r="W152" s="133"/>
      <c r="X152" s="133"/>
      <c r="Y152" s="133"/>
      <c r="Z152" s="133"/>
      <c r="AA152" s="133"/>
      <c r="AB152" s="133"/>
      <c r="AC152" s="133"/>
      <c r="AD152" s="133"/>
      <c r="AE152" s="133"/>
      <c r="AF152" s="133"/>
      <c r="AG152" s="133"/>
      <c r="AH152" s="133"/>
      <c r="AI152" s="133"/>
      <c r="AJ152" s="133"/>
      <c r="AK152" s="133"/>
      <c r="AL152" s="133"/>
      <c r="AM152" s="133"/>
      <c r="AN152" s="133"/>
      <c r="AO152" s="133"/>
    </row>
    <row r="153" spans="1:41" x14ac:dyDescent="0.2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46"/>
      <c r="P153" s="147"/>
      <c r="S153" s="133"/>
      <c r="T153" s="133"/>
      <c r="U153" s="133"/>
      <c r="V153" s="133"/>
      <c r="W153" s="133"/>
      <c r="X153" s="133"/>
      <c r="Y153" s="133"/>
      <c r="Z153" s="133"/>
      <c r="AA153" s="133"/>
      <c r="AB153" s="133"/>
      <c r="AC153" s="133"/>
      <c r="AD153" s="133"/>
      <c r="AE153" s="133"/>
      <c r="AF153" s="133"/>
      <c r="AG153" s="133"/>
      <c r="AH153" s="133"/>
      <c r="AI153" s="133"/>
      <c r="AJ153" s="133"/>
      <c r="AK153" s="133"/>
      <c r="AL153" s="133"/>
      <c r="AM153" s="133"/>
      <c r="AN153" s="133"/>
      <c r="AO153" s="133"/>
    </row>
    <row r="154" spans="1:41" x14ac:dyDescent="0.2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46"/>
      <c r="P154" s="147"/>
      <c r="S154" s="133"/>
      <c r="T154" s="133"/>
      <c r="U154" s="133"/>
      <c r="V154" s="133"/>
      <c r="W154" s="133"/>
      <c r="X154" s="133"/>
      <c r="Y154" s="133"/>
      <c r="Z154" s="133"/>
      <c r="AA154" s="133"/>
      <c r="AB154" s="133"/>
      <c r="AC154" s="133"/>
      <c r="AD154" s="133"/>
      <c r="AE154" s="133"/>
      <c r="AF154" s="133"/>
      <c r="AG154" s="133"/>
      <c r="AH154" s="133"/>
      <c r="AI154" s="133"/>
      <c r="AJ154" s="133"/>
      <c r="AK154" s="133"/>
      <c r="AL154" s="133"/>
      <c r="AM154" s="133"/>
      <c r="AN154" s="133"/>
      <c r="AO154" s="133"/>
    </row>
    <row r="155" spans="1:41" x14ac:dyDescent="0.2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46"/>
      <c r="P155" s="147"/>
      <c r="S155" s="133"/>
      <c r="T155" s="133"/>
      <c r="U155" s="133"/>
      <c r="V155" s="133"/>
      <c r="W155" s="133"/>
      <c r="X155" s="133"/>
      <c r="Y155" s="133"/>
      <c r="Z155" s="133"/>
      <c r="AA155" s="133"/>
      <c r="AB155" s="133"/>
      <c r="AC155" s="133"/>
      <c r="AD155" s="133"/>
      <c r="AE155" s="133"/>
      <c r="AF155" s="133"/>
      <c r="AG155" s="133"/>
      <c r="AH155" s="133"/>
      <c r="AI155" s="133"/>
      <c r="AJ155" s="133"/>
      <c r="AK155" s="133"/>
      <c r="AL155" s="133"/>
      <c r="AM155" s="133"/>
      <c r="AN155" s="133"/>
      <c r="AO155" s="133"/>
    </row>
    <row r="156" spans="1:41" x14ac:dyDescent="0.2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46"/>
      <c r="P156" s="147"/>
      <c r="S156" s="133"/>
      <c r="T156" s="133"/>
      <c r="U156" s="133"/>
      <c r="V156" s="133"/>
      <c r="W156" s="133"/>
      <c r="X156" s="133"/>
      <c r="Y156" s="133"/>
      <c r="Z156" s="133"/>
      <c r="AA156" s="133"/>
      <c r="AB156" s="133"/>
      <c r="AC156" s="133"/>
      <c r="AD156" s="133"/>
      <c r="AE156" s="133"/>
      <c r="AF156" s="133"/>
      <c r="AG156" s="133"/>
      <c r="AH156" s="133"/>
      <c r="AI156" s="133"/>
      <c r="AJ156" s="133"/>
      <c r="AK156" s="133"/>
      <c r="AL156" s="133"/>
      <c r="AM156" s="133"/>
      <c r="AN156" s="133"/>
      <c r="AO156" s="133"/>
    </row>
    <row r="157" spans="1:41" x14ac:dyDescent="0.2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46"/>
      <c r="P157" s="147"/>
      <c r="S157" s="133"/>
      <c r="T157" s="133"/>
      <c r="U157" s="133"/>
      <c r="V157" s="133"/>
      <c r="W157" s="133"/>
      <c r="X157" s="133"/>
      <c r="Y157" s="133"/>
      <c r="Z157" s="133"/>
      <c r="AA157" s="133"/>
      <c r="AB157" s="133"/>
      <c r="AC157" s="133"/>
      <c r="AD157" s="133"/>
      <c r="AE157" s="133"/>
      <c r="AF157" s="133"/>
      <c r="AG157" s="133"/>
      <c r="AH157" s="133"/>
      <c r="AI157" s="133"/>
      <c r="AJ157" s="133"/>
      <c r="AK157" s="133"/>
      <c r="AL157" s="133"/>
      <c r="AM157" s="133"/>
      <c r="AN157" s="133"/>
      <c r="AO157" s="133"/>
    </row>
    <row r="158" spans="1:41" x14ac:dyDescent="0.2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46"/>
      <c r="P158" s="147"/>
      <c r="S158" s="133"/>
      <c r="T158" s="133"/>
      <c r="U158" s="133"/>
      <c r="V158" s="133"/>
      <c r="W158" s="133"/>
      <c r="X158" s="133"/>
      <c r="Y158" s="133"/>
      <c r="Z158" s="133"/>
      <c r="AA158" s="133"/>
      <c r="AB158" s="133"/>
      <c r="AC158" s="133"/>
      <c r="AD158" s="133"/>
      <c r="AE158" s="133"/>
      <c r="AF158" s="133"/>
      <c r="AG158" s="133"/>
      <c r="AH158" s="133"/>
      <c r="AI158" s="133"/>
      <c r="AJ158" s="133"/>
      <c r="AK158" s="133"/>
      <c r="AL158" s="133"/>
      <c r="AM158" s="133"/>
      <c r="AN158" s="133"/>
      <c r="AO158" s="133"/>
    </row>
    <row r="159" spans="1:41" ht="16" x14ac:dyDescent="0.2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46"/>
      <c r="P159" s="147"/>
      <c r="S159" s="133"/>
      <c r="T159" s="133"/>
      <c r="U159" s="133"/>
      <c r="V159" s="133"/>
      <c r="W159" s="133"/>
      <c r="X159" s="133"/>
      <c r="Y159" s="142"/>
      <c r="Z159" s="142"/>
      <c r="AA159" s="133"/>
      <c r="AB159" s="133"/>
      <c r="AC159" s="133"/>
      <c r="AD159" s="133"/>
      <c r="AE159" s="133"/>
      <c r="AF159" s="133"/>
      <c r="AG159" s="133"/>
      <c r="AH159" s="133"/>
      <c r="AI159" s="133"/>
      <c r="AJ159" s="133"/>
      <c r="AK159" s="133"/>
      <c r="AL159" s="133"/>
      <c r="AM159" s="133"/>
      <c r="AN159" s="133"/>
      <c r="AO159" s="133"/>
    </row>
    <row r="160" spans="1:41" x14ac:dyDescent="0.2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46"/>
      <c r="P160" s="147"/>
      <c r="S160" s="133"/>
      <c r="T160" s="133"/>
      <c r="U160" s="133"/>
      <c r="V160" s="133"/>
      <c r="W160" s="133"/>
      <c r="X160" s="133"/>
      <c r="Y160" s="133"/>
      <c r="Z160" s="133"/>
      <c r="AA160" s="133"/>
      <c r="AB160" s="133"/>
      <c r="AC160" s="133"/>
      <c r="AD160" s="133"/>
      <c r="AE160" s="133"/>
      <c r="AF160" s="133"/>
      <c r="AG160" s="133"/>
      <c r="AH160" s="133"/>
      <c r="AI160" s="133"/>
      <c r="AJ160" s="133"/>
      <c r="AK160" s="133"/>
      <c r="AL160" s="133"/>
      <c r="AM160" s="133"/>
      <c r="AN160" s="133"/>
      <c r="AO160" s="133"/>
    </row>
    <row r="161" spans="1:41" x14ac:dyDescent="0.2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46"/>
      <c r="P161" s="147"/>
      <c r="S161" s="133"/>
      <c r="T161" s="133"/>
      <c r="U161" s="133"/>
      <c r="V161" s="133"/>
      <c r="W161" s="133"/>
      <c r="X161" s="133"/>
      <c r="Y161" s="133"/>
      <c r="Z161" s="133"/>
      <c r="AA161" s="133"/>
      <c r="AB161" s="133"/>
      <c r="AC161" s="133"/>
      <c r="AD161" s="133"/>
      <c r="AE161" s="133"/>
      <c r="AF161" s="133"/>
      <c r="AG161" s="133"/>
      <c r="AH161" s="133"/>
      <c r="AI161" s="133"/>
      <c r="AJ161" s="133"/>
      <c r="AK161" s="133"/>
      <c r="AL161" s="133"/>
      <c r="AM161" s="133"/>
      <c r="AN161" s="133"/>
      <c r="AO161" s="133"/>
    </row>
    <row r="162" spans="1:41" x14ac:dyDescent="0.2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46"/>
      <c r="P162" s="147"/>
      <c r="S162" s="133"/>
      <c r="T162" s="133"/>
      <c r="U162" s="133"/>
      <c r="V162" s="133"/>
      <c r="W162" s="133"/>
      <c r="X162" s="133"/>
      <c r="Y162" s="133"/>
      <c r="Z162" s="133"/>
      <c r="AA162" s="133"/>
      <c r="AB162" s="133"/>
      <c r="AC162" s="133"/>
      <c r="AD162" s="133"/>
      <c r="AE162" s="133"/>
      <c r="AF162" s="133"/>
      <c r="AG162" s="133"/>
      <c r="AH162" s="133"/>
      <c r="AI162" s="133"/>
      <c r="AJ162" s="133"/>
      <c r="AK162" s="133"/>
      <c r="AL162" s="133"/>
      <c r="AM162" s="133"/>
      <c r="AN162" s="133"/>
      <c r="AO162" s="133"/>
    </row>
    <row r="163" spans="1:41" x14ac:dyDescent="0.2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46"/>
      <c r="P163" s="147"/>
      <c r="S163" s="133"/>
      <c r="T163" s="133"/>
      <c r="U163" s="133"/>
      <c r="V163" s="133"/>
      <c r="W163" s="133"/>
      <c r="X163" s="133"/>
      <c r="Y163" s="133"/>
      <c r="Z163" s="133"/>
      <c r="AA163" s="133"/>
      <c r="AB163" s="133"/>
      <c r="AC163" s="133"/>
      <c r="AD163" s="133"/>
      <c r="AE163" s="133"/>
      <c r="AF163" s="133"/>
      <c r="AG163" s="133"/>
      <c r="AH163" s="133"/>
      <c r="AI163" s="133"/>
      <c r="AJ163" s="133"/>
      <c r="AK163" s="133"/>
      <c r="AL163" s="133"/>
      <c r="AM163" s="133"/>
      <c r="AN163" s="133"/>
      <c r="AO163" s="133"/>
    </row>
    <row r="164" spans="1:41" x14ac:dyDescent="0.2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46"/>
      <c r="P164" s="147"/>
      <c r="S164" s="133"/>
      <c r="T164" s="133"/>
      <c r="U164" s="133"/>
      <c r="V164" s="133"/>
      <c r="W164" s="133"/>
      <c r="X164" s="133"/>
      <c r="Y164" s="133"/>
      <c r="Z164" s="133"/>
      <c r="AA164" s="133"/>
      <c r="AB164" s="133"/>
      <c r="AC164" s="133"/>
      <c r="AD164" s="133"/>
      <c r="AE164" s="133"/>
      <c r="AF164" s="133"/>
      <c r="AG164" s="133"/>
      <c r="AH164" s="133"/>
      <c r="AI164" s="133"/>
      <c r="AJ164" s="133"/>
      <c r="AK164" s="133"/>
      <c r="AL164" s="133"/>
      <c r="AM164" s="133"/>
      <c r="AN164" s="133"/>
      <c r="AO164" s="133"/>
    </row>
    <row r="165" spans="1:41" x14ac:dyDescent="0.2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46"/>
      <c r="P165" s="147"/>
      <c r="S165" s="133"/>
      <c r="T165" s="133"/>
      <c r="U165" s="133"/>
      <c r="V165" s="133"/>
      <c r="W165" s="133"/>
      <c r="X165" s="133"/>
      <c r="Y165" s="133"/>
      <c r="Z165" s="133"/>
      <c r="AA165" s="133"/>
      <c r="AB165" s="133"/>
      <c r="AC165" s="133"/>
      <c r="AD165" s="133"/>
      <c r="AE165" s="133"/>
      <c r="AF165" s="133"/>
      <c r="AG165" s="133"/>
      <c r="AH165" s="133"/>
      <c r="AI165" s="133"/>
      <c r="AJ165" s="133"/>
      <c r="AK165" s="133"/>
      <c r="AL165" s="133"/>
      <c r="AM165" s="133"/>
      <c r="AN165" s="133"/>
      <c r="AO165" s="133"/>
    </row>
    <row r="166" spans="1:41" x14ac:dyDescent="0.2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46"/>
      <c r="P166" s="147"/>
      <c r="S166" s="133"/>
      <c r="T166" s="133"/>
      <c r="U166" s="133"/>
      <c r="V166" s="133"/>
      <c r="W166" s="133"/>
      <c r="X166" s="133"/>
      <c r="Y166" s="133"/>
      <c r="Z166" s="133"/>
      <c r="AA166" s="133"/>
      <c r="AB166" s="133"/>
      <c r="AC166" s="133"/>
      <c r="AD166" s="133"/>
      <c r="AE166" s="133"/>
      <c r="AF166" s="133"/>
      <c r="AG166" s="133"/>
      <c r="AH166" s="133"/>
      <c r="AI166" s="133"/>
      <c r="AJ166" s="133"/>
      <c r="AK166" s="133"/>
      <c r="AL166" s="133"/>
      <c r="AM166" s="133"/>
      <c r="AN166" s="133"/>
      <c r="AO166" s="133"/>
    </row>
    <row r="167" spans="1:41" x14ac:dyDescent="0.2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46"/>
      <c r="P167" s="147"/>
      <c r="S167" s="133"/>
      <c r="T167" s="133"/>
      <c r="U167" s="133"/>
      <c r="V167" s="133"/>
      <c r="W167" s="133"/>
      <c r="X167" s="133"/>
      <c r="Y167" s="133"/>
      <c r="Z167" s="133"/>
      <c r="AA167" s="133"/>
      <c r="AB167" s="133"/>
      <c r="AC167" s="133"/>
      <c r="AD167" s="133"/>
      <c r="AE167" s="133"/>
      <c r="AF167" s="133"/>
      <c r="AG167" s="133"/>
      <c r="AH167" s="133"/>
      <c r="AI167" s="133"/>
      <c r="AJ167" s="133"/>
      <c r="AK167" s="133"/>
      <c r="AL167" s="133"/>
      <c r="AM167" s="133"/>
      <c r="AN167" s="133"/>
      <c r="AO167" s="133"/>
    </row>
    <row r="168" spans="1:41" x14ac:dyDescent="0.2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46"/>
      <c r="P168" s="147"/>
      <c r="S168" s="133"/>
      <c r="T168" s="133"/>
      <c r="U168" s="133"/>
      <c r="V168" s="133"/>
      <c r="W168" s="133"/>
      <c r="X168" s="133"/>
      <c r="Y168" s="133"/>
      <c r="Z168" s="133"/>
      <c r="AA168" s="133"/>
      <c r="AB168" s="133"/>
      <c r="AC168" s="133"/>
      <c r="AD168" s="133"/>
      <c r="AE168" s="133"/>
      <c r="AF168" s="133"/>
      <c r="AG168" s="133"/>
      <c r="AH168" s="133"/>
      <c r="AI168" s="133"/>
      <c r="AJ168" s="133"/>
      <c r="AK168" s="133"/>
      <c r="AL168" s="133"/>
      <c r="AM168" s="133"/>
      <c r="AN168" s="133"/>
      <c r="AO168" s="133"/>
    </row>
    <row r="169" spans="1:41" x14ac:dyDescent="0.2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46"/>
      <c r="P169" s="147"/>
      <c r="S169" s="133"/>
      <c r="T169" s="133"/>
      <c r="U169" s="133"/>
      <c r="V169" s="133"/>
      <c r="W169" s="133"/>
      <c r="X169" s="133"/>
      <c r="Y169" s="133"/>
      <c r="Z169" s="133"/>
      <c r="AA169" s="133"/>
      <c r="AB169" s="133"/>
      <c r="AC169" s="133"/>
      <c r="AD169" s="133"/>
      <c r="AE169" s="133"/>
      <c r="AF169" s="133"/>
      <c r="AG169" s="133"/>
      <c r="AH169" s="133"/>
      <c r="AI169" s="133"/>
      <c r="AJ169" s="133"/>
      <c r="AK169" s="133"/>
      <c r="AL169" s="133"/>
      <c r="AM169" s="133"/>
      <c r="AN169" s="133"/>
      <c r="AO169" s="133"/>
    </row>
    <row r="170" spans="1:41" x14ac:dyDescent="0.2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46"/>
      <c r="P170" s="147"/>
      <c r="S170" s="133"/>
      <c r="T170" s="133"/>
      <c r="U170" s="133"/>
      <c r="V170" s="133"/>
      <c r="W170" s="133"/>
      <c r="X170" s="133"/>
      <c r="Y170" s="133"/>
      <c r="Z170" s="133"/>
      <c r="AA170" s="133"/>
      <c r="AB170" s="133"/>
      <c r="AC170" s="133"/>
      <c r="AD170" s="133"/>
      <c r="AE170" s="133"/>
      <c r="AF170" s="133"/>
      <c r="AG170" s="133"/>
      <c r="AH170" s="133"/>
      <c r="AI170" s="133"/>
      <c r="AJ170" s="133"/>
      <c r="AK170" s="133"/>
      <c r="AL170" s="133"/>
      <c r="AM170" s="133"/>
      <c r="AN170" s="133"/>
      <c r="AO170" s="133"/>
    </row>
    <row r="171" spans="1:41" ht="16" x14ac:dyDescent="0.2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76"/>
      <c r="L171" s="176"/>
      <c r="M171" s="176"/>
      <c r="N171" s="133"/>
      <c r="O171" s="148"/>
      <c r="P171" s="149"/>
      <c r="Q171" s="142"/>
      <c r="R171" s="142"/>
      <c r="S171" s="142"/>
      <c r="T171" s="142"/>
      <c r="U171" s="142"/>
      <c r="V171" s="142"/>
      <c r="W171" s="142"/>
      <c r="X171" s="142"/>
      <c r="Y171" s="133"/>
      <c r="Z171" s="133"/>
      <c r="AA171" s="133"/>
      <c r="AB171" s="133"/>
      <c r="AC171" s="133"/>
      <c r="AD171" s="133"/>
      <c r="AE171" s="133"/>
      <c r="AF171" s="133"/>
      <c r="AG171" s="133"/>
      <c r="AH171" s="133"/>
      <c r="AI171" s="133"/>
      <c r="AJ171" s="133"/>
      <c r="AK171" s="133"/>
      <c r="AL171" s="133"/>
      <c r="AM171" s="133"/>
      <c r="AN171" s="133"/>
      <c r="AO171" s="133"/>
    </row>
    <row r="172" spans="1:41" x14ac:dyDescent="0.2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46"/>
      <c r="P172" s="147"/>
      <c r="S172" s="133"/>
      <c r="T172" s="133"/>
      <c r="U172" s="133"/>
      <c r="V172" s="133"/>
      <c r="W172" s="133"/>
      <c r="X172" s="133"/>
      <c r="Y172" s="133"/>
      <c r="Z172" s="133"/>
      <c r="AA172" s="133"/>
      <c r="AB172" s="133"/>
      <c r="AC172" s="133"/>
      <c r="AD172" s="133"/>
      <c r="AE172" s="133"/>
      <c r="AF172" s="133"/>
      <c r="AG172" s="133"/>
      <c r="AH172" s="133"/>
      <c r="AI172" s="133"/>
      <c r="AJ172" s="133"/>
      <c r="AK172" s="133"/>
      <c r="AL172" s="133"/>
      <c r="AM172" s="133"/>
      <c r="AN172" s="133"/>
      <c r="AO172" s="133"/>
    </row>
    <row r="173" spans="1:41" x14ac:dyDescent="0.2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S173" s="133"/>
      <c r="T173" s="133"/>
      <c r="U173" s="133"/>
      <c r="V173" s="133"/>
      <c r="W173" s="133"/>
      <c r="X173" s="133"/>
      <c r="Y173" s="133"/>
      <c r="Z173" s="133"/>
      <c r="AA173" s="133"/>
      <c r="AB173" s="133"/>
      <c r="AC173" s="133"/>
      <c r="AD173" s="133"/>
      <c r="AE173" s="133"/>
      <c r="AF173" s="133"/>
      <c r="AG173" s="133"/>
      <c r="AH173" s="133"/>
      <c r="AI173" s="133"/>
      <c r="AJ173" s="133"/>
      <c r="AK173" s="133"/>
      <c r="AL173" s="133"/>
      <c r="AM173" s="133"/>
      <c r="AN173" s="133"/>
      <c r="AO173" s="133"/>
    </row>
    <row r="174" spans="1:41" x14ac:dyDescent="0.2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S174" s="133"/>
      <c r="T174" s="133"/>
      <c r="U174" s="133"/>
      <c r="V174" s="133"/>
      <c r="W174" s="133"/>
      <c r="X174" s="133"/>
      <c r="Y174" s="133"/>
      <c r="Z174" s="133"/>
      <c r="AA174" s="133"/>
      <c r="AB174" s="133"/>
      <c r="AC174" s="133"/>
      <c r="AD174" s="133"/>
      <c r="AE174" s="133"/>
      <c r="AF174" s="133"/>
      <c r="AG174" s="133"/>
      <c r="AH174" s="133"/>
      <c r="AI174" s="133"/>
      <c r="AJ174" s="133"/>
      <c r="AK174" s="133"/>
      <c r="AL174" s="133"/>
      <c r="AM174" s="133"/>
      <c r="AN174" s="133"/>
      <c r="AO174" s="133"/>
    </row>
    <row r="175" spans="1:41" x14ac:dyDescent="0.2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S175" s="133"/>
      <c r="T175" s="133"/>
      <c r="U175" s="133"/>
      <c r="V175" s="133"/>
      <c r="W175" s="133"/>
      <c r="X175" s="133"/>
      <c r="Y175" s="133"/>
      <c r="Z175" s="133"/>
      <c r="AA175" s="133"/>
      <c r="AB175" s="133"/>
      <c r="AC175" s="133"/>
      <c r="AD175" s="133"/>
      <c r="AE175" s="133"/>
      <c r="AF175" s="133"/>
      <c r="AG175" s="133"/>
      <c r="AH175" s="133"/>
      <c r="AI175" s="133"/>
      <c r="AJ175" s="133"/>
      <c r="AK175" s="133"/>
      <c r="AL175" s="133"/>
      <c r="AM175" s="133"/>
      <c r="AN175" s="133"/>
      <c r="AO175" s="133"/>
    </row>
    <row r="176" spans="1:41" x14ac:dyDescent="0.2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S176" s="133"/>
      <c r="T176" s="133"/>
      <c r="U176" s="133"/>
      <c r="V176" s="133"/>
      <c r="W176" s="133"/>
      <c r="X176" s="133"/>
      <c r="Y176" s="133"/>
      <c r="Z176" s="133"/>
      <c r="AA176" s="133"/>
      <c r="AB176" s="133"/>
      <c r="AC176" s="133"/>
      <c r="AD176" s="133"/>
      <c r="AE176" s="133"/>
      <c r="AF176" s="133"/>
      <c r="AG176" s="133"/>
      <c r="AH176" s="133"/>
      <c r="AI176" s="133"/>
      <c r="AJ176" s="133"/>
      <c r="AK176" s="133"/>
      <c r="AL176" s="133"/>
      <c r="AM176" s="133"/>
      <c r="AN176" s="133"/>
      <c r="AO176" s="133"/>
    </row>
    <row r="177" spans="1:41" x14ac:dyDescent="0.2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56"/>
      <c r="L177" s="180"/>
      <c r="M177" s="180"/>
      <c r="N177" s="133"/>
      <c r="S177" s="133"/>
      <c r="T177" s="133"/>
      <c r="U177" s="133"/>
      <c r="V177" s="133"/>
      <c r="W177" s="133"/>
      <c r="X177" s="133"/>
      <c r="Y177" s="133"/>
      <c r="Z177" s="133"/>
      <c r="AA177" s="133"/>
      <c r="AB177" s="133"/>
      <c r="AC177" s="133"/>
      <c r="AD177" s="133"/>
      <c r="AE177" s="133"/>
      <c r="AF177" s="133"/>
      <c r="AG177" s="133"/>
      <c r="AH177" s="133"/>
      <c r="AI177" s="133"/>
      <c r="AJ177" s="133"/>
      <c r="AK177" s="133"/>
      <c r="AL177" s="133"/>
      <c r="AM177" s="133"/>
      <c r="AN177" s="133"/>
      <c r="AO177" s="133"/>
    </row>
    <row r="178" spans="1:41" x14ac:dyDescent="0.2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56"/>
      <c r="L178" s="157"/>
      <c r="M178" s="157"/>
      <c r="N178" s="133"/>
      <c r="S178" s="133"/>
      <c r="T178" s="133"/>
      <c r="U178" s="133"/>
      <c r="V178" s="133"/>
      <c r="W178" s="133"/>
      <c r="X178" s="133"/>
      <c r="Y178" s="133"/>
      <c r="Z178" s="133"/>
      <c r="AA178" s="133"/>
      <c r="AB178" s="133"/>
      <c r="AC178" s="133"/>
      <c r="AD178" s="133"/>
      <c r="AE178" s="133"/>
      <c r="AF178" s="133"/>
      <c r="AG178" s="133"/>
      <c r="AH178" s="133"/>
      <c r="AI178" s="133"/>
      <c r="AJ178" s="133"/>
      <c r="AK178" s="133"/>
      <c r="AL178" s="133"/>
      <c r="AM178" s="133"/>
      <c r="AN178" s="133"/>
      <c r="AO178" s="133"/>
    </row>
    <row r="179" spans="1:41" x14ac:dyDescent="0.2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S179" s="133"/>
      <c r="T179" s="133"/>
      <c r="U179" s="133"/>
      <c r="V179" s="133"/>
      <c r="W179" s="133"/>
      <c r="X179" s="133"/>
      <c r="Y179" s="133"/>
      <c r="Z179" s="133"/>
      <c r="AA179" s="133"/>
      <c r="AB179" s="133"/>
      <c r="AC179" s="133"/>
      <c r="AD179" s="133"/>
      <c r="AE179" s="133"/>
      <c r="AF179" s="133"/>
      <c r="AG179" s="133"/>
      <c r="AH179" s="133"/>
      <c r="AI179" s="133"/>
      <c r="AJ179" s="133"/>
      <c r="AK179" s="133"/>
      <c r="AL179" s="133"/>
      <c r="AM179" s="133"/>
      <c r="AN179" s="133"/>
      <c r="AO179" s="133"/>
    </row>
    <row r="180" spans="1:41" x14ac:dyDescent="0.2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S180" s="133"/>
      <c r="T180" s="133"/>
      <c r="U180" s="133"/>
      <c r="V180" s="133"/>
      <c r="W180" s="133"/>
      <c r="X180" s="133"/>
      <c r="Y180" s="133"/>
      <c r="Z180" s="133"/>
      <c r="AA180" s="133"/>
      <c r="AB180" s="133"/>
      <c r="AC180" s="133"/>
      <c r="AD180" s="133"/>
      <c r="AE180" s="133"/>
      <c r="AF180" s="133"/>
      <c r="AG180" s="133"/>
      <c r="AH180" s="133"/>
      <c r="AI180" s="133"/>
      <c r="AJ180" s="133"/>
      <c r="AK180" s="133"/>
      <c r="AL180" s="133"/>
      <c r="AM180" s="133"/>
      <c r="AN180" s="133"/>
      <c r="AO180" s="133"/>
    </row>
    <row r="181" spans="1:41" x14ac:dyDescent="0.2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S181" s="133"/>
      <c r="T181" s="133"/>
      <c r="U181" s="133"/>
      <c r="V181" s="133"/>
      <c r="W181" s="133"/>
      <c r="X181" s="133"/>
      <c r="Y181" s="133"/>
      <c r="Z181" s="133"/>
      <c r="AA181" s="133"/>
      <c r="AB181" s="133"/>
      <c r="AC181" s="133"/>
      <c r="AD181" s="133"/>
      <c r="AE181" s="133"/>
      <c r="AF181" s="133"/>
      <c r="AG181" s="133"/>
      <c r="AH181" s="133"/>
      <c r="AI181" s="133"/>
      <c r="AJ181" s="133"/>
      <c r="AK181" s="133"/>
      <c r="AL181" s="133"/>
      <c r="AM181" s="133"/>
      <c r="AN181" s="133"/>
      <c r="AO181" s="133"/>
    </row>
    <row r="182" spans="1:41" x14ac:dyDescent="0.2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S182" s="133"/>
      <c r="T182" s="133"/>
      <c r="U182" s="133"/>
      <c r="V182" s="133"/>
      <c r="W182" s="133"/>
      <c r="X182" s="133"/>
      <c r="Y182" s="133"/>
      <c r="Z182" s="133"/>
      <c r="AA182" s="133"/>
      <c r="AB182" s="133"/>
      <c r="AC182" s="133"/>
      <c r="AD182" s="133"/>
      <c r="AE182" s="133"/>
      <c r="AF182" s="133"/>
      <c r="AG182" s="133"/>
      <c r="AH182" s="133"/>
      <c r="AI182" s="133"/>
      <c r="AJ182" s="133"/>
      <c r="AK182" s="133"/>
      <c r="AL182" s="133"/>
      <c r="AM182" s="133"/>
      <c r="AN182" s="133"/>
      <c r="AO182" s="133"/>
    </row>
    <row r="183" spans="1:41" x14ac:dyDescent="0.2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S183" s="133"/>
      <c r="T183" s="133"/>
      <c r="U183" s="133"/>
      <c r="V183" s="133"/>
      <c r="W183" s="133"/>
      <c r="X183" s="133"/>
      <c r="Y183" s="133"/>
      <c r="Z183" s="133"/>
      <c r="AA183" s="133"/>
      <c r="AB183" s="133"/>
      <c r="AC183" s="133"/>
      <c r="AD183" s="133"/>
      <c r="AE183" s="133"/>
      <c r="AF183" s="133"/>
      <c r="AG183" s="133"/>
      <c r="AH183" s="133"/>
      <c r="AI183" s="133"/>
      <c r="AJ183" s="133"/>
      <c r="AK183" s="133"/>
      <c r="AL183" s="133"/>
      <c r="AM183" s="133"/>
      <c r="AN183" s="133"/>
      <c r="AO183" s="133"/>
    </row>
    <row r="184" spans="1:41" x14ac:dyDescent="0.2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S184" s="133"/>
      <c r="T184" s="133"/>
      <c r="U184" s="133"/>
      <c r="V184" s="133"/>
      <c r="W184" s="133"/>
      <c r="X184" s="133"/>
      <c r="Y184" s="133"/>
      <c r="Z184" s="133"/>
      <c r="AA184" s="133"/>
      <c r="AB184" s="133"/>
      <c r="AC184" s="133"/>
      <c r="AD184" s="133"/>
      <c r="AE184" s="133"/>
      <c r="AF184" s="133"/>
      <c r="AG184" s="133"/>
      <c r="AH184" s="133"/>
      <c r="AI184" s="133"/>
      <c r="AJ184" s="133"/>
      <c r="AK184" s="133"/>
      <c r="AL184" s="133"/>
      <c r="AM184" s="133"/>
      <c r="AN184" s="133"/>
      <c r="AO184" s="133"/>
    </row>
    <row r="185" spans="1:41" x14ac:dyDescent="0.2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S185" s="133"/>
      <c r="T185" s="133"/>
      <c r="U185" s="133"/>
      <c r="V185" s="133"/>
      <c r="W185" s="133"/>
      <c r="X185" s="133"/>
      <c r="Y185" s="133"/>
      <c r="Z185" s="133"/>
      <c r="AA185" s="133"/>
      <c r="AB185" s="133"/>
      <c r="AC185" s="133"/>
      <c r="AD185" s="133"/>
      <c r="AE185" s="133"/>
      <c r="AF185" s="133"/>
      <c r="AG185" s="133"/>
      <c r="AH185" s="133"/>
      <c r="AI185" s="133"/>
      <c r="AJ185" s="133"/>
      <c r="AK185" s="133"/>
      <c r="AL185" s="133"/>
      <c r="AM185" s="133"/>
      <c r="AN185" s="133"/>
      <c r="AO185" s="133"/>
    </row>
    <row r="186" spans="1:41" x14ac:dyDescent="0.2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S186" s="133"/>
      <c r="T186" s="133"/>
      <c r="U186" s="133"/>
      <c r="V186" s="133"/>
      <c r="W186" s="133"/>
      <c r="X186" s="133"/>
      <c r="Y186" s="133"/>
      <c r="Z186" s="133"/>
      <c r="AA186" s="133"/>
      <c r="AB186" s="133"/>
      <c r="AC186" s="133"/>
      <c r="AD186" s="133"/>
      <c r="AE186" s="133"/>
      <c r="AF186" s="133"/>
      <c r="AG186" s="133"/>
      <c r="AH186" s="133"/>
      <c r="AI186" s="133"/>
      <c r="AJ186" s="133"/>
      <c r="AK186" s="133"/>
      <c r="AL186" s="133"/>
      <c r="AM186" s="133"/>
      <c r="AN186" s="133"/>
      <c r="AO186" s="133"/>
    </row>
    <row r="187" spans="1:41" x14ac:dyDescent="0.2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S187" s="133"/>
      <c r="T187" s="133"/>
      <c r="U187" s="133"/>
      <c r="V187" s="133"/>
      <c r="W187" s="133"/>
      <c r="X187" s="133"/>
      <c r="Y187" s="133"/>
      <c r="Z187" s="133"/>
      <c r="AA187" s="133"/>
      <c r="AB187" s="133"/>
      <c r="AC187" s="133"/>
      <c r="AD187" s="133"/>
      <c r="AE187" s="133"/>
      <c r="AF187" s="133"/>
      <c r="AG187" s="133"/>
      <c r="AH187" s="133"/>
      <c r="AI187" s="133"/>
      <c r="AJ187" s="133"/>
      <c r="AK187" s="133"/>
      <c r="AL187" s="133"/>
      <c r="AM187" s="133"/>
      <c r="AN187" s="133"/>
      <c r="AO187" s="133"/>
    </row>
    <row r="188" spans="1:41" x14ac:dyDescent="0.2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S188" s="133"/>
      <c r="T188" s="133"/>
      <c r="U188" s="133"/>
      <c r="V188" s="133"/>
      <c r="W188" s="133"/>
      <c r="X188" s="133"/>
      <c r="Y188" s="133"/>
      <c r="Z188" s="133"/>
      <c r="AA188" s="133"/>
      <c r="AB188" s="133"/>
      <c r="AC188" s="133"/>
      <c r="AD188" s="133"/>
      <c r="AE188" s="133"/>
      <c r="AF188" s="133"/>
      <c r="AG188" s="133"/>
      <c r="AH188" s="133"/>
      <c r="AI188" s="133"/>
      <c r="AJ188" s="133"/>
      <c r="AK188" s="133"/>
      <c r="AL188" s="133"/>
      <c r="AM188" s="133"/>
      <c r="AN188" s="133"/>
      <c r="AO188" s="133"/>
    </row>
    <row r="189" spans="1:41" x14ac:dyDescent="0.2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S189" s="133"/>
      <c r="T189" s="133"/>
      <c r="U189" s="133"/>
      <c r="V189" s="133"/>
      <c r="W189" s="133"/>
      <c r="X189" s="133"/>
      <c r="Y189" s="133"/>
      <c r="Z189" s="133"/>
      <c r="AA189" s="133"/>
      <c r="AB189" s="133"/>
      <c r="AC189" s="133"/>
      <c r="AD189" s="133"/>
      <c r="AE189" s="133"/>
      <c r="AF189" s="133"/>
      <c r="AG189" s="133"/>
      <c r="AH189" s="133"/>
      <c r="AI189" s="133"/>
      <c r="AJ189" s="133"/>
      <c r="AK189" s="133"/>
      <c r="AL189" s="133"/>
      <c r="AM189" s="133"/>
      <c r="AN189" s="133"/>
      <c r="AO189" s="133"/>
    </row>
    <row r="190" spans="1:41" x14ac:dyDescent="0.2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S190" s="133"/>
      <c r="T190" s="133"/>
      <c r="U190" s="133"/>
      <c r="V190" s="133"/>
      <c r="W190" s="133"/>
      <c r="X190" s="133"/>
      <c r="Y190" s="133"/>
      <c r="Z190" s="133"/>
      <c r="AA190" s="133"/>
      <c r="AB190" s="133"/>
      <c r="AC190" s="133"/>
      <c r="AD190" s="133"/>
      <c r="AE190" s="133"/>
      <c r="AF190" s="133"/>
      <c r="AG190" s="133"/>
      <c r="AH190" s="133"/>
      <c r="AI190" s="133"/>
      <c r="AJ190" s="133"/>
      <c r="AK190" s="133"/>
      <c r="AL190" s="133"/>
      <c r="AM190" s="133"/>
      <c r="AN190" s="133"/>
      <c r="AO190" s="133"/>
    </row>
    <row r="191" spans="1:41" x14ac:dyDescent="0.2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S191" s="133"/>
      <c r="T191" s="133"/>
      <c r="U191" s="133"/>
      <c r="V191" s="133"/>
      <c r="W191" s="133"/>
      <c r="X191" s="133"/>
      <c r="Y191" s="133"/>
      <c r="Z191" s="133"/>
      <c r="AA191" s="133"/>
      <c r="AB191" s="133"/>
      <c r="AC191" s="133"/>
      <c r="AD191" s="133"/>
      <c r="AE191" s="133"/>
      <c r="AF191" s="133"/>
      <c r="AG191" s="133"/>
      <c r="AH191" s="133"/>
      <c r="AI191" s="133"/>
      <c r="AJ191" s="133"/>
      <c r="AK191" s="133"/>
      <c r="AL191" s="133"/>
      <c r="AM191" s="133"/>
      <c r="AN191" s="133"/>
      <c r="AO191" s="133"/>
    </row>
    <row r="192" spans="1:41" x14ac:dyDescent="0.2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S192" s="133"/>
      <c r="T192" s="133"/>
      <c r="U192" s="133"/>
      <c r="V192" s="133"/>
      <c r="W192" s="133"/>
      <c r="X192" s="133"/>
      <c r="Y192" s="133"/>
      <c r="Z192" s="133"/>
      <c r="AA192" s="133"/>
      <c r="AB192" s="133"/>
      <c r="AC192" s="133"/>
      <c r="AD192" s="133"/>
      <c r="AE192" s="133"/>
      <c r="AF192" s="133"/>
      <c r="AG192" s="133"/>
      <c r="AH192" s="133"/>
      <c r="AI192" s="133"/>
      <c r="AJ192" s="133"/>
      <c r="AK192" s="133"/>
      <c r="AL192" s="133"/>
      <c r="AM192" s="133"/>
      <c r="AN192" s="133"/>
      <c r="AO192" s="133"/>
    </row>
    <row r="193" spans="1:41" x14ac:dyDescent="0.2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S193" s="133"/>
      <c r="T193" s="133"/>
      <c r="U193" s="133"/>
      <c r="V193" s="133"/>
      <c r="W193" s="133"/>
      <c r="X193" s="133"/>
      <c r="Y193" s="133"/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3"/>
      <c r="AO193" s="133"/>
    </row>
    <row r="194" spans="1:41" x14ac:dyDescent="0.2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S194" s="133"/>
      <c r="T194" s="133"/>
      <c r="U194" s="133"/>
      <c r="V194" s="133"/>
      <c r="W194" s="133"/>
      <c r="X194" s="133"/>
      <c r="Y194" s="133"/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3"/>
      <c r="AO194" s="133"/>
    </row>
    <row r="195" spans="1:41" x14ac:dyDescent="0.2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S195" s="133"/>
      <c r="T195" s="133"/>
      <c r="U195" s="133"/>
      <c r="V195" s="133"/>
      <c r="W195" s="133"/>
      <c r="X195" s="133"/>
      <c r="Y195" s="133"/>
      <c r="Z195" s="133"/>
      <c r="AA195" s="133"/>
      <c r="AB195" s="133"/>
      <c r="AC195" s="133"/>
      <c r="AD195" s="133"/>
      <c r="AE195" s="133"/>
      <c r="AF195" s="133"/>
      <c r="AG195" s="133"/>
      <c r="AH195" s="133"/>
      <c r="AI195" s="133"/>
      <c r="AJ195" s="133"/>
      <c r="AK195" s="133"/>
      <c r="AL195" s="133"/>
      <c r="AM195" s="133"/>
      <c r="AN195" s="133"/>
      <c r="AO195" s="133"/>
    </row>
    <row r="196" spans="1:41" x14ac:dyDescent="0.2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S196" s="133"/>
      <c r="T196" s="133"/>
      <c r="U196" s="133"/>
      <c r="V196" s="133"/>
      <c r="W196" s="133"/>
      <c r="X196" s="133"/>
      <c r="Y196" s="133"/>
      <c r="Z196" s="133"/>
      <c r="AA196" s="133"/>
      <c r="AB196" s="133"/>
      <c r="AC196" s="133"/>
      <c r="AD196" s="133"/>
      <c r="AE196" s="133"/>
      <c r="AF196" s="133"/>
      <c r="AG196" s="133"/>
      <c r="AH196" s="133"/>
      <c r="AI196" s="133"/>
      <c r="AJ196" s="133"/>
      <c r="AK196" s="133"/>
      <c r="AL196" s="133"/>
      <c r="AM196" s="133"/>
      <c r="AN196" s="133"/>
      <c r="AO196" s="133"/>
    </row>
    <row r="197" spans="1:41" x14ac:dyDescent="0.2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S197" s="133"/>
      <c r="T197" s="133"/>
      <c r="U197" s="133"/>
      <c r="V197" s="133"/>
      <c r="W197" s="133"/>
      <c r="X197" s="133"/>
      <c r="Y197" s="133"/>
      <c r="Z197" s="133"/>
      <c r="AA197" s="133"/>
      <c r="AB197" s="133"/>
      <c r="AC197" s="133"/>
      <c r="AD197" s="133"/>
      <c r="AE197" s="133"/>
      <c r="AF197" s="133"/>
      <c r="AG197" s="133"/>
      <c r="AH197" s="133"/>
      <c r="AI197" s="133"/>
      <c r="AJ197" s="133"/>
      <c r="AK197" s="133"/>
      <c r="AL197" s="133"/>
      <c r="AM197" s="133"/>
      <c r="AN197" s="133"/>
      <c r="AO197" s="133"/>
    </row>
    <row r="198" spans="1:41" x14ac:dyDescent="0.2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S198" s="133"/>
      <c r="T198" s="133"/>
      <c r="U198" s="133"/>
      <c r="V198" s="133"/>
      <c r="W198" s="133"/>
      <c r="X198" s="133"/>
      <c r="Y198" s="133"/>
      <c r="Z198" s="133"/>
      <c r="AA198" s="133"/>
      <c r="AB198" s="133"/>
      <c r="AC198" s="133"/>
      <c r="AD198" s="133"/>
      <c r="AE198" s="133"/>
      <c r="AF198" s="133"/>
      <c r="AG198" s="133"/>
      <c r="AH198" s="133"/>
      <c r="AI198" s="133"/>
      <c r="AJ198" s="133"/>
      <c r="AK198" s="133"/>
      <c r="AL198" s="133"/>
      <c r="AM198" s="133"/>
      <c r="AN198" s="133"/>
      <c r="AO198" s="133"/>
    </row>
    <row r="199" spans="1:41" x14ac:dyDescent="0.2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S199" s="133"/>
      <c r="T199" s="133"/>
      <c r="U199" s="133"/>
      <c r="V199" s="133"/>
      <c r="W199" s="133"/>
      <c r="X199" s="133"/>
      <c r="Y199" s="133"/>
      <c r="Z199" s="133"/>
      <c r="AA199" s="133"/>
      <c r="AB199" s="133"/>
      <c r="AC199" s="133"/>
      <c r="AD199" s="133"/>
      <c r="AE199" s="133"/>
      <c r="AF199" s="133"/>
      <c r="AG199" s="133"/>
      <c r="AH199" s="133"/>
      <c r="AI199" s="133"/>
      <c r="AJ199" s="133"/>
      <c r="AK199" s="133"/>
      <c r="AL199" s="133"/>
      <c r="AM199" s="133"/>
      <c r="AN199" s="133"/>
      <c r="AO199" s="133"/>
    </row>
    <row r="200" spans="1:41" x14ac:dyDescent="0.2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S200" s="133"/>
      <c r="T200" s="133"/>
      <c r="U200" s="133"/>
      <c r="V200" s="133"/>
      <c r="W200" s="133"/>
      <c r="X200" s="133"/>
      <c r="Y200" s="133"/>
      <c r="Z200" s="133"/>
      <c r="AA200" s="133"/>
      <c r="AB200" s="133"/>
      <c r="AC200" s="133"/>
      <c r="AD200" s="133"/>
      <c r="AE200" s="133"/>
      <c r="AF200" s="133"/>
      <c r="AG200" s="133"/>
      <c r="AH200" s="133"/>
      <c r="AI200" s="133"/>
      <c r="AJ200" s="133"/>
      <c r="AK200" s="133"/>
      <c r="AL200" s="133"/>
      <c r="AM200" s="133"/>
      <c r="AN200" s="133"/>
      <c r="AO200" s="133"/>
    </row>
    <row r="201" spans="1:41" x14ac:dyDescent="0.2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S201" s="133"/>
      <c r="T201" s="133"/>
      <c r="U201" s="133"/>
      <c r="V201" s="133"/>
      <c r="W201" s="133"/>
      <c r="X201" s="133"/>
      <c r="Y201" s="133"/>
      <c r="Z201" s="133"/>
      <c r="AA201" s="133"/>
      <c r="AB201" s="133"/>
      <c r="AC201" s="133"/>
      <c r="AD201" s="133"/>
      <c r="AE201" s="133"/>
      <c r="AF201" s="133"/>
      <c r="AG201" s="133"/>
      <c r="AH201" s="133"/>
      <c r="AI201" s="133"/>
      <c r="AJ201" s="133"/>
      <c r="AK201" s="133"/>
      <c r="AL201" s="133"/>
      <c r="AM201" s="133"/>
      <c r="AN201" s="133"/>
      <c r="AO201" s="133"/>
    </row>
    <row r="202" spans="1:41" x14ac:dyDescent="0.2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S202" s="133"/>
      <c r="T202" s="133"/>
      <c r="U202" s="133"/>
      <c r="V202" s="133"/>
      <c r="W202" s="133"/>
      <c r="X202" s="133"/>
      <c r="Y202" s="133"/>
      <c r="Z202" s="133"/>
      <c r="AA202" s="133"/>
      <c r="AB202" s="133"/>
      <c r="AC202" s="133"/>
      <c r="AD202" s="133"/>
      <c r="AE202" s="133"/>
      <c r="AF202" s="133"/>
      <c r="AG202" s="133"/>
      <c r="AH202" s="133"/>
      <c r="AI202" s="133"/>
      <c r="AJ202" s="133"/>
      <c r="AK202" s="133"/>
      <c r="AL202" s="133"/>
      <c r="AM202" s="133"/>
      <c r="AN202" s="133"/>
      <c r="AO202" s="133"/>
    </row>
    <row r="203" spans="1:41" x14ac:dyDescent="0.2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S203" s="133"/>
      <c r="T203" s="133"/>
      <c r="U203" s="133"/>
      <c r="V203" s="133"/>
      <c r="W203" s="133"/>
      <c r="X203" s="133"/>
      <c r="Y203" s="133"/>
      <c r="Z203" s="133"/>
      <c r="AA203" s="133"/>
      <c r="AB203" s="133"/>
      <c r="AC203" s="133"/>
      <c r="AD203" s="133"/>
      <c r="AE203" s="133"/>
      <c r="AF203" s="133"/>
      <c r="AG203" s="133"/>
      <c r="AH203" s="133"/>
      <c r="AI203" s="133"/>
      <c r="AJ203" s="133"/>
      <c r="AK203" s="133"/>
      <c r="AL203" s="133"/>
      <c r="AM203" s="133"/>
      <c r="AN203" s="133"/>
      <c r="AO203" s="133"/>
    </row>
    <row r="204" spans="1:41" x14ac:dyDescent="0.2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S204" s="133"/>
      <c r="T204" s="133"/>
      <c r="U204" s="133"/>
      <c r="V204" s="133"/>
      <c r="W204" s="133"/>
      <c r="X204" s="133"/>
      <c r="Y204" s="133"/>
      <c r="Z204" s="133"/>
      <c r="AA204" s="133"/>
      <c r="AB204" s="133"/>
      <c r="AC204" s="133"/>
      <c r="AD204" s="133"/>
      <c r="AE204" s="133"/>
      <c r="AF204" s="133"/>
      <c r="AG204" s="133"/>
      <c r="AH204" s="133"/>
      <c r="AI204" s="133"/>
      <c r="AJ204" s="133"/>
      <c r="AK204" s="133"/>
      <c r="AL204" s="133"/>
      <c r="AM204" s="133"/>
      <c r="AN204" s="133"/>
      <c r="AO204" s="133"/>
    </row>
    <row r="205" spans="1:41" x14ac:dyDescent="0.2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S205" s="133"/>
      <c r="T205" s="133"/>
      <c r="U205" s="133"/>
      <c r="V205" s="133"/>
      <c r="W205" s="133"/>
      <c r="X205" s="133"/>
      <c r="Y205" s="133"/>
      <c r="Z205" s="133"/>
      <c r="AA205" s="133"/>
      <c r="AB205" s="133"/>
      <c r="AC205" s="133"/>
      <c r="AD205" s="133"/>
      <c r="AE205" s="133"/>
      <c r="AF205" s="133"/>
      <c r="AG205" s="133"/>
      <c r="AH205" s="133"/>
      <c r="AI205" s="133"/>
      <c r="AJ205" s="133"/>
      <c r="AK205" s="133"/>
      <c r="AL205" s="133"/>
      <c r="AM205" s="133"/>
      <c r="AN205" s="133"/>
      <c r="AO205" s="133"/>
    </row>
    <row r="206" spans="1:41" x14ac:dyDescent="0.2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S206" s="133"/>
      <c r="T206" s="133"/>
      <c r="U206" s="133"/>
      <c r="V206" s="133"/>
      <c r="W206" s="133"/>
      <c r="X206" s="133"/>
      <c r="Y206" s="133"/>
      <c r="Z206" s="133"/>
      <c r="AA206" s="133"/>
      <c r="AB206" s="133"/>
      <c r="AC206" s="133"/>
      <c r="AD206" s="133"/>
      <c r="AE206" s="133"/>
      <c r="AF206" s="133"/>
      <c r="AG206" s="133"/>
      <c r="AH206" s="133"/>
      <c r="AI206" s="133"/>
      <c r="AJ206" s="133"/>
      <c r="AK206" s="133"/>
      <c r="AL206" s="133"/>
      <c r="AM206" s="133"/>
      <c r="AN206" s="133"/>
      <c r="AO206" s="133"/>
    </row>
    <row r="207" spans="1:41" x14ac:dyDescent="0.2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S207" s="133"/>
      <c r="T207" s="133"/>
      <c r="U207" s="133"/>
      <c r="V207" s="133"/>
      <c r="W207" s="133"/>
      <c r="X207" s="133"/>
      <c r="Y207" s="133"/>
      <c r="Z207" s="133"/>
      <c r="AA207" s="133"/>
      <c r="AB207" s="133"/>
      <c r="AC207" s="133"/>
      <c r="AD207" s="133"/>
      <c r="AE207" s="133"/>
      <c r="AF207" s="133"/>
      <c r="AG207" s="133"/>
      <c r="AH207" s="133"/>
      <c r="AI207" s="133"/>
      <c r="AJ207" s="133"/>
      <c r="AK207" s="133"/>
      <c r="AL207" s="133"/>
      <c r="AM207" s="133"/>
      <c r="AN207" s="133"/>
      <c r="AO207" s="133"/>
    </row>
    <row r="208" spans="1:41" x14ac:dyDescent="0.2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S208" s="133"/>
      <c r="T208" s="133"/>
      <c r="U208" s="133"/>
      <c r="V208" s="133"/>
      <c r="W208" s="133"/>
      <c r="X208" s="133"/>
      <c r="Y208" s="133"/>
      <c r="Z208" s="133"/>
      <c r="AA208" s="133"/>
      <c r="AB208" s="133"/>
      <c r="AC208" s="133"/>
      <c r="AD208" s="133"/>
      <c r="AE208" s="133"/>
      <c r="AF208" s="133"/>
      <c r="AG208" s="133"/>
      <c r="AH208" s="133"/>
      <c r="AI208" s="133"/>
      <c r="AJ208" s="133"/>
      <c r="AK208" s="133"/>
      <c r="AL208" s="133"/>
      <c r="AM208" s="133"/>
      <c r="AN208" s="133"/>
      <c r="AO208" s="133"/>
    </row>
    <row r="209" spans="1:41" x14ac:dyDescent="0.2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S209" s="133"/>
      <c r="T209" s="133"/>
      <c r="U209" s="133"/>
      <c r="V209" s="133"/>
      <c r="W209" s="133"/>
      <c r="X209" s="133"/>
      <c r="Y209" s="133"/>
      <c r="Z209" s="133"/>
      <c r="AA209" s="133"/>
      <c r="AB209" s="133"/>
      <c r="AC209" s="133"/>
      <c r="AD209" s="133"/>
      <c r="AE209" s="133"/>
      <c r="AF209" s="133"/>
      <c r="AG209" s="133"/>
      <c r="AH209" s="133"/>
      <c r="AI209" s="133"/>
      <c r="AJ209" s="133"/>
      <c r="AK209" s="133"/>
      <c r="AL209" s="133"/>
      <c r="AM209" s="133"/>
      <c r="AN209" s="133"/>
      <c r="AO209" s="133"/>
    </row>
    <row r="210" spans="1:41" x14ac:dyDescent="0.2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S210" s="133"/>
      <c r="T210" s="133"/>
      <c r="U210" s="133"/>
      <c r="V210" s="133"/>
      <c r="W210" s="133"/>
      <c r="X210" s="133"/>
      <c r="Y210" s="133"/>
      <c r="Z210" s="133"/>
      <c r="AA210" s="133"/>
      <c r="AB210" s="133"/>
      <c r="AC210" s="133"/>
      <c r="AD210" s="133"/>
      <c r="AE210" s="133"/>
      <c r="AF210" s="133"/>
      <c r="AG210" s="133"/>
      <c r="AH210" s="133"/>
      <c r="AI210" s="133"/>
      <c r="AJ210" s="133"/>
      <c r="AK210" s="133"/>
      <c r="AL210" s="133"/>
      <c r="AM210" s="133"/>
      <c r="AN210" s="133"/>
      <c r="AO210" s="133"/>
    </row>
    <row r="211" spans="1:41" x14ac:dyDescent="0.2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S211" s="133"/>
      <c r="T211" s="133"/>
      <c r="U211" s="133"/>
      <c r="V211" s="133"/>
      <c r="W211" s="133"/>
      <c r="X211" s="133"/>
      <c r="Y211" s="133"/>
      <c r="Z211" s="133"/>
      <c r="AA211" s="133"/>
      <c r="AB211" s="133"/>
      <c r="AC211" s="133"/>
      <c r="AD211" s="133"/>
      <c r="AE211" s="133"/>
      <c r="AF211" s="133"/>
      <c r="AG211" s="133"/>
      <c r="AH211" s="133"/>
      <c r="AI211" s="133"/>
      <c r="AJ211" s="133"/>
      <c r="AK211" s="133"/>
      <c r="AL211" s="133"/>
      <c r="AM211" s="133"/>
      <c r="AN211" s="133"/>
      <c r="AO211" s="133"/>
    </row>
    <row r="212" spans="1:41" x14ac:dyDescent="0.2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S212" s="133"/>
      <c r="T212" s="133"/>
      <c r="U212" s="133"/>
      <c r="V212" s="133"/>
      <c r="W212" s="133"/>
      <c r="X212" s="133"/>
      <c r="Y212" s="133"/>
      <c r="Z212" s="133"/>
      <c r="AA212" s="133"/>
      <c r="AB212" s="133"/>
      <c r="AC212" s="133"/>
      <c r="AD212" s="133"/>
      <c r="AE212" s="133"/>
      <c r="AF212" s="133"/>
      <c r="AG212" s="133"/>
      <c r="AH212" s="133"/>
      <c r="AI212" s="133"/>
      <c r="AJ212" s="133"/>
      <c r="AK212" s="133"/>
      <c r="AL212" s="133"/>
      <c r="AM212" s="133"/>
      <c r="AN212" s="133"/>
      <c r="AO212" s="133"/>
    </row>
    <row r="213" spans="1:41" x14ac:dyDescent="0.2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S213" s="133"/>
      <c r="T213" s="133"/>
      <c r="U213" s="133"/>
      <c r="V213" s="133"/>
      <c r="W213" s="133"/>
      <c r="X213" s="133"/>
      <c r="Y213" s="133"/>
      <c r="Z213" s="133"/>
      <c r="AA213" s="133"/>
      <c r="AB213" s="133"/>
      <c r="AC213" s="133"/>
      <c r="AD213" s="133"/>
      <c r="AE213" s="133"/>
      <c r="AF213" s="133"/>
      <c r="AG213" s="133"/>
      <c r="AH213" s="133"/>
      <c r="AI213" s="133"/>
      <c r="AJ213" s="133"/>
      <c r="AK213" s="133"/>
      <c r="AL213" s="133"/>
      <c r="AM213" s="133"/>
      <c r="AN213" s="133"/>
      <c r="AO213" s="133"/>
    </row>
    <row r="214" spans="1:41" x14ac:dyDescent="0.2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S214" s="133"/>
      <c r="T214" s="133"/>
      <c r="U214" s="133"/>
      <c r="V214" s="133"/>
      <c r="W214" s="133"/>
      <c r="X214" s="133"/>
      <c r="Y214" s="133"/>
      <c r="Z214" s="133"/>
      <c r="AA214" s="133"/>
      <c r="AB214" s="133"/>
      <c r="AC214" s="133"/>
      <c r="AD214" s="133"/>
      <c r="AE214" s="133"/>
      <c r="AF214" s="133"/>
      <c r="AG214" s="133"/>
      <c r="AH214" s="133"/>
      <c r="AI214" s="133"/>
      <c r="AJ214" s="133"/>
      <c r="AK214" s="133"/>
      <c r="AL214" s="133"/>
      <c r="AM214" s="133"/>
      <c r="AN214" s="133"/>
      <c r="AO214" s="133"/>
    </row>
    <row r="215" spans="1:41" x14ac:dyDescent="0.2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S215" s="133"/>
      <c r="T215" s="133"/>
      <c r="U215" s="133"/>
      <c r="V215" s="133"/>
      <c r="W215" s="133"/>
      <c r="X215" s="133"/>
      <c r="Y215" s="133"/>
      <c r="Z215" s="133"/>
      <c r="AA215" s="133"/>
      <c r="AB215" s="133"/>
      <c r="AC215" s="133"/>
      <c r="AD215" s="133"/>
      <c r="AE215" s="133"/>
      <c r="AF215" s="133"/>
      <c r="AG215" s="133"/>
      <c r="AH215" s="133"/>
      <c r="AI215" s="133"/>
      <c r="AJ215" s="133"/>
      <c r="AK215" s="133"/>
      <c r="AL215" s="133"/>
      <c r="AM215" s="133"/>
      <c r="AN215" s="133"/>
      <c r="AO215" s="133"/>
    </row>
    <row r="216" spans="1:41" x14ac:dyDescent="0.2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S216" s="133"/>
      <c r="T216" s="133"/>
      <c r="U216" s="133"/>
      <c r="V216" s="133"/>
      <c r="W216" s="133"/>
      <c r="X216" s="133"/>
      <c r="Y216" s="133"/>
      <c r="Z216" s="133"/>
      <c r="AA216" s="133"/>
      <c r="AB216" s="133"/>
      <c r="AC216" s="133"/>
      <c r="AD216" s="133"/>
      <c r="AE216" s="133"/>
      <c r="AF216" s="133"/>
      <c r="AG216" s="133"/>
      <c r="AH216" s="133"/>
      <c r="AI216" s="133"/>
      <c r="AJ216" s="133"/>
      <c r="AK216" s="133"/>
      <c r="AL216" s="133"/>
      <c r="AM216" s="133"/>
      <c r="AN216" s="133"/>
      <c r="AO216" s="133"/>
    </row>
    <row r="217" spans="1:41" x14ac:dyDescent="0.2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S217" s="133"/>
      <c r="T217" s="133"/>
      <c r="U217" s="133"/>
      <c r="V217" s="133"/>
      <c r="W217" s="133"/>
      <c r="X217" s="133"/>
      <c r="Y217" s="133"/>
      <c r="Z217" s="133"/>
      <c r="AA217" s="133"/>
      <c r="AB217" s="133"/>
      <c r="AC217" s="133"/>
      <c r="AD217" s="133"/>
      <c r="AE217" s="133"/>
      <c r="AF217" s="133"/>
      <c r="AG217" s="133"/>
      <c r="AH217" s="133"/>
      <c r="AI217" s="133"/>
      <c r="AJ217" s="133"/>
      <c r="AK217" s="133"/>
      <c r="AL217" s="133"/>
      <c r="AM217" s="133"/>
      <c r="AN217" s="133"/>
      <c r="AO217" s="133"/>
    </row>
    <row r="218" spans="1:41" x14ac:dyDescent="0.2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S218" s="133"/>
      <c r="T218" s="133"/>
      <c r="U218" s="133"/>
      <c r="V218" s="133"/>
      <c r="W218" s="133"/>
      <c r="X218" s="133"/>
      <c r="Y218" s="133"/>
      <c r="Z218" s="133"/>
      <c r="AA218" s="133"/>
      <c r="AB218" s="133"/>
      <c r="AC218" s="133"/>
      <c r="AD218" s="133"/>
      <c r="AE218" s="133"/>
      <c r="AF218" s="133"/>
      <c r="AG218" s="133"/>
      <c r="AH218" s="133"/>
      <c r="AI218" s="133"/>
      <c r="AJ218" s="133"/>
      <c r="AK218" s="133"/>
      <c r="AL218" s="133"/>
      <c r="AM218" s="133"/>
      <c r="AN218" s="133"/>
      <c r="AO218" s="133"/>
    </row>
    <row r="219" spans="1:41" x14ac:dyDescent="0.2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S219" s="133"/>
      <c r="T219" s="133"/>
      <c r="U219" s="133"/>
      <c r="V219" s="133"/>
      <c r="W219" s="133"/>
      <c r="X219" s="133"/>
      <c r="Y219" s="133"/>
      <c r="Z219" s="133"/>
      <c r="AA219" s="133"/>
      <c r="AB219" s="133"/>
      <c r="AC219" s="133"/>
      <c r="AD219" s="133"/>
      <c r="AE219" s="133"/>
      <c r="AF219" s="133"/>
      <c r="AG219" s="133"/>
      <c r="AH219" s="133"/>
      <c r="AI219" s="133"/>
      <c r="AJ219" s="133"/>
      <c r="AK219" s="133"/>
      <c r="AL219" s="133"/>
      <c r="AM219" s="133"/>
      <c r="AN219" s="133"/>
      <c r="AO219" s="133"/>
    </row>
    <row r="220" spans="1:41" x14ac:dyDescent="0.2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S220" s="133"/>
      <c r="T220" s="133"/>
      <c r="U220" s="133"/>
      <c r="V220" s="133"/>
      <c r="W220" s="133"/>
      <c r="X220" s="133"/>
      <c r="Y220" s="133"/>
      <c r="Z220" s="133"/>
      <c r="AA220" s="133"/>
      <c r="AB220" s="133"/>
      <c r="AC220" s="133"/>
      <c r="AD220" s="133"/>
      <c r="AE220" s="133"/>
      <c r="AF220" s="133"/>
      <c r="AG220" s="133"/>
      <c r="AH220" s="133"/>
      <c r="AI220" s="133"/>
      <c r="AJ220" s="133"/>
      <c r="AK220" s="133"/>
      <c r="AL220" s="133"/>
      <c r="AM220" s="133"/>
      <c r="AN220" s="133"/>
      <c r="AO220" s="133"/>
    </row>
    <row r="221" spans="1:41" x14ac:dyDescent="0.2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S221" s="133"/>
      <c r="T221" s="133"/>
      <c r="U221" s="133"/>
      <c r="V221" s="133"/>
      <c r="W221" s="133"/>
      <c r="X221" s="133"/>
      <c r="Y221" s="133"/>
      <c r="Z221" s="133"/>
      <c r="AA221" s="133"/>
      <c r="AB221" s="133"/>
      <c r="AC221" s="133"/>
      <c r="AD221" s="133"/>
      <c r="AE221" s="133"/>
      <c r="AF221" s="133"/>
      <c r="AG221" s="133"/>
      <c r="AH221" s="133"/>
      <c r="AI221" s="133"/>
      <c r="AJ221" s="133"/>
      <c r="AK221" s="133"/>
      <c r="AL221" s="133"/>
      <c r="AM221" s="133"/>
      <c r="AN221" s="133"/>
      <c r="AO221" s="133"/>
    </row>
    <row r="222" spans="1:41" x14ac:dyDescent="0.2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S222" s="133"/>
      <c r="T222" s="133"/>
      <c r="U222" s="133"/>
      <c r="V222" s="133"/>
      <c r="W222" s="133"/>
      <c r="X222" s="133"/>
      <c r="Y222" s="133"/>
      <c r="Z222" s="133"/>
      <c r="AA222" s="133"/>
      <c r="AB222" s="133"/>
      <c r="AC222" s="133"/>
      <c r="AD222" s="133"/>
      <c r="AE222" s="133"/>
      <c r="AF222" s="133"/>
      <c r="AG222" s="133"/>
      <c r="AH222" s="133"/>
      <c r="AI222" s="133"/>
      <c r="AJ222" s="133"/>
      <c r="AK222" s="133"/>
      <c r="AL222" s="133"/>
      <c r="AM222" s="133"/>
      <c r="AN222" s="133"/>
      <c r="AO222" s="133"/>
    </row>
    <row r="223" spans="1:41" x14ac:dyDescent="0.2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S223" s="133"/>
      <c r="T223" s="133"/>
      <c r="U223" s="133"/>
      <c r="V223" s="133"/>
      <c r="W223" s="133"/>
      <c r="X223" s="133"/>
      <c r="Y223" s="133"/>
      <c r="Z223" s="133"/>
      <c r="AA223" s="133"/>
      <c r="AB223" s="133"/>
      <c r="AC223" s="133"/>
      <c r="AD223" s="133"/>
      <c r="AE223" s="133"/>
      <c r="AF223" s="133"/>
      <c r="AG223" s="133"/>
      <c r="AH223" s="133"/>
      <c r="AI223" s="133"/>
      <c r="AJ223" s="133"/>
      <c r="AK223" s="133"/>
      <c r="AL223" s="133"/>
      <c r="AM223" s="133"/>
      <c r="AN223" s="133"/>
      <c r="AO223" s="133"/>
    </row>
    <row r="224" spans="1:41" x14ac:dyDescent="0.2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S224" s="133"/>
      <c r="T224" s="133"/>
      <c r="U224" s="133"/>
      <c r="V224" s="133"/>
      <c r="W224" s="133"/>
      <c r="X224" s="133"/>
      <c r="Y224" s="133"/>
      <c r="Z224" s="133"/>
      <c r="AA224" s="133"/>
      <c r="AB224" s="133"/>
      <c r="AC224" s="133"/>
      <c r="AD224" s="133"/>
      <c r="AE224" s="133"/>
      <c r="AF224" s="133"/>
      <c r="AG224" s="133"/>
      <c r="AH224" s="133"/>
      <c r="AI224" s="133"/>
      <c r="AJ224" s="133"/>
      <c r="AK224" s="133"/>
      <c r="AL224" s="133"/>
      <c r="AM224" s="133"/>
      <c r="AN224" s="133"/>
      <c r="AO224" s="133"/>
    </row>
    <row r="225" spans="1:41" x14ac:dyDescent="0.2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S225" s="133"/>
      <c r="T225" s="133"/>
      <c r="U225" s="133"/>
      <c r="V225" s="133"/>
      <c r="W225" s="133"/>
      <c r="X225" s="133"/>
      <c r="Y225" s="133"/>
      <c r="Z225" s="133"/>
      <c r="AA225" s="133"/>
      <c r="AB225" s="133"/>
      <c r="AC225" s="133"/>
      <c r="AD225" s="133"/>
      <c r="AE225" s="133"/>
      <c r="AF225" s="133"/>
      <c r="AG225" s="133"/>
      <c r="AH225" s="133"/>
      <c r="AI225" s="133"/>
      <c r="AJ225" s="133"/>
      <c r="AK225" s="133"/>
      <c r="AL225" s="133"/>
      <c r="AM225" s="133"/>
      <c r="AN225" s="133"/>
      <c r="AO225" s="133"/>
    </row>
    <row r="226" spans="1:41" x14ac:dyDescent="0.2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S226" s="133"/>
      <c r="T226" s="133"/>
      <c r="U226" s="133"/>
      <c r="V226" s="133"/>
      <c r="W226" s="133"/>
      <c r="X226" s="133"/>
      <c r="Y226" s="133"/>
      <c r="Z226" s="133"/>
      <c r="AA226" s="133"/>
      <c r="AB226" s="133"/>
      <c r="AC226" s="133"/>
      <c r="AD226" s="133"/>
      <c r="AE226" s="133"/>
      <c r="AF226" s="133"/>
      <c r="AG226" s="133"/>
      <c r="AH226" s="133"/>
      <c r="AI226" s="133"/>
      <c r="AJ226" s="133"/>
      <c r="AK226" s="133"/>
      <c r="AL226" s="133"/>
      <c r="AM226" s="133"/>
      <c r="AN226" s="133"/>
      <c r="AO226" s="133"/>
    </row>
    <row r="227" spans="1:41" x14ac:dyDescent="0.2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S227" s="133"/>
      <c r="T227" s="133"/>
      <c r="U227" s="133"/>
      <c r="V227" s="133"/>
      <c r="W227" s="133"/>
      <c r="X227" s="133"/>
      <c r="Y227" s="133"/>
      <c r="Z227" s="133"/>
      <c r="AA227" s="133"/>
      <c r="AB227" s="133"/>
      <c r="AC227" s="133"/>
      <c r="AD227" s="133"/>
      <c r="AE227" s="133"/>
      <c r="AF227" s="133"/>
      <c r="AG227" s="133"/>
      <c r="AH227" s="133"/>
      <c r="AI227" s="133"/>
      <c r="AJ227" s="133"/>
      <c r="AK227" s="133"/>
      <c r="AL227" s="133"/>
      <c r="AM227" s="133"/>
      <c r="AN227" s="133"/>
      <c r="AO227" s="133"/>
    </row>
    <row r="228" spans="1:41" x14ac:dyDescent="0.2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S228" s="133"/>
      <c r="T228" s="133"/>
      <c r="U228" s="133"/>
      <c r="V228" s="133"/>
      <c r="W228" s="133"/>
      <c r="X228" s="133"/>
      <c r="Y228" s="133"/>
      <c r="Z228" s="133"/>
      <c r="AA228" s="133"/>
      <c r="AB228" s="133"/>
      <c r="AC228" s="133"/>
      <c r="AD228" s="133"/>
      <c r="AE228" s="133"/>
      <c r="AF228" s="133"/>
      <c r="AG228" s="133"/>
      <c r="AH228" s="133"/>
      <c r="AI228" s="133"/>
      <c r="AJ228" s="133"/>
      <c r="AK228" s="133"/>
      <c r="AL228" s="133"/>
      <c r="AM228" s="133"/>
      <c r="AN228" s="133"/>
      <c r="AO228" s="133"/>
    </row>
    <row r="229" spans="1:41" x14ac:dyDescent="0.2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S229" s="133"/>
      <c r="T229" s="133"/>
      <c r="U229" s="133"/>
      <c r="V229" s="133"/>
      <c r="W229" s="133"/>
      <c r="X229" s="133"/>
      <c r="Y229" s="133"/>
      <c r="Z229" s="133"/>
      <c r="AA229" s="133"/>
      <c r="AB229" s="133"/>
      <c r="AC229" s="133"/>
      <c r="AD229" s="133"/>
      <c r="AE229" s="133"/>
      <c r="AF229" s="133"/>
      <c r="AG229" s="133"/>
      <c r="AH229" s="133"/>
      <c r="AI229" s="133"/>
      <c r="AJ229" s="133"/>
      <c r="AK229" s="133"/>
      <c r="AL229" s="133"/>
      <c r="AM229" s="133"/>
      <c r="AN229" s="133"/>
      <c r="AO229" s="133"/>
    </row>
    <row r="230" spans="1:41" x14ac:dyDescent="0.2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S230" s="133"/>
      <c r="T230" s="133"/>
      <c r="U230" s="133"/>
      <c r="V230" s="133"/>
      <c r="W230" s="133"/>
      <c r="X230" s="133"/>
      <c r="Y230" s="133"/>
      <c r="Z230" s="133"/>
      <c r="AA230" s="133"/>
      <c r="AB230" s="133"/>
      <c r="AC230" s="133"/>
      <c r="AD230" s="133"/>
      <c r="AE230" s="133"/>
      <c r="AF230" s="133"/>
      <c r="AG230" s="133"/>
      <c r="AH230" s="133"/>
      <c r="AI230" s="133"/>
      <c r="AJ230" s="133"/>
      <c r="AK230" s="133"/>
      <c r="AL230" s="133"/>
      <c r="AM230" s="133"/>
      <c r="AN230" s="133"/>
      <c r="AO230" s="133"/>
    </row>
    <row r="231" spans="1:41" x14ac:dyDescent="0.2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S231" s="133"/>
      <c r="T231" s="133"/>
      <c r="U231" s="133"/>
      <c r="V231" s="133"/>
      <c r="W231" s="133"/>
      <c r="X231" s="133"/>
      <c r="Y231" s="133"/>
      <c r="Z231" s="133"/>
      <c r="AA231" s="133"/>
      <c r="AB231" s="133"/>
      <c r="AC231" s="133"/>
      <c r="AD231" s="133"/>
      <c r="AE231" s="133"/>
      <c r="AF231" s="133"/>
      <c r="AG231" s="133"/>
      <c r="AH231" s="133"/>
      <c r="AI231" s="133"/>
      <c r="AJ231" s="133"/>
      <c r="AK231" s="133"/>
      <c r="AL231" s="133"/>
      <c r="AM231" s="133"/>
      <c r="AN231" s="133"/>
      <c r="AO231" s="133"/>
    </row>
    <row r="232" spans="1:41" x14ac:dyDescent="0.2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S232" s="133"/>
      <c r="T232" s="133"/>
      <c r="U232" s="133"/>
      <c r="V232" s="133"/>
      <c r="W232" s="133"/>
      <c r="X232" s="133"/>
      <c r="Y232" s="133"/>
      <c r="Z232" s="133"/>
      <c r="AA232" s="133"/>
      <c r="AB232" s="133"/>
      <c r="AC232" s="133"/>
      <c r="AD232" s="133"/>
      <c r="AE232" s="133"/>
      <c r="AF232" s="133"/>
      <c r="AG232" s="133"/>
      <c r="AH232" s="133"/>
      <c r="AI232" s="133"/>
      <c r="AJ232" s="133"/>
      <c r="AK232" s="133"/>
      <c r="AL232" s="133"/>
      <c r="AM232" s="133"/>
      <c r="AN232" s="133"/>
      <c r="AO232" s="133"/>
    </row>
    <row r="233" spans="1:41" x14ac:dyDescent="0.2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S233" s="133"/>
      <c r="T233" s="133"/>
      <c r="U233" s="133"/>
      <c r="V233" s="133"/>
      <c r="W233" s="133"/>
      <c r="X233" s="133"/>
      <c r="Y233" s="133"/>
      <c r="Z233" s="133"/>
      <c r="AA233" s="133"/>
      <c r="AB233" s="133"/>
      <c r="AC233" s="133"/>
      <c r="AD233" s="133"/>
      <c r="AE233" s="133"/>
      <c r="AF233" s="133"/>
      <c r="AG233" s="133"/>
      <c r="AH233" s="133"/>
      <c r="AI233" s="133"/>
      <c r="AJ233" s="133"/>
      <c r="AK233" s="133"/>
      <c r="AL233" s="133"/>
      <c r="AM233" s="133"/>
      <c r="AN233" s="133"/>
      <c r="AO233" s="133"/>
    </row>
    <row r="234" spans="1:41" x14ac:dyDescent="0.2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S234" s="133"/>
      <c r="T234" s="133"/>
      <c r="U234" s="133"/>
      <c r="V234" s="133"/>
      <c r="W234" s="133"/>
      <c r="X234" s="133"/>
      <c r="Y234" s="133"/>
      <c r="Z234" s="133"/>
      <c r="AA234" s="133"/>
      <c r="AB234" s="133"/>
      <c r="AC234" s="133"/>
      <c r="AD234" s="133"/>
      <c r="AE234" s="133"/>
      <c r="AF234" s="133"/>
      <c r="AG234" s="133"/>
      <c r="AH234" s="133"/>
      <c r="AI234" s="133"/>
      <c r="AJ234" s="133"/>
      <c r="AK234" s="133"/>
      <c r="AL234" s="133"/>
      <c r="AM234" s="133"/>
      <c r="AN234" s="133"/>
      <c r="AO234" s="133"/>
    </row>
    <row r="235" spans="1:41" x14ac:dyDescent="0.2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S235" s="133"/>
      <c r="T235" s="133"/>
      <c r="U235" s="133"/>
      <c r="V235" s="133"/>
      <c r="W235" s="133"/>
      <c r="X235" s="133"/>
      <c r="Y235" s="133"/>
      <c r="Z235" s="133"/>
      <c r="AA235" s="133"/>
      <c r="AB235" s="133"/>
      <c r="AC235" s="133"/>
      <c r="AD235" s="133"/>
      <c r="AE235" s="133"/>
      <c r="AF235" s="133"/>
      <c r="AG235" s="133"/>
      <c r="AH235" s="133"/>
      <c r="AI235" s="133"/>
      <c r="AJ235" s="133"/>
      <c r="AK235" s="133"/>
      <c r="AL235" s="133"/>
      <c r="AM235" s="133"/>
      <c r="AN235" s="133"/>
      <c r="AO235" s="133"/>
    </row>
    <row r="236" spans="1:41" x14ac:dyDescent="0.2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S236" s="133"/>
      <c r="T236" s="133"/>
      <c r="U236" s="133"/>
      <c r="V236" s="133"/>
      <c r="W236" s="133"/>
      <c r="X236" s="133"/>
      <c r="Y236" s="133"/>
      <c r="Z236" s="133"/>
      <c r="AA236" s="133"/>
      <c r="AB236" s="133"/>
      <c r="AC236" s="133"/>
      <c r="AD236" s="133"/>
      <c r="AE236" s="133"/>
      <c r="AF236" s="133"/>
      <c r="AG236" s="133"/>
      <c r="AH236" s="133"/>
      <c r="AI236" s="133"/>
      <c r="AJ236" s="133"/>
      <c r="AK236" s="133"/>
      <c r="AL236" s="133"/>
      <c r="AM236" s="133"/>
      <c r="AN236" s="133"/>
      <c r="AO236" s="133"/>
    </row>
    <row r="237" spans="1:41" x14ac:dyDescent="0.2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S237" s="133"/>
      <c r="T237" s="133"/>
      <c r="U237" s="133"/>
      <c r="V237" s="133"/>
      <c r="W237" s="133"/>
      <c r="X237" s="133"/>
      <c r="Y237" s="133"/>
      <c r="Z237" s="133"/>
      <c r="AA237" s="133"/>
      <c r="AB237" s="133"/>
      <c r="AC237" s="133"/>
      <c r="AD237" s="133"/>
      <c r="AE237" s="133"/>
      <c r="AF237" s="133"/>
      <c r="AG237" s="133"/>
      <c r="AH237" s="133"/>
      <c r="AI237" s="133"/>
      <c r="AJ237" s="133"/>
      <c r="AK237" s="133"/>
      <c r="AL237" s="133"/>
      <c r="AM237" s="133"/>
      <c r="AN237" s="133"/>
      <c r="AO237" s="133"/>
    </row>
    <row r="238" spans="1:41" x14ac:dyDescent="0.2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S238" s="133"/>
      <c r="T238" s="133"/>
      <c r="U238" s="133"/>
      <c r="V238" s="133"/>
      <c r="W238" s="133"/>
      <c r="X238" s="133"/>
      <c r="Y238" s="133"/>
      <c r="Z238" s="133"/>
      <c r="AA238" s="133"/>
      <c r="AB238" s="133"/>
      <c r="AC238" s="133"/>
      <c r="AD238" s="133"/>
      <c r="AE238" s="133"/>
      <c r="AF238" s="133"/>
      <c r="AG238" s="133"/>
      <c r="AH238" s="133"/>
      <c r="AI238" s="133"/>
      <c r="AJ238" s="133"/>
      <c r="AK238" s="133"/>
      <c r="AL238" s="133"/>
      <c r="AM238" s="133"/>
      <c r="AN238" s="133"/>
      <c r="AO238" s="133"/>
    </row>
    <row r="239" spans="1:41" x14ac:dyDescent="0.2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S239" s="133"/>
      <c r="T239" s="133"/>
      <c r="U239" s="133"/>
      <c r="V239" s="133"/>
      <c r="W239" s="133"/>
      <c r="X239" s="133"/>
      <c r="Y239" s="133"/>
      <c r="Z239" s="133"/>
      <c r="AA239" s="133"/>
      <c r="AB239" s="133"/>
      <c r="AC239" s="133"/>
      <c r="AD239" s="133"/>
      <c r="AE239" s="133"/>
      <c r="AF239" s="133"/>
      <c r="AG239" s="133"/>
      <c r="AH239" s="133"/>
      <c r="AI239" s="133"/>
      <c r="AJ239" s="133"/>
      <c r="AK239" s="133"/>
      <c r="AL239" s="133"/>
      <c r="AM239" s="133"/>
      <c r="AN239" s="133"/>
      <c r="AO239" s="133"/>
    </row>
    <row r="240" spans="1:41" x14ac:dyDescent="0.2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S240" s="133"/>
      <c r="T240" s="133"/>
      <c r="U240" s="133"/>
      <c r="V240" s="133"/>
      <c r="W240" s="133"/>
      <c r="X240" s="133"/>
      <c r="Y240" s="133"/>
      <c r="Z240" s="133"/>
      <c r="AA240" s="133"/>
      <c r="AB240" s="133"/>
      <c r="AC240" s="133"/>
      <c r="AD240" s="133"/>
      <c r="AE240" s="133"/>
      <c r="AF240" s="133"/>
      <c r="AG240" s="133"/>
      <c r="AH240" s="133"/>
      <c r="AI240" s="133"/>
      <c r="AJ240" s="133"/>
      <c r="AK240" s="133"/>
      <c r="AL240" s="133"/>
      <c r="AM240" s="133"/>
      <c r="AN240" s="133"/>
      <c r="AO240" s="133"/>
    </row>
    <row r="241" spans="1:41" x14ac:dyDescent="0.2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S241" s="133"/>
      <c r="T241" s="133"/>
      <c r="U241" s="133"/>
      <c r="V241" s="133"/>
      <c r="W241" s="133"/>
      <c r="X241" s="133"/>
      <c r="Y241" s="133"/>
      <c r="Z241" s="133"/>
      <c r="AA241" s="133"/>
      <c r="AB241" s="133"/>
      <c r="AC241" s="133"/>
      <c r="AD241" s="133"/>
      <c r="AE241" s="133"/>
      <c r="AF241" s="133"/>
      <c r="AG241" s="133"/>
      <c r="AH241" s="133"/>
      <c r="AI241" s="133"/>
      <c r="AJ241" s="133"/>
      <c r="AK241" s="133"/>
      <c r="AL241" s="133"/>
      <c r="AM241" s="133"/>
      <c r="AN241" s="133"/>
      <c r="AO241" s="133"/>
    </row>
    <row r="242" spans="1:41" x14ac:dyDescent="0.2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S242" s="133"/>
      <c r="T242" s="133"/>
      <c r="U242" s="133"/>
      <c r="V242" s="133"/>
      <c r="W242" s="133"/>
      <c r="X242" s="133"/>
      <c r="Y242" s="133"/>
      <c r="Z242" s="133"/>
      <c r="AA242" s="133"/>
      <c r="AB242" s="133"/>
      <c r="AC242" s="133"/>
      <c r="AD242" s="133"/>
      <c r="AE242" s="133"/>
      <c r="AF242" s="133"/>
      <c r="AG242" s="133"/>
      <c r="AH242" s="133"/>
      <c r="AI242" s="133"/>
      <c r="AJ242" s="133"/>
      <c r="AK242" s="133"/>
      <c r="AL242" s="133"/>
      <c r="AM242" s="133"/>
      <c r="AN242" s="133"/>
      <c r="AO242" s="133"/>
    </row>
    <row r="243" spans="1:41" x14ac:dyDescent="0.2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S243" s="133"/>
      <c r="T243" s="133"/>
      <c r="U243" s="133"/>
      <c r="V243" s="133"/>
      <c r="W243" s="133"/>
      <c r="X243" s="133"/>
      <c r="Y243" s="133"/>
      <c r="Z243" s="133"/>
      <c r="AA243" s="133"/>
      <c r="AB243" s="133"/>
      <c r="AC243" s="133"/>
      <c r="AD243" s="133"/>
      <c r="AE243" s="133"/>
      <c r="AF243" s="133"/>
      <c r="AG243" s="133"/>
      <c r="AH243" s="133"/>
      <c r="AI243" s="133"/>
      <c r="AJ243" s="133"/>
      <c r="AK243" s="133"/>
      <c r="AL243" s="133"/>
      <c r="AM243" s="133"/>
      <c r="AN243" s="133"/>
      <c r="AO243" s="133"/>
    </row>
    <row r="244" spans="1:41" x14ac:dyDescent="0.2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S244" s="133"/>
      <c r="T244" s="133"/>
      <c r="U244" s="133"/>
      <c r="V244" s="133"/>
      <c r="W244" s="133"/>
      <c r="X244" s="133"/>
      <c r="Y244" s="133"/>
      <c r="Z244" s="133"/>
      <c r="AA244" s="133"/>
      <c r="AB244" s="133"/>
      <c r="AC244" s="133"/>
      <c r="AD244" s="133"/>
      <c r="AE244" s="133"/>
      <c r="AF244" s="133"/>
      <c r="AG244" s="133"/>
      <c r="AH244" s="133"/>
      <c r="AI244" s="133"/>
      <c r="AJ244" s="133"/>
      <c r="AK244" s="133"/>
      <c r="AL244" s="133"/>
      <c r="AM244" s="133"/>
      <c r="AN244" s="133"/>
      <c r="AO244" s="133"/>
    </row>
    <row r="245" spans="1:41" x14ac:dyDescent="0.2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S245" s="133"/>
      <c r="T245" s="133"/>
      <c r="U245" s="133"/>
      <c r="V245" s="133"/>
      <c r="W245" s="133"/>
      <c r="X245" s="133"/>
      <c r="Y245" s="133"/>
      <c r="Z245" s="133"/>
      <c r="AA245" s="133"/>
      <c r="AB245" s="133"/>
      <c r="AC245" s="133"/>
      <c r="AD245" s="133"/>
      <c r="AE245" s="133"/>
      <c r="AF245" s="133"/>
      <c r="AG245" s="133"/>
      <c r="AH245" s="133"/>
      <c r="AI245" s="133"/>
      <c r="AJ245" s="133"/>
      <c r="AK245" s="133"/>
      <c r="AL245" s="133"/>
      <c r="AM245" s="133"/>
      <c r="AN245" s="133"/>
      <c r="AO245" s="133"/>
    </row>
    <row r="246" spans="1:41" x14ac:dyDescent="0.2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S246" s="133"/>
      <c r="T246" s="133"/>
      <c r="U246" s="133"/>
      <c r="V246" s="133"/>
      <c r="W246" s="133"/>
      <c r="X246" s="133"/>
      <c r="Y246" s="133"/>
      <c r="Z246" s="133"/>
      <c r="AA246" s="133"/>
      <c r="AB246" s="133"/>
      <c r="AC246" s="133"/>
      <c r="AD246" s="133"/>
      <c r="AE246" s="133"/>
      <c r="AF246" s="133"/>
      <c r="AG246" s="133"/>
      <c r="AH246" s="133"/>
      <c r="AI246" s="133"/>
      <c r="AJ246" s="133"/>
      <c r="AK246" s="133"/>
      <c r="AL246" s="133"/>
      <c r="AM246" s="133"/>
      <c r="AN246" s="133"/>
      <c r="AO246" s="133"/>
    </row>
    <row r="247" spans="1:41" x14ac:dyDescent="0.2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S247" s="133"/>
      <c r="T247" s="133"/>
      <c r="U247" s="133"/>
      <c r="V247" s="133"/>
      <c r="W247" s="133"/>
      <c r="X247" s="133"/>
      <c r="Y247" s="133"/>
      <c r="Z247" s="133"/>
      <c r="AA247" s="133"/>
      <c r="AB247" s="133"/>
      <c r="AC247" s="133"/>
      <c r="AD247" s="133"/>
      <c r="AE247" s="133"/>
      <c r="AF247" s="133"/>
      <c r="AG247" s="133"/>
      <c r="AH247" s="133"/>
      <c r="AI247" s="133"/>
      <c r="AJ247" s="133"/>
      <c r="AK247" s="133"/>
      <c r="AL247" s="133"/>
      <c r="AM247" s="133"/>
      <c r="AN247" s="133"/>
      <c r="AO247" s="133"/>
    </row>
    <row r="248" spans="1:41" x14ac:dyDescent="0.2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S248" s="133"/>
      <c r="T248" s="133"/>
      <c r="U248" s="133"/>
      <c r="V248" s="133"/>
      <c r="W248" s="133"/>
      <c r="X248" s="133"/>
      <c r="Y248" s="133"/>
      <c r="Z248" s="133"/>
      <c r="AA248" s="133"/>
      <c r="AB248" s="133"/>
      <c r="AC248" s="133"/>
      <c r="AD248" s="133"/>
      <c r="AE248" s="133"/>
      <c r="AF248" s="133"/>
      <c r="AG248" s="133"/>
      <c r="AH248" s="133"/>
      <c r="AI248" s="133"/>
      <c r="AJ248" s="133"/>
      <c r="AK248" s="133"/>
      <c r="AL248" s="133"/>
      <c r="AM248" s="133"/>
      <c r="AN248" s="133"/>
      <c r="AO248" s="133"/>
    </row>
    <row r="249" spans="1:41" x14ac:dyDescent="0.2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S249" s="133"/>
      <c r="T249" s="133"/>
      <c r="U249" s="133"/>
      <c r="V249" s="133"/>
      <c r="W249" s="133"/>
      <c r="X249" s="133"/>
      <c r="Y249" s="133"/>
      <c r="Z249" s="133"/>
      <c r="AA249" s="133"/>
      <c r="AB249" s="133"/>
      <c r="AC249" s="133"/>
      <c r="AD249" s="133"/>
      <c r="AE249" s="133"/>
      <c r="AF249" s="133"/>
      <c r="AG249" s="133"/>
      <c r="AH249" s="133"/>
      <c r="AI249" s="133"/>
      <c r="AJ249" s="133"/>
      <c r="AK249" s="133"/>
      <c r="AL249" s="133"/>
      <c r="AM249" s="133"/>
      <c r="AN249" s="133"/>
      <c r="AO249" s="133"/>
    </row>
    <row r="250" spans="1:41" x14ac:dyDescent="0.2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S250" s="133"/>
      <c r="T250" s="133"/>
      <c r="U250" s="133"/>
      <c r="V250" s="133"/>
      <c r="W250" s="133"/>
      <c r="X250" s="133"/>
      <c r="Y250" s="133"/>
      <c r="Z250" s="133"/>
      <c r="AA250" s="133"/>
      <c r="AB250" s="133"/>
      <c r="AC250" s="133"/>
      <c r="AD250" s="133"/>
      <c r="AE250" s="133"/>
      <c r="AF250" s="133"/>
      <c r="AG250" s="133"/>
      <c r="AH250" s="133"/>
      <c r="AI250" s="133"/>
      <c r="AJ250" s="133"/>
      <c r="AK250" s="133"/>
      <c r="AL250" s="133"/>
      <c r="AM250" s="133"/>
      <c r="AN250" s="133"/>
      <c r="AO250" s="133"/>
    </row>
    <row r="251" spans="1:41" x14ac:dyDescent="0.2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S251" s="133"/>
      <c r="T251" s="133"/>
      <c r="U251" s="133"/>
      <c r="V251" s="133"/>
      <c r="W251" s="133"/>
      <c r="X251" s="133"/>
      <c r="Y251" s="133"/>
      <c r="Z251" s="133"/>
      <c r="AA251" s="133"/>
      <c r="AB251" s="133"/>
      <c r="AC251" s="133"/>
      <c r="AD251" s="133"/>
      <c r="AE251" s="133"/>
      <c r="AF251" s="133"/>
      <c r="AG251" s="133"/>
      <c r="AH251" s="133"/>
      <c r="AI251" s="133"/>
      <c r="AJ251" s="133"/>
      <c r="AK251" s="133"/>
      <c r="AL251" s="133"/>
      <c r="AM251" s="133"/>
      <c r="AN251" s="133"/>
      <c r="AO251" s="133"/>
    </row>
    <row r="252" spans="1:41" x14ac:dyDescent="0.2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S252" s="133"/>
      <c r="T252" s="133"/>
      <c r="U252" s="133"/>
      <c r="V252" s="133"/>
      <c r="W252" s="133"/>
      <c r="X252" s="133"/>
      <c r="Y252" s="133"/>
      <c r="Z252" s="133"/>
      <c r="AA252" s="133"/>
      <c r="AB252" s="133"/>
      <c r="AC252" s="133"/>
      <c r="AD252" s="133"/>
      <c r="AE252" s="133"/>
      <c r="AF252" s="133"/>
      <c r="AG252" s="133"/>
      <c r="AH252" s="133"/>
      <c r="AI252" s="133"/>
      <c r="AJ252" s="133"/>
      <c r="AK252" s="133"/>
      <c r="AL252" s="133"/>
      <c r="AM252" s="133"/>
      <c r="AN252" s="133"/>
      <c r="AO252" s="133"/>
    </row>
    <row r="253" spans="1:41" x14ac:dyDescent="0.2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S253" s="133"/>
      <c r="T253" s="133"/>
      <c r="U253" s="133"/>
      <c r="V253" s="133"/>
      <c r="W253" s="133"/>
      <c r="X253" s="133"/>
      <c r="Y253" s="133"/>
      <c r="Z253" s="133"/>
      <c r="AA253" s="133"/>
      <c r="AB253" s="133"/>
      <c r="AC253" s="133"/>
      <c r="AD253" s="133"/>
      <c r="AE253" s="133"/>
      <c r="AF253" s="133"/>
      <c r="AG253" s="133"/>
      <c r="AH253" s="133"/>
      <c r="AI253" s="133"/>
      <c r="AJ253" s="133"/>
      <c r="AK253" s="133"/>
      <c r="AL253" s="133"/>
      <c r="AM253" s="133"/>
      <c r="AN253" s="133"/>
      <c r="AO253" s="133"/>
    </row>
    <row r="254" spans="1:41" x14ac:dyDescent="0.2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S254" s="133"/>
      <c r="T254" s="133"/>
      <c r="U254" s="133"/>
      <c r="V254" s="133"/>
      <c r="W254" s="133"/>
      <c r="X254" s="133"/>
      <c r="Y254" s="133"/>
      <c r="Z254" s="133"/>
      <c r="AA254" s="133"/>
      <c r="AB254" s="133"/>
      <c r="AC254" s="133"/>
      <c r="AD254" s="133"/>
      <c r="AE254" s="133"/>
      <c r="AF254" s="133"/>
      <c r="AG254" s="133"/>
      <c r="AH254" s="133"/>
      <c r="AI254" s="133"/>
      <c r="AJ254" s="133"/>
      <c r="AK254" s="133"/>
      <c r="AL254" s="133"/>
      <c r="AM254" s="133"/>
      <c r="AN254" s="133"/>
      <c r="AO254" s="133"/>
    </row>
    <row r="255" spans="1:41" x14ac:dyDescent="0.2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S255" s="133"/>
      <c r="T255" s="133"/>
      <c r="U255" s="133"/>
      <c r="V255" s="133"/>
      <c r="W255" s="133"/>
      <c r="X255" s="133"/>
      <c r="Y255" s="133"/>
      <c r="Z255" s="133"/>
      <c r="AA255" s="133"/>
      <c r="AB255" s="133"/>
      <c r="AC255" s="133"/>
      <c r="AD255" s="133"/>
      <c r="AE255" s="133"/>
      <c r="AF255" s="133"/>
      <c r="AG255" s="133"/>
      <c r="AH255" s="133"/>
      <c r="AI255" s="133"/>
      <c r="AJ255" s="133"/>
      <c r="AK255" s="133"/>
      <c r="AL255" s="133"/>
      <c r="AM255" s="133"/>
      <c r="AN255" s="133"/>
      <c r="AO255" s="133"/>
    </row>
    <row r="256" spans="1:41" x14ac:dyDescent="0.2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S256" s="133"/>
      <c r="T256" s="133"/>
      <c r="U256" s="133"/>
      <c r="V256" s="133"/>
      <c r="W256" s="133"/>
      <c r="X256" s="133"/>
      <c r="Y256" s="133"/>
      <c r="Z256" s="133"/>
      <c r="AA256" s="133"/>
      <c r="AB256" s="133"/>
      <c r="AC256" s="133"/>
      <c r="AD256" s="133"/>
      <c r="AE256" s="133"/>
      <c r="AF256" s="133"/>
      <c r="AG256" s="133"/>
      <c r="AH256" s="133"/>
      <c r="AI256" s="133"/>
      <c r="AJ256" s="133"/>
      <c r="AK256" s="133"/>
      <c r="AL256" s="133"/>
      <c r="AM256" s="133"/>
      <c r="AN256" s="133"/>
      <c r="AO256" s="133"/>
    </row>
    <row r="257" spans="1:41" x14ac:dyDescent="0.2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S257" s="133"/>
      <c r="T257" s="133"/>
      <c r="U257" s="133"/>
      <c r="V257" s="133"/>
      <c r="W257" s="133"/>
      <c r="X257" s="133"/>
      <c r="Y257" s="133"/>
      <c r="Z257" s="133"/>
      <c r="AA257" s="133"/>
      <c r="AB257" s="133"/>
      <c r="AC257" s="133"/>
      <c r="AD257" s="133"/>
      <c r="AE257" s="133"/>
      <c r="AF257" s="133"/>
      <c r="AG257" s="133"/>
      <c r="AH257" s="133"/>
      <c r="AI257" s="133"/>
      <c r="AJ257" s="133"/>
      <c r="AK257" s="133"/>
      <c r="AL257" s="133"/>
      <c r="AM257" s="133"/>
      <c r="AN257" s="133"/>
      <c r="AO257" s="133"/>
    </row>
    <row r="258" spans="1:41" x14ac:dyDescent="0.2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S258" s="133"/>
      <c r="T258" s="133"/>
      <c r="U258" s="133"/>
      <c r="V258" s="133"/>
      <c r="W258" s="133"/>
      <c r="X258" s="133"/>
      <c r="Y258" s="133"/>
      <c r="Z258" s="133"/>
      <c r="AA258" s="133"/>
      <c r="AB258" s="133"/>
      <c r="AC258" s="133"/>
      <c r="AD258" s="133"/>
      <c r="AE258" s="133"/>
      <c r="AF258" s="133"/>
      <c r="AG258" s="133"/>
      <c r="AH258" s="133"/>
      <c r="AI258" s="133"/>
      <c r="AJ258" s="133"/>
      <c r="AK258" s="133"/>
      <c r="AL258" s="133"/>
      <c r="AM258" s="133"/>
      <c r="AN258" s="133"/>
      <c r="AO258" s="133"/>
    </row>
    <row r="259" spans="1:41" x14ac:dyDescent="0.2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S259" s="133"/>
      <c r="T259" s="133"/>
      <c r="U259" s="133"/>
      <c r="V259" s="133"/>
      <c r="W259" s="133"/>
      <c r="X259" s="133"/>
      <c r="Y259" s="133"/>
      <c r="Z259" s="133"/>
      <c r="AA259" s="133"/>
      <c r="AB259" s="133"/>
      <c r="AC259" s="133"/>
      <c r="AD259" s="133"/>
      <c r="AE259" s="133"/>
      <c r="AF259" s="133"/>
      <c r="AG259" s="133"/>
      <c r="AH259" s="133"/>
      <c r="AI259" s="133"/>
      <c r="AJ259" s="133"/>
      <c r="AK259" s="133"/>
      <c r="AL259" s="133"/>
      <c r="AM259" s="133"/>
      <c r="AN259" s="133"/>
      <c r="AO259" s="133"/>
    </row>
    <row r="260" spans="1:41" x14ac:dyDescent="0.2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S260" s="133"/>
      <c r="T260" s="133"/>
      <c r="U260" s="133"/>
      <c r="V260" s="133"/>
      <c r="W260" s="133"/>
      <c r="X260" s="133"/>
      <c r="Y260" s="133"/>
      <c r="Z260" s="133"/>
      <c r="AA260" s="133"/>
      <c r="AB260" s="133"/>
      <c r="AC260" s="133"/>
      <c r="AD260" s="133"/>
      <c r="AE260" s="133"/>
      <c r="AF260" s="133"/>
      <c r="AG260" s="133"/>
      <c r="AH260" s="133"/>
      <c r="AI260" s="133"/>
      <c r="AJ260" s="133"/>
      <c r="AK260" s="133"/>
      <c r="AL260" s="133"/>
      <c r="AM260" s="133"/>
      <c r="AN260" s="133"/>
      <c r="AO260" s="133"/>
    </row>
    <row r="261" spans="1:41" x14ac:dyDescent="0.2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S261" s="133"/>
      <c r="T261" s="133"/>
      <c r="U261" s="133"/>
      <c r="V261" s="133"/>
      <c r="W261" s="133"/>
      <c r="X261" s="133"/>
      <c r="Y261" s="133"/>
      <c r="Z261" s="133"/>
      <c r="AA261" s="133"/>
      <c r="AB261" s="133"/>
      <c r="AC261" s="133"/>
      <c r="AD261" s="133"/>
      <c r="AE261" s="133"/>
      <c r="AF261" s="133"/>
      <c r="AG261" s="133"/>
      <c r="AH261" s="133"/>
      <c r="AI261" s="133"/>
      <c r="AJ261" s="133"/>
      <c r="AK261" s="133"/>
      <c r="AL261" s="133"/>
      <c r="AM261" s="133"/>
      <c r="AN261" s="133"/>
      <c r="AO261" s="133"/>
    </row>
    <row r="262" spans="1:41" x14ac:dyDescent="0.2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S262" s="133"/>
      <c r="T262" s="133"/>
      <c r="U262" s="133"/>
      <c r="V262" s="133"/>
      <c r="W262" s="133"/>
      <c r="X262" s="133"/>
      <c r="Y262" s="133"/>
      <c r="Z262" s="133"/>
      <c r="AA262" s="133"/>
      <c r="AB262" s="133"/>
      <c r="AC262" s="133"/>
      <c r="AD262" s="133"/>
      <c r="AE262" s="133"/>
      <c r="AF262" s="133"/>
      <c r="AG262" s="133"/>
      <c r="AH262" s="133"/>
      <c r="AI262" s="133"/>
      <c r="AJ262" s="133"/>
      <c r="AK262" s="133"/>
      <c r="AL262" s="133"/>
      <c r="AM262" s="133"/>
      <c r="AN262" s="133"/>
      <c r="AO262" s="133"/>
    </row>
    <row r="263" spans="1:41" x14ac:dyDescent="0.2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S263" s="133"/>
      <c r="T263" s="133"/>
      <c r="U263" s="133"/>
      <c r="V263" s="133"/>
      <c r="W263" s="133"/>
      <c r="X263" s="133"/>
      <c r="Y263" s="133"/>
      <c r="Z263" s="133"/>
      <c r="AA263" s="133"/>
      <c r="AB263" s="133"/>
      <c r="AC263" s="133"/>
      <c r="AD263" s="133"/>
      <c r="AE263" s="133"/>
      <c r="AF263" s="133"/>
      <c r="AG263" s="133"/>
      <c r="AH263" s="133"/>
      <c r="AI263" s="133"/>
      <c r="AJ263" s="133"/>
      <c r="AK263" s="133"/>
      <c r="AL263" s="133"/>
      <c r="AM263" s="133"/>
      <c r="AN263" s="133"/>
      <c r="AO263" s="133"/>
    </row>
    <row r="264" spans="1:41" x14ac:dyDescent="0.2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S264" s="133"/>
      <c r="T264" s="133"/>
      <c r="U264" s="133"/>
      <c r="V264" s="133"/>
      <c r="W264" s="133"/>
      <c r="X264" s="133"/>
      <c r="Y264" s="133"/>
      <c r="Z264" s="133"/>
      <c r="AA264" s="133"/>
      <c r="AB264" s="133"/>
      <c r="AC264" s="133"/>
      <c r="AD264" s="133"/>
      <c r="AE264" s="133"/>
      <c r="AF264" s="133"/>
      <c r="AG264" s="133"/>
      <c r="AH264" s="133"/>
      <c r="AI264" s="133"/>
      <c r="AJ264" s="133"/>
      <c r="AK264" s="133"/>
      <c r="AL264" s="133"/>
      <c r="AM264" s="133"/>
      <c r="AN264" s="133"/>
      <c r="AO264" s="133"/>
    </row>
    <row r="265" spans="1:41" x14ac:dyDescent="0.2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S265" s="133"/>
      <c r="T265" s="133"/>
      <c r="U265" s="133"/>
      <c r="V265" s="133"/>
      <c r="W265" s="133"/>
      <c r="X265" s="133"/>
      <c r="Y265" s="133"/>
      <c r="Z265" s="133"/>
      <c r="AA265" s="133"/>
      <c r="AB265" s="133"/>
      <c r="AC265" s="133"/>
      <c r="AD265" s="133"/>
      <c r="AE265" s="133"/>
      <c r="AF265" s="133"/>
      <c r="AG265" s="133"/>
      <c r="AH265" s="133"/>
      <c r="AI265" s="133"/>
      <c r="AJ265" s="133"/>
      <c r="AK265" s="133"/>
      <c r="AL265" s="133"/>
      <c r="AM265" s="133"/>
      <c r="AN265" s="133"/>
      <c r="AO265" s="133"/>
    </row>
    <row r="266" spans="1:41" x14ac:dyDescent="0.2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S266" s="133"/>
      <c r="T266" s="133"/>
      <c r="U266" s="133"/>
      <c r="V266" s="133"/>
      <c r="W266" s="133"/>
      <c r="X266" s="133"/>
      <c r="Y266" s="133"/>
      <c r="Z266" s="133"/>
      <c r="AA266" s="133"/>
      <c r="AB266" s="133"/>
      <c r="AC266" s="133"/>
      <c r="AD266" s="133"/>
      <c r="AE266" s="133"/>
      <c r="AF266" s="133"/>
      <c r="AG266" s="133"/>
      <c r="AH266" s="133"/>
      <c r="AI266" s="133"/>
      <c r="AJ266" s="133"/>
      <c r="AK266" s="133"/>
      <c r="AL266" s="133"/>
      <c r="AM266" s="133"/>
      <c r="AN266" s="133"/>
      <c r="AO266" s="133"/>
    </row>
    <row r="267" spans="1:41" x14ac:dyDescent="0.2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S267" s="133"/>
      <c r="T267" s="133"/>
      <c r="U267" s="133"/>
      <c r="V267" s="133"/>
      <c r="W267" s="133"/>
      <c r="X267" s="133"/>
      <c r="Y267" s="133"/>
      <c r="Z267" s="133"/>
      <c r="AA267" s="133"/>
      <c r="AB267" s="133"/>
      <c r="AC267" s="133"/>
      <c r="AD267" s="133"/>
      <c r="AE267" s="133"/>
      <c r="AF267" s="133"/>
      <c r="AG267" s="133"/>
      <c r="AH267" s="133"/>
      <c r="AI267" s="133"/>
      <c r="AJ267" s="133"/>
      <c r="AK267" s="133"/>
      <c r="AL267" s="133"/>
      <c r="AM267" s="133"/>
      <c r="AN267" s="133"/>
      <c r="AO267" s="133"/>
    </row>
    <row r="268" spans="1:41" x14ac:dyDescent="0.2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S268" s="133"/>
      <c r="T268" s="133"/>
      <c r="U268" s="133"/>
      <c r="V268" s="133"/>
      <c r="W268" s="133"/>
      <c r="X268" s="133"/>
      <c r="Y268" s="133"/>
      <c r="Z268" s="133"/>
      <c r="AA268" s="133"/>
      <c r="AB268" s="133"/>
      <c r="AC268" s="133"/>
      <c r="AD268" s="133"/>
      <c r="AE268" s="133"/>
      <c r="AF268" s="133"/>
      <c r="AG268" s="133"/>
      <c r="AH268" s="133"/>
      <c r="AI268" s="133"/>
      <c r="AJ268" s="133"/>
      <c r="AK268" s="133"/>
      <c r="AL268" s="133"/>
      <c r="AM268" s="133"/>
      <c r="AN268" s="133"/>
      <c r="AO268" s="133"/>
    </row>
    <row r="269" spans="1:41" x14ac:dyDescent="0.2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S269" s="133"/>
      <c r="T269" s="133"/>
      <c r="U269" s="133"/>
      <c r="V269" s="133"/>
      <c r="W269" s="133"/>
      <c r="X269" s="133"/>
      <c r="Y269" s="133"/>
      <c r="Z269" s="133"/>
      <c r="AA269" s="133"/>
      <c r="AB269" s="133"/>
      <c r="AC269" s="133"/>
      <c r="AD269" s="133"/>
      <c r="AE269" s="133"/>
      <c r="AF269" s="133"/>
      <c r="AG269" s="133"/>
      <c r="AH269" s="133"/>
      <c r="AI269" s="133"/>
      <c r="AJ269" s="133"/>
      <c r="AK269" s="133"/>
      <c r="AL269" s="133"/>
      <c r="AM269" s="133"/>
      <c r="AN269" s="133"/>
      <c r="AO269" s="133"/>
    </row>
    <row r="270" spans="1:41" x14ac:dyDescent="0.2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S270" s="133"/>
      <c r="T270" s="133"/>
      <c r="U270" s="133"/>
      <c r="V270" s="133"/>
      <c r="W270" s="133"/>
      <c r="X270" s="133"/>
      <c r="Y270" s="133"/>
      <c r="Z270" s="133"/>
      <c r="AA270" s="133"/>
      <c r="AB270" s="133"/>
      <c r="AC270" s="133"/>
      <c r="AD270" s="133"/>
      <c r="AE270" s="133"/>
      <c r="AF270" s="133"/>
      <c r="AG270" s="133"/>
      <c r="AH270" s="133"/>
      <c r="AI270" s="133"/>
      <c r="AJ270" s="133"/>
      <c r="AK270" s="133"/>
      <c r="AL270" s="133"/>
      <c r="AM270" s="133"/>
      <c r="AN270" s="133"/>
      <c r="AO270" s="133"/>
    </row>
    <row r="271" spans="1:41" x14ac:dyDescent="0.2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S271" s="133"/>
      <c r="T271" s="133"/>
      <c r="U271" s="133"/>
      <c r="V271" s="133"/>
      <c r="W271" s="133"/>
      <c r="X271" s="133"/>
      <c r="Y271" s="133"/>
      <c r="Z271" s="133"/>
      <c r="AA271" s="133"/>
      <c r="AB271" s="133"/>
      <c r="AC271" s="133"/>
      <c r="AD271" s="133"/>
      <c r="AE271" s="133"/>
      <c r="AF271" s="133"/>
      <c r="AG271" s="133"/>
      <c r="AH271" s="133"/>
      <c r="AI271" s="133"/>
      <c r="AJ271" s="133"/>
      <c r="AK271" s="133"/>
      <c r="AL271" s="133"/>
      <c r="AM271" s="133"/>
      <c r="AN271" s="133"/>
      <c r="AO271" s="133"/>
    </row>
    <row r="272" spans="1:41" x14ac:dyDescent="0.2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S272" s="133"/>
      <c r="T272" s="133"/>
      <c r="U272" s="133"/>
      <c r="V272" s="133"/>
      <c r="W272" s="133"/>
      <c r="X272" s="133"/>
      <c r="Y272" s="133"/>
      <c r="Z272" s="133"/>
      <c r="AA272" s="133"/>
      <c r="AB272" s="133"/>
      <c r="AC272" s="133"/>
      <c r="AD272" s="133"/>
      <c r="AE272" s="133"/>
      <c r="AF272" s="133"/>
      <c r="AG272" s="133"/>
      <c r="AH272" s="133"/>
      <c r="AI272" s="133"/>
      <c r="AJ272" s="133"/>
      <c r="AK272" s="133"/>
      <c r="AL272" s="133"/>
      <c r="AM272" s="133"/>
      <c r="AN272" s="133"/>
      <c r="AO272" s="133"/>
    </row>
    <row r="273" spans="1:41" x14ac:dyDescent="0.2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S273" s="133"/>
      <c r="T273" s="133"/>
      <c r="U273" s="133"/>
      <c r="V273" s="133"/>
      <c r="W273" s="133"/>
      <c r="X273" s="133"/>
      <c r="Y273" s="133"/>
      <c r="Z273" s="133"/>
      <c r="AA273" s="133"/>
      <c r="AB273" s="133"/>
      <c r="AC273" s="133"/>
      <c r="AD273" s="133"/>
      <c r="AE273" s="133"/>
      <c r="AF273" s="133"/>
      <c r="AG273" s="133"/>
      <c r="AH273" s="133"/>
      <c r="AI273" s="133"/>
      <c r="AJ273" s="133"/>
      <c r="AK273" s="133"/>
      <c r="AL273" s="133"/>
      <c r="AM273" s="133"/>
      <c r="AN273" s="133"/>
      <c r="AO273" s="133"/>
    </row>
    <row r="274" spans="1:41" x14ac:dyDescent="0.2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S274" s="133"/>
      <c r="T274" s="133"/>
      <c r="U274" s="133"/>
      <c r="V274" s="133"/>
      <c r="W274" s="133"/>
      <c r="X274" s="133"/>
      <c r="Y274" s="133"/>
      <c r="Z274" s="133"/>
      <c r="AA274" s="133"/>
      <c r="AB274" s="133"/>
      <c r="AC274" s="133"/>
      <c r="AD274" s="133"/>
      <c r="AE274" s="133"/>
      <c r="AF274" s="133"/>
      <c r="AG274" s="133"/>
      <c r="AH274" s="133"/>
      <c r="AI274" s="133"/>
      <c r="AJ274" s="133"/>
      <c r="AK274" s="133"/>
      <c r="AL274" s="133"/>
      <c r="AM274" s="133"/>
      <c r="AN274" s="133"/>
      <c r="AO274" s="133"/>
    </row>
    <row r="275" spans="1:41" x14ac:dyDescent="0.2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S275" s="133"/>
      <c r="T275" s="133"/>
      <c r="U275" s="133"/>
      <c r="V275" s="133"/>
      <c r="W275" s="133"/>
      <c r="X275" s="133"/>
      <c r="Y275" s="133"/>
      <c r="Z275" s="133"/>
      <c r="AA275" s="133"/>
      <c r="AB275" s="133"/>
      <c r="AC275" s="133"/>
      <c r="AD275" s="133"/>
      <c r="AE275" s="133"/>
      <c r="AF275" s="133"/>
      <c r="AG275" s="133"/>
      <c r="AH275" s="133"/>
      <c r="AI275" s="133"/>
      <c r="AJ275" s="133"/>
      <c r="AK275" s="133"/>
      <c r="AL275" s="133"/>
      <c r="AM275" s="133"/>
      <c r="AN275" s="133"/>
      <c r="AO275" s="133"/>
    </row>
    <row r="276" spans="1:41" x14ac:dyDescent="0.2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S276" s="133"/>
      <c r="T276" s="133"/>
      <c r="U276" s="133"/>
      <c r="V276" s="133"/>
      <c r="W276" s="133"/>
      <c r="X276" s="133"/>
      <c r="Y276" s="133"/>
      <c r="Z276" s="133"/>
      <c r="AA276" s="133"/>
      <c r="AB276" s="133"/>
      <c r="AC276" s="133"/>
      <c r="AD276" s="133"/>
      <c r="AE276" s="133"/>
      <c r="AF276" s="133"/>
      <c r="AG276" s="133"/>
      <c r="AH276" s="133"/>
      <c r="AI276" s="133"/>
      <c r="AJ276" s="133"/>
      <c r="AK276" s="133"/>
      <c r="AL276" s="133"/>
      <c r="AM276" s="133"/>
      <c r="AN276" s="133"/>
      <c r="AO276" s="133"/>
    </row>
    <row r="277" spans="1:41" x14ac:dyDescent="0.2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S277" s="133"/>
      <c r="T277" s="133"/>
      <c r="U277" s="133"/>
      <c r="V277" s="133"/>
      <c r="W277" s="133"/>
      <c r="X277" s="133"/>
      <c r="Y277" s="133"/>
      <c r="Z277" s="133"/>
      <c r="AA277" s="133"/>
      <c r="AB277" s="133"/>
      <c r="AC277" s="133"/>
      <c r="AD277" s="133"/>
      <c r="AE277" s="133"/>
      <c r="AF277" s="133"/>
      <c r="AG277" s="133"/>
      <c r="AH277" s="133"/>
      <c r="AI277" s="133"/>
      <c r="AJ277" s="133"/>
      <c r="AK277" s="133"/>
      <c r="AL277" s="133"/>
      <c r="AM277" s="133"/>
      <c r="AN277" s="133"/>
      <c r="AO277" s="133"/>
    </row>
    <row r="278" spans="1:41" x14ac:dyDescent="0.2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S278" s="133"/>
      <c r="T278" s="133"/>
      <c r="U278" s="133"/>
      <c r="V278" s="133"/>
      <c r="W278" s="133"/>
      <c r="X278" s="133"/>
      <c r="Y278" s="133"/>
      <c r="Z278" s="133"/>
      <c r="AA278" s="133"/>
      <c r="AB278" s="133"/>
      <c r="AC278" s="133"/>
      <c r="AD278" s="133"/>
      <c r="AE278" s="133"/>
      <c r="AF278" s="133"/>
      <c r="AG278" s="133"/>
      <c r="AH278" s="133"/>
      <c r="AI278" s="133"/>
      <c r="AJ278" s="133"/>
      <c r="AK278" s="133"/>
      <c r="AL278" s="133"/>
      <c r="AM278" s="133"/>
      <c r="AN278" s="133"/>
      <c r="AO278" s="133"/>
    </row>
    <row r="279" spans="1:41" x14ac:dyDescent="0.2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S279" s="133"/>
      <c r="T279" s="133"/>
      <c r="U279" s="133"/>
      <c r="V279" s="133"/>
      <c r="W279" s="133"/>
      <c r="X279" s="133"/>
      <c r="Y279" s="133"/>
      <c r="Z279" s="133"/>
      <c r="AA279" s="133"/>
      <c r="AB279" s="133"/>
      <c r="AC279" s="133"/>
      <c r="AD279" s="133"/>
      <c r="AE279" s="133"/>
      <c r="AF279" s="133"/>
      <c r="AG279" s="133"/>
      <c r="AH279" s="133"/>
      <c r="AI279" s="133"/>
      <c r="AJ279" s="133"/>
      <c r="AK279" s="133"/>
      <c r="AL279" s="133"/>
      <c r="AM279" s="133"/>
      <c r="AN279" s="133"/>
      <c r="AO279" s="133"/>
    </row>
    <row r="280" spans="1:41" x14ac:dyDescent="0.2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S280" s="133"/>
      <c r="T280" s="133"/>
      <c r="U280" s="133"/>
      <c r="V280" s="133"/>
      <c r="W280" s="133"/>
      <c r="X280" s="133"/>
      <c r="Y280" s="133"/>
      <c r="Z280" s="133"/>
      <c r="AA280" s="133"/>
      <c r="AB280" s="133"/>
      <c r="AC280" s="133"/>
      <c r="AD280" s="133"/>
      <c r="AE280" s="133"/>
      <c r="AF280" s="133"/>
      <c r="AG280" s="133"/>
      <c r="AH280" s="133"/>
      <c r="AI280" s="133"/>
      <c r="AJ280" s="133"/>
      <c r="AK280" s="133"/>
      <c r="AL280" s="133"/>
      <c r="AM280" s="133"/>
      <c r="AN280" s="133"/>
      <c r="AO280" s="133"/>
    </row>
    <row r="281" spans="1:41" x14ac:dyDescent="0.2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S281" s="133"/>
      <c r="T281" s="133"/>
      <c r="U281" s="133"/>
      <c r="V281" s="133"/>
      <c r="W281" s="133"/>
      <c r="X281" s="133"/>
      <c r="Y281" s="133"/>
      <c r="Z281" s="133"/>
      <c r="AA281" s="133"/>
      <c r="AB281" s="133"/>
      <c r="AC281" s="133"/>
      <c r="AD281" s="133"/>
      <c r="AE281" s="133"/>
      <c r="AF281" s="133"/>
      <c r="AG281" s="133"/>
      <c r="AH281" s="133"/>
      <c r="AI281" s="133"/>
      <c r="AJ281" s="133"/>
      <c r="AK281" s="133"/>
      <c r="AL281" s="133"/>
      <c r="AM281" s="133"/>
      <c r="AN281" s="133"/>
      <c r="AO281" s="133"/>
    </row>
    <row r="282" spans="1:41" x14ac:dyDescent="0.2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S282" s="133"/>
      <c r="T282" s="133"/>
      <c r="U282" s="133"/>
      <c r="V282" s="133"/>
      <c r="W282" s="133"/>
      <c r="X282" s="133"/>
      <c r="Y282" s="133"/>
      <c r="Z282" s="133"/>
      <c r="AA282" s="133"/>
      <c r="AB282" s="133"/>
      <c r="AC282" s="133"/>
      <c r="AD282" s="133"/>
      <c r="AE282" s="133"/>
      <c r="AF282" s="133"/>
      <c r="AG282" s="133"/>
      <c r="AH282" s="133"/>
      <c r="AI282" s="133"/>
      <c r="AJ282" s="133"/>
      <c r="AK282" s="133"/>
      <c r="AL282" s="133"/>
      <c r="AM282" s="133"/>
      <c r="AN282" s="133"/>
      <c r="AO282" s="133"/>
    </row>
    <row r="283" spans="1:41" x14ac:dyDescent="0.2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S283" s="133"/>
      <c r="T283" s="133"/>
      <c r="U283" s="133"/>
      <c r="V283" s="133"/>
      <c r="W283" s="133"/>
      <c r="X283" s="133"/>
      <c r="Y283" s="133"/>
      <c r="Z283" s="133"/>
      <c r="AA283" s="133"/>
      <c r="AB283" s="133"/>
      <c r="AC283" s="133"/>
      <c r="AD283" s="133"/>
      <c r="AE283" s="133"/>
      <c r="AF283" s="133"/>
      <c r="AG283" s="133"/>
      <c r="AH283" s="133"/>
      <c r="AI283" s="133"/>
      <c r="AJ283" s="133"/>
      <c r="AK283" s="133"/>
      <c r="AL283" s="133"/>
      <c r="AM283" s="133"/>
      <c r="AN283" s="133"/>
      <c r="AO283" s="133"/>
    </row>
    <row r="284" spans="1:41" x14ac:dyDescent="0.2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S284" s="133"/>
      <c r="T284" s="133"/>
      <c r="U284" s="133"/>
      <c r="V284" s="133"/>
      <c r="W284" s="133"/>
      <c r="X284" s="133"/>
      <c r="Y284" s="133"/>
      <c r="Z284" s="133"/>
      <c r="AA284" s="133"/>
      <c r="AB284" s="133"/>
      <c r="AC284" s="133"/>
      <c r="AD284" s="133"/>
      <c r="AE284" s="133"/>
      <c r="AF284" s="133"/>
      <c r="AG284" s="133"/>
      <c r="AH284" s="133"/>
      <c r="AI284" s="133"/>
      <c r="AJ284" s="133"/>
      <c r="AK284" s="133"/>
      <c r="AL284" s="133"/>
      <c r="AM284" s="133"/>
      <c r="AN284" s="133"/>
      <c r="AO284" s="133"/>
    </row>
    <row r="285" spans="1:41" x14ac:dyDescent="0.2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S285" s="133"/>
      <c r="T285" s="133"/>
      <c r="U285" s="133"/>
      <c r="V285" s="133"/>
      <c r="W285" s="133"/>
      <c r="X285" s="133"/>
      <c r="Y285" s="133"/>
      <c r="Z285" s="133"/>
      <c r="AA285" s="133"/>
      <c r="AB285" s="133"/>
      <c r="AC285" s="133"/>
      <c r="AD285" s="133"/>
      <c r="AE285" s="133"/>
      <c r="AF285" s="133"/>
      <c r="AG285" s="133"/>
      <c r="AH285" s="133"/>
      <c r="AI285" s="133"/>
      <c r="AJ285" s="133"/>
      <c r="AK285" s="133"/>
      <c r="AL285" s="133"/>
      <c r="AM285" s="133"/>
      <c r="AN285" s="133"/>
      <c r="AO285" s="133"/>
    </row>
    <row r="286" spans="1:41" x14ac:dyDescent="0.2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S286" s="133"/>
      <c r="T286" s="133"/>
      <c r="U286" s="133"/>
      <c r="V286" s="133"/>
      <c r="W286" s="133"/>
      <c r="X286" s="133"/>
      <c r="Y286" s="133"/>
      <c r="Z286" s="133"/>
      <c r="AA286" s="133"/>
      <c r="AB286" s="133"/>
      <c r="AC286" s="133"/>
      <c r="AD286" s="133"/>
      <c r="AE286" s="133"/>
      <c r="AF286" s="133"/>
      <c r="AG286" s="133"/>
      <c r="AH286" s="133"/>
      <c r="AI286" s="133"/>
      <c r="AJ286" s="133"/>
      <c r="AK286" s="133"/>
      <c r="AL286" s="133"/>
      <c r="AM286" s="133"/>
      <c r="AN286" s="133"/>
      <c r="AO286" s="133"/>
    </row>
    <row r="287" spans="1:41" x14ac:dyDescent="0.2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S287" s="133"/>
      <c r="T287" s="133"/>
      <c r="U287" s="133"/>
      <c r="V287" s="133"/>
      <c r="W287" s="133"/>
      <c r="X287" s="133"/>
      <c r="Y287" s="133"/>
      <c r="Z287" s="133"/>
      <c r="AA287" s="133"/>
      <c r="AB287" s="133"/>
      <c r="AC287" s="133"/>
      <c r="AD287" s="133"/>
      <c r="AE287" s="133"/>
      <c r="AF287" s="133"/>
      <c r="AG287" s="133"/>
      <c r="AH287" s="133"/>
      <c r="AI287" s="133"/>
      <c r="AJ287" s="133"/>
      <c r="AK287" s="133"/>
      <c r="AL287" s="133"/>
      <c r="AM287" s="133"/>
      <c r="AN287" s="133"/>
      <c r="AO287" s="133"/>
    </row>
    <row r="288" spans="1:41" x14ac:dyDescent="0.2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S288" s="133"/>
      <c r="T288" s="133"/>
      <c r="U288" s="133"/>
      <c r="V288" s="133"/>
      <c r="W288" s="133"/>
      <c r="X288" s="133"/>
      <c r="Y288" s="133"/>
      <c r="Z288" s="133"/>
      <c r="AA288" s="133"/>
      <c r="AB288" s="133"/>
      <c r="AC288" s="133"/>
      <c r="AD288" s="133"/>
      <c r="AE288" s="133"/>
      <c r="AF288" s="133"/>
      <c r="AG288" s="133"/>
      <c r="AH288" s="133"/>
      <c r="AI288" s="133"/>
      <c r="AJ288" s="133"/>
      <c r="AK288" s="133"/>
      <c r="AL288" s="133"/>
      <c r="AM288" s="133"/>
      <c r="AN288" s="133"/>
      <c r="AO288" s="133"/>
    </row>
    <row r="289" spans="1:41" x14ac:dyDescent="0.2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S289" s="133"/>
      <c r="T289" s="133"/>
      <c r="U289" s="133"/>
      <c r="V289" s="133"/>
      <c r="W289" s="133"/>
      <c r="X289" s="133"/>
      <c r="Y289" s="133"/>
      <c r="Z289" s="133"/>
      <c r="AA289" s="133"/>
      <c r="AB289" s="133"/>
      <c r="AC289" s="133"/>
      <c r="AD289" s="133"/>
      <c r="AE289" s="133"/>
      <c r="AF289" s="133"/>
      <c r="AG289" s="133"/>
      <c r="AH289" s="133"/>
      <c r="AI289" s="133"/>
      <c r="AJ289" s="133"/>
      <c r="AK289" s="133"/>
      <c r="AL289" s="133"/>
      <c r="AM289" s="133"/>
      <c r="AN289" s="133"/>
      <c r="AO289" s="133"/>
    </row>
    <row r="290" spans="1:41" x14ac:dyDescent="0.2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S290" s="133"/>
      <c r="T290" s="133"/>
      <c r="U290" s="133"/>
      <c r="V290" s="133"/>
      <c r="W290" s="133"/>
      <c r="X290" s="133"/>
      <c r="Y290" s="133"/>
      <c r="Z290" s="133"/>
      <c r="AA290" s="133"/>
      <c r="AB290" s="133"/>
      <c r="AC290" s="133"/>
      <c r="AD290" s="133"/>
      <c r="AE290" s="133"/>
      <c r="AF290" s="133"/>
      <c r="AG290" s="133"/>
      <c r="AH290" s="133"/>
      <c r="AI290" s="133"/>
      <c r="AJ290" s="133"/>
      <c r="AK290" s="133"/>
      <c r="AL290" s="133"/>
      <c r="AM290" s="133"/>
      <c r="AN290" s="133"/>
      <c r="AO290" s="133"/>
    </row>
    <row r="291" spans="1:41" x14ac:dyDescent="0.2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S291" s="133"/>
      <c r="T291" s="133"/>
      <c r="U291" s="133"/>
      <c r="V291" s="133"/>
      <c r="W291" s="133"/>
      <c r="X291" s="133"/>
      <c r="Y291" s="133"/>
      <c r="Z291" s="133"/>
      <c r="AA291" s="133"/>
      <c r="AB291" s="133"/>
      <c r="AC291" s="133"/>
      <c r="AD291" s="133"/>
      <c r="AE291" s="133"/>
      <c r="AF291" s="133"/>
      <c r="AG291" s="133"/>
      <c r="AH291" s="133"/>
      <c r="AI291" s="133"/>
      <c r="AJ291" s="133"/>
      <c r="AK291" s="133"/>
      <c r="AL291" s="133"/>
      <c r="AM291" s="133"/>
      <c r="AN291" s="133"/>
      <c r="AO291" s="133"/>
    </row>
    <row r="292" spans="1:41" x14ac:dyDescent="0.2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S292" s="133"/>
      <c r="T292" s="133"/>
      <c r="U292" s="133"/>
      <c r="V292" s="133"/>
      <c r="W292" s="133"/>
      <c r="X292" s="133"/>
      <c r="Y292" s="133"/>
      <c r="Z292" s="133"/>
      <c r="AA292" s="133"/>
      <c r="AB292" s="133"/>
      <c r="AC292" s="133"/>
      <c r="AD292" s="133"/>
      <c r="AE292" s="133"/>
      <c r="AF292" s="133"/>
      <c r="AG292" s="133"/>
      <c r="AH292" s="133"/>
      <c r="AI292" s="133"/>
      <c r="AJ292" s="133"/>
      <c r="AK292" s="133"/>
      <c r="AL292" s="133"/>
      <c r="AM292" s="133"/>
      <c r="AN292" s="133"/>
      <c r="AO292" s="133"/>
    </row>
    <row r="293" spans="1:41" x14ac:dyDescent="0.2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S293" s="133"/>
      <c r="T293" s="133"/>
      <c r="U293" s="133"/>
      <c r="V293" s="133"/>
      <c r="W293" s="133"/>
      <c r="X293" s="133"/>
      <c r="Y293" s="133"/>
      <c r="Z293" s="133"/>
      <c r="AA293" s="133"/>
      <c r="AB293" s="133"/>
      <c r="AC293" s="133"/>
      <c r="AD293" s="133"/>
      <c r="AE293" s="133"/>
      <c r="AF293" s="133"/>
      <c r="AG293" s="133"/>
      <c r="AH293" s="133"/>
      <c r="AI293" s="133"/>
      <c r="AJ293" s="133"/>
      <c r="AK293" s="133"/>
      <c r="AL293" s="133"/>
      <c r="AM293" s="133"/>
      <c r="AN293" s="133"/>
      <c r="AO293" s="133"/>
    </row>
    <row r="294" spans="1:41" x14ac:dyDescent="0.2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S294" s="133"/>
      <c r="T294" s="133"/>
      <c r="U294" s="133"/>
      <c r="V294" s="133"/>
      <c r="W294" s="133"/>
      <c r="X294" s="133"/>
      <c r="Y294" s="133"/>
      <c r="Z294" s="133"/>
      <c r="AA294" s="133"/>
      <c r="AB294" s="133"/>
      <c r="AC294" s="133"/>
      <c r="AD294" s="133"/>
      <c r="AE294" s="133"/>
      <c r="AF294" s="133"/>
      <c r="AG294" s="133"/>
      <c r="AH294" s="133"/>
      <c r="AI294" s="133"/>
      <c r="AJ294" s="133"/>
      <c r="AK294" s="133"/>
      <c r="AL294" s="133"/>
      <c r="AM294" s="133"/>
      <c r="AN294" s="133"/>
      <c r="AO294" s="133"/>
    </row>
    <row r="295" spans="1:41" x14ac:dyDescent="0.2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S295" s="133"/>
      <c r="T295" s="133"/>
      <c r="U295" s="133"/>
      <c r="V295" s="133"/>
      <c r="W295" s="133"/>
      <c r="X295" s="133"/>
      <c r="Y295" s="133"/>
      <c r="Z295" s="133"/>
      <c r="AA295" s="133"/>
      <c r="AB295" s="133"/>
      <c r="AC295" s="133"/>
      <c r="AD295" s="133"/>
      <c r="AE295" s="133"/>
      <c r="AF295" s="133"/>
      <c r="AG295" s="133"/>
      <c r="AH295" s="133"/>
      <c r="AI295" s="133"/>
      <c r="AJ295" s="133"/>
      <c r="AK295" s="133"/>
      <c r="AL295" s="133"/>
      <c r="AM295" s="133"/>
      <c r="AN295" s="133"/>
      <c r="AO295" s="133"/>
    </row>
    <row r="296" spans="1:41" x14ac:dyDescent="0.2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S296" s="133"/>
      <c r="T296" s="133"/>
      <c r="U296" s="133"/>
      <c r="V296" s="133"/>
      <c r="W296" s="133"/>
      <c r="X296" s="133"/>
      <c r="Y296" s="133"/>
      <c r="Z296" s="133"/>
      <c r="AA296" s="133"/>
      <c r="AB296" s="133"/>
      <c r="AC296" s="133"/>
      <c r="AD296" s="133"/>
      <c r="AE296" s="133"/>
      <c r="AF296" s="133"/>
      <c r="AG296" s="133"/>
      <c r="AH296" s="133"/>
      <c r="AI296" s="133"/>
      <c r="AJ296" s="133"/>
      <c r="AK296" s="133"/>
      <c r="AL296" s="133"/>
      <c r="AM296" s="133"/>
      <c r="AN296" s="133"/>
      <c r="AO296" s="133"/>
    </row>
    <row r="297" spans="1:41" x14ac:dyDescent="0.2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S297" s="133"/>
      <c r="T297" s="133"/>
      <c r="U297" s="133"/>
      <c r="V297" s="133"/>
      <c r="W297" s="133"/>
      <c r="X297" s="133"/>
      <c r="Y297" s="133"/>
      <c r="Z297" s="133"/>
      <c r="AA297" s="133"/>
      <c r="AB297" s="133"/>
      <c r="AC297" s="133"/>
      <c r="AD297" s="133"/>
      <c r="AE297" s="133"/>
      <c r="AF297" s="133"/>
      <c r="AG297" s="133"/>
      <c r="AH297" s="133"/>
      <c r="AI297" s="133"/>
      <c r="AJ297" s="133"/>
      <c r="AK297" s="133"/>
      <c r="AL297" s="133"/>
      <c r="AM297" s="133"/>
      <c r="AN297" s="133"/>
      <c r="AO297" s="133"/>
    </row>
    <row r="298" spans="1:41" x14ac:dyDescent="0.2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S298" s="133"/>
      <c r="T298" s="133"/>
      <c r="U298" s="133"/>
      <c r="V298" s="133"/>
      <c r="W298" s="133"/>
      <c r="X298" s="133"/>
      <c r="Y298" s="133"/>
      <c r="Z298" s="133"/>
      <c r="AA298" s="133"/>
      <c r="AB298" s="133"/>
      <c r="AC298" s="133"/>
      <c r="AD298" s="133"/>
      <c r="AE298" s="133"/>
      <c r="AF298" s="133"/>
      <c r="AG298" s="133"/>
      <c r="AH298" s="133"/>
      <c r="AI298" s="133"/>
      <c r="AJ298" s="133"/>
      <c r="AK298" s="133"/>
      <c r="AL298" s="133"/>
      <c r="AM298" s="133"/>
      <c r="AN298" s="133"/>
      <c r="AO298" s="133"/>
    </row>
    <row r="299" spans="1:41" x14ac:dyDescent="0.2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S299" s="133"/>
      <c r="T299" s="133"/>
      <c r="U299" s="133"/>
      <c r="V299" s="133"/>
      <c r="W299" s="133"/>
      <c r="X299" s="133"/>
      <c r="Y299" s="133"/>
      <c r="Z299" s="133"/>
      <c r="AA299" s="133"/>
      <c r="AB299" s="133"/>
      <c r="AC299" s="133"/>
      <c r="AD299" s="133"/>
      <c r="AE299" s="133"/>
      <c r="AF299" s="133"/>
      <c r="AG299" s="133"/>
      <c r="AH299" s="133"/>
      <c r="AI299" s="133"/>
      <c r="AJ299" s="133"/>
      <c r="AK299" s="133"/>
      <c r="AL299" s="133"/>
      <c r="AM299" s="133"/>
      <c r="AN299" s="133"/>
      <c r="AO299" s="133"/>
    </row>
    <row r="300" spans="1:41" x14ac:dyDescent="0.2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S300" s="133"/>
      <c r="T300" s="133"/>
      <c r="U300" s="133"/>
      <c r="V300" s="133"/>
      <c r="W300" s="133"/>
      <c r="X300" s="133"/>
      <c r="Y300" s="133"/>
      <c r="Z300" s="133"/>
      <c r="AA300" s="133"/>
      <c r="AB300" s="133"/>
      <c r="AC300" s="133"/>
      <c r="AD300" s="133"/>
      <c r="AE300" s="133"/>
      <c r="AF300" s="133"/>
      <c r="AG300" s="133"/>
      <c r="AH300" s="133"/>
      <c r="AI300" s="133"/>
      <c r="AJ300" s="133"/>
      <c r="AK300" s="133"/>
      <c r="AL300" s="133"/>
      <c r="AM300" s="133"/>
      <c r="AN300" s="133"/>
      <c r="AO300" s="133"/>
    </row>
    <row r="301" spans="1:41" x14ac:dyDescent="0.2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S301" s="133"/>
      <c r="T301" s="133"/>
      <c r="U301" s="133"/>
      <c r="V301" s="133"/>
      <c r="W301" s="133"/>
      <c r="X301" s="133"/>
      <c r="Y301" s="133"/>
      <c r="Z301" s="133"/>
      <c r="AA301" s="133"/>
      <c r="AB301" s="133"/>
      <c r="AC301" s="133"/>
      <c r="AD301" s="133"/>
      <c r="AE301" s="133"/>
      <c r="AF301" s="133"/>
      <c r="AG301" s="133"/>
      <c r="AH301" s="133"/>
      <c r="AI301" s="133"/>
      <c r="AJ301" s="133"/>
      <c r="AK301" s="133"/>
      <c r="AL301" s="133"/>
      <c r="AM301" s="133"/>
      <c r="AN301" s="133"/>
      <c r="AO301" s="133"/>
    </row>
    <row r="302" spans="1:41" x14ac:dyDescent="0.2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S302" s="133"/>
      <c r="T302" s="133"/>
      <c r="U302" s="133"/>
      <c r="V302" s="133"/>
      <c r="W302" s="133"/>
      <c r="X302" s="133"/>
      <c r="Y302" s="133"/>
      <c r="Z302" s="133"/>
      <c r="AA302" s="133"/>
      <c r="AB302" s="133"/>
      <c r="AC302" s="133"/>
      <c r="AD302" s="133"/>
      <c r="AE302" s="133"/>
      <c r="AF302" s="133"/>
      <c r="AG302" s="133"/>
      <c r="AH302" s="133"/>
      <c r="AI302" s="133"/>
      <c r="AJ302" s="133"/>
      <c r="AK302" s="133"/>
      <c r="AL302" s="133"/>
      <c r="AM302" s="133"/>
      <c r="AN302" s="133"/>
      <c r="AO302" s="133"/>
    </row>
    <row r="303" spans="1:41" x14ac:dyDescent="0.2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S303" s="133"/>
      <c r="T303" s="133"/>
      <c r="U303" s="133"/>
      <c r="V303" s="133"/>
      <c r="W303" s="133"/>
      <c r="X303" s="133"/>
      <c r="Y303" s="133"/>
      <c r="Z303" s="133"/>
      <c r="AA303" s="133"/>
      <c r="AB303" s="133"/>
      <c r="AC303" s="133"/>
      <c r="AD303" s="133"/>
      <c r="AE303" s="133"/>
      <c r="AF303" s="133"/>
      <c r="AG303" s="133"/>
      <c r="AH303" s="133"/>
      <c r="AI303" s="133"/>
      <c r="AJ303" s="133"/>
      <c r="AK303" s="133"/>
      <c r="AL303" s="133"/>
      <c r="AM303" s="133"/>
      <c r="AN303" s="133"/>
      <c r="AO303" s="133"/>
    </row>
    <row r="304" spans="1:41" x14ac:dyDescent="0.2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S304" s="133"/>
      <c r="T304" s="133"/>
      <c r="U304" s="133"/>
      <c r="V304" s="133"/>
      <c r="W304" s="133"/>
      <c r="X304" s="133"/>
      <c r="Y304" s="133"/>
      <c r="Z304" s="133"/>
      <c r="AA304" s="133"/>
      <c r="AB304" s="133"/>
      <c r="AC304" s="133"/>
      <c r="AD304" s="133"/>
      <c r="AE304" s="133"/>
      <c r="AF304" s="133"/>
      <c r="AG304" s="133"/>
      <c r="AH304" s="133"/>
      <c r="AI304" s="133"/>
      <c r="AJ304" s="133"/>
      <c r="AK304" s="133"/>
      <c r="AL304" s="133"/>
      <c r="AM304" s="133"/>
      <c r="AN304" s="133"/>
      <c r="AO304" s="133"/>
    </row>
    <row r="305" spans="1:41" x14ac:dyDescent="0.2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S305" s="133"/>
      <c r="T305" s="133"/>
      <c r="U305" s="133"/>
      <c r="V305" s="133"/>
      <c r="W305" s="133"/>
      <c r="X305" s="133"/>
      <c r="Y305" s="133"/>
      <c r="Z305" s="133"/>
      <c r="AA305" s="133"/>
      <c r="AB305" s="133"/>
      <c r="AC305" s="133"/>
      <c r="AD305" s="133"/>
      <c r="AE305" s="133"/>
      <c r="AF305" s="133"/>
      <c r="AG305" s="133"/>
      <c r="AH305" s="133"/>
      <c r="AI305" s="133"/>
      <c r="AJ305" s="133"/>
      <c r="AK305" s="133"/>
      <c r="AL305" s="133"/>
      <c r="AM305" s="133"/>
      <c r="AN305" s="133"/>
      <c r="AO305" s="133"/>
    </row>
    <row r="306" spans="1:41" x14ac:dyDescent="0.2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S306" s="133"/>
      <c r="T306" s="133"/>
      <c r="U306" s="133"/>
      <c r="V306" s="133"/>
      <c r="W306" s="133"/>
      <c r="X306" s="133"/>
      <c r="Y306" s="133"/>
      <c r="Z306" s="133"/>
      <c r="AA306" s="133"/>
      <c r="AB306" s="133"/>
      <c r="AC306" s="133"/>
      <c r="AD306" s="133"/>
      <c r="AE306" s="133"/>
      <c r="AF306" s="133"/>
      <c r="AG306" s="133"/>
      <c r="AH306" s="133"/>
      <c r="AI306" s="133"/>
      <c r="AJ306" s="133"/>
      <c r="AK306" s="133"/>
      <c r="AL306" s="133"/>
      <c r="AM306" s="133"/>
      <c r="AN306" s="133"/>
      <c r="AO306" s="133"/>
    </row>
    <row r="307" spans="1:41" x14ac:dyDescent="0.2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S307" s="133"/>
      <c r="T307" s="133"/>
      <c r="U307" s="133"/>
      <c r="V307" s="133"/>
      <c r="W307" s="133"/>
      <c r="X307" s="133"/>
      <c r="Y307" s="133"/>
      <c r="Z307" s="133"/>
      <c r="AA307" s="133"/>
      <c r="AB307" s="133"/>
      <c r="AC307" s="133"/>
      <c r="AD307" s="133"/>
      <c r="AE307" s="133"/>
      <c r="AF307" s="133"/>
      <c r="AG307" s="133"/>
      <c r="AH307" s="133"/>
      <c r="AI307" s="133"/>
      <c r="AJ307" s="133"/>
      <c r="AK307" s="133"/>
      <c r="AL307" s="133"/>
      <c r="AM307" s="133"/>
      <c r="AN307" s="133"/>
      <c r="AO307" s="133"/>
    </row>
    <row r="308" spans="1:41" x14ac:dyDescent="0.2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S308" s="133"/>
      <c r="T308" s="133"/>
      <c r="U308" s="133"/>
      <c r="V308" s="133"/>
      <c r="W308" s="133"/>
      <c r="X308" s="133"/>
      <c r="Y308" s="133"/>
      <c r="Z308" s="133"/>
      <c r="AA308" s="133"/>
      <c r="AB308" s="133"/>
      <c r="AC308" s="133"/>
      <c r="AD308" s="133"/>
      <c r="AE308" s="133"/>
      <c r="AF308" s="133"/>
      <c r="AG308" s="133"/>
      <c r="AH308" s="133"/>
      <c r="AI308" s="133"/>
      <c r="AJ308" s="133"/>
      <c r="AK308" s="133"/>
      <c r="AL308" s="133"/>
      <c r="AM308" s="133"/>
      <c r="AN308" s="133"/>
      <c r="AO308" s="133"/>
    </row>
    <row r="309" spans="1:41" x14ac:dyDescent="0.2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S309" s="133"/>
      <c r="T309" s="133"/>
      <c r="U309" s="133"/>
      <c r="V309" s="133"/>
      <c r="W309" s="133"/>
      <c r="X309" s="133"/>
      <c r="Y309" s="133"/>
      <c r="Z309" s="133"/>
      <c r="AA309" s="133"/>
      <c r="AB309" s="133"/>
      <c r="AC309" s="133"/>
      <c r="AD309" s="133"/>
      <c r="AE309" s="133"/>
      <c r="AF309" s="133"/>
      <c r="AG309" s="133"/>
      <c r="AH309" s="133"/>
      <c r="AI309" s="133"/>
      <c r="AJ309" s="133"/>
      <c r="AK309" s="133"/>
      <c r="AL309" s="133"/>
      <c r="AM309" s="133"/>
      <c r="AN309" s="133"/>
      <c r="AO309" s="133"/>
    </row>
    <row r="310" spans="1:41" x14ac:dyDescent="0.2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S310" s="133"/>
      <c r="T310" s="133"/>
      <c r="U310" s="133"/>
      <c r="V310" s="133"/>
      <c r="W310" s="133"/>
      <c r="X310" s="133"/>
      <c r="Y310" s="133"/>
      <c r="Z310" s="133"/>
      <c r="AA310" s="133"/>
      <c r="AB310" s="133"/>
      <c r="AC310" s="133"/>
      <c r="AD310" s="133"/>
      <c r="AE310" s="133"/>
      <c r="AF310" s="133"/>
      <c r="AG310" s="133"/>
      <c r="AH310" s="133"/>
      <c r="AI310" s="133"/>
      <c r="AJ310" s="133"/>
      <c r="AK310" s="133"/>
      <c r="AL310" s="133"/>
      <c r="AM310" s="133"/>
      <c r="AN310" s="133"/>
      <c r="AO310" s="133"/>
    </row>
    <row r="311" spans="1:41" x14ac:dyDescent="0.2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S311" s="133"/>
      <c r="T311" s="133"/>
      <c r="U311" s="133"/>
      <c r="V311" s="133"/>
      <c r="W311" s="133"/>
      <c r="X311" s="133"/>
      <c r="Y311" s="133"/>
      <c r="Z311" s="133"/>
      <c r="AA311" s="133"/>
      <c r="AB311" s="133"/>
      <c r="AC311" s="133"/>
      <c r="AD311" s="133"/>
      <c r="AE311" s="133"/>
      <c r="AF311" s="133"/>
      <c r="AG311" s="133"/>
      <c r="AH311" s="133"/>
      <c r="AI311" s="133"/>
      <c r="AJ311" s="133"/>
      <c r="AK311" s="133"/>
      <c r="AL311" s="133"/>
      <c r="AM311" s="133"/>
      <c r="AN311" s="133"/>
      <c r="AO311" s="133"/>
    </row>
    <row r="312" spans="1:41" x14ac:dyDescent="0.2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S312" s="133"/>
      <c r="T312" s="133"/>
      <c r="U312" s="133"/>
      <c r="V312" s="133"/>
      <c r="W312" s="133"/>
      <c r="X312" s="133"/>
      <c r="Y312" s="133"/>
      <c r="Z312" s="133"/>
      <c r="AA312" s="133"/>
      <c r="AB312" s="133"/>
      <c r="AC312" s="133"/>
      <c r="AD312" s="133"/>
      <c r="AE312" s="133"/>
      <c r="AF312" s="133"/>
      <c r="AG312" s="133"/>
      <c r="AH312" s="133"/>
      <c r="AI312" s="133"/>
      <c r="AJ312" s="133"/>
      <c r="AK312" s="133"/>
      <c r="AL312" s="133"/>
      <c r="AM312" s="133"/>
      <c r="AN312" s="133"/>
      <c r="AO312" s="133"/>
    </row>
    <row r="313" spans="1:41" x14ac:dyDescent="0.2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S313" s="133"/>
      <c r="T313" s="133"/>
      <c r="U313" s="133"/>
      <c r="V313" s="133"/>
      <c r="W313" s="133"/>
      <c r="X313" s="133"/>
      <c r="Y313" s="133"/>
      <c r="Z313" s="133"/>
      <c r="AA313" s="133"/>
      <c r="AB313" s="133"/>
      <c r="AC313" s="133"/>
      <c r="AD313" s="133"/>
      <c r="AE313" s="133"/>
      <c r="AF313" s="133"/>
      <c r="AG313" s="133"/>
      <c r="AH313" s="133"/>
      <c r="AI313" s="133"/>
      <c r="AJ313" s="133"/>
      <c r="AK313" s="133"/>
      <c r="AL313" s="133"/>
      <c r="AM313" s="133"/>
      <c r="AN313" s="133"/>
      <c r="AO313" s="133"/>
    </row>
    <row r="314" spans="1:41" x14ac:dyDescent="0.2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S314" s="133"/>
      <c r="T314" s="133"/>
      <c r="U314" s="133"/>
      <c r="V314" s="133"/>
      <c r="W314" s="133"/>
      <c r="X314" s="133"/>
      <c r="Y314" s="133"/>
      <c r="Z314" s="133"/>
      <c r="AA314" s="133"/>
      <c r="AB314" s="133"/>
      <c r="AC314" s="133"/>
      <c r="AD314" s="133"/>
      <c r="AE314" s="133"/>
      <c r="AF314" s="133"/>
      <c r="AG314" s="133"/>
      <c r="AH314" s="133"/>
      <c r="AI314" s="133"/>
      <c r="AJ314" s="133"/>
      <c r="AK314" s="133"/>
      <c r="AL314" s="133"/>
      <c r="AM314" s="133"/>
      <c r="AN314" s="133"/>
      <c r="AO314" s="133"/>
    </row>
    <row r="315" spans="1:41" x14ac:dyDescent="0.2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S315" s="133"/>
      <c r="T315" s="133"/>
      <c r="U315" s="133"/>
      <c r="V315" s="133"/>
      <c r="W315" s="133"/>
      <c r="X315" s="133"/>
      <c r="Y315" s="133"/>
      <c r="Z315" s="133"/>
      <c r="AA315" s="133"/>
      <c r="AB315" s="133"/>
      <c r="AC315" s="133"/>
      <c r="AD315" s="133"/>
      <c r="AE315" s="133"/>
      <c r="AF315" s="133"/>
      <c r="AG315" s="133"/>
      <c r="AH315" s="133"/>
      <c r="AI315" s="133"/>
      <c r="AJ315" s="133"/>
      <c r="AK315" s="133"/>
      <c r="AL315" s="133"/>
      <c r="AM315" s="133"/>
      <c r="AN315" s="133"/>
      <c r="AO315" s="133"/>
    </row>
    <row r="316" spans="1:41" x14ac:dyDescent="0.2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S316" s="133"/>
      <c r="T316" s="133"/>
      <c r="U316" s="133"/>
      <c r="V316" s="133"/>
      <c r="W316" s="133"/>
      <c r="X316" s="133"/>
      <c r="Y316" s="133"/>
      <c r="Z316" s="133"/>
      <c r="AA316" s="133"/>
      <c r="AB316" s="133"/>
      <c r="AC316" s="133"/>
      <c r="AD316" s="133"/>
      <c r="AE316" s="133"/>
      <c r="AF316" s="133"/>
      <c r="AG316" s="133"/>
      <c r="AH316" s="133"/>
      <c r="AI316" s="133"/>
      <c r="AJ316" s="133"/>
      <c r="AK316" s="133"/>
      <c r="AL316" s="133"/>
      <c r="AM316" s="133"/>
      <c r="AN316" s="133"/>
      <c r="AO316" s="133"/>
    </row>
    <row r="317" spans="1:41" x14ac:dyDescent="0.2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S317" s="133"/>
      <c r="T317" s="133"/>
      <c r="U317" s="133"/>
      <c r="V317" s="133"/>
      <c r="W317" s="133"/>
      <c r="X317" s="133"/>
      <c r="Y317" s="133"/>
      <c r="Z317" s="133"/>
      <c r="AA317" s="133"/>
      <c r="AB317" s="133"/>
      <c r="AC317" s="133"/>
      <c r="AD317" s="133"/>
      <c r="AE317" s="133"/>
      <c r="AF317" s="133"/>
      <c r="AG317" s="133"/>
      <c r="AH317" s="133"/>
      <c r="AI317" s="133"/>
      <c r="AJ317" s="133"/>
      <c r="AK317" s="133"/>
      <c r="AL317" s="133"/>
      <c r="AM317" s="133"/>
      <c r="AN317" s="133"/>
      <c r="AO317" s="133"/>
    </row>
    <row r="318" spans="1:41" x14ac:dyDescent="0.2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S318" s="133"/>
      <c r="T318" s="133"/>
      <c r="U318" s="133"/>
      <c r="V318" s="133"/>
      <c r="W318" s="133"/>
      <c r="X318" s="133"/>
      <c r="Y318" s="133"/>
      <c r="Z318" s="133"/>
      <c r="AA318" s="133"/>
      <c r="AB318" s="133"/>
      <c r="AC318" s="133"/>
      <c r="AD318" s="133"/>
      <c r="AE318" s="133"/>
      <c r="AF318" s="133"/>
      <c r="AG318" s="133"/>
      <c r="AH318" s="133"/>
      <c r="AI318" s="133"/>
      <c r="AJ318" s="133"/>
      <c r="AK318" s="133"/>
      <c r="AL318" s="133"/>
      <c r="AM318" s="133"/>
      <c r="AN318" s="133"/>
      <c r="AO318" s="133"/>
    </row>
    <row r="319" spans="1:41" x14ac:dyDescent="0.2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S319" s="133"/>
      <c r="T319" s="133"/>
      <c r="U319" s="133"/>
      <c r="V319" s="133"/>
      <c r="W319" s="133"/>
      <c r="X319" s="133"/>
      <c r="Y319" s="133"/>
      <c r="Z319" s="133"/>
      <c r="AA319" s="133"/>
      <c r="AB319" s="133"/>
      <c r="AC319" s="133"/>
      <c r="AD319" s="133"/>
      <c r="AE319" s="133"/>
      <c r="AF319" s="133"/>
      <c r="AG319" s="133"/>
      <c r="AH319" s="133"/>
      <c r="AI319" s="133"/>
      <c r="AJ319" s="133"/>
      <c r="AK319" s="133"/>
      <c r="AL319" s="133"/>
      <c r="AM319" s="133"/>
      <c r="AN319" s="133"/>
      <c r="AO319" s="133"/>
    </row>
    <row r="320" spans="1:41" x14ac:dyDescent="0.2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S320" s="133"/>
      <c r="T320" s="133"/>
      <c r="U320" s="133"/>
      <c r="V320" s="133"/>
      <c r="W320" s="133"/>
      <c r="X320" s="133"/>
      <c r="Y320" s="133"/>
      <c r="Z320" s="133"/>
      <c r="AA320" s="133"/>
      <c r="AB320" s="133"/>
      <c r="AC320" s="133"/>
      <c r="AD320" s="133"/>
      <c r="AE320" s="133"/>
      <c r="AF320" s="133"/>
      <c r="AG320" s="133"/>
      <c r="AH320" s="133"/>
      <c r="AI320" s="133"/>
      <c r="AJ320" s="133"/>
      <c r="AK320" s="133"/>
      <c r="AL320" s="133"/>
      <c r="AM320" s="133"/>
      <c r="AN320" s="133"/>
      <c r="AO320" s="133"/>
    </row>
    <row r="321" spans="1:41" x14ac:dyDescent="0.2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S321" s="133"/>
      <c r="T321" s="133"/>
      <c r="U321" s="133"/>
      <c r="V321" s="133"/>
      <c r="W321" s="133"/>
      <c r="X321" s="133"/>
      <c r="Y321" s="133"/>
      <c r="Z321" s="133"/>
      <c r="AA321" s="133"/>
      <c r="AB321" s="133"/>
      <c r="AC321" s="133"/>
      <c r="AD321" s="133"/>
      <c r="AE321" s="133"/>
      <c r="AF321" s="133"/>
      <c r="AG321" s="133"/>
      <c r="AH321" s="133"/>
      <c r="AI321" s="133"/>
      <c r="AJ321" s="133"/>
      <c r="AK321" s="133"/>
      <c r="AL321" s="133"/>
      <c r="AM321" s="133"/>
      <c r="AN321" s="133"/>
      <c r="AO321" s="133"/>
    </row>
    <row r="322" spans="1:41" x14ac:dyDescent="0.2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S322" s="133"/>
      <c r="T322" s="133"/>
      <c r="U322" s="133"/>
      <c r="V322" s="133"/>
      <c r="W322" s="133"/>
      <c r="X322" s="133"/>
      <c r="Y322" s="133"/>
      <c r="Z322" s="133"/>
      <c r="AA322" s="133"/>
      <c r="AB322" s="133"/>
      <c r="AC322" s="133"/>
      <c r="AD322" s="133"/>
      <c r="AE322" s="133"/>
      <c r="AF322" s="133"/>
      <c r="AG322" s="133"/>
      <c r="AH322" s="133"/>
      <c r="AI322" s="133"/>
      <c r="AJ322" s="133"/>
      <c r="AK322" s="133"/>
      <c r="AL322" s="133"/>
      <c r="AM322" s="133"/>
      <c r="AN322" s="133"/>
      <c r="AO322" s="133"/>
    </row>
    <row r="323" spans="1:41" x14ac:dyDescent="0.2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S323" s="133"/>
      <c r="T323" s="133"/>
      <c r="U323" s="133"/>
      <c r="V323" s="133"/>
      <c r="W323" s="133"/>
      <c r="X323" s="133"/>
      <c r="Y323" s="133"/>
      <c r="Z323" s="133"/>
      <c r="AA323" s="133"/>
      <c r="AB323" s="133"/>
      <c r="AC323" s="133"/>
      <c r="AD323" s="133"/>
      <c r="AE323" s="133"/>
      <c r="AF323" s="133"/>
      <c r="AG323" s="133"/>
      <c r="AH323" s="133"/>
      <c r="AI323" s="133"/>
      <c r="AJ323" s="133"/>
      <c r="AK323" s="133"/>
      <c r="AL323" s="133"/>
      <c r="AM323" s="133"/>
      <c r="AN323" s="133"/>
      <c r="AO323" s="133"/>
    </row>
    <row r="324" spans="1:41" x14ac:dyDescent="0.2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S324" s="133"/>
      <c r="T324" s="133"/>
      <c r="U324" s="133"/>
      <c r="V324" s="133"/>
      <c r="W324" s="133"/>
      <c r="X324" s="133"/>
      <c r="Y324" s="133"/>
      <c r="Z324" s="133"/>
      <c r="AA324" s="133"/>
      <c r="AB324" s="133"/>
      <c r="AC324" s="133"/>
      <c r="AD324" s="133"/>
      <c r="AE324" s="133"/>
      <c r="AF324" s="133"/>
      <c r="AG324" s="133"/>
      <c r="AH324" s="133"/>
      <c r="AI324" s="133"/>
      <c r="AJ324" s="133"/>
      <c r="AK324" s="133"/>
      <c r="AL324" s="133"/>
      <c r="AM324" s="133"/>
      <c r="AN324" s="133"/>
      <c r="AO324" s="133"/>
    </row>
    <row r="325" spans="1:41" x14ac:dyDescent="0.2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S325" s="133"/>
      <c r="T325" s="133"/>
      <c r="U325" s="133"/>
      <c r="V325" s="133"/>
      <c r="W325" s="133"/>
      <c r="X325" s="133"/>
      <c r="Y325" s="133"/>
      <c r="Z325" s="133"/>
      <c r="AA325" s="133"/>
      <c r="AB325" s="133"/>
      <c r="AC325" s="133"/>
      <c r="AD325" s="133"/>
      <c r="AE325" s="133"/>
      <c r="AF325" s="133"/>
      <c r="AG325" s="133"/>
      <c r="AH325" s="133"/>
      <c r="AI325" s="133"/>
      <c r="AJ325" s="133"/>
      <c r="AK325" s="133"/>
      <c r="AL325" s="133"/>
      <c r="AM325" s="133"/>
      <c r="AN325" s="133"/>
      <c r="AO325" s="133"/>
    </row>
    <row r="326" spans="1:41" x14ac:dyDescent="0.2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S326" s="133"/>
      <c r="T326" s="133"/>
      <c r="U326" s="133"/>
      <c r="V326" s="133"/>
      <c r="W326" s="133"/>
      <c r="X326" s="133"/>
      <c r="Y326" s="133"/>
      <c r="Z326" s="133"/>
      <c r="AA326" s="133"/>
      <c r="AB326" s="133"/>
      <c r="AC326" s="133"/>
      <c r="AD326" s="133"/>
      <c r="AE326" s="133"/>
      <c r="AF326" s="133"/>
      <c r="AG326" s="133"/>
      <c r="AH326" s="133"/>
      <c r="AI326" s="133"/>
      <c r="AJ326" s="133"/>
      <c r="AK326" s="133"/>
      <c r="AL326" s="133"/>
      <c r="AM326" s="133"/>
      <c r="AN326" s="133"/>
      <c r="AO326" s="133"/>
    </row>
    <row r="327" spans="1:41" x14ac:dyDescent="0.2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S327" s="133"/>
      <c r="T327" s="133"/>
      <c r="U327" s="133"/>
      <c r="V327" s="133"/>
      <c r="W327" s="133"/>
      <c r="X327" s="133"/>
      <c r="Y327" s="133"/>
      <c r="Z327" s="133"/>
      <c r="AA327" s="133"/>
      <c r="AB327" s="133"/>
      <c r="AC327" s="133"/>
      <c r="AD327" s="133"/>
      <c r="AE327" s="133"/>
      <c r="AF327" s="133"/>
      <c r="AG327" s="133"/>
      <c r="AH327" s="133"/>
      <c r="AI327" s="133"/>
      <c r="AJ327" s="133"/>
      <c r="AK327" s="133"/>
      <c r="AL327" s="133"/>
      <c r="AM327" s="133"/>
      <c r="AN327" s="133"/>
      <c r="AO327" s="133"/>
    </row>
    <row r="328" spans="1:41" x14ac:dyDescent="0.2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S328" s="133"/>
      <c r="T328" s="133"/>
      <c r="U328" s="133"/>
      <c r="V328" s="133"/>
      <c r="W328" s="133"/>
      <c r="X328" s="133"/>
      <c r="Y328" s="133"/>
      <c r="Z328" s="133"/>
      <c r="AA328" s="133"/>
      <c r="AB328" s="133"/>
      <c r="AC328" s="133"/>
      <c r="AD328" s="133"/>
      <c r="AE328" s="133"/>
      <c r="AF328" s="133"/>
      <c r="AG328" s="133"/>
      <c r="AH328" s="133"/>
      <c r="AI328" s="133"/>
      <c r="AJ328" s="133"/>
      <c r="AK328" s="133"/>
      <c r="AL328" s="133"/>
      <c r="AM328" s="133"/>
      <c r="AN328" s="133"/>
      <c r="AO328" s="133"/>
    </row>
    <row r="329" spans="1:41" x14ac:dyDescent="0.2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S329" s="133"/>
      <c r="T329" s="133"/>
      <c r="U329" s="133"/>
      <c r="V329" s="133"/>
      <c r="W329" s="133"/>
      <c r="X329" s="133"/>
      <c r="Y329" s="133"/>
      <c r="Z329" s="133"/>
      <c r="AA329" s="133"/>
      <c r="AB329" s="133"/>
      <c r="AC329" s="133"/>
      <c r="AD329" s="133"/>
      <c r="AE329" s="133"/>
      <c r="AF329" s="133"/>
      <c r="AG329" s="133"/>
      <c r="AH329" s="133"/>
      <c r="AI329" s="133"/>
      <c r="AJ329" s="133"/>
      <c r="AK329" s="133"/>
      <c r="AL329" s="133"/>
      <c r="AM329" s="133"/>
      <c r="AN329" s="133"/>
      <c r="AO329" s="133"/>
    </row>
    <row r="330" spans="1:41" x14ac:dyDescent="0.2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S330" s="133"/>
      <c r="T330" s="133"/>
      <c r="U330" s="133"/>
      <c r="V330" s="133"/>
      <c r="W330" s="133"/>
      <c r="X330" s="133"/>
      <c r="Y330" s="133"/>
      <c r="Z330" s="133"/>
      <c r="AA330" s="133"/>
      <c r="AB330" s="133"/>
      <c r="AC330" s="133"/>
      <c r="AD330" s="133"/>
      <c r="AE330" s="133"/>
      <c r="AF330" s="133"/>
      <c r="AG330" s="133"/>
      <c r="AH330" s="133"/>
      <c r="AI330" s="133"/>
      <c r="AJ330" s="133"/>
      <c r="AK330" s="133"/>
      <c r="AL330" s="133"/>
      <c r="AM330" s="133"/>
      <c r="AN330" s="133"/>
      <c r="AO330" s="133"/>
    </row>
    <row r="331" spans="1:41" x14ac:dyDescent="0.2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S331" s="133"/>
      <c r="T331" s="133"/>
      <c r="U331" s="133"/>
      <c r="V331" s="133"/>
      <c r="W331" s="133"/>
      <c r="X331" s="133"/>
      <c r="Y331" s="133"/>
      <c r="Z331" s="133"/>
      <c r="AA331" s="133"/>
      <c r="AB331" s="133"/>
      <c r="AC331" s="133"/>
      <c r="AD331" s="133"/>
      <c r="AE331" s="133"/>
      <c r="AF331" s="133"/>
      <c r="AG331" s="133"/>
      <c r="AH331" s="133"/>
      <c r="AI331" s="133"/>
      <c r="AJ331" s="133"/>
      <c r="AK331" s="133"/>
      <c r="AL331" s="133"/>
      <c r="AM331" s="133"/>
      <c r="AN331" s="133"/>
      <c r="AO331" s="133"/>
    </row>
    <row r="332" spans="1:41" x14ac:dyDescent="0.2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S332" s="133"/>
      <c r="T332" s="133"/>
      <c r="U332" s="133"/>
      <c r="V332" s="133"/>
      <c r="W332" s="133"/>
      <c r="X332" s="133"/>
      <c r="Y332" s="133"/>
      <c r="Z332" s="133"/>
      <c r="AA332" s="133"/>
      <c r="AB332" s="133"/>
      <c r="AC332" s="133"/>
      <c r="AD332" s="133"/>
      <c r="AE332" s="133"/>
      <c r="AF332" s="133"/>
      <c r="AG332" s="133"/>
      <c r="AH332" s="133"/>
      <c r="AI332" s="133"/>
      <c r="AJ332" s="133"/>
      <c r="AK332" s="133"/>
      <c r="AL332" s="133"/>
      <c r="AM332" s="133"/>
      <c r="AN332" s="133"/>
      <c r="AO332" s="133"/>
    </row>
    <row r="333" spans="1:41" x14ac:dyDescent="0.2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S333" s="133"/>
      <c r="T333" s="133"/>
      <c r="U333" s="133"/>
      <c r="V333" s="133"/>
      <c r="W333" s="133"/>
      <c r="X333" s="133"/>
      <c r="Y333" s="133"/>
      <c r="Z333" s="133"/>
      <c r="AA333" s="133"/>
      <c r="AB333" s="133"/>
      <c r="AC333" s="133"/>
      <c r="AD333" s="133"/>
      <c r="AE333" s="133"/>
      <c r="AF333" s="133"/>
      <c r="AG333" s="133"/>
      <c r="AH333" s="133"/>
      <c r="AI333" s="133"/>
      <c r="AJ333" s="133"/>
      <c r="AK333" s="133"/>
      <c r="AL333" s="133"/>
      <c r="AM333" s="133"/>
      <c r="AN333" s="133"/>
      <c r="AO333" s="133"/>
    </row>
    <row r="334" spans="1:41" x14ac:dyDescent="0.2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S334" s="133"/>
      <c r="T334" s="133"/>
      <c r="U334" s="133"/>
      <c r="V334" s="133"/>
      <c r="W334" s="133"/>
      <c r="X334" s="133"/>
      <c r="Y334" s="133"/>
      <c r="Z334" s="133"/>
      <c r="AA334" s="133"/>
      <c r="AB334" s="133"/>
      <c r="AC334" s="133"/>
      <c r="AD334" s="133"/>
      <c r="AE334" s="133"/>
      <c r="AF334" s="133"/>
      <c r="AG334" s="133"/>
      <c r="AH334" s="133"/>
      <c r="AI334" s="133"/>
      <c r="AJ334" s="133"/>
      <c r="AK334" s="133"/>
      <c r="AL334" s="133"/>
      <c r="AM334" s="133"/>
      <c r="AN334" s="133"/>
      <c r="AO334" s="133"/>
    </row>
    <row r="335" spans="1:41" x14ac:dyDescent="0.2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S335" s="133"/>
      <c r="T335" s="133"/>
      <c r="U335" s="133"/>
      <c r="V335" s="133"/>
      <c r="W335" s="133"/>
      <c r="X335" s="133"/>
      <c r="Y335" s="133"/>
      <c r="Z335" s="133"/>
      <c r="AA335" s="133"/>
      <c r="AB335" s="133"/>
      <c r="AC335" s="133"/>
      <c r="AD335" s="133"/>
      <c r="AE335" s="133"/>
      <c r="AF335" s="133"/>
      <c r="AG335" s="133"/>
      <c r="AH335" s="133"/>
      <c r="AI335" s="133"/>
      <c r="AJ335" s="133"/>
      <c r="AK335" s="133"/>
      <c r="AL335" s="133"/>
      <c r="AM335" s="133"/>
      <c r="AN335" s="133"/>
      <c r="AO335" s="133"/>
    </row>
    <row r="336" spans="1:41" x14ac:dyDescent="0.2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S336" s="133"/>
      <c r="T336" s="133"/>
      <c r="U336" s="133"/>
      <c r="V336" s="133"/>
      <c r="W336" s="133"/>
      <c r="X336" s="133"/>
      <c r="Y336" s="133"/>
      <c r="Z336" s="133"/>
      <c r="AA336" s="133"/>
      <c r="AB336" s="133"/>
      <c r="AC336" s="133"/>
      <c r="AD336" s="133"/>
      <c r="AE336" s="133"/>
      <c r="AF336" s="133"/>
      <c r="AG336" s="133"/>
      <c r="AH336" s="133"/>
      <c r="AI336" s="133"/>
      <c r="AJ336" s="133"/>
      <c r="AK336" s="133"/>
      <c r="AL336" s="133"/>
      <c r="AM336" s="133"/>
      <c r="AN336" s="133"/>
      <c r="AO336" s="133"/>
    </row>
    <row r="337" spans="1:41" x14ac:dyDescent="0.2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S337" s="133"/>
      <c r="T337" s="133"/>
      <c r="U337" s="133"/>
      <c r="V337" s="133"/>
      <c r="W337" s="133"/>
      <c r="X337" s="133"/>
      <c r="Y337" s="133"/>
      <c r="Z337" s="133"/>
      <c r="AA337" s="133"/>
      <c r="AB337" s="133"/>
      <c r="AC337" s="133"/>
      <c r="AD337" s="133"/>
      <c r="AE337" s="133"/>
      <c r="AF337" s="133"/>
      <c r="AG337" s="133"/>
      <c r="AH337" s="133"/>
      <c r="AI337" s="133"/>
      <c r="AJ337" s="133"/>
      <c r="AK337" s="133"/>
      <c r="AL337" s="133"/>
      <c r="AM337" s="133"/>
      <c r="AN337" s="133"/>
      <c r="AO337" s="133"/>
    </row>
    <row r="338" spans="1:41" x14ac:dyDescent="0.2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S338" s="133"/>
      <c r="T338" s="133"/>
      <c r="U338" s="133"/>
      <c r="V338" s="133"/>
      <c r="W338" s="133"/>
      <c r="X338" s="133"/>
      <c r="Y338" s="133"/>
      <c r="Z338" s="133"/>
      <c r="AA338" s="133"/>
      <c r="AB338" s="133"/>
      <c r="AC338" s="133"/>
      <c r="AD338" s="133"/>
      <c r="AE338" s="133"/>
      <c r="AF338" s="133"/>
      <c r="AG338" s="133"/>
      <c r="AH338" s="133"/>
      <c r="AI338" s="133"/>
      <c r="AJ338" s="133"/>
      <c r="AK338" s="133"/>
      <c r="AL338" s="133"/>
      <c r="AM338" s="133"/>
      <c r="AN338" s="133"/>
      <c r="AO338" s="133"/>
    </row>
    <row r="339" spans="1:41" x14ac:dyDescent="0.2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S339" s="133"/>
      <c r="T339" s="133"/>
      <c r="U339" s="133"/>
      <c r="V339" s="133"/>
      <c r="W339" s="133"/>
      <c r="X339" s="133"/>
      <c r="Y339" s="133"/>
      <c r="Z339" s="133"/>
      <c r="AA339" s="133"/>
      <c r="AB339" s="133"/>
      <c r="AC339" s="133"/>
      <c r="AD339" s="133"/>
      <c r="AE339" s="133"/>
      <c r="AF339" s="133"/>
      <c r="AG339" s="133"/>
      <c r="AH339" s="133"/>
      <c r="AI339" s="133"/>
      <c r="AJ339" s="133"/>
      <c r="AK339" s="133"/>
      <c r="AL339" s="133"/>
      <c r="AM339" s="133"/>
      <c r="AN339" s="133"/>
      <c r="AO339" s="133"/>
    </row>
    <row r="340" spans="1:41" x14ac:dyDescent="0.2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S340" s="133"/>
      <c r="T340" s="133"/>
      <c r="U340" s="133"/>
      <c r="V340" s="133"/>
      <c r="W340" s="133"/>
      <c r="X340" s="133"/>
      <c r="Y340" s="133"/>
      <c r="Z340" s="133"/>
      <c r="AA340" s="133"/>
      <c r="AB340" s="133"/>
      <c r="AC340" s="133"/>
      <c r="AD340" s="133"/>
      <c r="AE340" s="133"/>
      <c r="AF340" s="133"/>
      <c r="AG340" s="133"/>
      <c r="AH340" s="133"/>
      <c r="AI340" s="133"/>
      <c r="AJ340" s="133"/>
      <c r="AK340" s="133"/>
      <c r="AL340" s="133"/>
      <c r="AM340" s="133"/>
      <c r="AN340" s="133"/>
      <c r="AO340" s="133"/>
    </row>
    <row r="341" spans="1:41" x14ac:dyDescent="0.2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S341" s="133"/>
      <c r="T341" s="133"/>
      <c r="U341" s="133"/>
      <c r="V341" s="133"/>
      <c r="W341" s="133"/>
      <c r="X341" s="133"/>
      <c r="Y341" s="133"/>
      <c r="Z341" s="133"/>
      <c r="AA341" s="133"/>
      <c r="AB341" s="133"/>
      <c r="AC341" s="133"/>
      <c r="AD341" s="133"/>
      <c r="AE341" s="133"/>
      <c r="AF341" s="133"/>
      <c r="AG341" s="133"/>
      <c r="AH341" s="133"/>
      <c r="AI341" s="133"/>
      <c r="AJ341" s="133"/>
      <c r="AK341" s="133"/>
      <c r="AL341" s="133"/>
      <c r="AM341" s="133"/>
      <c r="AN341" s="133"/>
      <c r="AO341" s="133"/>
    </row>
    <row r="342" spans="1:41" x14ac:dyDescent="0.2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S342" s="133"/>
      <c r="T342" s="133"/>
      <c r="U342" s="133"/>
      <c r="V342" s="133"/>
      <c r="W342" s="133"/>
      <c r="X342" s="133"/>
      <c r="Y342" s="133"/>
      <c r="Z342" s="133"/>
      <c r="AA342" s="133"/>
      <c r="AB342" s="133"/>
      <c r="AC342" s="133"/>
      <c r="AD342" s="133"/>
      <c r="AE342" s="133"/>
      <c r="AF342" s="133"/>
      <c r="AG342" s="133"/>
      <c r="AH342" s="133"/>
      <c r="AI342" s="133"/>
      <c r="AJ342" s="133"/>
      <c r="AK342" s="133"/>
      <c r="AL342" s="133"/>
      <c r="AM342" s="133"/>
      <c r="AN342" s="133"/>
      <c r="AO342" s="133"/>
    </row>
    <row r="343" spans="1:41" x14ac:dyDescent="0.2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S343" s="133"/>
      <c r="T343" s="133"/>
      <c r="U343" s="133"/>
      <c r="V343" s="133"/>
      <c r="W343" s="133"/>
      <c r="X343" s="133"/>
      <c r="Y343" s="133"/>
      <c r="Z343" s="133"/>
      <c r="AA343" s="133"/>
      <c r="AB343" s="133"/>
      <c r="AC343" s="133"/>
      <c r="AD343" s="133"/>
      <c r="AE343" s="133"/>
      <c r="AF343" s="133"/>
      <c r="AG343" s="133"/>
      <c r="AH343" s="133"/>
      <c r="AI343" s="133"/>
      <c r="AJ343" s="133"/>
      <c r="AK343" s="133"/>
      <c r="AL343" s="133"/>
      <c r="AM343" s="133"/>
      <c r="AN343" s="133"/>
      <c r="AO343" s="133"/>
    </row>
    <row r="344" spans="1:41" x14ac:dyDescent="0.2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S344" s="133"/>
      <c r="T344" s="133"/>
      <c r="U344" s="133"/>
      <c r="V344" s="133"/>
      <c r="W344" s="133"/>
      <c r="X344" s="133"/>
      <c r="Y344" s="133"/>
      <c r="Z344" s="133"/>
      <c r="AA344" s="133"/>
      <c r="AB344" s="133"/>
      <c r="AC344" s="133"/>
      <c r="AD344" s="133"/>
      <c r="AE344" s="133"/>
      <c r="AF344" s="133"/>
      <c r="AG344" s="133"/>
      <c r="AH344" s="133"/>
      <c r="AI344" s="133"/>
      <c r="AJ344" s="133"/>
      <c r="AK344" s="133"/>
      <c r="AL344" s="133"/>
      <c r="AM344" s="133"/>
      <c r="AN344" s="133"/>
      <c r="AO344" s="133"/>
    </row>
    <row r="345" spans="1:41" x14ac:dyDescent="0.2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S345" s="133"/>
      <c r="T345" s="133"/>
      <c r="U345" s="133"/>
      <c r="V345" s="133"/>
      <c r="W345" s="133"/>
      <c r="X345" s="133"/>
      <c r="Y345" s="133"/>
      <c r="Z345" s="133"/>
      <c r="AA345" s="133"/>
      <c r="AB345" s="133"/>
      <c r="AC345" s="133"/>
      <c r="AD345" s="133"/>
      <c r="AE345" s="133"/>
      <c r="AF345" s="133"/>
      <c r="AG345" s="133"/>
      <c r="AH345" s="133"/>
      <c r="AI345" s="133"/>
      <c r="AJ345" s="133"/>
      <c r="AK345" s="133"/>
      <c r="AL345" s="133"/>
      <c r="AM345" s="133"/>
      <c r="AN345" s="133"/>
      <c r="AO345" s="133"/>
    </row>
    <row r="346" spans="1:41" x14ac:dyDescent="0.2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S346" s="133"/>
      <c r="T346" s="133"/>
      <c r="U346" s="133"/>
      <c r="V346" s="133"/>
      <c r="W346" s="133"/>
      <c r="X346" s="133"/>
      <c r="Y346" s="133"/>
      <c r="Z346" s="133"/>
      <c r="AA346" s="133"/>
      <c r="AB346" s="133"/>
      <c r="AC346" s="133"/>
      <c r="AD346" s="133"/>
      <c r="AE346" s="133"/>
      <c r="AF346" s="133"/>
      <c r="AG346" s="133"/>
      <c r="AH346" s="133"/>
      <c r="AI346" s="133"/>
      <c r="AJ346" s="133"/>
      <c r="AK346" s="133"/>
      <c r="AL346" s="133"/>
      <c r="AM346" s="133"/>
      <c r="AN346" s="133"/>
      <c r="AO346" s="133"/>
    </row>
    <row r="347" spans="1:41" x14ac:dyDescent="0.2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S347" s="133"/>
      <c r="T347" s="133"/>
      <c r="U347" s="133"/>
      <c r="V347" s="133"/>
      <c r="W347" s="133"/>
      <c r="X347" s="133"/>
      <c r="Y347" s="133"/>
      <c r="Z347" s="133"/>
      <c r="AA347" s="133"/>
      <c r="AB347" s="133"/>
      <c r="AC347" s="133"/>
      <c r="AD347" s="133"/>
      <c r="AE347" s="133"/>
      <c r="AF347" s="133"/>
      <c r="AG347" s="133"/>
      <c r="AH347" s="133"/>
      <c r="AI347" s="133"/>
      <c r="AJ347" s="133"/>
      <c r="AK347" s="133"/>
      <c r="AL347" s="133"/>
      <c r="AM347" s="133"/>
      <c r="AN347" s="133"/>
      <c r="AO347" s="133"/>
    </row>
    <row r="348" spans="1:41" x14ac:dyDescent="0.2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S348" s="133"/>
      <c r="T348" s="133"/>
      <c r="U348" s="133"/>
      <c r="V348" s="133"/>
      <c r="W348" s="133"/>
      <c r="X348" s="133"/>
      <c r="Y348" s="133"/>
      <c r="Z348" s="133"/>
      <c r="AA348" s="133"/>
      <c r="AB348" s="133"/>
      <c r="AC348" s="133"/>
      <c r="AD348" s="133"/>
      <c r="AE348" s="133"/>
      <c r="AF348" s="133"/>
      <c r="AG348" s="133"/>
      <c r="AH348" s="133"/>
      <c r="AI348" s="133"/>
      <c r="AJ348" s="133"/>
      <c r="AK348" s="133"/>
      <c r="AL348" s="133"/>
      <c r="AM348" s="133"/>
      <c r="AN348" s="133"/>
      <c r="AO348" s="133"/>
    </row>
    <row r="349" spans="1:41" x14ac:dyDescent="0.2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S349" s="133"/>
      <c r="T349" s="133"/>
      <c r="U349" s="133"/>
      <c r="V349" s="133"/>
      <c r="W349" s="133"/>
      <c r="X349" s="133"/>
      <c r="Y349" s="133"/>
      <c r="Z349" s="133"/>
      <c r="AA349" s="133"/>
      <c r="AB349" s="133"/>
      <c r="AC349" s="133"/>
      <c r="AD349" s="133"/>
      <c r="AE349" s="133"/>
      <c r="AF349" s="133"/>
      <c r="AG349" s="133"/>
      <c r="AH349" s="133"/>
      <c r="AI349" s="133"/>
      <c r="AJ349" s="133"/>
      <c r="AK349" s="133"/>
      <c r="AL349" s="133"/>
      <c r="AM349" s="133"/>
      <c r="AN349" s="133"/>
      <c r="AO349" s="133"/>
    </row>
    <row r="350" spans="1:41" x14ac:dyDescent="0.2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S350" s="133"/>
      <c r="T350" s="133"/>
      <c r="U350" s="133"/>
      <c r="V350" s="133"/>
      <c r="W350" s="133"/>
      <c r="X350" s="133"/>
      <c r="Y350" s="133"/>
      <c r="Z350" s="133"/>
      <c r="AA350" s="133"/>
      <c r="AB350" s="133"/>
      <c r="AC350" s="133"/>
      <c r="AD350" s="133"/>
      <c r="AE350" s="133"/>
      <c r="AF350" s="133"/>
      <c r="AG350" s="133"/>
      <c r="AH350" s="133"/>
      <c r="AI350" s="133"/>
      <c r="AJ350" s="133"/>
      <c r="AK350" s="133"/>
      <c r="AL350" s="133"/>
      <c r="AM350" s="133"/>
      <c r="AN350" s="133"/>
      <c r="AO350" s="133"/>
    </row>
    <row r="351" spans="1:41" x14ac:dyDescent="0.2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S351" s="133"/>
      <c r="T351" s="133"/>
      <c r="U351" s="133"/>
      <c r="V351" s="133"/>
      <c r="W351" s="133"/>
      <c r="X351" s="133"/>
      <c r="Y351" s="133"/>
      <c r="Z351" s="133"/>
      <c r="AA351" s="133"/>
      <c r="AB351" s="133"/>
      <c r="AC351" s="133"/>
      <c r="AD351" s="133"/>
      <c r="AE351" s="133"/>
      <c r="AF351" s="133"/>
      <c r="AG351" s="133"/>
      <c r="AH351" s="133"/>
      <c r="AI351" s="133"/>
      <c r="AJ351" s="133"/>
      <c r="AK351" s="133"/>
      <c r="AL351" s="133"/>
      <c r="AM351" s="133"/>
      <c r="AN351" s="133"/>
      <c r="AO351" s="133"/>
    </row>
    <row r="352" spans="1:41" x14ac:dyDescent="0.2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S352" s="133"/>
      <c r="T352" s="133"/>
      <c r="U352" s="133"/>
      <c r="V352" s="133"/>
      <c r="W352" s="133"/>
      <c r="X352" s="133"/>
      <c r="Y352" s="133"/>
      <c r="Z352" s="133"/>
      <c r="AA352" s="133"/>
      <c r="AB352" s="133"/>
      <c r="AC352" s="133"/>
      <c r="AD352" s="133"/>
      <c r="AE352" s="133"/>
      <c r="AF352" s="133"/>
      <c r="AG352" s="133"/>
      <c r="AH352" s="133"/>
      <c r="AI352" s="133"/>
      <c r="AJ352" s="133"/>
      <c r="AK352" s="133"/>
      <c r="AL352" s="133"/>
      <c r="AM352" s="133"/>
      <c r="AN352" s="133"/>
      <c r="AO352" s="133"/>
    </row>
    <row r="353" spans="1:41" x14ac:dyDescent="0.2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S353" s="133"/>
      <c r="T353" s="133"/>
      <c r="U353" s="133"/>
      <c r="V353" s="133"/>
      <c r="W353" s="133"/>
      <c r="X353" s="133"/>
      <c r="Y353" s="133"/>
      <c r="Z353" s="133"/>
      <c r="AA353" s="133"/>
      <c r="AB353" s="133"/>
      <c r="AC353" s="133"/>
      <c r="AD353" s="133"/>
      <c r="AE353" s="133"/>
      <c r="AF353" s="133"/>
      <c r="AG353" s="133"/>
      <c r="AH353" s="133"/>
      <c r="AI353" s="133"/>
      <c r="AJ353" s="133"/>
      <c r="AK353" s="133"/>
      <c r="AL353" s="133"/>
      <c r="AM353" s="133"/>
      <c r="AN353" s="133"/>
      <c r="AO353" s="133"/>
    </row>
    <row r="354" spans="1:41" x14ac:dyDescent="0.2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S354" s="133"/>
      <c r="T354" s="133"/>
      <c r="U354" s="133"/>
      <c r="V354" s="133"/>
      <c r="W354" s="133"/>
      <c r="X354" s="133"/>
      <c r="Y354" s="133"/>
      <c r="Z354" s="133"/>
      <c r="AA354" s="133"/>
      <c r="AB354" s="133"/>
      <c r="AC354" s="133"/>
      <c r="AD354" s="133"/>
      <c r="AE354" s="133"/>
      <c r="AF354" s="133"/>
      <c r="AG354" s="133"/>
      <c r="AH354" s="133"/>
      <c r="AI354" s="133"/>
      <c r="AJ354" s="133"/>
      <c r="AK354" s="133"/>
      <c r="AL354" s="133"/>
      <c r="AM354" s="133"/>
      <c r="AN354" s="133"/>
      <c r="AO354" s="133"/>
    </row>
    <row r="355" spans="1:41" x14ac:dyDescent="0.2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S355" s="133"/>
      <c r="T355" s="133"/>
      <c r="U355" s="133"/>
      <c r="V355" s="133"/>
      <c r="W355" s="133"/>
      <c r="X355" s="133"/>
      <c r="Y355" s="133"/>
      <c r="Z355" s="133"/>
      <c r="AA355" s="133"/>
      <c r="AB355" s="133"/>
      <c r="AC355" s="133"/>
      <c r="AD355" s="133"/>
      <c r="AE355" s="133"/>
      <c r="AF355" s="133"/>
      <c r="AG355" s="133"/>
      <c r="AH355" s="133"/>
      <c r="AI355" s="133"/>
      <c r="AJ355" s="133"/>
      <c r="AK355" s="133"/>
      <c r="AL355" s="133"/>
      <c r="AM355" s="133"/>
      <c r="AN355" s="133"/>
      <c r="AO355" s="133"/>
    </row>
    <row r="356" spans="1:41" x14ac:dyDescent="0.2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S356" s="133"/>
      <c r="T356" s="133"/>
      <c r="U356" s="133"/>
      <c r="V356" s="133"/>
      <c r="W356" s="133"/>
      <c r="X356" s="133"/>
      <c r="Y356" s="133"/>
      <c r="Z356" s="133"/>
      <c r="AA356" s="133"/>
      <c r="AB356" s="133"/>
      <c r="AC356" s="133"/>
      <c r="AD356" s="133"/>
      <c r="AE356" s="133"/>
      <c r="AF356" s="133"/>
      <c r="AG356" s="133"/>
      <c r="AH356" s="133"/>
      <c r="AI356" s="133"/>
      <c r="AJ356" s="133"/>
      <c r="AK356" s="133"/>
      <c r="AL356" s="133"/>
      <c r="AM356" s="133"/>
      <c r="AN356" s="133"/>
      <c r="AO356" s="133"/>
    </row>
    <row r="357" spans="1:41" x14ac:dyDescent="0.2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S357" s="133"/>
      <c r="T357" s="133"/>
      <c r="U357" s="133"/>
      <c r="V357" s="133"/>
      <c r="W357" s="133"/>
      <c r="X357" s="133"/>
      <c r="Y357" s="133"/>
      <c r="Z357" s="133"/>
      <c r="AA357" s="133"/>
      <c r="AB357" s="133"/>
      <c r="AC357" s="133"/>
      <c r="AD357" s="133"/>
      <c r="AE357" s="133"/>
      <c r="AF357" s="133"/>
      <c r="AG357" s="133"/>
      <c r="AH357" s="133"/>
      <c r="AI357" s="133"/>
      <c r="AJ357" s="133"/>
      <c r="AK357" s="133"/>
      <c r="AL357" s="133"/>
      <c r="AM357" s="133"/>
      <c r="AN357" s="133"/>
      <c r="AO357" s="133"/>
    </row>
    <row r="358" spans="1:41" x14ac:dyDescent="0.2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S358" s="133"/>
      <c r="T358" s="133"/>
      <c r="U358" s="133"/>
      <c r="V358" s="133"/>
      <c r="W358" s="133"/>
      <c r="X358" s="133"/>
      <c r="Y358" s="133"/>
      <c r="Z358" s="133"/>
      <c r="AA358" s="133"/>
      <c r="AB358" s="133"/>
      <c r="AC358" s="133"/>
      <c r="AD358" s="133"/>
      <c r="AE358" s="133"/>
      <c r="AF358" s="133"/>
      <c r="AG358" s="133"/>
      <c r="AH358" s="133"/>
      <c r="AI358" s="133"/>
      <c r="AJ358" s="133"/>
      <c r="AK358" s="133"/>
      <c r="AL358" s="133"/>
      <c r="AM358" s="133"/>
      <c r="AN358" s="133"/>
      <c r="AO358" s="133"/>
    </row>
    <row r="359" spans="1:41" x14ac:dyDescent="0.2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S359" s="133"/>
      <c r="T359" s="133"/>
      <c r="U359" s="133"/>
      <c r="V359" s="133"/>
      <c r="W359" s="133"/>
      <c r="X359" s="133"/>
      <c r="Y359" s="133"/>
      <c r="Z359" s="133"/>
      <c r="AA359" s="133"/>
      <c r="AB359" s="133"/>
      <c r="AC359" s="133"/>
      <c r="AD359" s="133"/>
      <c r="AE359" s="133"/>
      <c r="AF359" s="133"/>
      <c r="AG359" s="133"/>
      <c r="AH359" s="133"/>
      <c r="AI359" s="133"/>
      <c r="AJ359" s="133"/>
      <c r="AK359" s="133"/>
      <c r="AL359" s="133"/>
      <c r="AM359" s="133"/>
      <c r="AN359" s="133"/>
      <c r="AO359" s="133"/>
    </row>
    <row r="360" spans="1:41" x14ac:dyDescent="0.2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S360" s="133"/>
      <c r="T360" s="133"/>
      <c r="U360" s="133"/>
      <c r="V360" s="133"/>
      <c r="W360" s="133"/>
      <c r="X360" s="133"/>
      <c r="Y360" s="133"/>
      <c r="Z360" s="133"/>
      <c r="AA360" s="133"/>
      <c r="AB360" s="133"/>
      <c r="AC360" s="133"/>
      <c r="AD360" s="133"/>
      <c r="AE360" s="133"/>
      <c r="AF360" s="133"/>
      <c r="AG360" s="133"/>
      <c r="AH360" s="133"/>
      <c r="AI360" s="133"/>
      <c r="AJ360" s="133"/>
      <c r="AK360" s="133"/>
      <c r="AL360" s="133"/>
      <c r="AM360" s="133"/>
      <c r="AN360" s="133"/>
      <c r="AO360" s="133"/>
    </row>
    <row r="361" spans="1:41" x14ac:dyDescent="0.2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S361" s="133"/>
      <c r="T361" s="133"/>
      <c r="U361" s="133"/>
      <c r="V361" s="133"/>
      <c r="W361" s="133"/>
      <c r="X361" s="133"/>
      <c r="Y361" s="133"/>
      <c r="Z361" s="133"/>
      <c r="AA361" s="133"/>
      <c r="AB361" s="133"/>
      <c r="AC361" s="133"/>
      <c r="AD361" s="133"/>
      <c r="AE361" s="133"/>
      <c r="AF361" s="133"/>
      <c r="AG361" s="133"/>
      <c r="AH361" s="133"/>
      <c r="AI361" s="133"/>
      <c r="AJ361" s="133"/>
      <c r="AK361" s="133"/>
      <c r="AL361" s="133"/>
      <c r="AM361" s="133"/>
      <c r="AN361" s="133"/>
      <c r="AO361" s="133"/>
    </row>
    <row r="362" spans="1:41" x14ac:dyDescent="0.2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S362" s="133"/>
      <c r="T362" s="133"/>
      <c r="U362" s="133"/>
      <c r="V362" s="133"/>
      <c r="W362" s="133"/>
      <c r="X362" s="133"/>
      <c r="Y362" s="133"/>
      <c r="Z362" s="133"/>
      <c r="AA362" s="133"/>
      <c r="AB362" s="133"/>
      <c r="AC362" s="133"/>
      <c r="AD362" s="133"/>
      <c r="AE362" s="133"/>
      <c r="AF362" s="133"/>
      <c r="AG362" s="133"/>
      <c r="AH362" s="133"/>
      <c r="AI362" s="133"/>
      <c r="AJ362" s="133"/>
      <c r="AK362" s="133"/>
      <c r="AL362" s="133"/>
      <c r="AM362" s="133"/>
      <c r="AN362" s="133"/>
      <c r="AO362" s="133"/>
    </row>
    <row r="363" spans="1:41" x14ac:dyDescent="0.2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S363" s="133"/>
      <c r="T363" s="133"/>
      <c r="U363" s="133"/>
      <c r="V363" s="133"/>
      <c r="W363" s="133"/>
      <c r="X363" s="133"/>
      <c r="Y363" s="133"/>
      <c r="Z363" s="133"/>
      <c r="AA363" s="133"/>
      <c r="AB363" s="133"/>
      <c r="AC363" s="133"/>
      <c r="AD363" s="133"/>
      <c r="AE363" s="133"/>
      <c r="AF363" s="133"/>
      <c r="AG363" s="133"/>
      <c r="AH363" s="133"/>
      <c r="AI363" s="133"/>
      <c r="AJ363" s="133"/>
      <c r="AK363" s="133"/>
      <c r="AL363" s="133"/>
      <c r="AM363" s="133"/>
      <c r="AN363" s="133"/>
      <c r="AO363" s="133"/>
    </row>
    <row r="364" spans="1:41" x14ac:dyDescent="0.2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S364" s="133"/>
      <c r="T364" s="133"/>
      <c r="U364" s="133"/>
      <c r="V364" s="133"/>
      <c r="W364" s="133"/>
      <c r="X364" s="133"/>
      <c r="Y364" s="133"/>
      <c r="Z364" s="133"/>
      <c r="AA364" s="133"/>
      <c r="AB364" s="133"/>
      <c r="AC364" s="133"/>
      <c r="AD364" s="133"/>
      <c r="AE364" s="133"/>
      <c r="AF364" s="133"/>
      <c r="AG364" s="133"/>
      <c r="AH364" s="133"/>
      <c r="AI364" s="133"/>
      <c r="AJ364" s="133"/>
      <c r="AK364" s="133"/>
      <c r="AL364" s="133"/>
      <c r="AM364" s="133"/>
      <c r="AN364" s="133"/>
      <c r="AO364" s="133"/>
    </row>
    <row r="365" spans="1:41" x14ac:dyDescent="0.2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S365" s="133"/>
      <c r="T365" s="133"/>
      <c r="U365" s="133"/>
      <c r="V365" s="133"/>
      <c r="W365" s="133"/>
      <c r="X365" s="133"/>
      <c r="Y365" s="133"/>
      <c r="Z365" s="133"/>
      <c r="AA365" s="133"/>
      <c r="AB365" s="133"/>
      <c r="AC365" s="133"/>
      <c r="AD365" s="133"/>
      <c r="AE365" s="133"/>
      <c r="AF365" s="133"/>
      <c r="AG365" s="133"/>
      <c r="AH365" s="133"/>
      <c r="AI365" s="133"/>
      <c r="AJ365" s="133"/>
      <c r="AK365" s="133"/>
      <c r="AL365" s="133"/>
      <c r="AM365" s="133"/>
      <c r="AN365" s="133"/>
      <c r="AO365" s="133"/>
    </row>
    <row r="366" spans="1:41" x14ac:dyDescent="0.2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S366" s="133"/>
      <c r="T366" s="133"/>
      <c r="U366" s="133"/>
      <c r="V366" s="133"/>
      <c r="W366" s="133"/>
      <c r="X366" s="133"/>
      <c r="Y366" s="133"/>
      <c r="Z366" s="133"/>
      <c r="AA366" s="133"/>
      <c r="AB366" s="133"/>
      <c r="AC366" s="133"/>
      <c r="AD366" s="133"/>
      <c r="AE366" s="133"/>
      <c r="AF366" s="133"/>
      <c r="AG366" s="133"/>
      <c r="AH366" s="133"/>
      <c r="AI366" s="133"/>
      <c r="AJ366" s="133"/>
      <c r="AK366" s="133"/>
      <c r="AL366" s="133"/>
      <c r="AM366" s="133"/>
      <c r="AN366" s="133"/>
      <c r="AO366" s="133"/>
    </row>
    <row r="367" spans="1:41" x14ac:dyDescent="0.2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S367" s="133"/>
      <c r="T367" s="133"/>
      <c r="U367" s="133"/>
      <c r="V367" s="133"/>
      <c r="W367" s="133"/>
      <c r="X367" s="133"/>
      <c r="Y367" s="133"/>
      <c r="Z367" s="133"/>
      <c r="AA367" s="133"/>
      <c r="AB367" s="133"/>
      <c r="AC367" s="133"/>
      <c r="AD367" s="133"/>
      <c r="AE367" s="133"/>
      <c r="AF367" s="133"/>
      <c r="AG367" s="133"/>
      <c r="AH367" s="133"/>
      <c r="AI367" s="133"/>
      <c r="AJ367" s="133"/>
      <c r="AK367" s="133"/>
      <c r="AL367" s="133"/>
      <c r="AM367" s="133"/>
      <c r="AN367" s="133"/>
      <c r="AO367" s="133"/>
    </row>
    <row r="368" spans="1:41" x14ac:dyDescent="0.2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S368" s="133"/>
      <c r="T368" s="133"/>
      <c r="U368" s="133"/>
      <c r="V368" s="133"/>
      <c r="W368" s="133"/>
      <c r="X368" s="133"/>
      <c r="Y368" s="133"/>
      <c r="Z368" s="133"/>
      <c r="AA368" s="133"/>
      <c r="AB368" s="133"/>
      <c r="AC368" s="133"/>
      <c r="AD368" s="133"/>
      <c r="AE368" s="133"/>
      <c r="AF368" s="133"/>
      <c r="AG368" s="133"/>
      <c r="AH368" s="133"/>
      <c r="AI368" s="133"/>
      <c r="AJ368" s="133"/>
      <c r="AK368" s="133"/>
      <c r="AL368" s="133"/>
      <c r="AM368" s="133"/>
      <c r="AN368" s="133"/>
      <c r="AO368" s="133"/>
    </row>
    <row r="369" spans="1:41" x14ac:dyDescent="0.2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S369" s="133"/>
      <c r="T369" s="133"/>
      <c r="U369" s="133"/>
      <c r="V369" s="133"/>
      <c r="W369" s="133"/>
      <c r="X369" s="133"/>
      <c r="Y369" s="133"/>
      <c r="Z369" s="133"/>
      <c r="AA369" s="133"/>
      <c r="AB369" s="133"/>
      <c r="AC369" s="133"/>
      <c r="AD369" s="133"/>
      <c r="AE369" s="133"/>
      <c r="AF369" s="133"/>
      <c r="AG369" s="133"/>
      <c r="AH369" s="133"/>
      <c r="AI369" s="133"/>
      <c r="AJ369" s="133"/>
      <c r="AK369" s="133"/>
      <c r="AL369" s="133"/>
      <c r="AM369" s="133"/>
      <c r="AN369" s="133"/>
      <c r="AO369" s="133"/>
    </row>
    <row r="370" spans="1:41" x14ac:dyDescent="0.2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S370" s="133"/>
      <c r="T370" s="133"/>
      <c r="U370" s="133"/>
      <c r="V370" s="133"/>
      <c r="W370" s="133"/>
      <c r="X370" s="133"/>
      <c r="Y370" s="133"/>
      <c r="Z370" s="133"/>
      <c r="AA370" s="133"/>
      <c r="AB370" s="133"/>
      <c r="AC370" s="133"/>
      <c r="AD370" s="133"/>
      <c r="AE370" s="133"/>
      <c r="AF370" s="133"/>
      <c r="AG370" s="133"/>
      <c r="AH370" s="133"/>
      <c r="AI370" s="133"/>
      <c r="AJ370" s="133"/>
      <c r="AK370" s="133"/>
      <c r="AL370" s="133"/>
      <c r="AM370" s="133"/>
      <c r="AN370" s="133"/>
      <c r="AO370" s="133"/>
    </row>
    <row r="371" spans="1:41" x14ac:dyDescent="0.2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S371" s="133"/>
      <c r="T371" s="133"/>
      <c r="U371" s="133"/>
      <c r="V371" s="133"/>
      <c r="W371" s="133"/>
      <c r="X371" s="133"/>
      <c r="Y371" s="133"/>
      <c r="Z371" s="133"/>
      <c r="AA371" s="133"/>
      <c r="AB371" s="133"/>
      <c r="AC371" s="133"/>
      <c r="AD371" s="133"/>
      <c r="AE371" s="133"/>
      <c r="AF371" s="133"/>
      <c r="AG371" s="133"/>
      <c r="AH371" s="133"/>
      <c r="AI371" s="133"/>
      <c r="AJ371" s="133"/>
      <c r="AK371" s="133"/>
      <c r="AL371" s="133"/>
      <c r="AM371" s="133"/>
      <c r="AN371" s="133"/>
      <c r="AO371" s="133"/>
    </row>
    <row r="372" spans="1:41" x14ac:dyDescent="0.2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S372" s="133"/>
      <c r="T372" s="133"/>
      <c r="U372" s="133"/>
      <c r="V372" s="133"/>
      <c r="W372" s="133"/>
      <c r="X372" s="133"/>
      <c r="Y372" s="133"/>
      <c r="Z372" s="133"/>
      <c r="AA372" s="133"/>
      <c r="AB372" s="133"/>
      <c r="AC372" s="133"/>
      <c r="AD372" s="133"/>
      <c r="AE372" s="133"/>
      <c r="AF372" s="133"/>
      <c r="AG372" s="133"/>
      <c r="AH372" s="133"/>
      <c r="AI372" s="133"/>
      <c r="AJ372" s="133"/>
      <c r="AK372" s="133"/>
      <c r="AL372" s="133"/>
      <c r="AM372" s="133"/>
      <c r="AN372" s="133"/>
      <c r="AO372" s="133"/>
    </row>
    <row r="373" spans="1:41" x14ac:dyDescent="0.2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S373" s="133"/>
      <c r="T373" s="133"/>
      <c r="U373" s="133"/>
      <c r="V373" s="133"/>
      <c r="W373" s="133"/>
      <c r="X373" s="133"/>
      <c r="Y373" s="133"/>
      <c r="Z373" s="133"/>
      <c r="AA373" s="133"/>
      <c r="AB373" s="133"/>
      <c r="AC373" s="133"/>
      <c r="AD373" s="133"/>
      <c r="AE373" s="133"/>
      <c r="AF373" s="133"/>
      <c r="AG373" s="133"/>
      <c r="AH373" s="133"/>
      <c r="AI373" s="133"/>
      <c r="AJ373" s="133"/>
      <c r="AK373" s="133"/>
      <c r="AL373" s="133"/>
      <c r="AM373" s="133"/>
      <c r="AN373" s="133"/>
      <c r="AO373" s="133"/>
    </row>
    <row r="374" spans="1:41" x14ac:dyDescent="0.2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S374" s="133"/>
      <c r="T374" s="133"/>
      <c r="U374" s="133"/>
      <c r="V374" s="133"/>
      <c r="W374" s="133"/>
      <c r="X374" s="133"/>
      <c r="Y374" s="133"/>
      <c r="Z374" s="133"/>
      <c r="AA374" s="133"/>
      <c r="AB374" s="133"/>
      <c r="AC374" s="133"/>
      <c r="AD374" s="133"/>
      <c r="AE374" s="133"/>
      <c r="AF374" s="133"/>
      <c r="AG374" s="133"/>
      <c r="AH374" s="133"/>
      <c r="AI374" s="133"/>
      <c r="AJ374" s="133"/>
      <c r="AK374" s="133"/>
      <c r="AL374" s="133"/>
      <c r="AM374" s="133"/>
      <c r="AN374" s="133"/>
      <c r="AO374" s="133"/>
    </row>
    <row r="375" spans="1:41" x14ac:dyDescent="0.2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S375" s="133"/>
      <c r="T375" s="133"/>
      <c r="U375" s="133"/>
      <c r="V375" s="133"/>
      <c r="W375" s="133"/>
      <c r="X375" s="133"/>
      <c r="Y375" s="133"/>
      <c r="Z375" s="133"/>
      <c r="AA375" s="133"/>
      <c r="AB375" s="133"/>
      <c r="AC375" s="133"/>
      <c r="AD375" s="133"/>
      <c r="AE375" s="133"/>
      <c r="AF375" s="133"/>
      <c r="AG375" s="133"/>
      <c r="AH375" s="133"/>
      <c r="AI375" s="133"/>
      <c r="AJ375" s="133"/>
      <c r="AK375" s="133"/>
      <c r="AL375" s="133"/>
      <c r="AM375" s="133"/>
      <c r="AN375" s="133"/>
      <c r="AO375" s="133"/>
    </row>
    <row r="376" spans="1:41" x14ac:dyDescent="0.2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S376" s="133"/>
      <c r="T376" s="133"/>
      <c r="U376" s="133"/>
      <c r="V376" s="133"/>
      <c r="W376" s="133"/>
      <c r="X376" s="133"/>
      <c r="Y376" s="133"/>
      <c r="Z376" s="133"/>
      <c r="AA376" s="133"/>
      <c r="AB376" s="133"/>
      <c r="AC376" s="133"/>
      <c r="AD376" s="133"/>
      <c r="AE376" s="133"/>
      <c r="AF376" s="133"/>
      <c r="AG376" s="133"/>
      <c r="AH376" s="133"/>
      <c r="AI376" s="133"/>
      <c r="AJ376" s="133"/>
      <c r="AK376" s="133"/>
      <c r="AL376" s="133"/>
      <c r="AM376" s="133"/>
      <c r="AN376" s="133"/>
      <c r="AO376" s="133"/>
    </row>
    <row r="377" spans="1:41" x14ac:dyDescent="0.2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S377" s="133"/>
      <c r="T377" s="133"/>
      <c r="U377" s="133"/>
      <c r="V377" s="133"/>
      <c r="W377" s="133"/>
      <c r="X377" s="133"/>
      <c r="Y377" s="133"/>
      <c r="Z377" s="133"/>
      <c r="AA377" s="133"/>
      <c r="AB377" s="133"/>
      <c r="AC377" s="133"/>
      <c r="AD377" s="133"/>
      <c r="AE377" s="133"/>
      <c r="AF377" s="133"/>
      <c r="AG377" s="133"/>
      <c r="AH377" s="133"/>
      <c r="AI377" s="133"/>
      <c r="AJ377" s="133"/>
      <c r="AK377" s="133"/>
      <c r="AL377" s="133"/>
      <c r="AM377" s="133"/>
      <c r="AN377" s="133"/>
      <c r="AO377" s="133"/>
    </row>
    <row r="378" spans="1:41" x14ac:dyDescent="0.2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S378" s="133"/>
      <c r="T378" s="133"/>
      <c r="U378" s="133"/>
      <c r="V378" s="133"/>
      <c r="W378" s="133"/>
      <c r="X378" s="133"/>
      <c r="Y378" s="133"/>
      <c r="Z378" s="133"/>
      <c r="AA378" s="133"/>
      <c r="AB378" s="133"/>
      <c r="AC378" s="133"/>
      <c r="AD378" s="133"/>
      <c r="AE378" s="133"/>
      <c r="AF378" s="133"/>
      <c r="AG378" s="133"/>
      <c r="AH378" s="133"/>
      <c r="AI378" s="133"/>
      <c r="AJ378" s="133"/>
      <c r="AK378" s="133"/>
      <c r="AL378" s="133"/>
      <c r="AM378" s="133"/>
      <c r="AN378" s="133"/>
      <c r="AO378" s="133"/>
    </row>
    <row r="379" spans="1:41" x14ac:dyDescent="0.2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S379" s="133"/>
      <c r="T379" s="133"/>
      <c r="U379" s="133"/>
      <c r="V379" s="133"/>
      <c r="W379" s="133"/>
      <c r="X379" s="133"/>
      <c r="Y379" s="133"/>
      <c r="Z379" s="133"/>
      <c r="AA379" s="133"/>
      <c r="AB379" s="133"/>
      <c r="AC379" s="133"/>
      <c r="AD379" s="133"/>
      <c r="AE379" s="133"/>
      <c r="AF379" s="133"/>
      <c r="AG379" s="133"/>
      <c r="AH379" s="133"/>
      <c r="AI379" s="133"/>
      <c r="AJ379" s="133"/>
      <c r="AK379" s="133"/>
      <c r="AL379" s="133"/>
      <c r="AM379" s="133"/>
      <c r="AN379" s="133"/>
      <c r="AO379" s="133"/>
    </row>
    <row r="380" spans="1:41" x14ac:dyDescent="0.2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S380" s="133"/>
      <c r="T380" s="133"/>
      <c r="U380" s="133"/>
      <c r="V380" s="133"/>
      <c r="W380" s="133"/>
      <c r="X380" s="133"/>
      <c r="Y380" s="133"/>
      <c r="Z380" s="133"/>
      <c r="AA380" s="133"/>
      <c r="AB380" s="133"/>
      <c r="AC380" s="133"/>
      <c r="AD380" s="133"/>
      <c r="AE380" s="133"/>
      <c r="AF380" s="133"/>
      <c r="AG380" s="133"/>
      <c r="AH380" s="133"/>
      <c r="AI380" s="133"/>
      <c r="AJ380" s="133"/>
      <c r="AK380" s="133"/>
      <c r="AL380" s="133"/>
      <c r="AM380" s="133"/>
      <c r="AN380" s="133"/>
      <c r="AO380" s="133"/>
    </row>
    <row r="381" spans="1:41" x14ac:dyDescent="0.2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S381" s="133"/>
      <c r="T381" s="133"/>
      <c r="U381" s="133"/>
      <c r="V381" s="133"/>
      <c r="W381" s="133"/>
      <c r="X381" s="133"/>
      <c r="Y381" s="133"/>
      <c r="Z381" s="133"/>
      <c r="AA381" s="133"/>
      <c r="AB381" s="133"/>
      <c r="AC381" s="133"/>
      <c r="AD381" s="133"/>
      <c r="AE381" s="133"/>
      <c r="AF381" s="133"/>
      <c r="AG381" s="133"/>
      <c r="AH381" s="133"/>
      <c r="AI381" s="133"/>
      <c r="AJ381" s="133"/>
      <c r="AK381" s="133"/>
      <c r="AL381" s="133"/>
      <c r="AM381" s="133"/>
      <c r="AN381" s="133"/>
      <c r="AO381" s="133"/>
    </row>
    <row r="382" spans="1:41" x14ac:dyDescent="0.2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S382" s="133"/>
      <c r="T382" s="133"/>
      <c r="U382" s="133"/>
      <c r="V382" s="133"/>
      <c r="W382" s="133"/>
      <c r="X382" s="133"/>
      <c r="Y382" s="133"/>
      <c r="Z382" s="133"/>
      <c r="AA382" s="133"/>
      <c r="AB382" s="133"/>
      <c r="AC382" s="133"/>
      <c r="AD382" s="133"/>
      <c r="AE382" s="133"/>
      <c r="AF382" s="133"/>
      <c r="AG382" s="133"/>
      <c r="AH382" s="133"/>
      <c r="AI382" s="133"/>
      <c r="AJ382" s="133"/>
      <c r="AK382" s="133"/>
      <c r="AL382" s="133"/>
      <c r="AM382" s="133"/>
      <c r="AN382" s="133"/>
      <c r="AO382" s="133"/>
    </row>
    <row r="383" spans="1:41" x14ac:dyDescent="0.2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S383" s="133"/>
      <c r="T383" s="133"/>
      <c r="U383" s="133"/>
      <c r="V383" s="133"/>
      <c r="W383" s="133"/>
      <c r="X383" s="133"/>
      <c r="Y383" s="133"/>
      <c r="Z383" s="133"/>
      <c r="AA383" s="133"/>
      <c r="AB383" s="133"/>
      <c r="AC383" s="133"/>
      <c r="AD383" s="133"/>
      <c r="AE383" s="133"/>
      <c r="AF383" s="133"/>
      <c r="AG383" s="133"/>
      <c r="AH383" s="133"/>
      <c r="AI383" s="133"/>
      <c r="AJ383" s="133"/>
      <c r="AK383" s="133"/>
      <c r="AL383" s="133"/>
      <c r="AM383" s="133"/>
      <c r="AN383" s="133"/>
      <c r="AO383" s="133"/>
    </row>
    <row r="384" spans="1:41" x14ac:dyDescent="0.2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S384" s="133"/>
      <c r="T384" s="133"/>
      <c r="U384" s="133"/>
      <c r="V384" s="133"/>
      <c r="W384" s="133"/>
      <c r="X384" s="133"/>
      <c r="Y384" s="133"/>
      <c r="Z384" s="133"/>
      <c r="AA384" s="133"/>
      <c r="AB384" s="133"/>
      <c r="AC384" s="133"/>
      <c r="AD384" s="133"/>
      <c r="AE384" s="133"/>
      <c r="AF384" s="133"/>
      <c r="AG384" s="133"/>
      <c r="AH384" s="133"/>
      <c r="AI384" s="133"/>
      <c r="AJ384" s="133"/>
      <c r="AK384" s="133"/>
      <c r="AL384" s="133"/>
      <c r="AM384" s="133"/>
      <c r="AN384" s="133"/>
      <c r="AO384" s="133"/>
    </row>
    <row r="385" spans="1:41" x14ac:dyDescent="0.2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S385" s="133"/>
      <c r="T385" s="133"/>
      <c r="U385" s="133"/>
      <c r="V385" s="133"/>
      <c r="W385" s="133"/>
      <c r="X385" s="133"/>
      <c r="Y385" s="133"/>
      <c r="Z385" s="133"/>
      <c r="AA385" s="133"/>
      <c r="AB385" s="133"/>
      <c r="AC385" s="133"/>
      <c r="AD385" s="133"/>
      <c r="AE385" s="133"/>
      <c r="AF385" s="133"/>
      <c r="AG385" s="133"/>
      <c r="AH385" s="133"/>
      <c r="AI385" s="133"/>
      <c r="AJ385" s="133"/>
      <c r="AK385" s="133"/>
      <c r="AL385" s="133"/>
      <c r="AM385" s="133"/>
      <c r="AN385" s="133"/>
      <c r="AO385" s="133"/>
    </row>
    <row r="386" spans="1:41" x14ac:dyDescent="0.2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S386" s="133"/>
      <c r="T386" s="133"/>
      <c r="U386" s="133"/>
      <c r="V386" s="133"/>
      <c r="W386" s="133"/>
      <c r="X386" s="133"/>
      <c r="Y386" s="133"/>
      <c r="Z386" s="133"/>
      <c r="AA386" s="133"/>
      <c r="AB386" s="133"/>
      <c r="AC386" s="133"/>
      <c r="AD386" s="133"/>
      <c r="AE386" s="133"/>
      <c r="AF386" s="133"/>
      <c r="AG386" s="133"/>
      <c r="AH386" s="133"/>
      <c r="AI386" s="133"/>
      <c r="AJ386" s="133"/>
      <c r="AK386" s="133"/>
      <c r="AL386" s="133"/>
      <c r="AM386" s="133"/>
      <c r="AN386" s="133"/>
      <c r="AO386" s="133"/>
    </row>
    <row r="387" spans="1:41" x14ac:dyDescent="0.2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  <c r="AC387" s="133"/>
      <c r="AD387" s="133"/>
      <c r="AE387" s="133"/>
      <c r="AF387" s="133"/>
      <c r="AG387" s="133"/>
      <c r="AH387" s="133"/>
      <c r="AI387" s="133"/>
      <c r="AJ387" s="133"/>
      <c r="AK387" s="133"/>
      <c r="AL387" s="133"/>
      <c r="AM387" s="133"/>
      <c r="AN387" s="133"/>
      <c r="AO387" s="133"/>
    </row>
    <row r="388" spans="1:41" x14ac:dyDescent="0.2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S388" s="133"/>
      <c r="T388" s="133"/>
      <c r="U388" s="133"/>
      <c r="V388" s="133"/>
      <c r="W388" s="133"/>
      <c r="X388" s="133"/>
      <c r="Y388" s="133"/>
      <c r="Z388" s="133"/>
      <c r="AA388" s="133"/>
      <c r="AB388" s="133"/>
      <c r="AC388" s="133"/>
      <c r="AD388" s="133"/>
      <c r="AE388" s="133"/>
      <c r="AF388" s="133"/>
      <c r="AG388" s="133"/>
      <c r="AH388" s="133"/>
      <c r="AI388" s="133"/>
      <c r="AJ388" s="133"/>
      <c r="AK388" s="133"/>
      <c r="AL388" s="133"/>
      <c r="AM388" s="133"/>
      <c r="AN388" s="133"/>
      <c r="AO388" s="133"/>
    </row>
    <row r="389" spans="1:41" x14ac:dyDescent="0.2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S389" s="133"/>
      <c r="T389" s="133"/>
      <c r="U389" s="133"/>
      <c r="V389" s="133"/>
      <c r="W389" s="133"/>
      <c r="X389" s="133"/>
      <c r="Y389" s="133"/>
      <c r="Z389" s="133"/>
      <c r="AA389" s="133"/>
      <c r="AB389" s="133"/>
      <c r="AC389" s="133"/>
      <c r="AD389" s="133"/>
      <c r="AE389" s="133"/>
      <c r="AF389" s="133"/>
      <c r="AG389" s="133"/>
      <c r="AH389" s="133"/>
      <c r="AI389" s="133"/>
      <c r="AJ389" s="133"/>
      <c r="AK389" s="133"/>
      <c r="AL389" s="133"/>
      <c r="AM389" s="133"/>
      <c r="AN389" s="133"/>
      <c r="AO389" s="133"/>
    </row>
    <row r="390" spans="1:41" x14ac:dyDescent="0.2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S390" s="133"/>
      <c r="T390" s="133"/>
      <c r="U390" s="133"/>
      <c r="V390" s="133"/>
      <c r="W390" s="133"/>
      <c r="X390" s="133"/>
      <c r="Y390" s="133"/>
      <c r="Z390" s="133"/>
      <c r="AA390" s="133"/>
      <c r="AB390" s="133"/>
      <c r="AC390" s="133"/>
      <c r="AD390" s="133"/>
      <c r="AE390" s="133"/>
      <c r="AF390" s="133"/>
      <c r="AG390" s="133"/>
      <c r="AH390" s="133"/>
      <c r="AI390" s="133"/>
      <c r="AJ390" s="133"/>
      <c r="AK390" s="133"/>
      <c r="AL390" s="133"/>
      <c r="AM390" s="133"/>
      <c r="AN390" s="133"/>
      <c r="AO390" s="133"/>
    </row>
    <row r="391" spans="1:41" x14ac:dyDescent="0.2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S391" s="133"/>
      <c r="T391" s="133"/>
      <c r="U391" s="133"/>
      <c r="V391" s="133"/>
      <c r="W391" s="133"/>
      <c r="X391" s="133"/>
      <c r="Y391" s="133"/>
      <c r="Z391" s="133"/>
      <c r="AA391" s="133"/>
      <c r="AB391" s="133"/>
      <c r="AC391" s="133"/>
      <c r="AD391" s="133"/>
      <c r="AE391" s="133"/>
      <c r="AF391" s="133"/>
      <c r="AG391" s="133"/>
      <c r="AH391" s="133"/>
      <c r="AI391" s="133"/>
      <c r="AJ391" s="133"/>
      <c r="AK391" s="133"/>
      <c r="AL391" s="133"/>
      <c r="AM391" s="133"/>
      <c r="AN391" s="133"/>
      <c r="AO391" s="133"/>
    </row>
    <row r="392" spans="1:41" x14ac:dyDescent="0.2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S392" s="133"/>
      <c r="T392" s="133"/>
      <c r="U392" s="133"/>
      <c r="V392" s="133"/>
      <c r="W392" s="133"/>
      <c r="X392" s="133"/>
      <c r="Y392" s="133"/>
      <c r="Z392" s="133"/>
      <c r="AA392" s="133"/>
      <c r="AB392" s="133"/>
      <c r="AC392" s="133"/>
      <c r="AD392" s="133"/>
      <c r="AE392" s="133"/>
      <c r="AF392" s="133"/>
      <c r="AG392" s="133"/>
      <c r="AH392" s="133"/>
      <c r="AI392" s="133"/>
      <c r="AJ392" s="133"/>
      <c r="AK392" s="133"/>
      <c r="AL392" s="133"/>
      <c r="AM392" s="133"/>
      <c r="AN392" s="133"/>
      <c r="AO392" s="133"/>
    </row>
    <row r="393" spans="1:41" x14ac:dyDescent="0.2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S393" s="133"/>
      <c r="T393" s="133"/>
      <c r="U393" s="133"/>
      <c r="V393" s="133"/>
      <c r="W393" s="133"/>
      <c r="X393" s="133"/>
      <c r="Y393" s="133"/>
      <c r="Z393" s="133"/>
      <c r="AA393" s="133"/>
      <c r="AB393" s="133"/>
      <c r="AC393" s="133"/>
      <c r="AD393" s="133"/>
      <c r="AE393" s="133"/>
      <c r="AF393" s="133"/>
      <c r="AG393" s="133"/>
      <c r="AH393" s="133"/>
      <c r="AI393" s="133"/>
      <c r="AJ393" s="133"/>
      <c r="AK393" s="133"/>
      <c r="AL393" s="133"/>
      <c r="AM393" s="133"/>
      <c r="AN393" s="133"/>
      <c r="AO393" s="133"/>
    </row>
    <row r="394" spans="1:41" x14ac:dyDescent="0.2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S394" s="133"/>
      <c r="T394" s="133"/>
      <c r="U394" s="133"/>
      <c r="V394" s="133"/>
      <c r="W394" s="133"/>
      <c r="X394" s="133"/>
      <c r="Y394" s="133"/>
      <c r="Z394" s="133"/>
      <c r="AA394" s="133"/>
      <c r="AB394" s="133"/>
      <c r="AC394" s="133"/>
      <c r="AD394" s="133"/>
      <c r="AE394" s="133"/>
      <c r="AF394" s="133"/>
      <c r="AG394" s="133"/>
      <c r="AH394" s="133"/>
      <c r="AI394" s="133"/>
      <c r="AJ394" s="133"/>
      <c r="AK394" s="133"/>
      <c r="AL394" s="133"/>
      <c r="AM394" s="133"/>
      <c r="AN394" s="133"/>
      <c r="AO394" s="133"/>
    </row>
    <row r="395" spans="1:41" x14ac:dyDescent="0.2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S395" s="133"/>
      <c r="T395" s="133"/>
      <c r="U395" s="133"/>
      <c r="V395" s="133"/>
      <c r="W395" s="133"/>
      <c r="X395" s="133"/>
      <c r="Y395" s="133"/>
      <c r="Z395" s="133"/>
      <c r="AA395" s="133"/>
      <c r="AB395" s="133"/>
      <c r="AC395" s="133"/>
      <c r="AD395" s="133"/>
      <c r="AE395" s="133"/>
      <c r="AF395" s="133"/>
      <c r="AG395" s="133"/>
      <c r="AH395" s="133"/>
      <c r="AI395" s="133"/>
      <c r="AJ395" s="133"/>
      <c r="AK395" s="133"/>
      <c r="AL395" s="133"/>
      <c r="AM395" s="133"/>
      <c r="AN395" s="133"/>
      <c r="AO395" s="133"/>
    </row>
    <row r="396" spans="1:41" x14ac:dyDescent="0.2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S396" s="133"/>
      <c r="T396" s="133"/>
      <c r="U396" s="133"/>
      <c r="V396" s="133"/>
      <c r="W396" s="133"/>
      <c r="X396" s="133"/>
      <c r="Y396" s="133"/>
      <c r="Z396" s="133"/>
      <c r="AA396" s="133"/>
      <c r="AB396" s="133"/>
      <c r="AC396" s="133"/>
      <c r="AD396" s="133"/>
      <c r="AE396" s="133"/>
      <c r="AF396" s="133"/>
      <c r="AG396" s="133"/>
      <c r="AH396" s="133"/>
      <c r="AI396" s="133"/>
      <c r="AJ396" s="133"/>
      <c r="AK396" s="133"/>
      <c r="AL396" s="133"/>
      <c r="AM396" s="133"/>
      <c r="AN396" s="133"/>
      <c r="AO396" s="133"/>
    </row>
    <row r="397" spans="1:41" x14ac:dyDescent="0.2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S397" s="133"/>
      <c r="T397" s="133"/>
      <c r="U397" s="133"/>
      <c r="V397" s="133"/>
      <c r="W397" s="133"/>
      <c r="X397" s="133"/>
      <c r="Y397" s="133"/>
      <c r="Z397" s="133"/>
      <c r="AA397" s="133"/>
      <c r="AB397" s="133"/>
      <c r="AC397" s="133"/>
      <c r="AD397" s="133"/>
      <c r="AE397" s="133"/>
      <c r="AF397" s="133"/>
      <c r="AG397" s="133"/>
      <c r="AH397" s="133"/>
      <c r="AI397" s="133"/>
      <c r="AJ397" s="133"/>
      <c r="AK397" s="133"/>
      <c r="AL397" s="133"/>
      <c r="AM397" s="133"/>
      <c r="AN397" s="133"/>
      <c r="AO397" s="133"/>
    </row>
    <row r="398" spans="1:41" x14ac:dyDescent="0.2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S398" s="133"/>
      <c r="T398" s="133"/>
      <c r="U398" s="133"/>
      <c r="V398" s="133"/>
      <c r="W398" s="133"/>
      <c r="X398" s="133"/>
      <c r="Y398" s="133"/>
      <c r="Z398" s="133"/>
      <c r="AA398" s="133"/>
      <c r="AB398" s="133"/>
      <c r="AC398" s="133"/>
      <c r="AD398" s="133"/>
      <c r="AE398" s="133"/>
      <c r="AF398" s="133"/>
      <c r="AG398" s="133"/>
      <c r="AH398" s="133"/>
      <c r="AI398" s="133"/>
      <c r="AJ398" s="133"/>
      <c r="AK398" s="133"/>
      <c r="AL398" s="133"/>
      <c r="AM398" s="133"/>
      <c r="AN398" s="133"/>
      <c r="AO398" s="133"/>
    </row>
    <row r="399" spans="1:41" x14ac:dyDescent="0.2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S399" s="133"/>
      <c r="T399" s="133"/>
      <c r="U399" s="133"/>
      <c r="V399" s="133"/>
      <c r="W399" s="133"/>
      <c r="X399" s="133"/>
      <c r="Y399" s="133"/>
      <c r="Z399" s="133"/>
      <c r="AA399" s="133"/>
      <c r="AB399" s="133"/>
      <c r="AC399" s="133"/>
      <c r="AD399" s="133"/>
      <c r="AE399" s="133"/>
      <c r="AF399" s="133"/>
      <c r="AG399" s="133"/>
      <c r="AH399" s="133"/>
      <c r="AI399" s="133"/>
      <c r="AJ399" s="133"/>
      <c r="AK399" s="133"/>
      <c r="AL399" s="133"/>
      <c r="AM399" s="133"/>
      <c r="AN399" s="133"/>
      <c r="AO399" s="133"/>
    </row>
    <row r="400" spans="1:41" x14ac:dyDescent="0.2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S400" s="133"/>
      <c r="T400" s="133"/>
      <c r="U400" s="133"/>
      <c r="V400" s="133"/>
      <c r="W400" s="133"/>
      <c r="X400" s="133"/>
      <c r="Y400" s="133"/>
      <c r="Z400" s="133"/>
      <c r="AA400" s="133"/>
      <c r="AB400" s="133"/>
      <c r="AC400" s="133"/>
      <c r="AD400" s="133"/>
      <c r="AE400" s="133"/>
      <c r="AF400" s="133"/>
      <c r="AG400" s="133"/>
      <c r="AH400" s="133"/>
      <c r="AI400" s="133"/>
      <c r="AJ400" s="133"/>
      <c r="AK400" s="133"/>
      <c r="AL400" s="133"/>
      <c r="AM400" s="133"/>
      <c r="AN400" s="133"/>
      <c r="AO400" s="133"/>
    </row>
    <row r="401" spans="1:41" x14ac:dyDescent="0.2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S401" s="133"/>
      <c r="T401" s="133"/>
      <c r="U401" s="133"/>
      <c r="V401" s="133"/>
      <c r="W401" s="133"/>
      <c r="X401" s="133"/>
      <c r="Y401" s="133"/>
      <c r="Z401" s="133"/>
      <c r="AA401" s="133"/>
      <c r="AB401" s="133"/>
      <c r="AC401" s="133"/>
      <c r="AD401" s="133"/>
      <c r="AE401" s="133"/>
      <c r="AF401" s="133"/>
      <c r="AG401" s="133"/>
      <c r="AH401" s="133"/>
      <c r="AI401" s="133"/>
      <c r="AJ401" s="133"/>
      <c r="AK401" s="133"/>
      <c r="AL401" s="133"/>
      <c r="AM401" s="133"/>
      <c r="AN401" s="133"/>
      <c r="AO401" s="133"/>
    </row>
    <row r="402" spans="1:41" x14ac:dyDescent="0.2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S402" s="133"/>
      <c r="T402" s="133"/>
      <c r="U402" s="133"/>
      <c r="V402" s="133"/>
      <c r="W402" s="133"/>
      <c r="X402" s="133"/>
      <c r="Y402" s="133"/>
      <c r="Z402" s="133"/>
      <c r="AA402" s="133"/>
      <c r="AB402" s="133"/>
      <c r="AC402" s="133"/>
      <c r="AD402" s="133"/>
      <c r="AE402" s="133"/>
      <c r="AF402" s="133"/>
      <c r="AG402" s="133"/>
      <c r="AH402" s="133"/>
      <c r="AI402" s="133"/>
      <c r="AJ402" s="133"/>
      <c r="AK402" s="133"/>
      <c r="AL402" s="133"/>
      <c r="AM402" s="133"/>
      <c r="AN402" s="133"/>
      <c r="AO402" s="133"/>
    </row>
    <row r="403" spans="1:41" x14ac:dyDescent="0.2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S403" s="133"/>
      <c r="T403" s="133"/>
      <c r="U403" s="133"/>
      <c r="V403" s="133"/>
      <c r="W403" s="133"/>
      <c r="X403" s="133"/>
      <c r="Y403" s="133"/>
      <c r="Z403" s="133"/>
      <c r="AA403" s="133"/>
      <c r="AB403" s="133"/>
      <c r="AC403" s="133"/>
      <c r="AD403" s="133"/>
      <c r="AE403" s="133"/>
      <c r="AF403" s="133"/>
      <c r="AG403" s="133"/>
      <c r="AH403" s="133"/>
      <c r="AI403" s="133"/>
      <c r="AJ403" s="133"/>
      <c r="AK403" s="133"/>
      <c r="AL403" s="133"/>
      <c r="AM403" s="133"/>
      <c r="AN403" s="133"/>
      <c r="AO403" s="133"/>
    </row>
    <row r="404" spans="1:41" x14ac:dyDescent="0.2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S404" s="133"/>
      <c r="T404" s="133"/>
      <c r="U404" s="133"/>
      <c r="V404" s="133"/>
      <c r="W404" s="133"/>
      <c r="X404" s="133"/>
      <c r="Y404" s="133"/>
      <c r="Z404" s="133"/>
      <c r="AA404" s="133"/>
      <c r="AB404" s="133"/>
      <c r="AC404" s="133"/>
      <c r="AD404" s="133"/>
      <c r="AE404" s="133"/>
      <c r="AF404" s="133"/>
      <c r="AG404" s="133"/>
      <c r="AH404" s="133"/>
      <c r="AI404" s="133"/>
      <c r="AJ404" s="133"/>
      <c r="AK404" s="133"/>
      <c r="AL404" s="133"/>
      <c r="AM404" s="133"/>
      <c r="AN404" s="133"/>
      <c r="AO404" s="133"/>
    </row>
    <row r="405" spans="1:41" x14ac:dyDescent="0.2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S405" s="133"/>
      <c r="T405" s="133"/>
      <c r="U405" s="133"/>
      <c r="V405" s="133"/>
      <c r="W405" s="133"/>
      <c r="X405" s="133"/>
      <c r="Y405" s="133"/>
      <c r="Z405" s="133"/>
      <c r="AA405" s="133"/>
      <c r="AB405" s="133"/>
      <c r="AC405" s="133"/>
      <c r="AD405" s="133"/>
      <c r="AE405" s="133"/>
      <c r="AF405" s="133"/>
      <c r="AG405" s="133"/>
      <c r="AH405" s="133"/>
      <c r="AI405" s="133"/>
      <c r="AJ405" s="133"/>
      <c r="AK405" s="133"/>
      <c r="AL405" s="133"/>
      <c r="AM405" s="133"/>
      <c r="AN405" s="133"/>
      <c r="AO405" s="133"/>
    </row>
    <row r="406" spans="1:41" x14ac:dyDescent="0.2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S406" s="133"/>
      <c r="T406" s="133"/>
      <c r="U406" s="133"/>
      <c r="V406" s="133"/>
      <c r="W406" s="133"/>
      <c r="X406" s="133"/>
      <c r="Y406" s="133"/>
      <c r="Z406" s="133"/>
      <c r="AA406" s="133"/>
      <c r="AB406" s="133"/>
      <c r="AC406" s="133"/>
      <c r="AD406" s="133"/>
      <c r="AE406" s="133"/>
      <c r="AF406" s="133"/>
      <c r="AG406" s="133"/>
      <c r="AH406" s="133"/>
      <c r="AI406" s="133"/>
      <c r="AJ406" s="133"/>
      <c r="AK406" s="133"/>
      <c r="AL406" s="133"/>
      <c r="AM406" s="133"/>
      <c r="AN406" s="133"/>
      <c r="AO406" s="133"/>
    </row>
    <row r="407" spans="1:41" x14ac:dyDescent="0.2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S407" s="133"/>
      <c r="T407" s="133"/>
      <c r="U407" s="133"/>
      <c r="V407" s="133"/>
      <c r="W407" s="133"/>
      <c r="X407" s="133"/>
      <c r="Y407" s="133"/>
      <c r="Z407" s="133"/>
      <c r="AA407" s="133"/>
      <c r="AB407" s="133"/>
      <c r="AC407" s="133"/>
      <c r="AD407" s="133"/>
      <c r="AE407" s="133"/>
      <c r="AF407" s="133"/>
      <c r="AG407" s="133"/>
      <c r="AH407" s="133"/>
      <c r="AI407" s="133"/>
      <c r="AJ407" s="133"/>
      <c r="AK407" s="133"/>
      <c r="AL407" s="133"/>
      <c r="AM407" s="133"/>
      <c r="AN407" s="133"/>
      <c r="AO407" s="133"/>
    </row>
    <row r="408" spans="1:41" x14ac:dyDescent="0.2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S408" s="133"/>
      <c r="T408" s="133"/>
      <c r="U408" s="133"/>
      <c r="V408" s="133"/>
      <c r="W408" s="133"/>
      <c r="X408" s="133"/>
      <c r="Y408" s="133"/>
      <c r="Z408" s="133"/>
      <c r="AA408" s="133"/>
      <c r="AB408" s="133"/>
      <c r="AC408" s="133"/>
      <c r="AD408" s="133"/>
      <c r="AE408" s="133"/>
      <c r="AF408" s="133"/>
      <c r="AG408" s="133"/>
      <c r="AH408" s="133"/>
      <c r="AI408" s="133"/>
      <c r="AJ408" s="133"/>
      <c r="AK408" s="133"/>
      <c r="AL408" s="133"/>
      <c r="AM408" s="133"/>
      <c r="AN408" s="133"/>
      <c r="AO408" s="133"/>
    </row>
    <row r="409" spans="1:41" x14ac:dyDescent="0.2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S409" s="133"/>
      <c r="T409" s="133"/>
      <c r="U409" s="133"/>
      <c r="V409" s="133"/>
      <c r="W409" s="133"/>
      <c r="X409" s="133"/>
      <c r="Y409" s="133"/>
      <c r="Z409" s="133"/>
      <c r="AA409" s="133"/>
      <c r="AB409" s="133"/>
      <c r="AC409" s="133"/>
      <c r="AD409" s="133"/>
      <c r="AE409" s="133"/>
      <c r="AF409" s="133"/>
      <c r="AG409" s="133"/>
      <c r="AH409" s="133"/>
      <c r="AI409" s="133"/>
      <c r="AJ409" s="133"/>
      <c r="AK409" s="133"/>
      <c r="AL409" s="133"/>
      <c r="AM409" s="133"/>
      <c r="AN409" s="133"/>
      <c r="AO409" s="133"/>
    </row>
    <row r="410" spans="1:41" x14ac:dyDescent="0.2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S410" s="133"/>
      <c r="T410" s="133"/>
      <c r="U410" s="133"/>
      <c r="V410" s="133"/>
      <c r="W410" s="133"/>
      <c r="X410" s="133"/>
      <c r="Y410" s="133"/>
      <c r="Z410" s="133"/>
      <c r="AA410" s="133"/>
      <c r="AB410" s="133"/>
      <c r="AC410" s="133"/>
      <c r="AD410" s="133"/>
      <c r="AE410" s="133"/>
      <c r="AF410" s="133"/>
      <c r="AG410" s="133"/>
      <c r="AH410" s="133"/>
      <c r="AI410" s="133"/>
      <c r="AJ410" s="133"/>
      <c r="AK410" s="133"/>
      <c r="AL410" s="133"/>
      <c r="AM410" s="133"/>
      <c r="AN410" s="133"/>
      <c r="AO410" s="133"/>
    </row>
    <row r="411" spans="1:41" x14ac:dyDescent="0.2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S411" s="133"/>
      <c r="T411" s="133"/>
      <c r="U411" s="133"/>
      <c r="V411" s="133"/>
      <c r="W411" s="133"/>
      <c r="X411" s="133"/>
      <c r="Y411" s="133"/>
      <c r="Z411" s="133"/>
      <c r="AA411" s="133"/>
      <c r="AB411" s="133"/>
      <c r="AC411" s="133"/>
      <c r="AD411" s="133"/>
      <c r="AE411" s="133"/>
      <c r="AF411" s="133"/>
      <c r="AG411" s="133"/>
      <c r="AH411" s="133"/>
      <c r="AI411" s="133"/>
      <c r="AJ411" s="133"/>
      <c r="AK411" s="133"/>
      <c r="AL411" s="133"/>
      <c r="AM411" s="133"/>
      <c r="AN411" s="133"/>
      <c r="AO411" s="133"/>
    </row>
    <row r="412" spans="1:41" x14ac:dyDescent="0.2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S412" s="133"/>
      <c r="T412" s="133"/>
      <c r="U412" s="133"/>
      <c r="V412" s="133"/>
      <c r="W412" s="133"/>
      <c r="X412" s="133"/>
      <c r="Y412" s="133"/>
      <c r="Z412" s="133"/>
      <c r="AA412" s="133"/>
      <c r="AB412" s="133"/>
      <c r="AC412" s="133"/>
      <c r="AD412" s="133"/>
      <c r="AE412" s="133"/>
      <c r="AF412" s="133"/>
      <c r="AG412" s="133"/>
      <c r="AH412" s="133"/>
      <c r="AI412" s="133"/>
      <c r="AJ412" s="133"/>
      <c r="AK412" s="133"/>
      <c r="AL412" s="133"/>
      <c r="AM412" s="133"/>
      <c r="AN412" s="133"/>
      <c r="AO412" s="133"/>
    </row>
    <row r="413" spans="1:41" x14ac:dyDescent="0.2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S413" s="133"/>
      <c r="T413" s="133"/>
      <c r="U413" s="133"/>
      <c r="V413" s="133"/>
      <c r="W413" s="133"/>
      <c r="X413" s="133"/>
      <c r="Y413" s="133"/>
      <c r="Z413" s="133"/>
      <c r="AA413" s="133"/>
      <c r="AB413" s="133"/>
      <c r="AC413" s="133"/>
      <c r="AD413" s="133"/>
      <c r="AE413" s="133"/>
      <c r="AF413" s="133"/>
      <c r="AG413" s="133"/>
      <c r="AH413" s="133"/>
      <c r="AI413" s="133"/>
      <c r="AJ413" s="133"/>
      <c r="AK413" s="133"/>
      <c r="AL413" s="133"/>
      <c r="AM413" s="133"/>
      <c r="AN413" s="133"/>
      <c r="AO413" s="133"/>
    </row>
    <row r="414" spans="1:41" x14ac:dyDescent="0.2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S414" s="133"/>
      <c r="T414" s="133"/>
      <c r="U414" s="133"/>
      <c r="V414" s="133"/>
      <c r="W414" s="133"/>
      <c r="X414" s="133"/>
      <c r="Y414" s="133"/>
      <c r="Z414" s="133"/>
      <c r="AA414" s="133"/>
      <c r="AB414" s="133"/>
      <c r="AC414" s="133"/>
      <c r="AD414" s="133"/>
      <c r="AE414" s="133"/>
      <c r="AF414" s="133"/>
      <c r="AG414" s="133"/>
      <c r="AH414" s="133"/>
      <c r="AI414" s="133"/>
      <c r="AJ414" s="133"/>
      <c r="AK414" s="133"/>
      <c r="AL414" s="133"/>
      <c r="AM414" s="133"/>
      <c r="AN414" s="133"/>
      <c r="AO414" s="133"/>
    </row>
    <row r="415" spans="1:41" x14ac:dyDescent="0.2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S415" s="133"/>
      <c r="T415" s="133"/>
      <c r="U415" s="133"/>
      <c r="V415" s="133"/>
      <c r="W415" s="133"/>
      <c r="X415" s="133"/>
      <c r="Y415" s="133"/>
      <c r="Z415" s="133"/>
      <c r="AA415" s="133"/>
      <c r="AB415" s="133"/>
      <c r="AC415" s="133"/>
      <c r="AD415" s="133"/>
      <c r="AE415" s="133"/>
      <c r="AF415" s="133"/>
      <c r="AG415" s="133"/>
      <c r="AH415" s="133"/>
      <c r="AI415" s="133"/>
      <c r="AJ415" s="133"/>
      <c r="AK415" s="133"/>
      <c r="AL415" s="133"/>
      <c r="AM415" s="133"/>
      <c r="AN415" s="133"/>
      <c r="AO415" s="133"/>
    </row>
    <row r="416" spans="1:41" x14ac:dyDescent="0.2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S416" s="133"/>
      <c r="T416" s="133"/>
      <c r="U416" s="133"/>
      <c r="V416" s="133"/>
      <c r="W416" s="133"/>
      <c r="X416" s="133"/>
      <c r="Y416" s="133"/>
      <c r="Z416" s="133"/>
      <c r="AA416" s="133"/>
      <c r="AB416" s="133"/>
      <c r="AC416" s="133"/>
      <c r="AD416" s="133"/>
      <c r="AE416" s="133"/>
      <c r="AF416" s="133"/>
      <c r="AG416" s="133"/>
      <c r="AH416" s="133"/>
      <c r="AI416" s="133"/>
      <c r="AJ416" s="133"/>
      <c r="AK416" s="133"/>
      <c r="AL416" s="133"/>
      <c r="AM416" s="133"/>
      <c r="AN416" s="133"/>
      <c r="AO416" s="133"/>
    </row>
    <row r="417" spans="1:41" x14ac:dyDescent="0.2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S417" s="133"/>
      <c r="T417" s="133"/>
      <c r="U417" s="133"/>
      <c r="V417" s="133"/>
      <c r="W417" s="133"/>
      <c r="X417" s="133"/>
      <c r="Y417" s="133"/>
      <c r="Z417" s="133"/>
      <c r="AA417" s="133"/>
      <c r="AB417" s="133"/>
      <c r="AC417" s="133"/>
      <c r="AD417" s="133"/>
      <c r="AE417" s="133"/>
      <c r="AF417" s="133"/>
      <c r="AG417" s="133"/>
      <c r="AH417" s="133"/>
      <c r="AI417" s="133"/>
      <c r="AJ417" s="133"/>
      <c r="AK417" s="133"/>
      <c r="AL417" s="133"/>
      <c r="AM417" s="133"/>
      <c r="AN417" s="133"/>
      <c r="AO417" s="133"/>
    </row>
    <row r="418" spans="1:41" x14ac:dyDescent="0.2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S418" s="133"/>
      <c r="T418" s="133"/>
      <c r="U418" s="133"/>
      <c r="V418" s="133"/>
      <c r="W418" s="133"/>
      <c r="X418" s="133"/>
      <c r="Y418" s="133"/>
      <c r="Z418" s="133"/>
      <c r="AA418" s="133"/>
      <c r="AB418" s="133"/>
      <c r="AC418" s="133"/>
      <c r="AD418" s="133"/>
      <c r="AE418" s="133"/>
      <c r="AF418" s="133"/>
      <c r="AG418" s="133"/>
      <c r="AH418" s="133"/>
      <c r="AI418" s="133"/>
      <c r="AJ418" s="133"/>
      <c r="AK418" s="133"/>
      <c r="AL418" s="133"/>
      <c r="AM418" s="133"/>
      <c r="AN418" s="133"/>
      <c r="AO418" s="133"/>
    </row>
    <row r="419" spans="1:41" x14ac:dyDescent="0.2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S419" s="133"/>
      <c r="T419" s="133"/>
      <c r="U419" s="133"/>
      <c r="V419" s="133"/>
      <c r="W419" s="133"/>
      <c r="X419" s="133"/>
      <c r="Y419" s="133"/>
      <c r="Z419" s="133"/>
      <c r="AA419" s="133"/>
      <c r="AB419" s="133"/>
      <c r="AC419" s="133"/>
      <c r="AD419" s="133"/>
      <c r="AE419" s="133"/>
      <c r="AF419" s="133"/>
      <c r="AG419" s="133"/>
      <c r="AH419" s="133"/>
      <c r="AI419" s="133"/>
      <c r="AJ419" s="133"/>
      <c r="AK419" s="133"/>
      <c r="AL419" s="133"/>
      <c r="AM419" s="133"/>
      <c r="AN419" s="133"/>
      <c r="AO419" s="133"/>
    </row>
    <row r="420" spans="1:41" x14ac:dyDescent="0.2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S420" s="133"/>
      <c r="T420" s="133"/>
      <c r="U420" s="133"/>
      <c r="V420" s="133"/>
      <c r="W420" s="133"/>
      <c r="X420" s="133"/>
      <c r="Y420" s="133"/>
      <c r="Z420" s="133"/>
      <c r="AA420" s="133"/>
      <c r="AB420" s="133"/>
      <c r="AC420" s="133"/>
      <c r="AD420" s="133"/>
      <c r="AE420" s="133"/>
      <c r="AF420" s="133"/>
      <c r="AG420" s="133"/>
      <c r="AH420" s="133"/>
      <c r="AI420" s="133"/>
      <c r="AJ420" s="133"/>
      <c r="AK420" s="133"/>
      <c r="AL420" s="133"/>
      <c r="AM420" s="133"/>
      <c r="AN420" s="133"/>
      <c r="AO420" s="133"/>
    </row>
    <row r="421" spans="1:41" x14ac:dyDescent="0.2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S421" s="133"/>
      <c r="T421" s="133"/>
      <c r="U421" s="133"/>
      <c r="V421" s="133"/>
      <c r="W421" s="133"/>
      <c r="X421" s="133"/>
      <c r="Y421" s="133"/>
      <c r="Z421" s="133"/>
      <c r="AA421" s="133"/>
      <c r="AB421" s="133"/>
      <c r="AC421" s="133"/>
      <c r="AD421" s="133"/>
      <c r="AE421" s="133"/>
      <c r="AF421" s="133"/>
      <c r="AG421" s="133"/>
      <c r="AH421" s="133"/>
      <c r="AI421" s="133"/>
      <c r="AJ421" s="133"/>
      <c r="AK421" s="133"/>
      <c r="AL421" s="133"/>
      <c r="AM421" s="133"/>
      <c r="AN421" s="133"/>
      <c r="AO421" s="133"/>
    </row>
    <row r="422" spans="1:41" x14ac:dyDescent="0.2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S422" s="133"/>
      <c r="T422" s="133"/>
      <c r="U422" s="133"/>
      <c r="V422" s="133"/>
      <c r="W422" s="133"/>
      <c r="X422" s="133"/>
      <c r="Y422" s="133"/>
      <c r="Z422" s="133"/>
      <c r="AA422" s="133"/>
      <c r="AB422" s="133"/>
      <c r="AC422" s="133"/>
      <c r="AD422" s="133"/>
      <c r="AE422" s="133"/>
      <c r="AF422" s="133"/>
      <c r="AG422" s="133"/>
      <c r="AH422" s="133"/>
      <c r="AI422" s="133"/>
      <c r="AJ422" s="133"/>
      <c r="AK422" s="133"/>
      <c r="AL422" s="133"/>
      <c r="AM422" s="133"/>
      <c r="AN422" s="133"/>
      <c r="AO422" s="133"/>
    </row>
    <row r="423" spans="1:41" x14ac:dyDescent="0.2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S423" s="133"/>
      <c r="T423" s="133"/>
      <c r="U423" s="133"/>
      <c r="V423" s="133"/>
      <c r="W423" s="133"/>
      <c r="X423" s="133"/>
      <c r="Y423" s="133"/>
      <c r="Z423" s="133"/>
      <c r="AA423" s="133"/>
      <c r="AB423" s="133"/>
      <c r="AC423" s="133"/>
      <c r="AD423" s="133"/>
      <c r="AE423" s="133"/>
      <c r="AF423" s="133"/>
      <c r="AG423" s="133"/>
      <c r="AH423" s="133"/>
      <c r="AI423" s="133"/>
      <c r="AJ423" s="133"/>
      <c r="AK423" s="133"/>
      <c r="AL423" s="133"/>
      <c r="AM423" s="133"/>
      <c r="AN423" s="133"/>
      <c r="AO423" s="133"/>
    </row>
    <row r="424" spans="1:41" x14ac:dyDescent="0.2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S424" s="133"/>
      <c r="T424" s="133"/>
      <c r="U424" s="133"/>
      <c r="V424" s="133"/>
      <c r="W424" s="133"/>
      <c r="X424" s="133"/>
      <c r="Y424" s="133"/>
      <c r="Z424" s="133"/>
      <c r="AA424" s="133"/>
      <c r="AB424" s="133"/>
      <c r="AC424" s="133"/>
      <c r="AD424" s="133"/>
      <c r="AE424" s="133"/>
      <c r="AF424" s="133"/>
      <c r="AG424" s="133"/>
      <c r="AH424" s="133"/>
      <c r="AI424" s="133"/>
      <c r="AJ424" s="133"/>
      <c r="AK424" s="133"/>
      <c r="AL424" s="133"/>
      <c r="AM424" s="133"/>
      <c r="AN424" s="133"/>
      <c r="AO424" s="133"/>
    </row>
    <row r="425" spans="1:41" x14ac:dyDescent="0.2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S425" s="133"/>
      <c r="T425" s="133"/>
      <c r="U425" s="133"/>
      <c r="V425" s="133"/>
      <c r="W425" s="133"/>
      <c r="X425" s="133"/>
      <c r="Y425" s="133"/>
      <c r="Z425" s="133"/>
      <c r="AA425" s="133"/>
      <c r="AB425" s="133"/>
      <c r="AC425" s="133"/>
      <c r="AD425" s="133"/>
      <c r="AE425" s="133"/>
      <c r="AF425" s="133"/>
      <c r="AG425" s="133"/>
      <c r="AH425" s="133"/>
      <c r="AI425" s="133"/>
      <c r="AJ425" s="133"/>
      <c r="AK425" s="133"/>
      <c r="AL425" s="133"/>
      <c r="AM425" s="133"/>
      <c r="AN425" s="133"/>
      <c r="AO425" s="133"/>
    </row>
    <row r="426" spans="1:41" x14ac:dyDescent="0.2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S426" s="133"/>
      <c r="T426" s="133"/>
      <c r="U426" s="133"/>
      <c r="V426" s="133"/>
      <c r="W426" s="133"/>
      <c r="X426" s="133"/>
      <c r="Y426" s="133"/>
      <c r="Z426" s="133"/>
      <c r="AA426" s="133"/>
      <c r="AB426" s="133"/>
      <c r="AC426" s="133"/>
      <c r="AD426" s="133"/>
      <c r="AE426" s="133"/>
      <c r="AF426" s="133"/>
      <c r="AG426" s="133"/>
      <c r="AH426" s="133"/>
      <c r="AI426" s="133"/>
      <c r="AJ426" s="133"/>
      <c r="AK426" s="133"/>
      <c r="AL426" s="133"/>
      <c r="AM426" s="133"/>
      <c r="AN426" s="133"/>
      <c r="AO426" s="133"/>
    </row>
    <row r="427" spans="1:41" x14ac:dyDescent="0.2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S427" s="133"/>
      <c r="T427" s="133"/>
      <c r="U427" s="133"/>
      <c r="V427" s="133"/>
      <c r="W427" s="133"/>
      <c r="X427" s="133"/>
      <c r="Y427" s="133"/>
      <c r="Z427" s="133"/>
      <c r="AA427" s="133"/>
      <c r="AB427" s="133"/>
      <c r="AC427" s="133"/>
      <c r="AD427" s="133"/>
      <c r="AE427" s="133"/>
      <c r="AF427" s="133"/>
      <c r="AG427" s="133"/>
      <c r="AH427" s="133"/>
      <c r="AI427" s="133"/>
      <c r="AJ427" s="133"/>
      <c r="AK427" s="133"/>
      <c r="AL427" s="133"/>
      <c r="AM427" s="133"/>
      <c r="AN427" s="133"/>
      <c r="AO427" s="133"/>
    </row>
    <row r="428" spans="1:41" x14ac:dyDescent="0.2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S428" s="133"/>
      <c r="T428" s="133"/>
      <c r="U428" s="133"/>
      <c r="V428" s="133"/>
      <c r="W428" s="133"/>
      <c r="X428" s="133"/>
      <c r="Y428" s="133"/>
      <c r="Z428" s="133"/>
      <c r="AA428" s="133"/>
      <c r="AB428" s="133"/>
      <c r="AC428" s="133"/>
      <c r="AD428" s="133"/>
      <c r="AE428" s="133"/>
      <c r="AF428" s="133"/>
      <c r="AG428" s="133"/>
      <c r="AH428" s="133"/>
      <c r="AI428" s="133"/>
      <c r="AJ428" s="133"/>
      <c r="AK428" s="133"/>
      <c r="AL428" s="133"/>
      <c r="AM428" s="133"/>
      <c r="AN428" s="133"/>
      <c r="AO428" s="133"/>
    </row>
    <row r="429" spans="1:41" x14ac:dyDescent="0.2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S429" s="133"/>
      <c r="T429" s="133"/>
      <c r="U429" s="133"/>
      <c r="V429" s="133"/>
      <c r="W429" s="133"/>
      <c r="X429" s="133"/>
      <c r="Y429" s="133"/>
      <c r="Z429" s="133"/>
      <c r="AA429" s="133"/>
      <c r="AB429" s="133"/>
      <c r="AC429" s="133"/>
      <c r="AD429" s="133"/>
      <c r="AE429" s="133"/>
      <c r="AF429" s="133"/>
      <c r="AG429" s="133"/>
      <c r="AH429" s="133"/>
      <c r="AI429" s="133"/>
      <c r="AJ429" s="133"/>
      <c r="AK429" s="133"/>
      <c r="AL429" s="133"/>
      <c r="AM429" s="133"/>
      <c r="AN429" s="133"/>
      <c r="AO429" s="133"/>
    </row>
    <row r="430" spans="1:41" x14ac:dyDescent="0.2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S430" s="133"/>
      <c r="T430" s="133"/>
      <c r="U430" s="133"/>
      <c r="V430" s="133"/>
      <c r="W430" s="133"/>
      <c r="X430" s="133"/>
      <c r="Y430" s="133"/>
      <c r="Z430" s="133"/>
      <c r="AA430" s="133"/>
      <c r="AB430" s="133"/>
      <c r="AC430" s="133"/>
      <c r="AD430" s="133"/>
      <c r="AE430" s="133"/>
      <c r="AF430" s="133"/>
      <c r="AG430" s="133"/>
      <c r="AH430" s="133"/>
      <c r="AI430" s="133"/>
      <c r="AJ430" s="133"/>
      <c r="AK430" s="133"/>
      <c r="AL430" s="133"/>
      <c r="AM430" s="133"/>
      <c r="AN430" s="133"/>
      <c r="AO430" s="133"/>
    </row>
    <row r="431" spans="1:41" x14ac:dyDescent="0.2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S431" s="133"/>
      <c r="T431" s="133"/>
      <c r="U431" s="133"/>
      <c r="V431" s="133"/>
      <c r="W431" s="133"/>
      <c r="X431" s="133"/>
      <c r="Y431" s="133"/>
      <c r="Z431" s="133"/>
      <c r="AA431" s="133"/>
      <c r="AB431" s="133"/>
      <c r="AC431" s="133"/>
      <c r="AD431" s="133"/>
      <c r="AE431" s="133"/>
      <c r="AF431" s="133"/>
      <c r="AG431" s="133"/>
      <c r="AH431" s="133"/>
      <c r="AI431" s="133"/>
      <c r="AJ431" s="133"/>
      <c r="AK431" s="133"/>
      <c r="AL431" s="133"/>
      <c r="AM431" s="133"/>
      <c r="AN431" s="133"/>
      <c r="AO431" s="133"/>
    </row>
    <row r="432" spans="1:41" x14ac:dyDescent="0.2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S432" s="133"/>
      <c r="T432" s="133"/>
      <c r="U432" s="133"/>
      <c r="V432" s="133"/>
      <c r="W432" s="133"/>
      <c r="X432" s="133"/>
      <c r="Y432" s="133"/>
      <c r="Z432" s="133"/>
      <c r="AA432" s="133"/>
      <c r="AB432" s="133"/>
      <c r="AC432" s="133"/>
      <c r="AD432" s="133"/>
      <c r="AE432" s="133"/>
      <c r="AF432" s="133"/>
      <c r="AG432" s="133"/>
      <c r="AH432" s="133"/>
      <c r="AI432" s="133"/>
      <c r="AJ432" s="133"/>
      <c r="AK432" s="133"/>
      <c r="AL432" s="133"/>
      <c r="AM432" s="133"/>
      <c r="AN432" s="133"/>
      <c r="AO432" s="133"/>
    </row>
    <row r="433" spans="1:41" x14ac:dyDescent="0.2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S433" s="133"/>
      <c r="T433" s="133"/>
      <c r="U433" s="133"/>
      <c r="V433" s="133"/>
      <c r="W433" s="133"/>
      <c r="X433" s="133"/>
      <c r="Y433" s="133"/>
      <c r="Z433" s="133"/>
      <c r="AA433" s="133"/>
      <c r="AB433" s="133"/>
      <c r="AC433" s="133"/>
      <c r="AD433" s="133"/>
      <c r="AE433" s="133"/>
      <c r="AF433" s="133"/>
      <c r="AG433" s="133"/>
      <c r="AH433" s="133"/>
      <c r="AI433" s="133"/>
      <c r="AJ433" s="133"/>
      <c r="AK433" s="133"/>
      <c r="AL433" s="133"/>
      <c r="AM433" s="133"/>
      <c r="AN433" s="133"/>
      <c r="AO433" s="133"/>
    </row>
    <row r="434" spans="1:41" x14ac:dyDescent="0.2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S434" s="133"/>
      <c r="T434" s="133"/>
      <c r="U434" s="133"/>
      <c r="V434" s="133"/>
      <c r="W434" s="133"/>
      <c r="X434" s="133"/>
      <c r="Y434" s="133"/>
      <c r="Z434" s="133"/>
      <c r="AA434" s="133"/>
      <c r="AB434" s="133"/>
      <c r="AC434" s="133"/>
      <c r="AD434" s="133"/>
      <c r="AE434" s="133"/>
      <c r="AF434" s="133"/>
      <c r="AG434" s="133"/>
      <c r="AH434" s="133"/>
      <c r="AI434" s="133"/>
      <c r="AJ434" s="133"/>
      <c r="AK434" s="133"/>
      <c r="AL434" s="133"/>
      <c r="AM434" s="133"/>
      <c r="AN434" s="133"/>
      <c r="AO434" s="133"/>
    </row>
    <row r="435" spans="1:41" x14ac:dyDescent="0.2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S435" s="133"/>
      <c r="T435" s="133"/>
      <c r="U435" s="133"/>
      <c r="V435" s="133"/>
      <c r="W435" s="133"/>
      <c r="X435" s="133"/>
      <c r="Y435" s="133"/>
      <c r="Z435" s="133"/>
      <c r="AA435" s="133"/>
      <c r="AB435" s="133"/>
      <c r="AC435" s="133"/>
      <c r="AD435" s="133"/>
      <c r="AE435" s="133"/>
      <c r="AF435" s="133"/>
      <c r="AG435" s="133"/>
      <c r="AH435" s="133"/>
      <c r="AI435" s="133"/>
      <c r="AJ435" s="133"/>
      <c r="AK435" s="133"/>
      <c r="AL435" s="133"/>
      <c r="AM435" s="133"/>
      <c r="AN435" s="133"/>
      <c r="AO435" s="133"/>
    </row>
    <row r="436" spans="1:41" x14ac:dyDescent="0.2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S436" s="133"/>
      <c r="T436" s="133"/>
      <c r="U436" s="133"/>
      <c r="V436" s="133"/>
      <c r="W436" s="133"/>
      <c r="X436" s="133"/>
      <c r="Y436" s="133"/>
      <c r="Z436" s="133"/>
      <c r="AA436" s="133"/>
      <c r="AB436" s="133"/>
      <c r="AC436" s="133"/>
      <c r="AD436" s="133"/>
      <c r="AE436" s="133"/>
      <c r="AF436" s="133"/>
      <c r="AG436" s="133"/>
      <c r="AH436" s="133"/>
      <c r="AI436" s="133"/>
      <c r="AJ436" s="133"/>
      <c r="AK436" s="133"/>
      <c r="AL436" s="133"/>
      <c r="AM436" s="133"/>
      <c r="AN436" s="133"/>
      <c r="AO436" s="133"/>
    </row>
    <row r="437" spans="1:41" x14ac:dyDescent="0.2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S437" s="133"/>
      <c r="T437" s="133"/>
      <c r="U437" s="133"/>
      <c r="V437" s="133"/>
      <c r="W437" s="133"/>
      <c r="X437" s="133"/>
      <c r="Y437" s="133"/>
      <c r="Z437" s="133"/>
      <c r="AA437" s="133"/>
      <c r="AB437" s="133"/>
      <c r="AC437" s="133"/>
      <c r="AD437" s="133"/>
      <c r="AE437" s="133"/>
      <c r="AF437" s="133"/>
      <c r="AG437" s="133"/>
      <c r="AH437" s="133"/>
      <c r="AI437" s="133"/>
      <c r="AJ437" s="133"/>
      <c r="AK437" s="133"/>
      <c r="AL437" s="133"/>
      <c r="AM437" s="133"/>
      <c r="AN437" s="133"/>
      <c r="AO437" s="133"/>
    </row>
    <row r="438" spans="1:41" x14ac:dyDescent="0.2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S438" s="133"/>
      <c r="T438" s="133"/>
      <c r="U438" s="133"/>
      <c r="V438" s="133"/>
      <c r="W438" s="133"/>
      <c r="X438" s="133"/>
      <c r="Y438" s="133"/>
      <c r="Z438" s="133"/>
      <c r="AA438" s="133"/>
      <c r="AB438" s="133"/>
      <c r="AC438" s="133"/>
      <c r="AD438" s="133"/>
      <c r="AE438" s="133"/>
      <c r="AF438" s="133"/>
      <c r="AG438" s="133"/>
      <c r="AH438" s="133"/>
      <c r="AI438" s="133"/>
      <c r="AJ438" s="133"/>
      <c r="AK438" s="133"/>
      <c r="AL438" s="133"/>
      <c r="AM438" s="133"/>
      <c r="AN438" s="133"/>
      <c r="AO438" s="133"/>
    </row>
    <row r="439" spans="1:41" x14ac:dyDescent="0.2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S439" s="133"/>
      <c r="T439" s="133"/>
      <c r="U439" s="133"/>
      <c r="V439" s="133"/>
      <c r="W439" s="133"/>
      <c r="X439" s="133"/>
      <c r="Y439" s="133"/>
      <c r="Z439" s="133"/>
      <c r="AA439" s="133"/>
      <c r="AB439" s="133"/>
      <c r="AC439" s="133"/>
      <c r="AD439" s="133"/>
      <c r="AE439" s="133"/>
      <c r="AF439" s="133"/>
      <c r="AG439" s="133"/>
      <c r="AH439" s="133"/>
      <c r="AI439" s="133"/>
      <c r="AJ439" s="133"/>
      <c r="AK439" s="133"/>
      <c r="AL439" s="133"/>
      <c r="AM439" s="133"/>
      <c r="AN439" s="133"/>
      <c r="AO439" s="133"/>
    </row>
    <row r="440" spans="1:41" x14ac:dyDescent="0.2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S440" s="133"/>
      <c r="T440" s="133"/>
      <c r="U440" s="133"/>
      <c r="V440" s="133"/>
      <c r="W440" s="133"/>
      <c r="X440" s="133"/>
      <c r="Y440" s="133"/>
      <c r="Z440" s="133"/>
      <c r="AA440" s="133"/>
      <c r="AB440" s="133"/>
      <c r="AC440" s="133"/>
      <c r="AD440" s="133"/>
      <c r="AE440" s="133"/>
      <c r="AF440" s="133"/>
      <c r="AG440" s="133"/>
      <c r="AH440" s="133"/>
      <c r="AI440" s="133"/>
      <c r="AJ440" s="133"/>
      <c r="AK440" s="133"/>
      <c r="AL440" s="133"/>
      <c r="AM440" s="133"/>
      <c r="AN440" s="133"/>
      <c r="AO440" s="133"/>
    </row>
    <row r="441" spans="1:41" x14ac:dyDescent="0.2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S441" s="133"/>
      <c r="T441" s="133"/>
      <c r="U441" s="133"/>
      <c r="V441" s="133"/>
      <c r="W441" s="133"/>
      <c r="X441" s="133"/>
      <c r="Y441" s="133"/>
      <c r="Z441" s="133"/>
      <c r="AA441" s="133"/>
      <c r="AB441" s="133"/>
      <c r="AC441" s="133"/>
      <c r="AD441" s="133"/>
      <c r="AE441" s="133"/>
      <c r="AF441" s="133"/>
      <c r="AG441" s="133"/>
      <c r="AH441" s="133"/>
      <c r="AI441" s="133"/>
      <c r="AJ441" s="133"/>
      <c r="AK441" s="133"/>
      <c r="AL441" s="133"/>
      <c r="AM441" s="133"/>
      <c r="AN441" s="133"/>
      <c r="AO441" s="133"/>
    </row>
    <row r="442" spans="1:41" x14ac:dyDescent="0.2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S442" s="133"/>
      <c r="T442" s="133"/>
      <c r="U442" s="133"/>
      <c r="V442" s="133"/>
      <c r="W442" s="133"/>
      <c r="X442" s="133"/>
      <c r="Y442" s="133"/>
      <c r="Z442" s="133"/>
      <c r="AA442" s="133"/>
      <c r="AB442" s="133"/>
      <c r="AC442" s="133"/>
      <c r="AD442" s="133"/>
      <c r="AE442" s="133"/>
      <c r="AF442" s="133"/>
      <c r="AG442" s="133"/>
      <c r="AH442" s="133"/>
      <c r="AI442" s="133"/>
      <c r="AJ442" s="133"/>
      <c r="AK442" s="133"/>
      <c r="AL442" s="133"/>
      <c r="AM442" s="133"/>
      <c r="AN442" s="133"/>
      <c r="AO442" s="133"/>
    </row>
    <row r="443" spans="1:41" x14ac:dyDescent="0.2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S443" s="133"/>
      <c r="T443" s="133"/>
      <c r="U443" s="133"/>
      <c r="V443" s="133"/>
      <c r="W443" s="133"/>
      <c r="X443" s="133"/>
      <c r="Y443" s="133"/>
      <c r="Z443" s="133"/>
      <c r="AA443" s="133"/>
      <c r="AB443" s="133"/>
      <c r="AC443" s="133"/>
      <c r="AD443" s="133"/>
      <c r="AE443" s="133"/>
      <c r="AF443" s="133"/>
      <c r="AG443" s="133"/>
      <c r="AH443" s="133"/>
      <c r="AI443" s="133"/>
      <c r="AJ443" s="133"/>
      <c r="AK443" s="133"/>
      <c r="AL443" s="133"/>
      <c r="AM443" s="133"/>
      <c r="AN443" s="133"/>
      <c r="AO443" s="133"/>
    </row>
    <row r="444" spans="1:41" x14ac:dyDescent="0.2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S444" s="133"/>
      <c r="T444" s="133"/>
      <c r="U444" s="133"/>
      <c r="V444" s="133"/>
      <c r="W444" s="133"/>
      <c r="X444" s="133"/>
      <c r="Y444" s="133"/>
      <c r="Z444" s="133"/>
      <c r="AA444" s="133"/>
      <c r="AB444" s="133"/>
      <c r="AC444" s="133"/>
      <c r="AD444" s="133"/>
      <c r="AE444" s="133"/>
      <c r="AF444" s="133"/>
      <c r="AG444" s="133"/>
      <c r="AH444" s="133"/>
      <c r="AI444" s="133"/>
      <c r="AJ444" s="133"/>
      <c r="AK444" s="133"/>
      <c r="AL444" s="133"/>
      <c r="AM444" s="133"/>
      <c r="AN444" s="133"/>
      <c r="AO444" s="133"/>
    </row>
    <row r="445" spans="1:41" x14ac:dyDescent="0.2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S445" s="133"/>
      <c r="T445" s="133"/>
      <c r="U445" s="133"/>
      <c r="V445" s="133"/>
      <c r="W445" s="133"/>
      <c r="X445" s="133"/>
      <c r="Y445" s="133"/>
      <c r="Z445" s="133"/>
      <c r="AA445" s="133"/>
      <c r="AB445" s="133"/>
      <c r="AC445" s="133"/>
      <c r="AD445" s="133"/>
      <c r="AE445" s="133"/>
      <c r="AF445" s="133"/>
      <c r="AG445" s="133"/>
      <c r="AH445" s="133"/>
      <c r="AI445" s="133"/>
      <c r="AJ445" s="133"/>
      <c r="AK445" s="133"/>
      <c r="AL445" s="133"/>
      <c r="AM445" s="133"/>
      <c r="AN445" s="133"/>
      <c r="AO445" s="133"/>
    </row>
    <row r="446" spans="1:41" x14ac:dyDescent="0.2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S446" s="133"/>
      <c r="T446" s="133"/>
      <c r="U446" s="133"/>
      <c r="V446" s="133"/>
      <c r="W446" s="133"/>
      <c r="X446" s="133"/>
      <c r="Y446" s="133"/>
      <c r="Z446" s="133"/>
      <c r="AA446" s="133"/>
      <c r="AB446" s="133"/>
      <c r="AC446" s="133"/>
      <c r="AD446" s="133"/>
      <c r="AE446" s="133"/>
      <c r="AF446" s="133"/>
      <c r="AG446" s="133"/>
      <c r="AH446" s="133"/>
      <c r="AI446" s="133"/>
      <c r="AJ446" s="133"/>
      <c r="AK446" s="133"/>
      <c r="AL446" s="133"/>
      <c r="AM446" s="133"/>
      <c r="AN446" s="133"/>
      <c r="AO446" s="133"/>
    </row>
    <row r="447" spans="1:41" x14ac:dyDescent="0.2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S447" s="133"/>
      <c r="T447" s="133"/>
      <c r="U447" s="133"/>
      <c r="V447" s="133"/>
      <c r="W447" s="133"/>
      <c r="X447" s="133"/>
      <c r="Y447" s="133"/>
      <c r="Z447" s="133"/>
      <c r="AA447" s="133"/>
      <c r="AB447" s="133"/>
      <c r="AC447" s="133"/>
      <c r="AD447" s="133"/>
      <c r="AE447" s="133"/>
      <c r="AF447" s="133"/>
      <c r="AG447" s="133"/>
      <c r="AH447" s="133"/>
      <c r="AI447" s="133"/>
      <c r="AJ447" s="133"/>
      <c r="AK447" s="133"/>
      <c r="AL447" s="133"/>
      <c r="AM447" s="133"/>
      <c r="AN447" s="133"/>
      <c r="AO447" s="133"/>
    </row>
    <row r="448" spans="1:41" x14ac:dyDescent="0.2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S448" s="133"/>
      <c r="T448" s="133"/>
      <c r="U448" s="133"/>
      <c r="V448" s="133"/>
      <c r="W448" s="133"/>
      <c r="X448" s="133"/>
      <c r="Y448" s="133"/>
      <c r="Z448" s="133"/>
      <c r="AA448" s="133"/>
      <c r="AB448" s="133"/>
      <c r="AC448" s="133"/>
      <c r="AD448" s="133"/>
      <c r="AE448" s="133"/>
      <c r="AF448" s="133"/>
      <c r="AG448" s="133"/>
      <c r="AH448" s="133"/>
      <c r="AI448" s="133"/>
      <c r="AJ448" s="133"/>
      <c r="AK448" s="133"/>
      <c r="AL448" s="133"/>
      <c r="AM448" s="133"/>
      <c r="AN448" s="133"/>
      <c r="AO448" s="133"/>
    </row>
    <row r="449" spans="1:41" x14ac:dyDescent="0.2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S449" s="133"/>
      <c r="T449" s="133"/>
      <c r="U449" s="133"/>
      <c r="V449" s="133"/>
      <c r="W449" s="133"/>
      <c r="X449" s="133"/>
      <c r="Y449" s="133"/>
      <c r="Z449" s="133"/>
      <c r="AA449" s="133"/>
      <c r="AB449" s="133"/>
      <c r="AC449" s="133"/>
      <c r="AD449" s="133"/>
      <c r="AE449" s="133"/>
      <c r="AF449" s="133"/>
      <c r="AG449" s="133"/>
      <c r="AH449" s="133"/>
      <c r="AI449" s="133"/>
      <c r="AJ449" s="133"/>
      <c r="AK449" s="133"/>
      <c r="AL449" s="133"/>
      <c r="AM449" s="133"/>
      <c r="AN449" s="133"/>
      <c r="AO449" s="133"/>
    </row>
    <row r="450" spans="1:41" x14ac:dyDescent="0.2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S450" s="133"/>
      <c r="T450" s="133"/>
      <c r="U450" s="133"/>
      <c r="V450" s="133"/>
      <c r="W450" s="133"/>
      <c r="X450" s="133"/>
      <c r="Y450" s="133"/>
      <c r="Z450" s="133"/>
      <c r="AA450" s="133"/>
      <c r="AB450" s="133"/>
      <c r="AC450" s="133"/>
      <c r="AD450" s="133"/>
      <c r="AE450" s="133"/>
      <c r="AF450" s="133"/>
      <c r="AG450" s="133"/>
      <c r="AH450" s="133"/>
      <c r="AI450" s="133"/>
      <c r="AJ450" s="133"/>
      <c r="AK450" s="133"/>
      <c r="AL450" s="133"/>
      <c r="AM450" s="133"/>
      <c r="AN450" s="133"/>
      <c r="AO450" s="133"/>
    </row>
    <row r="451" spans="1:41" x14ac:dyDescent="0.2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S451" s="133"/>
      <c r="T451" s="133"/>
      <c r="U451" s="133"/>
      <c r="V451" s="133"/>
      <c r="W451" s="133"/>
      <c r="X451" s="133"/>
      <c r="Y451" s="133"/>
      <c r="Z451" s="133"/>
      <c r="AA451" s="133"/>
      <c r="AB451" s="133"/>
      <c r="AC451" s="133"/>
      <c r="AD451" s="133"/>
      <c r="AE451" s="133"/>
      <c r="AF451" s="133"/>
      <c r="AG451" s="133"/>
      <c r="AH451" s="133"/>
      <c r="AI451" s="133"/>
      <c r="AJ451" s="133"/>
      <c r="AK451" s="133"/>
      <c r="AL451" s="133"/>
      <c r="AM451" s="133"/>
      <c r="AN451" s="133"/>
      <c r="AO451" s="133"/>
    </row>
    <row r="452" spans="1:41" x14ac:dyDescent="0.2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S452" s="133"/>
      <c r="T452" s="133"/>
      <c r="U452" s="133"/>
      <c r="V452" s="133"/>
      <c r="W452" s="133"/>
      <c r="X452" s="133"/>
      <c r="Y452" s="133"/>
      <c r="Z452" s="133"/>
      <c r="AA452" s="133"/>
      <c r="AB452" s="133"/>
      <c r="AC452" s="133"/>
      <c r="AD452" s="133"/>
      <c r="AE452" s="133"/>
      <c r="AF452" s="133"/>
      <c r="AG452" s="133"/>
      <c r="AH452" s="133"/>
      <c r="AI452" s="133"/>
      <c r="AJ452" s="133"/>
      <c r="AK452" s="133"/>
      <c r="AL452" s="133"/>
      <c r="AM452" s="133"/>
      <c r="AN452" s="133"/>
      <c r="AO452" s="133"/>
    </row>
    <row r="453" spans="1:41" x14ac:dyDescent="0.2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S453" s="133"/>
      <c r="T453" s="133"/>
      <c r="U453" s="133"/>
      <c r="V453" s="133"/>
      <c r="W453" s="133"/>
      <c r="X453" s="133"/>
      <c r="Y453" s="133"/>
      <c r="Z453" s="133"/>
      <c r="AA453" s="133"/>
      <c r="AB453" s="133"/>
      <c r="AC453" s="133"/>
      <c r="AD453" s="133"/>
      <c r="AE453" s="133"/>
      <c r="AF453" s="133"/>
      <c r="AG453" s="133"/>
      <c r="AH453" s="133"/>
      <c r="AI453" s="133"/>
      <c r="AJ453" s="133"/>
      <c r="AK453" s="133"/>
      <c r="AL453" s="133"/>
      <c r="AM453" s="133"/>
      <c r="AN453" s="133"/>
      <c r="AO453" s="133"/>
    </row>
    <row r="454" spans="1:41" x14ac:dyDescent="0.2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S454" s="133"/>
      <c r="T454" s="133"/>
      <c r="U454" s="133"/>
      <c r="V454" s="133"/>
      <c r="W454" s="133"/>
      <c r="X454" s="133"/>
      <c r="Y454" s="133"/>
      <c r="Z454" s="133"/>
      <c r="AA454" s="133"/>
      <c r="AB454" s="133"/>
      <c r="AC454" s="133"/>
      <c r="AD454" s="133"/>
      <c r="AE454" s="133"/>
      <c r="AF454" s="133"/>
      <c r="AG454" s="133"/>
      <c r="AH454" s="133"/>
      <c r="AI454" s="133"/>
      <c r="AJ454" s="133"/>
      <c r="AK454" s="133"/>
      <c r="AL454" s="133"/>
      <c r="AM454" s="133"/>
      <c r="AN454" s="133"/>
      <c r="AO454" s="133"/>
    </row>
    <row r="455" spans="1:41" x14ac:dyDescent="0.2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S455" s="133"/>
      <c r="T455" s="133"/>
      <c r="U455" s="133"/>
      <c r="V455" s="133"/>
      <c r="W455" s="133"/>
      <c r="X455" s="133"/>
      <c r="Y455" s="133"/>
      <c r="Z455" s="133"/>
      <c r="AA455" s="133"/>
      <c r="AB455" s="133"/>
      <c r="AC455" s="133"/>
      <c r="AD455" s="133"/>
      <c r="AE455" s="133"/>
      <c r="AF455" s="133"/>
      <c r="AG455" s="133"/>
      <c r="AH455" s="133"/>
      <c r="AI455" s="133"/>
      <c r="AJ455" s="133"/>
      <c r="AK455" s="133"/>
      <c r="AL455" s="133"/>
      <c r="AM455" s="133"/>
      <c r="AN455" s="133"/>
      <c r="AO455" s="133"/>
    </row>
    <row r="456" spans="1:41" x14ac:dyDescent="0.2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S456" s="133"/>
      <c r="T456" s="133"/>
      <c r="U456" s="133"/>
      <c r="V456" s="133"/>
      <c r="W456" s="133"/>
      <c r="X456" s="133"/>
      <c r="Y456" s="133"/>
      <c r="Z456" s="133"/>
      <c r="AA456" s="133"/>
      <c r="AB456" s="133"/>
      <c r="AC456" s="133"/>
      <c r="AD456" s="133"/>
      <c r="AE456" s="133"/>
      <c r="AF456" s="133"/>
      <c r="AG456" s="133"/>
      <c r="AH456" s="133"/>
      <c r="AI456" s="133"/>
      <c r="AJ456" s="133"/>
      <c r="AK456" s="133"/>
      <c r="AL456" s="133"/>
      <c r="AM456" s="133"/>
      <c r="AN456" s="133"/>
      <c r="AO456" s="133"/>
    </row>
    <row r="457" spans="1:41" x14ac:dyDescent="0.2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S457" s="133"/>
      <c r="T457" s="133"/>
      <c r="U457" s="133"/>
      <c r="V457" s="133"/>
      <c r="W457" s="133"/>
      <c r="X457" s="133"/>
      <c r="Y457" s="133"/>
      <c r="Z457" s="133"/>
      <c r="AA457" s="133"/>
      <c r="AB457" s="133"/>
      <c r="AC457" s="133"/>
      <c r="AD457" s="133"/>
      <c r="AE457" s="133"/>
      <c r="AF457" s="133"/>
      <c r="AG457" s="133"/>
      <c r="AH457" s="133"/>
      <c r="AI457" s="133"/>
      <c r="AJ457" s="133"/>
      <c r="AK457" s="133"/>
      <c r="AL457" s="133"/>
      <c r="AM457" s="133"/>
      <c r="AN457" s="133"/>
      <c r="AO457" s="133"/>
    </row>
    <row r="458" spans="1:41" x14ac:dyDescent="0.2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S458" s="133"/>
      <c r="T458" s="133"/>
      <c r="U458" s="133"/>
      <c r="V458" s="133"/>
      <c r="W458" s="133"/>
      <c r="X458" s="133"/>
      <c r="Y458" s="133"/>
      <c r="Z458" s="133"/>
      <c r="AA458" s="133"/>
      <c r="AB458" s="133"/>
      <c r="AC458" s="133"/>
      <c r="AD458" s="133"/>
      <c r="AE458" s="133"/>
      <c r="AF458" s="133"/>
      <c r="AG458" s="133"/>
      <c r="AH458" s="133"/>
      <c r="AI458" s="133"/>
      <c r="AJ458" s="133"/>
      <c r="AK458" s="133"/>
      <c r="AL458" s="133"/>
      <c r="AM458" s="133"/>
      <c r="AN458" s="133"/>
      <c r="AO458" s="133"/>
    </row>
    <row r="459" spans="1:41" x14ac:dyDescent="0.2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S459" s="133"/>
      <c r="T459" s="133"/>
      <c r="U459" s="133"/>
      <c r="V459" s="133"/>
      <c r="W459" s="133"/>
      <c r="X459" s="133"/>
      <c r="Y459" s="133"/>
      <c r="Z459" s="133"/>
      <c r="AA459" s="133"/>
      <c r="AB459" s="133"/>
      <c r="AC459" s="133"/>
      <c r="AD459" s="133"/>
      <c r="AE459" s="133"/>
      <c r="AF459" s="133"/>
      <c r="AG459" s="133"/>
      <c r="AH459" s="133"/>
      <c r="AI459" s="133"/>
      <c r="AJ459" s="133"/>
      <c r="AK459" s="133"/>
      <c r="AL459" s="133"/>
      <c r="AM459" s="133"/>
      <c r="AN459" s="133"/>
      <c r="AO459" s="133"/>
    </row>
    <row r="460" spans="1:41" x14ac:dyDescent="0.2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S460" s="133"/>
      <c r="T460" s="133"/>
      <c r="U460" s="133"/>
      <c r="V460" s="133"/>
      <c r="W460" s="133"/>
      <c r="X460" s="133"/>
      <c r="Y460" s="133"/>
      <c r="Z460" s="133"/>
      <c r="AA460" s="133"/>
      <c r="AB460" s="133"/>
      <c r="AC460" s="133"/>
      <c r="AD460" s="133"/>
      <c r="AE460" s="133"/>
      <c r="AF460" s="133"/>
      <c r="AG460" s="133"/>
      <c r="AH460" s="133"/>
      <c r="AI460" s="133"/>
      <c r="AJ460" s="133"/>
      <c r="AK460" s="133"/>
      <c r="AL460" s="133"/>
      <c r="AM460" s="133"/>
      <c r="AN460" s="133"/>
      <c r="AO460" s="133"/>
    </row>
    <row r="461" spans="1:41" x14ac:dyDescent="0.2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S461" s="133"/>
      <c r="T461" s="133"/>
      <c r="U461" s="133"/>
      <c r="V461" s="133"/>
      <c r="W461" s="133"/>
      <c r="X461" s="133"/>
      <c r="Y461" s="133"/>
      <c r="Z461" s="133"/>
      <c r="AA461" s="133"/>
      <c r="AB461" s="133"/>
      <c r="AC461" s="133"/>
      <c r="AD461" s="133"/>
      <c r="AE461" s="133"/>
      <c r="AF461" s="133"/>
      <c r="AG461" s="133"/>
      <c r="AH461" s="133"/>
      <c r="AI461" s="133"/>
      <c r="AJ461" s="133"/>
      <c r="AK461" s="133"/>
      <c r="AL461" s="133"/>
      <c r="AM461" s="133"/>
      <c r="AN461" s="133"/>
      <c r="AO461" s="133"/>
    </row>
    <row r="462" spans="1:41" x14ac:dyDescent="0.2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S462" s="133"/>
      <c r="T462" s="133"/>
      <c r="U462" s="133"/>
      <c r="V462" s="133"/>
      <c r="W462" s="133"/>
      <c r="X462" s="133"/>
      <c r="Y462" s="133"/>
      <c r="Z462" s="133"/>
      <c r="AA462" s="133"/>
      <c r="AB462" s="133"/>
      <c r="AC462" s="133"/>
      <c r="AD462" s="133"/>
      <c r="AE462" s="133"/>
      <c r="AF462" s="133"/>
      <c r="AG462" s="133"/>
      <c r="AH462" s="133"/>
      <c r="AI462" s="133"/>
      <c r="AJ462" s="133"/>
      <c r="AK462" s="133"/>
      <c r="AL462" s="133"/>
      <c r="AM462" s="133"/>
      <c r="AN462" s="133"/>
      <c r="AO462" s="133"/>
    </row>
    <row r="463" spans="1:41" x14ac:dyDescent="0.2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S463" s="133"/>
      <c r="T463" s="133"/>
      <c r="U463" s="133"/>
      <c r="V463" s="133"/>
      <c r="W463" s="133"/>
      <c r="X463" s="133"/>
      <c r="Y463" s="133"/>
      <c r="Z463" s="133"/>
      <c r="AA463" s="133"/>
      <c r="AB463" s="133"/>
      <c r="AC463" s="133"/>
      <c r="AD463" s="133"/>
      <c r="AE463" s="133"/>
      <c r="AF463" s="133"/>
      <c r="AG463" s="133"/>
      <c r="AH463" s="133"/>
      <c r="AI463" s="133"/>
      <c r="AJ463" s="133"/>
      <c r="AK463" s="133"/>
      <c r="AL463" s="133"/>
      <c r="AM463" s="133"/>
      <c r="AN463" s="133"/>
      <c r="AO463" s="133"/>
    </row>
    <row r="464" spans="1:41" x14ac:dyDescent="0.2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S464" s="133"/>
      <c r="T464" s="133"/>
      <c r="U464" s="133"/>
      <c r="V464" s="133"/>
      <c r="W464" s="133"/>
      <c r="X464" s="133"/>
      <c r="Y464" s="133"/>
      <c r="Z464" s="133"/>
      <c r="AA464" s="133"/>
      <c r="AB464" s="133"/>
      <c r="AC464" s="133"/>
      <c r="AD464" s="133"/>
      <c r="AE464" s="133"/>
      <c r="AF464" s="133"/>
      <c r="AG464" s="133"/>
      <c r="AH464" s="133"/>
      <c r="AI464" s="133"/>
      <c r="AJ464" s="133"/>
      <c r="AK464" s="133"/>
      <c r="AL464" s="133"/>
      <c r="AM464" s="133"/>
      <c r="AN464" s="133"/>
      <c r="AO464" s="133"/>
    </row>
    <row r="465" spans="1:41" x14ac:dyDescent="0.2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S465" s="133"/>
      <c r="T465" s="133"/>
      <c r="U465" s="133"/>
      <c r="V465" s="133"/>
      <c r="W465" s="133"/>
      <c r="X465" s="133"/>
      <c r="Y465" s="133"/>
      <c r="Z465" s="133"/>
      <c r="AA465" s="133"/>
      <c r="AB465" s="133"/>
      <c r="AC465" s="133"/>
      <c r="AD465" s="133"/>
      <c r="AE465" s="133"/>
      <c r="AF465" s="133"/>
      <c r="AG465" s="133"/>
      <c r="AH465" s="133"/>
      <c r="AI465" s="133"/>
      <c r="AJ465" s="133"/>
      <c r="AK465" s="133"/>
      <c r="AL465" s="133"/>
      <c r="AM465" s="133"/>
      <c r="AN465" s="133"/>
      <c r="AO465" s="133"/>
    </row>
    <row r="466" spans="1:41" x14ac:dyDescent="0.2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S466" s="133"/>
      <c r="T466" s="133"/>
      <c r="U466" s="133"/>
      <c r="V466" s="133"/>
      <c r="W466" s="133"/>
      <c r="X466" s="133"/>
      <c r="Y466" s="133"/>
      <c r="Z466" s="133"/>
      <c r="AA466" s="133"/>
      <c r="AB466" s="133"/>
      <c r="AC466" s="133"/>
      <c r="AD466" s="133"/>
      <c r="AE466" s="133"/>
      <c r="AF466" s="133"/>
      <c r="AG466" s="133"/>
      <c r="AH466" s="133"/>
      <c r="AI466" s="133"/>
      <c r="AJ466" s="133"/>
      <c r="AK466" s="133"/>
      <c r="AL466" s="133"/>
      <c r="AM466" s="133"/>
      <c r="AN466" s="133"/>
      <c r="AO466" s="133"/>
    </row>
    <row r="467" spans="1:41" x14ac:dyDescent="0.2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S467" s="133"/>
      <c r="T467" s="133"/>
      <c r="U467" s="133"/>
      <c r="V467" s="133"/>
      <c r="W467" s="133"/>
      <c r="X467" s="133"/>
      <c r="Y467" s="133"/>
      <c r="Z467" s="133"/>
      <c r="AA467" s="133"/>
      <c r="AB467" s="133"/>
      <c r="AC467" s="133"/>
      <c r="AD467" s="133"/>
      <c r="AE467" s="133"/>
      <c r="AF467" s="133"/>
      <c r="AG467" s="133"/>
      <c r="AH467" s="133"/>
      <c r="AI467" s="133"/>
      <c r="AJ467" s="133"/>
      <c r="AK467" s="133"/>
      <c r="AL467" s="133"/>
      <c r="AM467" s="133"/>
      <c r="AN467" s="133"/>
      <c r="AO467" s="133"/>
    </row>
    <row r="468" spans="1:41" x14ac:dyDescent="0.2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S468" s="133"/>
      <c r="T468" s="133"/>
      <c r="U468" s="133"/>
      <c r="V468" s="133"/>
      <c r="W468" s="133"/>
      <c r="X468" s="133"/>
      <c r="Y468" s="133"/>
      <c r="Z468" s="133"/>
      <c r="AA468" s="133"/>
      <c r="AB468" s="133"/>
      <c r="AC468" s="133"/>
      <c r="AD468" s="133"/>
      <c r="AE468" s="133"/>
      <c r="AF468" s="133"/>
      <c r="AG468" s="133"/>
      <c r="AH468" s="133"/>
      <c r="AI468" s="133"/>
      <c r="AJ468" s="133"/>
      <c r="AK468" s="133"/>
      <c r="AL468" s="133"/>
      <c r="AM468" s="133"/>
      <c r="AN468" s="133"/>
      <c r="AO468" s="133"/>
    </row>
    <row r="469" spans="1:41" x14ac:dyDescent="0.2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S469" s="133"/>
      <c r="T469" s="133"/>
      <c r="U469" s="133"/>
      <c r="V469" s="133"/>
      <c r="W469" s="133"/>
      <c r="X469" s="133"/>
      <c r="Y469" s="133"/>
      <c r="Z469" s="133"/>
      <c r="AA469" s="133"/>
      <c r="AB469" s="133"/>
      <c r="AC469" s="133"/>
      <c r="AD469" s="133"/>
      <c r="AE469" s="133"/>
      <c r="AF469" s="133"/>
      <c r="AG469" s="133"/>
      <c r="AH469" s="133"/>
      <c r="AI469" s="133"/>
      <c r="AJ469" s="133"/>
      <c r="AK469" s="133"/>
      <c r="AL469" s="133"/>
      <c r="AM469" s="133"/>
      <c r="AN469" s="133"/>
      <c r="AO469" s="133"/>
    </row>
    <row r="470" spans="1:41" x14ac:dyDescent="0.2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S470" s="133"/>
      <c r="T470" s="133"/>
      <c r="U470" s="133"/>
      <c r="V470" s="133"/>
      <c r="W470" s="133"/>
      <c r="X470" s="133"/>
      <c r="Y470" s="133"/>
      <c r="Z470" s="133"/>
      <c r="AA470" s="133"/>
      <c r="AB470" s="133"/>
      <c r="AC470" s="133"/>
      <c r="AD470" s="133"/>
      <c r="AE470" s="133"/>
      <c r="AF470" s="133"/>
      <c r="AG470" s="133"/>
      <c r="AH470" s="133"/>
      <c r="AI470" s="133"/>
      <c r="AJ470" s="133"/>
      <c r="AK470" s="133"/>
      <c r="AL470" s="133"/>
      <c r="AM470" s="133"/>
      <c r="AN470" s="133"/>
      <c r="AO470" s="133"/>
    </row>
    <row r="471" spans="1:41" x14ac:dyDescent="0.2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S471" s="133"/>
      <c r="T471" s="133"/>
      <c r="U471" s="133"/>
      <c r="V471" s="133"/>
      <c r="W471" s="133"/>
      <c r="X471" s="133"/>
      <c r="Y471" s="133"/>
      <c r="Z471" s="133"/>
      <c r="AA471" s="133"/>
      <c r="AB471" s="133"/>
      <c r="AC471" s="133"/>
      <c r="AD471" s="133"/>
      <c r="AE471" s="133"/>
      <c r="AF471" s="133"/>
      <c r="AG471" s="133"/>
      <c r="AH471" s="133"/>
      <c r="AI471" s="133"/>
      <c r="AJ471" s="133"/>
      <c r="AK471" s="133"/>
      <c r="AL471" s="133"/>
      <c r="AM471" s="133"/>
      <c r="AN471" s="133"/>
      <c r="AO471" s="133"/>
    </row>
    <row r="472" spans="1:41" x14ac:dyDescent="0.2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S472" s="133"/>
      <c r="T472" s="133"/>
      <c r="U472" s="133"/>
      <c r="V472" s="133"/>
      <c r="W472" s="133"/>
      <c r="X472" s="133"/>
      <c r="Y472" s="133"/>
      <c r="Z472" s="133"/>
      <c r="AA472" s="133"/>
      <c r="AB472" s="133"/>
      <c r="AC472" s="133"/>
      <c r="AD472" s="133"/>
      <c r="AE472" s="133"/>
      <c r="AF472" s="133"/>
      <c r="AG472" s="133"/>
      <c r="AH472" s="133"/>
      <c r="AI472" s="133"/>
      <c r="AJ472" s="133"/>
      <c r="AK472" s="133"/>
      <c r="AL472" s="133"/>
      <c r="AM472" s="133"/>
      <c r="AN472" s="133"/>
      <c r="AO472" s="133"/>
    </row>
    <row r="473" spans="1:41" x14ac:dyDescent="0.2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S473" s="133"/>
      <c r="T473" s="133"/>
      <c r="U473" s="133"/>
      <c r="V473" s="133"/>
      <c r="W473" s="133"/>
      <c r="X473" s="133"/>
      <c r="Y473" s="133"/>
      <c r="Z473" s="133"/>
      <c r="AA473" s="133"/>
      <c r="AB473" s="133"/>
      <c r="AC473" s="133"/>
      <c r="AD473" s="133"/>
      <c r="AE473" s="133"/>
      <c r="AF473" s="133"/>
      <c r="AG473" s="133"/>
      <c r="AH473" s="133"/>
      <c r="AI473" s="133"/>
      <c r="AJ473" s="133"/>
      <c r="AK473" s="133"/>
      <c r="AL473" s="133"/>
      <c r="AM473" s="133"/>
      <c r="AN473" s="133"/>
      <c r="AO473" s="133"/>
    </row>
    <row r="474" spans="1:41" x14ac:dyDescent="0.2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S474" s="133"/>
      <c r="T474" s="133"/>
      <c r="U474" s="133"/>
      <c r="V474" s="133"/>
      <c r="W474" s="133"/>
      <c r="X474" s="133"/>
      <c r="Y474" s="133"/>
      <c r="Z474" s="133"/>
      <c r="AA474" s="133"/>
      <c r="AB474" s="133"/>
      <c r="AC474" s="133"/>
      <c r="AD474" s="133"/>
      <c r="AE474" s="133"/>
      <c r="AF474" s="133"/>
      <c r="AG474" s="133"/>
      <c r="AH474" s="133"/>
      <c r="AI474" s="133"/>
      <c r="AJ474" s="133"/>
      <c r="AK474" s="133"/>
      <c r="AL474" s="133"/>
      <c r="AM474" s="133"/>
      <c r="AN474" s="133"/>
      <c r="AO474" s="133"/>
    </row>
    <row r="475" spans="1:41" x14ac:dyDescent="0.2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S475" s="133"/>
      <c r="T475" s="133"/>
      <c r="U475" s="133"/>
      <c r="V475" s="133"/>
      <c r="W475" s="133"/>
      <c r="X475" s="133"/>
      <c r="Y475" s="133"/>
      <c r="Z475" s="133"/>
      <c r="AA475" s="133"/>
      <c r="AB475" s="133"/>
      <c r="AC475" s="133"/>
      <c r="AD475" s="133"/>
      <c r="AE475" s="133"/>
      <c r="AF475" s="133"/>
      <c r="AG475" s="133"/>
      <c r="AH475" s="133"/>
      <c r="AI475" s="133"/>
      <c r="AJ475" s="133"/>
      <c r="AK475" s="133"/>
      <c r="AL475" s="133"/>
      <c r="AM475" s="133"/>
      <c r="AN475" s="133"/>
      <c r="AO475" s="133"/>
    </row>
    <row r="476" spans="1:41" x14ac:dyDescent="0.2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S476" s="133"/>
      <c r="T476" s="133"/>
      <c r="U476" s="133"/>
      <c r="V476" s="133"/>
      <c r="W476" s="133"/>
      <c r="X476" s="133"/>
      <c r="Y476" s="133"/>
      <c r="Z476" s="133"/>
      <c r="AA476" s="133"/>
      <c r="AB476" s="133"/>
      <c r="AC476" s="133"/>
      <c r="AD476" s="133"/>
      <c r="AE476" s="133"/>
      <c r="AF476" s="133"/>
      <c r="AG476" s="133"/>
      <c r="AH476" s="133"/>
      <c r="AI476" s="133"/>
      <c r="AJ476" s="133"/>
      <c r="AK476" s="133"/>
      <c r="AL476" s="133"/>
      <c r="AM476" s="133"/>
      <c r="AN476" s="133"/>
      <c r="AO476" s="133"/>
    </row>
    <row r="477" spans="1:41" x14ac:dyDescent="0.2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S477" s="133"/>
      <c r="T477" s="133"/>
      <c r="U477" s="133"/>
      <c r="V477" s="133"/>
      <c r="W477" s="133"/>
      <c r="X477" s="133"/>
      <c r="Y477" s="133"/>
      <c r="Z477" s="133"/>
      <c r="AA477" s="133"/>
      <c r="AB477" s="133"/>
      <c r="AC477" s="133"/>
      <c r="AD477" s="133"/>
      <c r="AE477" s="133"/>
      <c r="AF477" s="133"/>
      <c r="AG477" s="133"/>
      <c r="AH477" s="133"/>
      <c r="AI477" s="133"/>
      <c r="AJ477" s="133"/>
      <c r="AK477" s="133"/>
      <c r="AL477" s="133"/>
      <c r="AM477" s="133"/>
      <c r="AN477" s="133"/>
      <c r="AO477" s="133"/>
    </row>
    <row r="478" spans="1:41" x14ac:dyDescent="0.2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S478" s="133"/>
      <c r="T478" s="133"/>
      <c r="U478" s="133"/>
      <c r="V478" s="133"/>
      <c r="W478" s="133"/>
      <c r="X478" s="133"/>
      <c r="Y478" s="133"/>
      <c r="Z478" s="133"/>
      <c r="AA478" s="133"/>
      <c r="AB478" s="133"/>
      <c r="AC478" s="133"/>
      <c r="AD478" s="133"/>
      <c r="AE478" s="133"/>
      <c r="AF478" s="133"/>
      <c r="AG478" s="133"/>
      <c r="AH478" s="133"/>
      <c r="AI478" s="133"/>
      <c r="AJ478" s="133"/>
      <c r="AK478" s="133"/>
      <c r="AL478" s="133"/>
      <c r="AM478" s="133"/>
      <c r="AN478" s="133"/>
      <c r="AO478" s="133"/>
    </row>
    <row r="479" spans="1:41" x14ac:dyDescent="0.2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S479" s="133"/>
      <c r="T479" s="133"/>
      <c r="U479" s="133"/>
      <c r="V479" s="133"/>
      <c r="W479" s="133"/>
      <c r="X479" s="133"/>
      <c r="Y479" s="133"/>
      <c r="Z479" s="133"/>
      <c r="AA479" s="133"/>
      <c r="AB479" s="133"/>
      <c r="AC479" s="133"/>
      <c r="AD479" s="133"/>
      <c r="AE479" s="133"/>
      <c r="AF479" s="133"/>
      <c r="AG479" s="133"/>
      <c r="AH479" s="133"/>
      <c r="AI479" s="133"/>
      <c r="AJ479" s="133"/>
      <c r="AK479" s="133"/>
      <c r="AL479" s="133"/>
      <c r="AM479" s="133"/>
      <c r="AN479" s="133"/>
      <c r="AO479" s="133"/>
    </row>
    <row r="480" spans="1:41" x14ac:dyDescent="0.2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S480" s="133"/>
      <c r="T480" s="133"/>
      <c r="U480" s="133"/>
      <c r="V480" s="133"/>
      <c r="W480" s="133"/>
      <c r="X480" s="133"/>
      <c r="Y480" s="133"/>
      <c r="Z480" s="133"/>
      <c r="AA480" s="133"/>
      <c r="AB480" s="133"/>
      <c r="AC480" s="133"/>
      <c r="AD480" s="133"/>
      <c r="AE480" s="133"/>
      <c r="AF480" s="133"/>
      <c r="AG480" s="133"/>
      <c r="AH480" s="133"/>
      <c r="AI480" s="133"/>
      <c r="AJ480" s="133"/>
      <c r="AK480" s="133"/>
      <c r="AL480" s="133"/>
      <c r="AM480" s="133"/>
      <c r="AN480" s="133"/>
      <c r="AO480" s="133"/>
    </row>
    <row r="481" spans="1:41" x14ac:dyDescent="0.2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S481" s="133"/>
      <c r="T481" s="133"/>
      <c r="U481" s="133"/>
      <c r="V481" s="133"/>
      <c r="W481" s="133"/>
      <c r="X481" s="133"/>
      <c r="Y481" s="133"/>
      <c r="Z481" s="133"/>
      <c r="AA481" s="133"/>
      <c r="AB481" s="133"/>
      <c r="AC481" s="133"/>
      <c r="AD481" s="133"/>
      <c r="AE481" s="133"/>
      <c r="AF481" s="133"/>
      <c r="AG481" s="133"/>
      <c r="AH481" s="133"/>
      <c r="AI481" s="133"/>
      <c r="AJ481" s="133"/>
      <c r="AK481" s="133"/>
      <c r="AL481" s="133"/>
      <c r="AM481" s="133"/>
      <c r="AN481" s="133"/>
      <c r="AO481" s="133"/>
    </row>
    <row r="482" spans="1:41" x14ac:dyDescent="0.2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S482" s="133"/>
      <c r="T482" s="133"/>
      <c r="U482" s="133"/>
      <c r="V482" s="133"/>
      <c r="W482" s="133"/>
      <c r="X482" s="133"/>
      <c r="Y482" s="133"/>
      <c r="Z482" s="133"/>
      <c r="AA482" s="133"/>
      <c r="AB482" s="133"/>
      <c r="AC482" s="133"/>
      <c r="AD482" s="133"/>
      <c r="AE482" s="133"/>
      <c r="AF482" s="133"/>
      <c r="AG482" s="133"/>
      <c r="AH482" s="133"/>
      <c r="AI482" s="133"/>
      <c r="AJ482" s="133"/>
      <c r="AK482" s="133"/>
      <c r="AL482" s="133"/>
      <c r="AM482" s="133"/>
      <c r="AN482" s="133"/>
      <c r="AO482" s="133"/>
    </row>
    <row r="483" spans="1:41" x14ac:dyDescent="0.2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S483" s="133"/>
      <c r="T483" s="133"/>
      <c r="U483" s="133"/>
      <c r="V483" s="133"/>
      <c r="W483" s="133"/>
      <c r="X483" s="133"/>
      <c r="Y483" s="133"/>
      <c r="Z483" s="133"/>
      <c r="AA483" s="133"/>
      <c r="AB483" s="133"/>
      <c r="AC483" s="133"/>
      <c r="AD483" s="133"/>
      <c r="AE483" s="133"/>
      <c r="AF483" s="133"/>
      <c r="AG483" s="133"/>
      <c r="AH483" s="133"/>
      <c r="AI483" s="133"/>
      <c r="AJ483" s="133"/>
      <c r="AK483" s="133"/>
      <c r="AL483" s="133"/>
      <c r="AM483" s="133"/>
      <c r="AN483" s="133"/>
      <c r="AO483" s="133"/>
    </row>
    <row r="484" spans="1:41" x14ac:dyDescent="0.2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S484" s="133"/>
      <c r="T484" s="133"/>
      <c r="U484" s="133"/>
      <c r="V484" s="133"/>
      <c r="W484" s="133"/>
      <c r="X484" s="133"/>
      <c r="Y484" s="133"/>
      <c r="Z484" s="133"/>
      <c r="AA484" s="133"/>
      <c r="AB484" s="133"/>
      <c r="AC484" s="133"/>
      <c r="AD484" s="133"/>
      <c r="AE484" s="133"/>
      <c r="AF484" s="133"/>
      <c r="AG484" s="133"/>
      <c r="AH484" s="133"/>
      <c r="AI484" s="133"/>
      <c r="AJ484" s="133"/>
      <c r="AK484" s="133"/>
      <c r="AL484" s="133"/>
      <c r="AM484" s="133"/>
      <c r="AN484" s="133"/>
      <c r="AO484" s="133"/>
    </row>
    <row r="485" spans="1:41" x14ac:dyDescent="0.2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S485" s="133"/>
      <c r="T485" s="133"/>
      <c r="U485" s="133"/>
      <c r="V485" s="133"/>
      <c r="W485" s="133"/>
      <c r="X485" s="133"/>
      <c r="Y485" s="133"/>
      <c r="Z485" s="133"/>
      <c r="AA485" s="133"/>
      <c r="AB485" s="133"/>
      <c r="AC485" s="133"/>
      <c r="AD485" s="133"/>
      <c r="AE485" s="133"/>
      <c r="AF485" s="133"/>
      <c r="AG485" s="133"/>
      <c r="AH485" s="133"/>
      <c r="AI485" s="133"/>
      <c r="AJ485" s="133"/>
      <c r="AK485" s="133"/>
      <c r="AL485" s="133"/>
      <c r="AM485" s="133"/>
      <c r="AN485" s="133"/>
      <c r="AO485" s="133"/>
    </row>
    <row r="486" spans="1:41" x14ac:dyDescent="0.2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S486" s="133"/>
      <c r="T486" s="133"/>
      <c r="U486" s="133"/>
      <c r="V486" s="133"/>
      <c r="W486" s="133"/>
      <c r="X486" s="133"/>
      <c r="Y486" s="133"/>
      <c r="Z486" s="133"/>
      <c r="AA486" s="133"/>
      <c r="AB486" s="133"/>
      <c r="AC486" s="133"/>
      <c r="AD486" s="133"/>
      <c r="AE486" s="133"/>
      <c r="AF486" s="133"/>
      <c r="AG486" s="133"/>
      <c r="AH486" s="133"/>
      <c r="AI486" s="133"/>
      <c r="AJ486" s="133"/>
      <c r="AK486" s="133"/>
      <c r="AL486" s="133"/>
      <c r="AM486" s="133"/>
      <c r="AN486" s="133"/>
      <c r="AO486" s="133"/>
    </row>
    <row r="487" spans="1:41" x14ac:dyDescent="0.2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S487" s="133"/>
      <c r="T487" s="133"/>
      <c r="U487" s="133"/>
      <c r="V487" s="133"/>
      <c r="W487" s="133"/>
      <c r="X487" s="133"/>
      <c r="Y487" s="133"/>
      <c r="Z487" s="133"/>
      <c r="AA487" s="133"/>
      <c r="AB487" s="133"/>
      <c r="AC487" s="133"/>
      <c r="AD487" s="133"/>
      <c r="AE487" s="133"/>
      <c r="AF487" s="133"/>
      <c r="AG487" s="133"/>
      <c r="AH487" s="133"/>
      <c r="AI487" s="133"/>
      <c r="AJ487" s="133"/>
      <c r="AK487" s="133"/>
      <c r="AL487" s="133"/>
      <c r="AM487" s="133"/>
      <c r="AN487" s="133"/>
      <c r="AO487" s="133"/>
    </row>
    <row r="488" spans="1:41" x14ac:dyDescent="0.2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S488" s="133"/>
      <c r="T488" s="133"/>
      <c r="U488" s="133"/>
      <c r="V488" s="133"/>
      <c r="W488" s="133"/>
      <c r="X488" s="133"/>
      <c r="Y488" s="133"/>
      <c r="Z488" s="133"/>
      <c r="AA488" s="133"/>
      <c r="AB488" s="133"/>
      <c r="AC488" s="133"/>
      <c r="AD488" s="133"/>
      <c r="AE488" s="133"/>
      <c r="AF488" s="133"/>
      <c r="AG488" s="133"/>
      <c r="AH488" s="133"/>
      <c r="AI488" s="133"/>
      <c r="AJ488" s="133"/>
      <c r="AK488" s="133"/>
      <c r="AL488" s="133"/>
      <c r="AM488" s="133"/>
      <c r="AN488" s="133"/>
      <c r="AO488" s="133"/>
    </row>
    <row r="489" spans="1:41" x14ac:dyDescent="0.2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S489" s="133"/>
      <c r="T489" s="133"/>
      <c r="U489" s="133"/>
      <c r="V489" s="133"/>
      <c r="W489" s="133"/>
      <c r="X489" s="133"/>
      <c r="Y489" s="133"/>
      <c r="Z489" s="133"/>
      <c r="AA489" s="133"/>
      <c r="AB489" s="133"/>
      <c r="AC489" s="133"/>
      <c r="AD489" s="133"/>
      <c r="AE489" s="133"/>
      <c r="AF489" s="133"/>
      <c r="AG489" s="133"/>
      <c r="AH489" s="133"/>
      <c r="AI489" s="133"/>
      <c r="AJ489" s="133"/>
      <c r="AK489" s="133"/>
      <c r="AL489" s="133"/>
      <c r="AM489" s="133"/>
      <c r="AN489" s="133"/>
      <c r="AO489" s="133"/>
    </row>
    <row r="490" spans="1:41" x14ac:dyDescent="0.2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S490" s="133"/>
      <c r="T490" s="133"/>
      <c r="U490" s="133"/>
      <c r="V490" s="133"/>
      <c r="W490" s="133"/>
      <c r="X490" s="133"/>
      <c r="Y490" s="133"/>
      <c r="Z490" s="133"/>
      <c r="AA490" s="133"/>
      <c r="AB490" s="133"/>
      <c r="AC490" s="133"/>
      <c r="AD490" s="133"/>
      <c r="AE490" s="133"/>
      <c r="AF490" s="133"/>
      <c r="AG490" s="133"/>
      <c r="AH490" s="133"/>
      <c r="AI490" s="133"/>
      <c r="AJ490" s="133"/>
      <c r="AK490" s="133"/>
      <c r="AL490" s="133"/>
      <c r="AM490" s="133"/>
      <c r="AN490" s="133"/>
      <c r="AO490" s="133"/>
    </row>
    <row r="491" spans="1:41" x14ac:dyDescent="0.2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S491" s="133"/>
      <c r="T491" s="133"/>
      <c r="U491" s="133"/>
      <c r="V491" s="133"/>
      <c r="W491" s="133"/>
      <c r="X491" s="133"/>
      <c r="Y491" s="133"/>
      <c r="Z491" s="133"/>
      <c r="AA491" s="133"/>
      <c r="AB491" s="133"/>
      <c r="AC491" s="133"/>
      <c r="AD491" s="133"/>
      <c r="AE491" s="133"/>
      <c r="AF491" s="133"/>
      <c r="AG491" s="133"/>
      <c r="AH491" s="133"/>
      <c r="AI491" s="133"/>
      <c r="AJ491" s="133"/>
      <c r="AK491" s="133"/>
      <c r="AL491" s="133"/>
      <c r="AM491" s="133"/>
      <c r="AN491" s="133"/>
      <c r="AO491" s="133"/>
    </row>
    <row r="492" spans="1:41" x14ac:dyDescent="0.2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S492" s="133"/>
      <c r="T492" s="133"/>
      <c r="U492" s="133"/>
      <c r="V492" s="133"/>
      <c r="W492" s="133"/>
      <c r="X492" s="133"/>
      <c r="Y492" s="133"/>
      <c r="Z492" s="133"/>
      <c r="AA492" s="133"/>
      <c r="AB492" s="133"/>
      <c r="AC492" s="133"/>
      <c r="AD492" s="133"/>
      <c r="AE492" s="133"/>
      <c r="AF492" s="133"/>
      <c r="AG492" s="133"/>
      <c r="AH492" s="133"/>
      <c r="AI492" s="133"/>
      <c r="AJ492" s="133"/>
      <c r="AK492" s="133"/>
      <c r="AL492" s="133"/>
      <c r="AM492" s="133"/>
      <c r="AN492" s="133"/>
      <c r="AO492" s="133"/>
    </row>
    <row r="493" spans="1:41" x14ac:dyDescent="0.2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S493" s="133"/>
      <c r="T493" s="133"/>
      <c r="U493" s="133"/>
      <c r="V493" s="133"/>
      <c r="W493" s="133"/>
      <c r="X493" s="133"/>
      <c r="Y493" s="133"/>
      <c r="Z493" s="133"/>
      <c r="AA493" s="133"/>
      <c r="AB493" s="133"/>
      <c r="AC493" s="133"/>
      <c r="AD493" s="133"/>
      <c r="AE493" s="133"/>
      <c r="AF493" s="133"/>
      <c r="AG493" s="133"/>
      <c r="AH493" s="133"/>
      <c r="AI493" s="133"/>
      <c r="AJ493" s="133"/>
      <c r="AK493" s="133"/>
      <c r="AL493" s="133"/>
      <c r="AM493" s="133"/>
      <c r="AN493" s="133"/>
      <c r="AO493" s="133"/>
    </row>
    <row r="494" spans="1:41" x14ac:dyDescent="0.2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S494" s="133"/>
      <c r="T494" s="133"/>
      <c r="U494" s="133"/>
      <c r="V494" s="133"/>
      <c r="W494" s="133"/>
      <c r="X494" s="133"/>
      <c r="Y494" s="133"/>
      <c r="Z494" s="133"/>
      <c r="AA494" s="133"/>
      <c r="AB494" s="133"/>
      <c r="AC494" s="133"/>
      <c r="AD494" s="133"/>
      <c r="AE494" s="133"/>
      <c r="AF494" s="133"/>
      <c r="AG494" s="133"/>
      <c r="AH494" s="133"/>
      <c r="AI494" s="133"/>
      <c r="AJ494" s="133"/>
      <c r="AK494" s="133"/>
      <c r="AL494" s="133"/>
      <c r="AM494" s="133"/>
      <c r="AN494" s="133"/>
      <c r="AO494" s="133"/>
    </row>
    <row r="495" spans="1:41" x14ac:dyDescent="0.2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S495" s="133"/>
      <c r="T495" s="133"/>
      <c r="U495" s="133"/>
      <c r="V495" s="133"/>
      <c r="W495" s="133"/>
      <c r="X495" s="133"/>
      <c r="Y495" s="133"/>
      <c r="Z495" s="133"/>
      <c r="AA495" s="133"/>
      <c r="AB495" s="133"/>
      <c r="AC495" s="133"/>
      <c r="AD495" s="133"/>
      <c r="AE495" s="133"/>
      <c r="AF495" s="133"/>
      <c r="AG495" s="133"/>
      <c r="AH495" s="133"/>
      <c r="AI495" s="133"/>
      <c r="AJ495" s="133"/>
      <c r="AK495" s="133"/>
      <c r="AL495" s="133"/>
      <c r="AM495" s="133"/>
      <c r="AN495" s="133"/>
      <c r="AO495" s="133"/>
    </row>
    <row r="496" spans="1:41" x14ac:dyDescent="0.2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S496" s="133"/>
      <c r="T496" s="133"/>
      <c r="U496" s="133"/>
      <c r="V496" s="133"/>
      <c r="W496" s="133"/>
      <c r="X496" s="133"/>
      <c r="Y496" s="133"/>
      <c r="Z496" s="133"/>
      <c r="AA496" s="133"/>
      <c r="AB496" s="133"/>
      <c r="AC496" s="133"/>
      <c r="AD496" s="133"/>
      <c r="AE496" s="133"/>
      <c r="AF496" s="133"/>
      <c r="AG496" s="133"/>
      <c r="AH496" s="133"/>
      <c r="AI496" s="133"/>
      <c r="AJ496" s="133"/>
      <c r="AK496" s="133"/>
      <c r="AL496" s="133"/>
      <c r="AM496" s="133"/>
      <c r="AN496" s="133"/>
      <c r="AO496" s="133"/>
    </row>
    <row r="497" spans="1:41" x14ac:dyDescent="0.2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S497" s="133"/>
      <c r="T497" s="133"/>
      <c r="U497" s="133"/>
      <c r="V497" s="133"/>
      <c r="W497" s="133"/>
      <c r="X497" s="133"/>
      <c r="Y497" s="133"/>
      <c r="Z497" s="133"/>
      <c r="AA497" s="133"/>
      <c r="AB497" s="133"/>
      <c r="AC497" s="133"/>
      <c r="AD497" s="133"/>
      <c r="AE497" s="133"/>
      <c r="AF497" s="133"/>
      <c r="AG497" s="133"/>
      <c r="AH497" s="133"/>
      <c r="AI497" s="133"/>
      <c r="AJ497" s="133"/>
      <c r="AK497" s="133"/>
      <c r="AL497" s="133"/>
      <c r="AM497" s="133"/>
      <c r="AN497" s="133"/>
      <c r="AO497" s="133"/>
    </row>
    <row r="498" spans="1:41" x14ac:dyDescent="0.2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S498" s="133"/>
      <c r="T498" s="133"/>
      <c r="U498" s="133"/>
      <c r="V498" s="133"/>
      <c r="W498" s="133"/>
      <c r="X498" s="133"/>
      <c r="Y498" s="133"/>
      <c r="Z498" s="133"/>
      <c r="AA498" s="133"/>
      <c r="AB498" s="133"/>
      <c r="AC498" s="133"/>
      <c r="AD498" s="133"/>
      <c r="AE498" s="133"/>
      <c r="AF498" s="133"/>
      <c r="AG498" s="133"/>
      <c r="AH498" s="133"/>
      <c r="AI498" s="133"/>
      <c r="AJ498" s="133"/>
      <c r="AK498" s="133"/>
      <c r="AL498" s="133"/>
      <c r="AM498" s="133"/>
      <c r="AN498" s="133"/>
      <c r="AO498" s="133"/>
    </row>
    <row r="499" spans="1:41" x14ac:dyDescent="0.2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S499" s="133"/>
      <c r="T499" s="133"/>
      <c r="U499" s="133"/>
      <c r="V499" s="133"/>
      <c r="W499" s="133"/>
      <c r="X499" s="133"/>
      <c r="Y499" s="133"/>
      <c r="Z499" s="133"/>
      <c r="AA499" s="133"/>
      <c r="AB499" s="133"/>
      <c r="AC499" s="133"/>
      <c r="AD499" s="133"/>
      <c r="AE499" s="133"/>
      <c r="AF499" s="133"/>
      <c r="AG499" s="133"/>
      <c r="AH499" s="133"/>
      <c r="AI499" s="133"/>
      <c r="AJ499" s="133"/>
      <c r="AK499" s="133"/>
      <c r="AL499" s="133"/>
      <c r="AM499" s="133"/>
      <c r="AN499" s="133"/>
      <c r="AO499" s="133"/>
    </row>
    <row r="500" spans="1:41" x14ac:dyDescent="0.2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S500" s="133"/>
      <c r="T500" s="133"/>
      <c r="U500" s="133"/>
      <c r="V500" s="133"/>
      <c r="W500" s="133"/>
      <c r="X500" s="133"/>
      <c r="Y500" s="133"/>
      <c r="Z500" s="133"/>
      <c r="AA500" s="133"/>
      <c r="AB500" s="133"/>
      <c r="AC500" s="133"/>
      <c r="AD500" s="133"/>
      <c r="AE500" s="133"/>
      <c r="AF500" s="133"/>
      <c r="AG500" s="133"/>
      <c r="AH500" s="133"/>
      <c r="AI500" s="133"/>
      <c r="AJ500" s="133"/>
      <c r="AK500" s="133"/>
      <c r="AL500" s="133"/>
      <c r="AM500" s="133"/>
      <c r="AN500" s="133"/>
      <c r="AO500" s="133"/>
    </row>
    <row r="501" spans="1:41" x14ac:dyDescent="0.2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S501" s="133"/>
      <c r="T501" s="133"/>
      <c r="U501" s="133"/>
      <c r="V501" s="133"/>
      <c r="W501" s="133"/>
      <c r="X501" s="133"/>
      <c r="Y501" s="133"/>
      <c r="Z501" s="133"/>
      <c r="AA501" s="133"/>
      <c r="AB501" s="133"/>
      <c r="AC501" s="133"/>
      <c r="AD501" s="133"/>
      <c r="AE501" s="133"/>
      <c r="AF501" s="133"/>
      <c r="AG501" s="133"/>
      <c r="AH501" s="133"/>
      <c r="AI501" s="133"/>
      <c r="AJ501" s="133"/>
      <c r="AK501" s="133"/>
      <c r="AL501" s="133"/>
      <c r="AM501" s="133"/>
      <c r="AN501" s="133"/>
      <c r="AO501" s="133"/>
    </row>
    <row r="502" spans="1:41" x14ac:dyDescent="0.2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S502" s="133"/>
      <c r="T502" s="133"/>
      <c r="U502" s="133"/>
      <c r="V502" s="133"/>
      <c r="W502" s="133"/>
      <c r="X502" s="133"/>
      <c r="Y502" s="133"/>
      <c r="Z502" s="133"/>
      <c r="AA502" s="133"/>
      <c r="AB502" s="133"/>
      <c r="AC502" s="133"/>
      <c r="AD502" s="133"/>
      <c r="AE502" s="133"/>
      <c r="AF502" s="133"/>
      <c r="AG502" s="133"/>
      <c r="AH502" s="133"/>
      <c r="AI502" s="133"/>
      <c r="AJ502" s="133"/>
      <c r="AK502" s="133"/>
      <c r="AL502" s="133"/>
      <c r="AM502" s="133"/>
      <c r="AN502" s="133"/>
      <c r="AO502" s="133"/>
    </row>
    <row r="503" spans="1:41" x14ac:dyDescent="0.2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S503" s="133"/>
      <c r="T503" s="133"/>
      <c r="U503" s="133"/>
      <c r="V503" s="133"/>
      <c r="W503" s="133"/>
      <c r="X503" s="133"/>
      <c r="Y503" s="133"/>
      <c r="Z503" s="133"/>
      <c r="AA503" s="133"/>
      <c r="AB503" s="133"/>
      <c r="AC503" s="133"/>
      <c r="AD503" s="133"/>
      <c r="AE503" s="133"/>
      <c r="AF503" s="133"/>
      <c r="AG503" s="133"/>
      <c r="AH503" s="133"/>
      <c r="AI503" s="133"/>
      <c r="AJ503" s="133"/>
      <c r="AK503" s="133"/>
      <c r="AL503" s="133"/>
      <c r="AM503" s="133"/>
      <c r="AN503" s="133"/>
      <c r="AO503" s="133"/>
    </row>
    <row r="504" spans="1:41" x14ac:dyDescent="0.2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S504" s="133"/>
      <c r="T504" s="133"/>
      <c r="U504" s="133"/>
      <c r="V504" s="133"/>
      <c r="W504" s="133"/>
      <c r="X504" s="133"/>
      <c r="Y504" s="133"/>
      <c r="Z504" s="133"/>
      <c r="AA504" s="133"/>
      <c r="AB504" s="133"/>
      <c r="AC504" s="133"/>
      <c r="AD504" s="133"/>
      <c r="AE504" s="133"/>
      <c r="AF504" s="133"/>
      <c r="AG504" s="133"/>
      <c r="AH504" s="133"/>
      <c r="AI504" s="133"/>
      <c r="AJ504" s="133"/>
      <c r="AK504" s="133"/>
      <c r="AL504" s="133"/>
      <c r="AM504" s="133"/>
      <c r="AN504" s="133"/>
      <c r="AO504" s="133"/>
    </row>
    <row r="505" spans="1:41" x14ac:dyDescent="0.2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S505" s="133"/>
      <c r="T505" s="133"/>
      <c r="U505" s="133"/>
      <c r="V505" s="133"/>
      <c r="W505" s="133"/>
      <c r="X505" s="133"/>
      <c r="Y505" s="133"/>
      <c r="Z505" s="133"/>
      <c r="AA505" s="133"/>
      <c r="AB505" s="133"/>
      <c r="AC505" s="133"/>
      <c r="AD505" s="133"/>
      <c r="AE505" s="133"/>
      <c r="AF505" s="133"/>
      <c r="AG505" s="133"/>
      <c r="AH505" s="133"/>
      <c r="AI505" s="133"/>
      <c r="AJ505" s="133"/>
      <c r="AK505" s="133"/>
      <c r="AL505" s="133"/>
      <c r="AM505" s="133"/>
      <c r="AN505" s="133"/>
      <c r="AO505" s="133"/>
    </row>
    <row r="506" spans="1:41" x14ac:dyDescent="0.2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S506" s="133"/>
      <c r="T506" s="133"/>
      <c r="U506" s="133"/>
      <c r="V506" s="133"/>
      <c r="W506" s="133"/>
      <c r="X506" s="133"/>
      <c r="Y506" s="133"/>
      <c r="Z506" s="133"/>
      <c r="AA506" s="133"/>
      <c r="AB506" s="133"/>
      <c r="AC506" s="133"/>
      <c r="AD506" s="133"/>
      <c r="AE506" s="133"/>
      <c r="AF506" s="133"/>
      <c r="AG506" s="133"/>
      <c r="AH506" s="133"/>
      <c r="AI506" s="133"/>
      <c r="AJ506" s="133"/>
      <c r="AK506" s="133"/>
      <c r="AL506" s="133"/>
      <c r="AM506" s="133"/>
      <c r="AN506" s="133"/>
      <c r="AO506" s="133"/>
    </row>
    <row r="507" spans="1:41" x14ac:dyDescent="0.2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S507" s="133"/>
      <c r="T507" s="133"/>
      <c r="U507" s="133"/>
      <c r="V507" s="133"/>
      <c r="W507" s="133"/>
      <c r="X507" s="133"/>
      <c r="Y507" s="133"/>
      <c r="Z507" s="133"/>
      <c r="AA507" s="133"/>
      <c r="AB507" s="133"/>
      <c r="AC507" s="133"/>
      <c r="AD507" s="133"/>
      <c r="AE507" s="133"/>
      <c r="AF507" s="133"/>
      <c r="AG507" s="133"/>
      <c r="AH507" s="133"/>
      <c r="AI507" s="133"/>
      <c r="AJ507" s="133"/>
      <c r="AK507" s="133"/>
      <c r="AL507" s="133"/>
      <c r="AM507" s="133"/>
      <c r="AN507" s="133"/>
      <c r="AO507" s="133"/>
    </row>
    <row r="508" spans="1:41" x14ac:dyDescent="0.2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S508" s="133"/>
      <c r="T508" s="133"/>
      <c r="U508" s="133"/>
      <c r="V508" s="133"/>
      <c r="W508" s="133"/>
      <c r="X508" s="133"/>
      <c r="Y508" s="133"/>
      <c r="Z508" s="133"/>
      <c r="AA508" s="133"/>
      <c r="AB508" s="133"/>
      <c r="AC508" s="133"/>
      <c r="AD508" s="133"/>
      <c r="AE508" s="133"/>
      <c r="AF508" s="133"/>
      <c r="AG508" s="133"/>
      <c r="AH508" s="133"/>
      <c r="AI508" s="133"/>
      <c r="AJ508" s="133"/>
      <c r="AK508" s="133"/>
      <c r="AL508" s="133"/>
      <c r="AM508" s="133"/>
      <c r="AN508" s="133"/>
      <c r="AO508" s="133"/>
    </row>
    <row r="509" spans="1:41" x14ac:dyDescent="0.2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S509" s="133"/>
      <c r="T509" s="133"/>
      <c r="U509" s="133"/>
      <c r="V509" s="133"/>
      <c r="W509" s="133"/>
      <c r="X509" s="133"/>
      <c r="Y509" s="133"/>
      <c r="Z509" s="133"/>
      <c r="AA509" s="133"/>
      <c r="AB509" s="133"/>
      <c r="AC509" s="133"/>
      <c r="AD509" s="133"/>
      <c r="AE509" s="133"/>
      <c r="AF509" s="133"/>
      <c r="AG509" s="133"/>
      <c r="AH509" s="133"/>
      <c r="AI509" s="133"/>
      <c r="AJ509" s="133"/>
      <c r="AK509" s="133"/>
      <c r="AL509" s="133"/>
      <c r="AM509" s="133"/>
      <c r="AN509" s="133"/>
      <c r="AO509" s="133"/>
    </row>
    <row r="510" spans="1:41" x14ac:dyDescent="0.2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S510" s="133"/>
      <c r="T510" s="133"/>
      <c r="U510" s="133"/>
      <c r="V510" s="133"/>
      <c r="W510" s="133"/>
      <c r="X510" s="133"/>
      <c r="Y510" s="133"/>
      <c r="Z510" s="133"/>
      <c r="AA510" s="133"/>
      <c r="AB510" s="133"/>
      <c r="AC510" s="133"/>
      <c r="AD510" s="133"/>
      <c r="AE510" s="133"/>
      <c r="AF510" s="133"/>
      <c r="AG510" s="133"/>
      <c r="AH510" s="133"/>
      <c r="AI510" s="133"/>
      <c r="AJ510" s="133"/>
      <c r="AK510" s="133"/>
      <c r="AL510" s="133"/>
      <c r="AM510" s="133"/>
      <c r="AN510" s="133"/>
      <c r="AO510" s="133"/>
    </row>
    <row r="511" spans="1:41" x14ac:dyDescent="0.2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S511" s="133"/>
      <c r="T511" s="133"/>
      <c r="U511" s="133"/>
      <c r="V511" s="133"/>
      <c r="W511" s="133"/>
      <c r="X511" s="133"/>
      <c r="Y511" s="133"/>
      <c r="Z511" s="133"/>
      <c r="AA511" s="133"/>
      <c r="AB511" s="133"/>
      <c r="AC511" s="133"/>
      <c r="AD511" s="133"/>
      <c r="AE511" s="133"/>
      <c r="AF511" s="133"/>
      <c r="AG511" s="133"/>
      <c r="AH511" s="133"/>
      <c r="AI511" s="133"/>
      <c r="AJ511" s="133"/>
      <c r="AK511" s="133"/>
      <c r="AL511" s="133"/>
      <c r="AM511" s="133"/>
      <c r="AN511" s="133"/>
      <c r="AO511" s="133"/>
    </row>
    <row r="512" spans="1:41" x14ac:dyDescent="0.2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S512" s="133"/>
      <c r="T512" s="133"/>
      <c r="U512" s="133"/>
      <c r="V512" s="133"/>
      <c r="W512" s="133"/>
      <c r="X512" s="133"/>
      <c r="Y512" s="133"/>
      <c r="Z512" s="133"/>
      <c r="AA512" s="133"/>
      <c r="AB512" s="133"/>
      <c r="AC512" s="133"/>
      <c r="AD512" s="133"/>
      <c r="AE512" s="133"/>
      <c r="AF512" s="133"/>
      <c r="AG512" s="133"/>
      <c r="AH512" s="133"/>
      <c r="AI512" s="133"/>
      <c r="AJ512" s="133"/>
      <c r="AK512" s="133"/>
      <c r="AL512" s="133"/>
      <c r="AM512" s="133"/>
      <c r="AN512" s="133"/>
      <c r="AO512" s="133"/>
    </row>
    <row r="513" spans="1:41" x14ac:dyDescent="0.2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S513" s="133"/>
      <c r="T513" s="133"/>
      <c r="U513" s="133"/>
      <c r="V513" s="133"/>
      <c r="W513" s="133"/>
      <c r="X513" s="133"/>
      <c r="Y513" s="133"/>
      <c r="Z513" s="133"/>
      <c r="AA513" s="133"/>
      <c r="AB513" s="133"/>
      <c r="AC513" s="133"/>
      <c r="AD513" s="133"/>
      <c r="AE513" s="133"/>
      <c r="AF513" s="133"/>
      <c r="AG513" s="133"/>
      <c r="AH513" s="133"/>
      <c r="AI513" s="133"/>
      <c r="AJ513" s="133"/>
      <c r="AK513" s="133"/>
      <c r="AL513" s="133"/>
      <c r="AM513" s="133"/>
      <c r="AN513" s="133"/>
      <c r="AO513" s="133"/>
    </row>
    <row r="514" spans="1:41" x14ac:dyDescent="0.2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S514" s="133"/>
      <c r="T514" s="133"/>
      <c r="U514" s="133"/>
      <c r="V514" s="133"/>
      <c r="W514" s="133"/>
      <c r="X514" s="133"/>
      <c r="Y514" s="133"/>
      <c r="Z514" s="133"/>
      <c r="AA514" s="133"/>
      <c r="AB514" s="133"/>
      <c r="AC514" s="133"/>
      <c r="AD514" s="133"/>
      <c r="AE514" s="133"/>
      <c r="AF514" s="133"/>
      <c r="AG514" s="133"/>
      <c r="AH514" s="133"/>
      <c r="AI514" s="133"/>
      <c r="AJ514" s="133"/>
      <c r="AK514" s="133"/>
      <c r="AL514" s="133"/>
      <c r="AM514" s="133"/>
      <c r="AN514" s="133"/>
      <c r="AO514" s="133"/>
    </row>
    <row r="515" spans="1:41" x14ac:dyDescent="0.2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S515" s="133"/>
      <c r="T515" s="133"/>
      <c r="U515" s="133"/>
      <c r="V515" s="133"/>
      <c r="W515" s="133"/>
      <c r="X515" s="133"/>
      <c r="Y515" s="133"/>
      <c r="Z515" s="133"/>
      <c r="AA515" s="133"/>
      <c r="AB515" s="133"/>
      <c r="AC515" s="133"/>
      <c r="AD515" s="133"/>
      <c r="AE515" s="133"/>
      <c r="AF515" s="133"/>
      <c r="AG515" s="133"/>
      <c r="AH515" s="133"/>
      <c r="AI515" s="133"/>
      <c r="AJ515" s="133"/>
      <c r="AK515" s="133"/>
      <c r="AL515" s="133"/>
      <c r="AM515" s="133"/>
      <c r="AN515" s="133"/>
      <c r="AO515" s="133"/>
    </row>
    <row r="516" spans="1:41" x14ac:dyDescent="0.2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S516" s="133"/>
      <c r="T516" s="133"/>
      <c r="U516" s="133"/>
      <c r="V516" s="133"/>
      <c r="W516" s="133"/>
      <c r="X516" s="133"/>
      <c r="Y516" s="133"/>
      <c r="Z516" s="133"/>
      <c r="AA516" s="133"/>
      <c r="AB516" s="133"/>
      <c r="AC516" s="133"/>
      <c r="AD516" s="133"/>
      <c r="AE516" s="133"/>
      <c r="AF516" s="133"/>
      <c r="AG516" s="133"/>
      <c r="AH516" s="133"/>
      <c r="AI516" s="133"/>
      <c r="AJ516" s="133"/>
      <c r="AK516" s="133"/>
      <c r="AL516" s="133"/>
      <c r="AM516" s="133"/>
      <c r="AN516" s="133"/>
      <c r="AO516" s="133"/>
    </row>
    <row r="517" spans="1:41" x14ac:dyDescent="0.2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S517" s="133"/>
      <c r="T517" s="133"/>
      <c r="U517" s="133"/>
      <c r="V517" s="133"/>
      <c r="W517" s="133"/>
      <c r="X517" s="133"/>
      <c r="Y517" s="133"/>
      <c r="Z517" s="133"/>
      <c r="AA517" s="133"/>
      <c r="AB517" s="133"/>
      <c r="AC517" s="133"/>
      <c r="AD517" s="133"/>
      <c r="AE517" s="133"/>
      <c r="AF517" s="133"/>
      <c r="AG517" s="133"/>
      <c r="AH517" s="133"/>
      <c r="AI517" s="133"/>
      <c r="AJ517" s="133"/>
      <c r="AK517" s="133"/>
      <c r="AL517" s="133"/>
      <c r="AM517" s="133"/>
      <c r="AN517" s="133"/>
      <c r="AO517" s="133"/>
    </row>
    <row r="518" spans="1:41" x14ac:dyDescent="0.2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S518" s="133"/>
      <c r="T518" s="133"/>
      <c r="U518" s="133"/>
      <c r="V518" s="133"/>
      <c r="W518" s="133"/>
      <c r="X518" s="133"/>
      <c r="Y518" s="133"/>
      <c r="Z518" s="133"/>
      <c r="AA518" s="133"/>
      <c r="AB518" s="133"/>
      <c r="AC518" s="133"/>
      <c r="AD518" s="133"/>
      <c r="AE518" s="133"/>
      <c r="AF518" s="133"/>
      <c r="AG518" s="133"/>
      <c r="AH518" s="133"/>
      <c r="AI518" s="133"/>
      <c r="AJ518" s="133"/>
      <c r="AK518" s="133"/>
      <c r="AL518" s="133"/>
      <c r="AM518" s="133"/>
      <c r="AN518" s="133"/>
      <c r="AO518" s="133"/>
    </row>
    <row r="519" spans="1:41" x14ac:dyDescent="0.2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S519" s="133"/>
      <c r="T519" s="133"/>
      <c r="U519" s="133"/>
      <c r="V519" s="133"/>
      <c r="W519" s="133"/>
      <c r="X519" s="133"/>
      <c r="Y519" s="133"/>
      <c r="Z519" s="133"/>
      <c r="AA519" s="133"/>
      <c r="AB519" s="133"/>
      <c r="AC519" s="133"/>
      <c r="AD519" s="133"/>
      <c r="AE519" s="133"/>
      <c r="AF519" s="133"/>
      <c r="AG519" s="133"/>
      <c r="AH519" s="133"/>
      <c r="AI519" s="133"/>
      <c r="AJ519" s="133"/>
      <c r="AK519" s="133"/>
      <c r="AL519" s="133"/>
      <c r="AM519" s="133"/>
      <c r="AN519" s="133"/>
      <c r="AO519" s="133"/>
    </row>
    <row r="520" spans="1:41" x14ac:dyDescent="0.2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S520" s="133"/>
      <c r="T520" s="133"/>
      <c r="U520" s="133"/>
      <c r="V520" s="133"/>
      <c r="W520" s="133"/>
      <c r="X520" s="133"/>
      <c r="Y520" s="133"/>
      <c r="Z520" s="133"/>
      <c r="AA520" s="133"/>
      <c r="AB520" s="133"/>
      <c r="AC520" s="133"/>
      <c r="AD520" s="133"/>
      <c r="AE520" s="133"/>
      <c r="AF520" s="133"/>
      <c r="AG520" s="133"/>
      <c r="AH520" s="133"/>
      <c r="AI520" s="133"/>
      <c r="AJ520" s="133"/>
      <c r="AK520" s="133"/>
      <c r="AL520" s="133"/>
      <c r="AM520" s="133"/>
      <c r="AN520" s="133"/>
      <c r="AO520" s="133"/>
    </row>
    <row r="521" spans="1:41" x14ac:dyDescent="0.2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S521" s="133"/>
      <c r="T521" s="133"/>
      <c r="U521" s="133"/>
      <c r="V521" s="133"/>
      <c r="W521" s="133"/>
      <c r="X521" s="133"/>
      <c r="Y521" s="133"/>
      <c r="Z521" s="133"/>
      <c r="AA521" s="133"/>
      <c r="AB521" s="133"/>
      <c r="AC521" s="133"/>
      <c r="AD521" s="133"/>
      <c r="AE521" s="133"/>
      <c r="AF521" s="133"/>
      <c r="AG521" s="133"/>
      <c r="AH521" s="133"/>
      <c r="AI521" s="133"/>
      <c r="AJ521" s="133"/>
      <c r="AK521" s="133"/>
      <c r="AL521" s="133"/>
      <c r="AM521" s="133"/>
      <c r="AN521" s="133"/>
      <c r="AO521" s="133"/>
    </row>
    <row r="522" spans="1:41" x14ac:dyDescent="0.2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S522" s="133"/>
      <c r="T522" s="133"/>
      <c r="U522" s="133"/>
      <c r="V522" s="133"/>
      <c r="W522" s="133"/>
      <c r="X522" s="133"/>
      <c r="Y522" s="133"/>
      <c r="Z522" s="133"/>
      <c r="AA522" s="133"/>
      <c r="AB522" s="133"/>
      <c r="AC522" s="133"/>
      <c r="AD522" s="133"/>
      <c r="AE522" s="133"/>
      <c r="AF522" s="133"/>
      <c r="AG522" s="133"/>
      <c r="AH522" s="133"/>
      <c r="AI522" s="133"/>
      <c r="AJ522" s="133"/>
      <c r="AK522" s="133"/>
      <c r="AL522" s="133"/>
      <c r="AM522" s="133"/>
      <c r="AN522" s="133"/>
      <c r="AO522" s="133"/>
    </row>
    <row r="523" spans="1:41" x14ac:dyDescent="0.2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S523" s="133"/>
      <c r="T523" s="133"/>
      <c r="U523" s="133"/>
      <c r="V523" s="133"/>
      <c r="W523" s="133"/>
      <c r="X523" s="133"/>
      <c r="Y523" s="133"/>
      <c r="Z523" s="133"/>
      <c r="AA523" s="133"/>
      <c r="AB523" s="133"/>
      <c r="AC523" s="133"/>
      <c r="AD523" s="133"/>
      <c r="AE523" s="133"/>
      <c r="AF523" s="133"/>
      <c r="AG523" s="133"/>
      <c r="AH523" s="133"/>
      <c r="AI523" s="133"/>
      <c r="AJ523" s="133"/>
      <c r="AK523" s="133"/>
      <c r="AL523" s="133"/>
      <c r="AM523" s="133"/>
      <c r="AN523" s="133"/>
      <c r="AO523" s="133"/>
    </row>
    <row r="524" spans="1:41" x14ac:dyDescent="0.2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S524" s="133"/>
      <c r="T524" s="133"/>
      <c r="U524" s="133"/>
      <c r="V524" s="133"/>
      <c r="W524" s="133"/>
      <c r="X524" s="133"/>
      <c r="Y524" s="133"/>
      <c r="Z524" s="133"/>
      <c r="AA524" s="133"/>
      <c r="AB524" s="133"/>
      <c r="AC524" s="133"/>
      <c r="AD524" s="133"/>
      <c r="AE524" s="133"/>
      <c r="AF524" s="133"/>
      <c r="AG524" s="133"/>
      <c r="AH524" s="133"/>
      <c r="AI524" s="133"/>
      <c r="AJ524" s="133"/>
      <c r="AK524" s="133"/>
      <c r="AL524" s="133"/>
      <c r="AM524" s="133"/>
      <c r="AN524" s="133"/>
      <c r="AO524" s="133"/>
    </row>
    <row r="525" spans="1:41" x14ac:dyDescent="0.2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S525" s="133"/>
      <c r="T525" s="133"/>
      <c r="U525" s="133"/>
      <c r="V525" s="133"/>
      <c r="W525" s="133"/>
      <c r="X525" s="133"/>
      <c r="Y525" s="133"/>
      <c r="Z525" s="133"/>
      <c r="AA525" s="133"/>
      <c r="AB525" s="133"/>
      <c r="AC525" s="133"/>
      <c r="AD525" s="133"/>
      <c r="AE525" s="133"/>
      <c r="AF525" s="133"/>
      <c r="AG525" s="133"/>
      <c r="AH525" s="133"/>
      <c r="AI525" s="133"/>
      <c r="AJ525" s="133"/>
      <c r="AK525" s="133"/>
      <c r="AL525" s="133"/>
      <c r="AM525" s="133"/>
      <c r="AN525" s="133"/>
      <c r="AO525" s="133"/>
    </row>
    <row r="526" spans="1:41" x14ac:dyDescent="0.2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S526" s="133"/>
      <c r="T526" s="133"/>
      <c r="U526" s="133"/>
      <c r="V526" s="133"/>
      <c r="W526" s="133"/>
      <c r="X526" s="133"/>
      <c r="Y526" s="133"/>
      <c r="Z526" s="133"/>
      <c r="AA526" s="133"/>
      <c r="AB526" s="133"/>
      <c r="AC526" s="133"/>
      <c r="AD526" s="133"/>
      <c r="AE526" s="133"/>
      <c r="AF526" s="133"/>
      <c r="AG526" s="133"/>
      <c r="AH526" s="133"/>
      <c r="AI526" s="133"/>
      <c r="AJ526" s="133"/>
      <c r="AK526" s="133"/>
      <c r="AL526" s="133"/>
      <c r="AM526" s="133"/>
      <c r="AN526" s="133"/>
      <c r="AO526" s="133"/>
    </row>
    <row r="527" spans="1:41" x14ac:dyDescent="0.2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S527" s="133"/>
      <c r="T527" s="133"/>
      <c r="U527" s="133"/>
      <c r="V527" s="133"/>
      <c r="W527" s="133"/>
      <c r="X527" s="133"/>
      <c r="Y527" s="133"/>
      <c r="Z527" s="133"/>
      <c r="AA527" s="133"/>
      <c r="AB527" s="133"/>
      <c r="AC527" s="133"/>
      <c r="AD527" s="133"/>
      <c r="AE527" s="133"/>
      <c r="AF527" s="133"/>
      <c r="AG527" s="133"/>
      <c r="AH527" s="133"/>
      <c r="AI527" s="133"/>
      <c r="AJ527" s="133"/>
      <c r="AK527" s="133"/>
      <c r="AL527" s="133"/>
      <c r="AM527" s="133"/>
      <c r="AN527" s="133"/>
      <c r="AO527" s="133"/>
    </row>
    <row r="528" spans="1:41" x14ac:dyDescent="0.2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S528" s="133"/>
      <c r="T528" s="133"/>
      <c r="U528" s="133"/>
      <c r="V528" s="133"/>
      <c r="W528" s="133"/>
      <c r="X528" s="133"/>
      <c r="Y528" s="133"/>
      <c r="Z528" s="133"/>
      <c r="AA528" s="133"/>
      <c r="AB528" s="133"/>
      <c r="AC528" s="133"/>
      <c r="AD528" s="133"/>
      <c r="AE528" s="133"/>
      <c r="AF528" s="133"/>
      <c r="AG528" s="133"/>
      <c r="AH528" s="133"/>
      <c r="AI528" s="133"/>
      <c r="AJ528" s="133"/>
      <c r="AK528" s="133"/>
      <c r="AL528" s="133"/>
      <c r="AM528" s="133"/>
      <c r="AN528" s="133"/>
      <c r="AO528" s="133"/>
    </row>
    <row r="529" spans="1:41" x14ac:dyDescent="0.2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S529" s="133"/>
      <c r="T529" s="133"/>
      <c r="U529" s="133"/>
      <c r="V529" s="133"/>
      <c r="W529" s="133"/>
      <c r="X529" s="133"/>
      <c r="Y529" s="133"/>
      <c r="Z529" s="133"/>
      <c r="AA529" s="133"/>
      <c r="AB529" s="133"/>
      <c r="AC529" s="133"/>
      <c r="AD529" s="133"/>
      <c r="AE529" s="133"/>
      <c r="AF529" s="133"/>
      <c r="AG529" s="133"/>
      <c r="AH529" s="133"/>
      <c r="AI529" s="133"/>
      <c r="AJ529" s="133"/>
      <c r="AK529" s="133"/>
      <c r="AL529" s="133"/>
      <c r="AM529" s="133"/>
      <c r="AN529" s="133"/>
      <c r="AO529" s="133"/>
    </row>
    <row r="530" spans="1:41" x14ac:dyDescent="0.2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S530" s="133"/>
      <c r="T530" s="133"/>
      <c r="U530" s="133"/>
      <c r="V530" s="133"/>
      <c r="W530" s="133"/>
      <c r="X530" s="133"/>
      <c r="Y530" s="133"/>
      <c r="Z530" s="133"/>
      <c r="AA530" s="133"/>
      <c r="AB530" s="133"/>
      <c r="AC530" s="133"/>
      <c r="AD530" s="133"/>
      <c r="AE530" s="133"/>
      <c r="AF530" s="133"/>
      <c r="AG530" s="133"/>
      <c r="AH530" s="133"/>
      <c r="AI530" s="133"/>
      <c r="AJ530" s="133"/>
      <c r="AK530" s="133"/>
      <c r="AL530" s="133"/>
      <c r="AM530" s="133"/>
      <c r="AN530" s="133"/>
      <c r="AO530" s="133"/>
    </row>
    <row r="531" spans="1:41" x14ac:dyDescent="0.2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S531" s="133"/>
      <c r="T531" s="133"/>
      <c r="U531" s="133"/>
      <c r="V531" s="133"/>
      <c r="W531" s="133"/>
      <c r="X531" s="133"/>
      <c r="Y531" s="133"/>
      <c r="Z531" s="133"/>
      <c r="AA531" s="133"/>
      <c r="AB531" s="133"/>
      <c r="AC531" s="133"/>
      <c r="AD531" s="133"/>
      <c r="AE531" s="133"/>
      <c r="AF531" s="133"/>
      <c r="AG531" s="133"/>
      <c r="AH531" s="133"/>
      <c r="AI531" s="133"/>
      <c r="AJ531" s="133"/>
      <c r="AK531" s="133"/>
      <c r="AL531" s="133"/>
      <c r="AM531" s="133"/>
      <c r="AN531" s="133"/>
      <c r="AO531" s="133"/>
    </row>
    <row r="532" spans="1:41" x14ac:dyDescent="0.2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S532" s="133"/>
      <c r="T532" s="133"/>
      <c r="U532" s="133"/>
      <c r="V532" s="133"/>
      <c r="W532" s="133"/>
      <c r="X532" s="133"/>
      <c r="Y532" s="133"/>
      <c r="Z532" s="133"/>
      <c r="AA532" s="133"/>
      <c r="AB532" s="133"/>
      <c r="AC532" s="133"/>
      <c r="AD532" s="133"/>
      <c r="AE532" s="133"/>
      <c r="AF532" s="133"/>
      <c r="AG532" s="133"/>
      <c r="AH532" s="133"/>
      <c r="AI532" s="133"/>
      <c r="AJ532" s="133"/>
      <c r="AK532" s="133"/>
      <c r="AL532" s="133"/>
      <c r="AM532" s="133"/>
      <c r="AN532" s="133"/>
      <c r="AO532" s="133"/>
    </row>
    <row r="533" spans="1:41" x14ac:dyDescent="0.2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S533" s="133"/>
      <c r="T533" s="133"/>
      <c r="U533" s="133"/>
      <c r="V533" s="133"/>
      <c r="W533" s="133"/>
      <c r="X533" s="133"/>
      <c r="Y533" s="133"/>
      <c r="Z533" s="133"/>
      <c r="AA533" s="133"/>
      <c r="AB533" s="133"/>
      <c r="AC533" s="133"/>
      <c r="AD533" s="133"/>
      <c r="AE533" s="133"/>
      <c r="AF533" s="133"/>
      <c r="AG533" s="133"/>
      <c r="AH533" s="133"/>
      <c r="AI533" s="133"/>
      <c r="AJ533" s="133"/>
      <c r="AK533" s="133"/>
      <c r="AL533" s="133"/>
      <c r="AM533" s="133"/>
      <c r="AN533" s="133"/>
      <c r="AO533" s="133"/>
    </row>
    <row r="534" spans="1:41" x14ac:dyDescent="0.2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S534" s="133"/>
      <c r="T534" s="133"/>
      <c r="U534" s="133"/>
      <c r="V534" s="133"/>
      <c r="W534" s="133"/>
      <c r="X534" s="133"/>
      <c r="Y534" s="133"/>
      <c r="Z534" s="133"/>
      <c r="AA534" s="133"/>
      <c r="AB534" s="133"/>
      <c r="AC534" s="133"/>
      <c r="AD534" s="133"/>
      <c r="AE534" s="133"/>
      <c r="AF534" s="133"/>
      <c r="AG534" s="133"/>
      <c r="AH534" s="133"/>
      <c r="AI534" s="133"/>
      <c r="AJ534" s="133"/>
      <c r="AK534" s="133"/>
      <c r="AL534" s="133"/>
      <c r="AM534" s="133"/>
      <c r="AN534" s="133"/>
      <c r="AO534" s="133"/>
    </row>
    <row r="535" spans="1:41" x14ac:dyDescent="0.2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S535" s="133"/>
      <c r="T535" s="133"/>
      <c r="U535" s="133"/>
      <c r="V535" s="133"/>
      <c r="W535" s="133"/>
      <c r="X535" s="133"/>
      <c r="Y535" s="133"/>
      <c r="Z535" s="133"/>
      <c r="AA535" s="133"/>
      <c r="AB535" s="133"/>
      <c r="AC535" s="133"/>
      <c r="AD535" s="133"/>
      <c r="AE535" s="133"/>
      <c r="AF535" s="133"/>
      <c r="AG535" s="133"/>
      <c r="AH535" s="133"/>
      <c r="AI535" s="133"/>
      <c r="AJ535" s="133"/>
      <c r="AK535" s="133"/>
      <c r="AL535" s="133"/>
      <c r="AM535" s="133"/>
      <c r="AN535" s="133"/>
      <c r="AO535" s="133"/>
    </row>
    <row r="536" spans="1:41" x14ac:dyDescent="0.2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S536" s="133"/>
      <c r="T536" s="133"/>
      <c r="U536" s="133"/>
      <c r="V536" s="133"/>
      <c r="W536" s="133"/>
      <c r="X536" s="133"/>
      <c r="Y536" s="133"/>
      <c r="Z536" s="133"/>
      <c r="AA536" s="133"/>
      <c r="AB536" s="133"/>
      <c r="AC536" s="133"/>
      <c r="AD536" s="133"/>
      <c r="AE536" s="133"/>
      <c r="AF536" s="133"/>
      <c r="AG536" s="133"/>
      <c r="AH536" s="133"/>
      <c r="AI536" s="133"/>
      <c r="AJ536" s="133"/>
      <c r="AK536" s="133"/>
      <c r="AL536" s="133"/>
      <c r="AM536" s="133"/>
      <c r="AN536" s="133"/>
      <c r="AO536" s="133"/>
    </row>
    <row r="537" spans="1:41" x14ac:dyDescent="0.2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S537" s="133"/>
      <c r="T537" s="133"/>
      <c r="U537" s="133"/>
      <c r="V537" s="133"/>
      <c r="W537" s="133"/>
      <c r="X537" s="133"/>
      <c r="Y537" s="133"/>
      <c r="Z537" s="133"/>
      <c r="AA537" s="133"/>
      <c r="AB537" s="133"/>
      <c r="AC537" s="133"/>
      <c r="AD537" s="133"/>
      <c r="AE537" s="133"/>
      <c r="AF537" s="133"/>
      <c r="AG537" s="133"/>
      <c r="AH537" s="133"/>
      <c r="AI537" s="133"/>
      <c r="AJ537" s="133"/>
      <c r="AK537" s="133"/>
      <c r="AL537" s="133"/>
      <c r="AM537" s="133"/>
      <c r="AN537" s="133"/>
      <c r="AO537" s="133"/>
    </row>
    <row r="538" spans="1:41" x14ac:dyDescent="0.2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S538" s="133"/>
      <c r="T538" s="133"/>
      <c r="U538" s="133"/>
      <c r="V538" s="133"/>
      <c r="W538" s="133"/>
      <c r="X538" s="133"/>
      <c r="Y538" s="133"/>
      <c r="Z538" s="133"/>
      <c r="AA538" s="133"/>
      <c r="AB538" s="133"/>
      <c r="AC538" s="133"/>
      <c r="AD538" s="133"/>
      <c r="AE538" s="133"/>
      <c r="AF538" s="133"/>
      <c r="AG538" s="133"/>
      <c r="AH538" s="133"/>
      <c r="AI538" s="133"/>
      <c r="AJ538" s="133"/>
      <c r="AK538" s="133"/>
      <c r="AL538" s="133"/>
      <c r="AM538" s="133"/>
      <c r="AN538" s="133"/>
      <c r="AO538" s="133"/>
    </row>
    <row r="539" spans="1:41" x14ac:dyDescent="0.2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S539" s="133"/>
      <c r="T539" s="133"/>
      <c r="U539" s="133"/>
      <c r="V539" s="133"/>
      <c r="W539" s="133"/>
      <c r="X539" s="133"/>
      <c r="Y539" s="133"/>
      <c r="Z539" s="133"/>
      <c r="AA539" s="133"/>
      <c r="AB539" s="133"/>
      <c r="AC539" s="133"/>
      <c r="AD539" s="133"/>
      <c r="AE539" s="133"/>
      <c r="AF539" s="133"/>
      <c r="AG539" s="133"/>
      <c r="AH539" s="133"/>
      <c r="AI539" s="133"/>
      <c r="AJ539" s="133"/>
      <c r="AK539" s="133"/>
      <c r="AL539" s="133"/>
      <c r="AM539" s="133"/>
      <c r="AN539" s="133"/>
      <c r="AO539" s="133"/>
    </row>
    <row r="540" spans="1:41" x14ac:dyDescent="0.2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S540" s="133"/>
      <c r="T540" s="133"/>
      <c r="U540" s="133"/>
      <c r="V540" s="133"/>
      <c r="W540" s="133"/>
      <c r="X540" s="133"/>
      <c r="Y540" s="133"/>
      <c r="Z540" s="133"/>
      <c r="AA540" s="133"/>
      <c r="AB540" s="133"/>
      <c r="AC540" s="133"/>
      <c r="AD540" s="133"/>
      <c r="AE540" s="133"/>
      <c r="AF540" s="133"/>
      <c r="AG540" s="133"/>
      <c r="AH540" s="133"/>
      <c r="AI540" s="133"/>
      <c r="AJ540" s="133"/>
      <c r="AK540" s="133"/>
      <c r="AL540" s="133"/>
      <c r="AM540" s="133"/>
      <c r="AN540" s="133"/>
      <c r="AO540" s="133"/>
    </row>
    <row r="541" spans="1:41" x14ac:dyDescent="0.2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S541" s="133"/>
      <c r="T541" s="133"/>
      <c r="U541" s="133"/>
      <c r="V541" s="133"/>
      <c r="W541" s="133"/>
      <c r="X541" s="133"/>
      <c r="Y541" s="133"/>
      <c r="Z541" s="133"/>
      <c r="AA541" s="133"/>
      <c r="AB541" s="133"/>
      <c r="AC541" s="133"/>
      <c r="AD541" s="133"/>
      <c r="AE541" s="133"/>
      <c r="AF541" s="133"/>
      <c r="AG541" s="133"/>
      <c r="AH541" s="133"/>
      <c r="AI541" s="133"/>
      <c r="AJ541" s="133"/>
      <c r="AK541" s="133"/>
      <c r="AL541" s="133"/>
      <c r="AM541" s="133"/>
      <c r="AN541" s="133"/>
      <c r="AO541" s="133"/>
    </row>
    <row r="542" spans="1:41" x14ac:dyDescent="0.2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S542" s="133"/>
      <c r="T542" s="133"/>
      <c r="U542" s="133"/>
      <c r="V542" s="133"/>
      <c r="W542" s="133"/>
      <c r="X542" s="133"/>
      <c r="Y542" s="133"/>
      <c r="Z542" s="133"/>
      <c r="AA542" s="133"/>
      <c r="AB542" s="133"/>
      <c r="AC542" s="133"/>
      <c r="AD542" s="133"/>
      <c r="AE542" s="133"/>
      <c r="AF542" s="133"/>
      <c r="AG542" s="133"/>
      <c r="AH542" s="133"/>
      <c r="AI542" s="133"/>
      <c r="AJ542" s="133"/>
      <c r="AK542" s="133"/>
      <c r="AL542" s="133"/>
      <c r="AM542" s="133"/>
      <c r="AN542" s="133"/>
      <c r="AO542" s="133"/>
    </row>
    <row r="543" spans="1:41" x14ac:dyDescent="0.2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S543" s="133"/>
      <c r="T543" s="133"/>
      <c r="U543" s="133"/>
      <c r="V543" s="133"/>
      <c r="W543" s="133"/>
      <c r="X543" s="133"/>
      <c r="Y543" s="133"/>
      <c r="Z543" s="133"/>
      <c r="AA543" s="133"/>
      <c r="AB543" s="133"/>
      <c r="AC543" s="133"/>
      <c r="AD543" s="133"/>
      <c r="AE543" s="133"/>
      <c r="AF543" s="133"/>
      <c r="AG543" s="133"/>
      <c r="AH543" s="133"/>
      <c r="AI543" s="133"/>
      <c r="AJ543" s="133"/>
      <c r="AK543" s="133"/>
      <c r="AL543" s="133"/>
      <c r="AM543" s="133"/>
      <c r="AN543" s="133"/>
      <c r="AO543" s="133"/>
    </row>
    <row r="544" spans="1:41" x14ac:dyDescent="0.2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S544" s="133"/>
      <c r="T544" s="133"/>
      <c r="U544" s="133"/>
      <c r="V544" s="133"/>
      <c r="W544" s="133"/>
      <c r="X544" s="133"/>
      <c r="Y544" s="133"/>
      <c r="Z544" s="133"/>
      <c r="AA544" s="133"/>
      <c r="AB544" s="133"/>
      <c r="AC544" s="133"/>
      <c r="AD544" s="133"/>
      <c r="AE544" s="133"/>
      <c r="AF544" s="133"/>
      <c r="AG544" s="133"/>
      <c r="AH544" s="133"/>
      <c r="AI544" s="133"/>
      <c r="AJ544" s="133"/>
      <c r="AK544" s="133"/>
      <c r="AL544" s="133"/>
      <c r="AM544" s="133"/>
      <c r="AN544" s="133"/>
      <c r="AO544" s="133"/>
    </row>
    <row r="545" spans="1:41" x14ac:dyDescent="0.2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S545" s="133"/>
      <c r="T545" s="133"/>
      <c r="U545" s="133"/>
      <c r="V545" s="133"/>
      <c r="W545" s="133"/>
      <c r="X545" s="133"/>
      <c r="Y545" s="133"/>
      <c r="Z545" s="133"/>
      <c r="AA545" s="133"/>
      <c r="AB545" s="133"/>
      <c r="AC545" s="133"/>
      <c r="AD545" s="133"/>
      <c r="AE545" s="133"/>
      <c r="AF545" s="133"/>
      <c r="AG545" s="133"/>
      <c r="AH545" s="133"/>
      <c r="AI545" s="133"/>
      <c r="AJ545" s="133"/>
      <c r="AK545" s="133"/>
      <c r="AL545" s="133"/>
      <c r="AM545" s="133"/>
      <c r="AN545" s="133"/>
      <c r="AO545" s="133"/>
    </row>
    <row r="546" spans="1:41" x14ac:dyDescent="0.2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S546" s="133"/>
      <c r="T546" s="133"/>
      <c r="U546" s="133"/>
      <c r="V546" s="133"/>
      <c r="W546" s="133"/>
      <c r="X546" s="133"/>
      <c r="Y546" s="133"/>
      <c r="Z546" s="133"/>
      <c r="AA546" s="133"/>
      <c r="AB546" s="133"/>
      <c r="AC546" s="133"/>
      <c r="AD546" s="133"/>
      <c r="AE546" s="133"/>
      <c r="AF546" s="133"/>
      <c r="AG546" s="133"/>
      <c r="AH546" s="133"/>
      <c r="AI546" s="133"/>
      <c r="AJ546" s="133"/>
      <c r="AK546" s="133"/>
      <c r="AL546" s="133"/>
      <c r="AM546" s="133"/>
      <c r="AN546" s="133"/>
      <c r="AO546" s="133"/>
    </row>
    <row r="547" spans="1:41" x14ac:dyDescent="0.2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S547" s="133"/>
      <c r="T547" s="133"/>
      <c r="U547" s="133"/>
      <c r="V547" s="133"/>
      <c r="W547" s="133"/>
      <c r="X547" s="133"/>
      <c r="Y547" s="133"/>
      <c r="Z547" s="133"/>
      <c r="AA547" s="133"/>
      <c r="AB547" s="133"/>
      <c r="AC547" s="133"/>
      <c r="AD547" s="133"/>
      <c r="AE547" s="133"/>
      <c r="AF547" s="133"/>
      <c r="AG547" s="133"/>
      <c r="AH547" s="133"/>
      <c r="AI547" s="133"/>
      <c r="AJ547" s="133"/>
      <c r="AK547" s="133"/>
      <c r="AL547" s="133"/>
      <c r="AM547" s="133"/>
      <c r="AN547" s="133"/>
      <c r="AO547" s="133"/>
    </row>
    <row r="548" spans="1:41" x14ac:dyDescent="0.2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S548" s="133"/>
      <c r="T548" s="133"/>
      <c r="U548" s="133"/>
      <c r="V548" s="133"/>
      <c r="W548" s="133"/>
      <c r="X548" s="133"/>
      <c r="Y548" s="133"/>
      <c r="Z548" s="133"/>
      <c r="AA548" s="133"/>
      <c r="AB548" s="133"/>
      <c r="AC548" s="133"/>
      <c r="AD548" s="133"/>
      <c r="AE548" s="133"/>
      <c r="AF548" s="133"/>
      <c r="AG548" s="133"/>
      <c r="AH548" s="133"/>
      <c r="AI548" s="133"/>
      <c r="AJ548" s="133"/>
      <c r="AK548" s="133"/>
      <c r="AL548" s="133"/>
      <c r="AM548" s="133"/>
      <c r="AN548" s="133"/>
      <c r="AO548" s="133"/>
    </row>
    <row r="549" spans="1:41" x14ac:dyDescent="0.2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S549" s="133"/>
      <c r="T549" s="133"/>
      <c r="U549" s="133"/>
      <c r="V549" s="133"/>
      <c r="W549" s="133"/>
      <c r="X549" s="133"/>
      <c r="Y549" s="133"/>
      <c r="Z549" s="133"/>
      <c r="AA549" s="133"/>
      <c r="AB549" s="133"/>
      <c r="AC549" s="133"/>
      <c r="AD549" s="133"/>
      <c r="AE549" s="133"/>
      <c r="AF549" s="133"/>
      <c r="AG549" s="133"/>
      <c r="AH549" s="133"/>
      <c r="AI549" s="133"/>
      <c r="AJ549" s="133"/>
      <c r="AK549" s="133"/>
      <c r="AL549" s="133"/>
      <c r="AM549" s="133"/>
      <c r="AN549" s="133"/>
      <c r="AO549" s="133"/>
    </row>
    <row r="550" spans="1:41" x14ac:dyDescent="0.2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S550" s="133"/>
      <c r="T550" s="133"/>
      <c r="U550" s="133"/>
      <c r="V550" s="133"/>
      <c r="W550" s="133"/>
      <c r="X550" s="133"/>
      <c r="Y550" s="133"/>
      <c r="Z550" s="133"/>
      <c r="AA550" s="133"/>
      <c r="AB550" s="133"/>
      <c r="AC550" s="133"/>
      <c r="AD550" s="133"/>
      <c r="AE550" s="133"/>
      <c r="AF550" s="133"/>
      <c r="AG550" s="133"/>
      <c r="AH550" s="133"/>
      <c r="AI550" s="133"/>
      <c r="AJ550" s="133"/>
      <c r="AK550" s="133"/>
      <c r="AL550" s="133"/>
      <c r="AM550" s="133"/>
      <c r="AN550" s="133"/>
      <c r="AO550" s="133"/>
    </row>
    <row r="551" spans="1:41" x14ac:dyDescent="0.2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S551" s="133"/>
      <c r="T551" s="133"/>
      <c r="U551" s="133"/>
      <c r="V551" s="133"/>
      <c r="W551" s="133"/>
      <c r="X551" s="133"/>
      <c r="Y551" s="133"/>
      <c r="Z551" s="133"/>
      <c r="AA551" s="133"/>
      <c r="AB551" s="133"/>
      <c r="AC551" s="133"/>
      <c r="AD551" s="133"/>
      <c r="AE551" s="133"/>
      <c r="AF551" s="133"/>
      <c r="AG551" s="133"/>
      <c r="AH551" s="133"/>
      <c r="AI551" s="133"/>
      <c r="AJ551" s="133"/>
      <c r="AK551" s="133"/>
      <c r="AL551" s="133"/>
      <c r="AM551" s="133"/>
      <c r="AN551" s="133"/>
      <c r="AO551" s="133"/>
    </row>
    <row r="552" spans="1:41" x14ac:dyDescent="0.2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S552" s="133"/>
      <c r="T552" s="133"/>
      <c r="U552" s="133"/>
      <c r="V552" s="133"/>
      <c r="W552" s="133"/>
      <c r="X552" s="133"/>
      <c r="Y552" s="133"/>
      <c r="Z552" s="133"/>
      <c r="AA552" s="133"/>
      <c r="AB552" s="133"/>
      <c r="AC552" s="133"/>
      <c r="AD552" s="133"/>
      <c r="AE552" s="133"/>
      <c r="AF552" s="133"/>
      <c r="AG552" s="133"/>
      <c r="AH552" s="133"/>
      <c r="AI552" s="133"/>
      <c r="AJ552" s="133"/>
      <c r="AK552" s="133"/>
      <c r="AL552" s="133"/>
      <c r="AM552" s="133"/>
      <c r="AN552" s="133"/>
      <c r="AO552" s="133"/>
    </row>
    <row r="553" spans="1:41" x14ac:dyDescent="0.2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S553" s="133"/>
      <c r="T553" s="133"/>
      <c r="U553" s="133"/>
      <c r="V553" s="133"/>
      <c r="W553" s="133"/>
      <c r="X553" s="133"/>
      <c r="Y553" s="133"/>
      <c r="Z553" s="133"/>
      <c r="AA553" s="133"/>
      <c r="AB553" s="133"/>
      <c r="AC553" s="133"/>
      <c r="AD553" s="133"/>
      <c r="AE553" s="133"/>
      <c r="AF553" s="133"/>
      <c r="AG553" s="133"/>
      <c r="AH553" s="133"/>
      <c r="AI553" s="133"/>
      <c r="AJ553" s="133"/>
      <c r="AK553" s="133"/>
      <c r="AL553" s="133"/>
      <c r="AM553" s="133"/>
      <c r="AN553" s="133"/>
      <c r="AO553" s="133"/>
    </row>
    <row r="554" spans="1:41" x14ac:dyDescent="0.2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S554" s="133"/>
      <c r="T554" s="133"/>
      <c r="U554" s="133"/>
      <c r="V554" s="133"/>
      <c r="W554" s="133"/>
      <c r="X554" s="133"/>
      <c r="Y554" s="133"/>
      <c r="Z554" s="133"/>
      <c r="AA554" s="133"/>
      <c r="AB554" s="133"/>
      <c r="AC554" s="133"/>
      <c r="AD554" s="133"/>
      <c r="AE554" s="133"/>
      <c r="AF554" s="133"/>
      <c r="AG554" s="133"/>
      <c r="AH554" s="133"/>
      <c r="AI554" s="133"/>
      <c r="AJ554" s="133"/>
      <c r="AK554" s="133"/>
      <c r="AL554" s="133"/>
      <c r="AM554" s="133"/>
      <c r="AN554" s="133"/>
      <c r="AO554" s="133"/>
    </row>
    <row r="555" spans="1:41" x14ac:dyDescent="0.2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S555" s="133"/>
      <c r="T555" s="133"/>
      <c r="U555" s="133"/>
      <c r="V555" s="133"/>
      <c r="W555" s="133"/>
      <c r="X555" s="133"/>
      <c r="Y555" s="133"/>
      <c r="Z555" s="133"/>
      <c r="AA555" s="133"/>
      <c r="AB555" s="133"/>
      <c r="AC555" s="133"/>
      <c r="AD555" s="133"/>
      <c r="AE555" s="133"/>
      <c r="AF555" s="133"/>
      <c r="AG555" s="133"/>
      <c r="AH555" s="133"/>
      <c r="AI555" s="133"/>
      <c r="AJ555" s="133"/>
      <c r="AK555" s="133"/>
      <c r="AL555" s="133"/>
      <c r="AM555" s="133"/>
      <c r="AN555" s="133"/>
      <c r="AO555" s="133"/>
    </row>
    <row r="556" spans="1:41" x14ac:dyDescent="0.2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S556" s="133"/>
      <c r="T556" s="133"/>
      <c r="U556" s="133"/>
      <c r="V556" s="133"/>
      <c r="W556" s="133"/>
      <c r="X556" s="133"/>
      <c r="Y556" s="133"/>
      <c r="Z556" s="133"/>
      <c r="AA556" s="133"/>
      <c r="AB556" s="133"/>
      <c r="AC556" s="133"/>
      <c r="AD556" s="133"/>
      <c r="AE556" s="133"/>
      <c r="AF556" s="133"/>
      <c r="AG556" s="133"/>
      <c r="AH556" s="133"/>
      <c r="AI556" s="133"/>
      <c r="AJ556" s="133"/>
      <c r="AK556" s="133"/>
      <c r="AL556" s="133"/>
      <c r="AM556" s="133"/>
      <c r="AN556" s="133"/>
      <c r="AO556" s="133"/>
    </row>
    <row r="557" spans="1:41" x14ac:dyDescent="0.2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S557" s="133"/>
      <c r="T557" s="133"/>
      <c r="U557" s="133"/>
      <c r="V557" s="133"/>
      <c r="W557" s="133"/>
      <c r="X557" s="133"/>
      <c r="Y557" s="133"/>
      <c r="Z557" s="133"/>
      <c r="AA557" s="133"/>
      <c r="AB557" s="133"/>
      <c r="AC557" s="133"/>
      <c r="AD557" s="133"/>
      <c r="AE557" s="133"/>
      <c r="AF557" s="133"/>
      <c r="AG557" s="133"/>
      <c r="AH557" s="133"/>
      <c r="AI557" s="133"/>
      <c r="AJ557" s="133"/>
      <c r="AK557" s="133"/>
      <c r="AL557" s="133"/>
      <c r="AM557" s="133"/>
      <c r="AN557" s="133"/>
      <c r="AO557" s="133"/>
    </row>
    <row r="558" spans="1:41" x14ac:dyDescent="0.2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S558" s="133"/>
      <c r="T558" s="133"/>
      <c r="U558" s="133"/>
      <c r="V558" s="133"/>
      <c r="W558" s="133"/>
      <c r="X558" s="133"/>
      <c r="Y558" s="133"/>
      <c r="Z558" s="133"/>
      <c r="AA558" s="133"/>
      <c r="AB558" s="133"/>
      <c r="AC558" s="133"/>
      <c r="AD558" s="133"/>
      <c r="AE558" s="133"/>
      <c r="AF558" s="133"/>
      <c r="AG558" s="133"/>
      <c r="AH558" s="133"/>
      <c r="AI558" s="133"/>
      <c r="AJ558" s="133"/>
      <c r="AK558" s="133"/>
      <c r="AL558" s="133"/>
      <c r="AM558" s="133"/>
      <c r="AN558" s="133"/>
      <c r="AO558" s="133"/>
    </row>
    <row r="559" spans="1:41" x14ac:dyDescent="0.2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S559" s="133"/>
      <c r="T559" s="133"/>
      <c r="U559" s="133"/>
      <c r="V559" s="133"/>
      <c r="W559" s="133"/>
      <c r="X559" s="133"/>
      <c r="Y559" s="133"/>
      <c r="Z559" s="133"/>
      <c r="AA559" s="133"/>
      <c r="AB559" s="133"/>
      <c r="AC559" s="133"/>
      <c r="AD559" s="133"/>
      <c r="AE559" s="133"/>
      <c r="AF559" s="133"/>
      <c r="AG559" s="133"/>
      <c r="AH559" s="133"/>
      <c r="AI559" s="133"/>
      <c r="AJ559" s="133"/>
      <c r="AK559" s="133"/>
      <c r="AL559" s="133"/>
      <c r="AM559" s="133"/>
      <c r="AN559" s="133"/>
      <c r="AO559" s="133"/>
    </row>
    <row r="560" spans="1:41" x14ac:dyDescent="0.2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S560" s="133"/>
      <c r="T560" s="133"/>
      <c r="U560" s="133"/>
      <c r="V560" s="133"/>
      <c r="W560" s="133"/>
      <c r="X560" s="133"/>
      <c r="Y560" s="133"/>
      <c r="Z560" s="133"/>
      <c r="AA560" s="133"/>
      <c r="AB560" s="133"/>
      <c r="AC560" s="133"/>
      <c r="AD560" s="133"/>
      <c r="AE560" s="133"/>
      <c r="AF560" s="133"/>
      <c r="AG560" s="133"/>
      <c r="AH560" s="133"/>
      <c r="AI560" s="133"/>
      <c r="AJ560" s="133"/>
      <c r="AK560" s="133"/>
      <c r="AL560" s="133"/>
      <c r="AM560" s="133"/>
      <c r="AN560" s="133"/>
      <c r="AO560" s="133"/>
    </row>
    <row r="561" spans="1:41" x14ac:dyDescent="0.2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S561" s="133"/>
      <c r="T561" s="133"/>
      <c r="U561" s="133"/>
      <c r="V561" s="133"/>
      <c r="W561" s="133"/>
      <c r="X561" s="133"/>
      <c r="Y561" s="133"/>
      <c r="Z561" s="133"/>
      <c r="AA561" s="133"/>
      <c r="AB561" s="133"/>
      <c r="AC561" s="133"/>
      <c r="AD561" s="133"/>
      <c r="AE561" s="133"/>
      <c r="AF561" s="133"/>
      <c r="AG561" s="133"/>
      <c r="AH561" s="133"/>
      <c r="AI561" s="133"/>
      <c r="AJ561" s="133"/>
      <c r="AK561" s="133"/>
      <c r="AL561" s="133"/>
      <c r="AM561" s="133"/>
      <c r="AN561" s="133"/>
      <c r="AO561" s="133"/>
    </row>
    <row r="562" spans="1:41" x14ac:dyDescent="0.2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S562" s="133"/>
      <c r="T562" s="133"/>
      <c r="U562" s="133"/>
      <c r="V562" s="133"/>
      <c r="W562" s="133"/>
      <c r="X562" s="133"/>
      <c r="Y562" s="133"/>
      <c r="Z562" s="133"/>
      <c r="AA562" s="133"/>
      <c r="AB562" s="133"/>
      <c r="AC562" s="133"/>
      <c r="AD562" s="133"/>
      <c r="AE562" s="133"/>
      <c r="AF562" s="133"/>
      <c r="AG562" s="133"/>
      <c r="AH562" s="133"/>
      <c r="AI562" s="133"/>
      <c r="AJ562" s="133"/>
      <c r="AK562" s="133"/>
      <c r="AL562" s="133"/>
      <c r="AM562" s="133"/>
      <c r="AN562" s="133"/>
      <c r="AO562" s="133"/>
    </row>
    <row r="563" spans="1:41" x14ac:dyDescent="0.2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S563" s="133"/>
      <c r="T563" s="133"/>
      <c r="U563" s="133"/>
      <c r="V563" s="133"/>
      <c r="W563" s="133"/>
      <c r="X563" s="133"/>
      <c r="Y563" s="133"/>
      <c r="Z563" s="133"/>
      <c r="AA563" s="133"/>
      <c r="AB563" s="133"/>
      <c r="AC563" s="133"/>
      <c r="AD563" s="133"/>
      <c r="AE563" s="133"/>
      <c r="AF563" s="133"/>
      <c r="AG563" s="133"/>
      <c r="AH563" s="133"/>
      <c r="AI563" s="133"/>
      <c r="AJ563" s="133"/>
      <c r="AK563" s="133"/>
      <c r="AL563" s="133"/>
      <c r="AM563" s="133"/>
      <c r="AN563" s="133"/>
      <c r="AO563" s="133"/>
    </row>
    <row r="564" spans="1:41" x14ac:dyDescent="0.2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S564" s="133"/>
      <c r="T564" s="133"/>
      <c r="U564" s="133"/>
      <c r="V564" s="133"/>
      <c r="W564" s="133"/>
      <c r="X564" s="133"/>
      <c r="Y564" s="133"/>
      <c r="Z564" s="133"/>
      <c r="AA564" s="133"/>
      <c r="AB564" s="133"/>
      <c r="AC564" s="133"/>
      <c r="AD564" s="133"/>
      <c r="AE564" s="133"/>
      <c r="AF564" s="133"/>
      <c r="AG564" s="133"/>
      <c r="AH564" s="133"/>
      <c r="AI564" s="133"/>
      <c r="AJ564" s="133"/>
      <c r="AK564" s="133"/>
      <c r="AL564" s="133"/>
      <c r="AM564" s="133"/>
      <c r="AN564" s="133"/>
      <c r="AO564" s="133"/>
    </row>
    <row r="565" spans="1:41" x14ac:dyDescent="0.2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S565" s="133"/>
      <c r="T565" s="133"/>
      <c r="U565" s="133"/>
      <c r="V565" s="133"/>
      <c r="W565" s="133"/>
      <c r="X565" s="133"/>
      <c r="Y565" s="133"/>
      <c r="Z565" s="133"/>
      <c r="AA565" s="133"/>
      <c r="AB565" s="133"/>
      <c r="AC565" s="133"/>
      <c r="AD565" s="133"/>
      <c r="AE565" s="133"/>
      <c r="AF565" s="133"/>
      <c r="AG565" s="133"/>
      <c r="AH565" s="133"/>
      <c r="AI565" s="133"/>
      <c r="AJ565" s="133"/>
      <c r="AK565" s="133"/>
      <c r="AL565" s="133"/>
      <c r="AM565" s="133"/>
      <c r="AN565" s="133"/>
      <c r="AO565" s="133"/>
    </row>
    <row r="566" spans="1:41" x14ac:dyDescent="0.2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S566" s="133"/>
      <c r="T566" s="133"/>
      <c r="U566" s="133"/>
      <c r="V566" s="133"/>
      <c r="W566" s="133"/>
      <c r="X566" s="133"/>
      <c r="Y566" s="133"/>
      <c r="Z566" s="133"/>
      <c r="AA566" s="133"/>
      <c r="AB566" s="133"/>
      <c r="AC566" s="133"/>
      <c r="AD566" s="133"/>
      <c r="AE566" s="133"/>
      <c r="AF566" s="133"/>
      <c r="AG566" s="133"/>
      <c r="AH566" s="133"/>
      <c r="AI566" s="133"/>
      <c r="AJ566" s="133"/>
      <c r="AK566" s="133"/>
      <c r="AL566" s="133"/>
      <c r="AM566" s="133"/>
      <c r="AN566" s="133"/>
      <c r="AO566" s="133"/>
    </row>
    <row r="567" spans="1:41" x14ac:dyDescent="0.2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S567" s="133"/>
      <c r="T567" s="133"/>
      <c r="U567" s="133"/>
      <c r="V567" s="133"/>
      <c r="W567" s="133"/>
      <c r="X567" s="133"/>
      <c r="Y567" s="133"/>
      <c r="Z567" s="133"/>
      <c r="AA567" s="133"/>
      <c r="AB567" s="133"/>
      <c r="AC567" s="133"/>
      <c r="AD567" s="133"/>
      <c r="AE567" s="133"/>
      <c r="AF567" s="133"/>
      <c r="AG567" s="133"/>
      <c r="AH567" s="133"/>
      <c r="AI567" s="133"/>
      <c r="AJ567" s="133"/>
      <c r="AK567" s="133"/>
      <c r="AL567" s="133"/>
      <c r="AM567" s="133"/>
      <c r="AN567" s="133"/>
      <c r="AO567" s="133"/>
    </row>
    <row r="568" spans="1:41" x14ac:dyDescent="0.2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S568" s="133"/>
      <c r="T568" s="133"/>
      <c r="U568" s="133"/>
      <c r="V568" s="133"/>
      <c r="W568" s="133"/>
      <c r="X568" s="133"/>
      <c r="Y568" s="133"/>
      <c r="Z568" s="133"/>
      <c r="AA568" s="133"/>
      <c r="AB568" s="133"/>
      <c r="AC568" s="133"/>
      <c r="AD568" s="133"/>
      <c r="AE568" s="133"/>
      <c r="AF568" s="133"/>
      <c r="AG568" s="133"/>
      <c r="AH568" s="133"/>
      <c r="AI568" s="133"/>
      <c r="AJ568" s="133"/>
      <c r="AK568" s="133"/>
      <c r="AL568" s="133"/>
      <c r="AM568" s="133"/>
      <c r="AN568" s="133"/>
      <c r="AO568" s="133"/>
    </row>
    <row r="569" spans="1:41" x14ac:dyDescent="0.2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S569" s="133"/>
      <c r="T569" s="133"/>
      <c r="U569" s="133"/>
      <c r="V569" s="133"/>
      <c r="W569" s="133"/>
      <c r="X569" s="133"/>
      <c r="Y569" s="133"/>
      <c r="Z569" s="133"/>
      <c r="AA569" s="133"/>
      <c r="AB569" s="133"/>
      <c r="AC569" s="133"/>
      <c r="AD569" s="133"/>
      <c r="AE569" s="133"/>
      <c r="AF569" s="133"/>
      <c r="AG569" s="133"/>
      <c r="AH569" s="133"/>
      <c r="AI569" s="133"/>
      <c r="AJ569" s="133"/>
      <c r="AK569" s="133"/>
      <c r="AL569" s="133"/>
      <c r="AM569" s="133"/>
      <c r="AN569" s="133"/>
      <c r="AO569" s="133"/>
    </row>
    <row r="570" spans="1:41" x14ac:dyDescent="0.2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S570" s="133"/>
      <c r="T570" s="133"/>
      <c r="U570" s="133"/>
      <c r="V570" s="133"/>
      <c r="W570" s="133"/>
      <c r="X570" s="133"/>
      <c r="Y570" s="133"/>
      <c r="Z570" s="133"/>
      <c r="AA570" s="133"/>
      <c r="AB570" s="133"/>
      <c r="AC570" s="133"/>
      <c r="AD570" s="133"/>
      <c r="AE570" s="133"/>
      <c r="AF570" s="133"/>
      <c r="AG570" s="133"/>
      <c r="AH570" s="133"/>
      <c r="AI570" s="133"/>
      <c r="AJ570" s="133"/>
      <c r="AK570" s="133"/>
      <c r="AL570" s="133"/>
      <c r="AM570" s="133"/>
      <c r="AN570" s="133"/>
      <c r="AO570" s="133"/>
    </row>
    <row r="571" spans="1:41" x14ac:dyDescent="0.2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S571" s="133"/>
      <c r="T571" s="133"/>
      <c r="U571" s="133"/>
      <c r="V571" s="133"/>
      <c r="W571" s="133"/>
      <c r="X571" s="133"/>
      <c r="Y571" s="133"/>
      <c r="Z571" s="133"/>
      <c r="AA571" s="133"/>
      <c r="AB571" s="133"/>
      <c r="AC571" s="133"/>
      <c r="AD571" s="133"/>
      <c r="AE571" s="133"/>
      <c r="AF571" s="133"/>
      <c r="AG571" s="133"/>
      <c r="AH571" s="133"/>
      <c r="AI571" s="133"/>
      <c r="AJ571" s="133"/>
      <c r="AK571" s="133"/>
      <c r="AL571" s="133"/>
      <c r="AM571" s="133"/>
      <c r="AN571" s="133"/>
      <c r="AO571" s="133"/>
    </row>
    <row r="572" spans="1:41" x14ac:dyDescent="0.2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S572" s="133"/>
      <c r="T572" s="133"/>
      <c r="U572" s="133"/>
      <c r="V572" s="133"/>
      <c r="W572" s="133"/>
      <c r="X572" s="133"/>
      <c r="Y572" s="133"/>
      <c r="Z572" s="133"/>
      <c r="AA572" s="133"/>
      <c r="AB572" s="133"/>
      <c r="AC572" s="133"/>
      <c r="AD572" s="133"/>
      <c r="AE572" s="133"/>
      <c r="AF572" s="133"/>
      <c r="AG572" s="133"/>
      <c r="AH572" s="133"/>
      <c r="AI572" s="133"/>
      <c r="AJ572" s="133"/>
      <c r="AK572" s="133"/>
      <c r="AL572" s="133"/>
      <c r="AM572" s="133"/>
      <c r="AN572" s="133"/>
      <c r="AO572" s="133"/>
    </row>
    <row r="573" spans="1:41" x14ac:dyDescent="0.2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S573" s="133"/>
      <c r="T573" s="133"/>
      <c r="U573" s="133"/>
      <c r="V573" s="133"/>
      <c r="W573" s="133"/>
      <c r="X573" s="133"/>
      <c r="Y573" s="133"/>
      <c r="Z573" s="133"/>
      <c r="AA573" s="133"/>
      <c r="AB573" s="133"/>
      <c r="AC573" s="133"/>
      <c r="AD573" s="133"/>
      <c r="AE573" s="133"/>
      <c r="AF573" s="133"/>
      <c r="AG573" s="133"/>
      <c r="AH573" s="133"/>
      <c r="AI573" s="133"/>
      <c r="AJ573" s="133"/>
      <c r="AK573" s="133"/>
      <c r="AL573" s="133"/>
      <c r="AM573" s="133"/>
      <c r="AN573" s="133"/>
      <c r="AO573" s="133"/>
    </row>
    <row r="574" spans="1:41" x14ac:dyDescent="0.2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S574" s="133"/>
      <c r="T574" s="133"/>
      <c r="U574" s="133"/>
      <c r="V574" s="133"/>
      <c r="W574" s="133"/>
      <c r="X574" s="133"/>
      <c r="Y574" s="133"/>
      <c r="Z574" s="133"/>
      <c r="AA574" s="133"/>
      <c r="AB574" s="133"/>
      <c r="AC574" s="133"/>
      <c r="AD574" s="133"/>
      <c r="AE574" s="133"/>
      <c r="AF574" s="133"/>
      <c r="AG574" s="133"/>
      <c r="AH574" s="133"/>
      <c r="AI574" s="133"/>
      <c r="AJ574" s="133"/>
      <c r="AK574" s="133"/>
      <c r="AL574" s="133"/>
      <c r="AM574" s="133"/>
      <c r="AN574" s="133"/>
      <c r="AO574" s="133"/>
    </row>
  </sheetData>
  <mergeCells count="7">
    <mergeCell ref="AB66:AE66"/>
    <mergeCell ref="L126:M126"/>
    <mergeCell ref="S127:U127"/>
    <mergeCell ref="L177:M177"/>
    <mergeCell ref="L66:M66"/>
    <mergeCell ref="O66:Q66"/>
    <mergeCell ref="S66:T66"/>
  </mergeCells>
  <conditionalFormatting sqref="S68:T120">
    <cfRule type="expression" dxfId="3" priority="2">
      <formula>ABS(S68)&gt;=10%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AF95"/>
  <sheetViews>
    <sheetView showGridLines="0" tabSelected="1" topLeftCell="B60" zoomScale="168" zoomScaleNormal="168" zoomScaleSheetLayoutView="65" workbookViewId="0">
      <selection activeCell="I72" sqref="I72"/>
    </sheetView>
  </sheetViews>
  <sheetFormatPr baseColWidth="10" defaultColWidth="10.5" defaultRowHeight="15" x14ac:dyDescent="0.2"/>
  <cols>
    <col min="2" max="2" width="3.83203125" customWidth="1"/>
    <col min="6" max="6" width="12.5" customWidth="1"/>
    <col min="8" max="8" width="12.5" customWidth="1"/>
    <col min="9" max="9" width="13" customWidth="1"/>
    <col min="11" max="12" width="13" customWidth="1"/>
    <col min="13" max="13" width="13.5" customWidth="1"/>
    <col min="18" max="18" width="12" customWidth="1"/>
    <col min="20" max="20" width="25.5" customWidth="1"/>
    <col min="22" max="22" width="25.5" customWidth="1"/>
    <col min="23" max="23" width="13.83203125" customWidth="1"/>
    <col min="24" max="24" width="16.83203125" customWidth="1"/>
    <col min="25" max="25" width="25.6640625" customWidth="1"/>
    <col min="27" max="27" width="18.6640625" customWidth="1"/>
    <col min="28" max="28" width="19.5" customWidth="1"/>
    <col min="30" max="30" width="14.6640625" customWidth="1"/>
    <col min="32" max="32" width="14.83203125" customWidth="1"/>
  </cols>
  <sheetData>
    <row r="2" spans="9:25" x14ac:dyDescent="0.2">
      <c r="I2" s="11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3"/>
    </row>
    <row r="3" spans="9:25" x14ac:dyDescent="0.2">
      <c r="I3" s="14"/>
      <c r="Y3" s="15"/>
    </row>
    <row r="4" spans="9:25" x14ac:dyDescent="0.2">
      <c r="I4" s="14"/>
      <c r="Y4" s="15"/>
    </row>
    <row r="5" spans="9:25" x14ac:dyDescent="0.2">
      <c r="I5" s="14"/>
      <c r="R5" s="16">
        <f>Flujos!H43</f>
        <v>987340</v>
      </c>
      <c r="Y5" s="15"/>
    </row>
    <row r="6" spans="9:25" x14ac:dyDescent="0.2">
      <c r="I6" s="14"/>
      <c r="R6" s="17">
        <f>Flujos!I43</f>
        <v>0.14511200000000002</v>
      </c>
      <c r="Y6" s="15"/>
    </row>
    <row r="7" spans="9:25" x14ac:dyDescent="0.2">
      <c r="I7" s="14"/>
      <c r="O7" t="s">
        <v>71</v>
      </c>
      <c r="R7" s="18">
        <f>R5*R6</f>
        <v>143274.88208000001</v>
      </c>
      <c r="Y7" s="15"/>
    </row>
    <row r="8" spans="9:25" x14ac:dyDescent="0.2">
      <c r="I8" s="14"/>
      <c r="O8" s="19">
        <f>Flujos!H14</f>
        <v>14995</v>
      </c>
      <c r="Y8" s="15"/>
    </row>
    <row r="9" spans="9:25" x14ac:dyDescent="0.2">
      <c r="I9" s="14"/>
      <c r="J9" s="20">
        <f>Utilidad!O68</f>
        <v>0</v>
      </c>
      <c r="O9" s="18">
        <f>Flujos!H14*Flujos!I14</f>
        <v>6792.2934464335995</v>
      </c>
      <c r="U9" s="16">
        <f>Flujos!H44</f>
        <v>719116.75142999995</v>
      </c>
      <c r="Y9" s="15"/>
    </row>
    <row r="10" spans="9:25" x14ac:dyDescent="0.2">
      <c r="I10" s="14"/>
      <c r="J10" s="21">
        <f>Utilidad!P68</f>
        <v>0</v>
      </c>
      <c r="U10" s="17">
        <f>Flujos!I44</f>
        <v>6.3589100652000005E-2</v>
      </c>
      <c r="Y10" s="15"/>
    </row>
    <row r="11" spans="9:25" x14ac:dyDescent="0.2">
      <c r="I11" s="14"/>
      <c r="J11" s="22">
        <f>Utilidad!R68</f>
        <v>0</v>
      </c>
      <c r="M11" s="16">
        <f>Utilidad!O70</f>
        <v>0</v>
      </c>
      <c r="R11" s="16">
        <f>Flujos!H45</f>
        <v>268223.24857</v>
      </c>
      <c r="U11" s="18">
        <f>U10*U9</f>
        <v>45727.987487221537</v>
      </c>
      <c r="Y11" s="15"/>
    </row>
    <row r="12" spans="9:25" x14ac:dyDescent="0.2">
      <c r="I12" s="14"/>
      <c r="L12" s="19">
        <f>+Utilidad!O69</f>
        <v>0</v>
      </c>
      <c r="M12" s="17">
        <f>Utilidad!P70</f>
        <v>0</v>
      </c>
      <c r="P12" s="4"/>
      <c r="R12" s="17">
        <f>Flujos!I45</f>
        <v>0.363678</v>
      </c>
      <c r="Y12" s="15"/>
    </row>
    <row r="13" spans="9:25" x14ac:dyDescent="0.2">
      <c r="I13" s="14"/>
      <c r="L13" s="18">
        <f>+Utilidad!R69</f>
        <v>0</v>
      </c>
      <c r="M13" s="18">
        <f>Utilidad!R70</f>
        <v>0</v>
      </c>
      <c r="O13" s="23">
        <f>Flujos!C13</f>
        <v>14995</v>
      </c>
      <c r="R13" s="18">
        <f>R11*R12</f>
        <v>97546.894593440462</v>
      </c>
      <c r="Y13" s="15"/>
    </row>
    <row r="14" spans="9:25" x14ac:dyDescent="0.2">
      <c r="I14" s="14"/>
      <c r="O14" s="8">
        <f>Flujos!D13</f>
        <v>0.45649999999999996</v>
      </c>
      <c r="S14" s="16">
        <f>Flujos!H46</f>
        <v>60464.793945999998</v>
      </c>
      <c r="Y14" s="15"/>
    </row>
    <row r="15" spans="9:25" x14ac:dyDescent="0.2">
      <c r="I15" s="14"/>
      <c r="O15" s="24">
        <f>O13*O14</f>
        <v>6845.2174999999997</v>
      </c>
      <c r="S15" s="17">
        <f>Flujos!I46</f>
        <v>7.6110318891999998E-2</v>
      </c>
      <c r="Y15" s="25">
        <f>+U9+S14+S29+S36+S41+U45+S22</f>
        <v>894372.97249760001</v>
      </c>
    </row>
    <row r="16" spans="9:25" x14ac:dyDescent="0.2">
      <c r="I16" s="14"/>
      <c r="O16" s="24"/>
      <c r="S16" s="18">
        <f>S14*S15</f>
        <v>4601.9947489691303</v>
      </c>
      <c r="Y16" s="26">
        <f>+IF(Y15&lt;&gt;0,(U9*U10+S14*S15+S29*S30+S36*S37+S41*S42+U45*U46+S22*S23)/Y15,0)</f>
        <v>9.4456637234019244E-2</v>
      </c>
    </row>
    <row r="17" spans="3:25" x14ac:dyDescent="0.2">
      <c r="I17" s="14"/>
      <c r="J17" s="4"/>
      <c r="N17" s="24"/>
      <c r="R17" s="16">
        <f>Flujos!H47</f>
        <v>207758.45462</v>
      </c>
      <c r="Y17" s="27">
        <f>Y15*Y16</f>
        <v>84479.46341511728</v>
      </c>
    </row>
    <row r="18" spans="3:25" x14ac:dyDescent="0.2">
      <c r="I18" s="14"/>
      <c r="N18" s="23">
        <f>Flujos!C15</f>
        <v>0</v>
      </c>
      <c r="P18" s="23">
        <f>Flujos!H64</f>
        <v>20192.93</v>
      </c>
      <c r="R18" s="17">
        <f>Flujos!I47</f>
        <v>0.44737000000000005</v>
      </c>
      <c r="Y18" s="15"/>
    </row>
    <row r="19" spans="3:25" x14ac:dyDescent="0.2">
      <c r="I19" s="14"/>
      <c r="N19" s="8">
        <f>Flujos!D15</f>
        <v>0.45649999999999996</v>
      </c>
      <c r="P19" s="8">
        <f>Flujos!I64</f>
        <v>0.46563000000000004</v>
      </c>
      <c r="R19" s="18"/>
      <c r="Y19" s="15"/>
    </row>
    <row r="20" spans="3:25" x14ac:dyDescent="0.2">
      <c r="I20" s="14"/>
      <c r="N20" s="24">
        <f>N18*N19</f>
        <v>0</v>
      </c>
      <c r="P20" s="24"/>
      <c r="R20" s="16">
        <f>Flujos!H65</f>
        <v>187565.52462000001</v>
      </c>
      <c r="Y20" s="15"/>
    </row>
    <row r="21" spans="3:25" x14ac:dyDescent="0.2">
      <c r="I21" s="14"/>
      <c r="J21" s="20">
        <f>+Utilidad!O71</f>
        <v>2538</v>
      </c>
      <c r="R21" s="17">
        <f>Flujos!I65</f>
        <v>0.44540416485000001</v>
      </c>
      <c r="Y21" s="15"/>
    </row>
    <row r="22" spans="3:25" x14ac:dyDescent="0.2">
      <c r="I22" s="14"/>
      <c r="J22" s="21">
        <f>+Utilidad!P71/100</f>
        <v>4.2787408670999999E-3</v>
      </c>
      <c r="S22" s="16">
        <f>Flujos!H48</f>
        <v>0</v>
      </c>
      <c r="Y22" s="15"/>
    </row>
    <row r="23" spans="3:25" x14ac:dyDescent="0.2">
      <c r="I23" s="14"/>
      <c r="J23" s="22">
        <f>+Utilidad!R71</f>
        <v>1085.9444320699799</v>
      </c>
      <c r="M23" s="16">
        <f>Utilidad!O73</f>
        <v>290.27249999999998</v>
      </c>
      <c r="S23" s="17">
        <f>Flujos!I48</f>
        <v>0</v>
      </c>
      <c r="Y23" s="15"/>
    </row>
    <row r="24" spans="3:25" x14ac:dyDescent="0.2">
      <c r="I24" s="14"/>
      <c r="L24" s="19">
        <f>+Utilidad!O72</f>
        <v>2247.7275</v>
      </c>
      <c r="M24" s="17">
        <f>Utilidad!P73/100</f>
        <v>4.3187600000000005E-3</v>
      </c>
      <c r="N24" s="23">
        <f>Flujos!H49</f>
        <v>3601.9724999999999</v>
      </c>
      <c r="P24" s="23"/>
      <c r="R24" s="16">
        <f>Flujos!H50</f>
        <v>191167.49712000001</v>
      </c>
      <c r="S24" s="18">
        <f>S22*S23</f>
        <v>0</v>
      </c>
      <c r="Y24" s="15"/>
    </row>
    <row r="25" spans="3:25" x14ac:dyDescent="0.2">
      <c r="I25" s="14"/>
      <c r="L25" s="18">
        <f>+Utilidad!R72</f>
        <v>960.58270586097228</v>
      </c>
      <c r="M25" s="18">
        <f>Utilidad!R73</f>
        <v>125.36172621</v>
      </c>
      <c r="N25" s="8">
        <f>Flujos!I49</f>
        <v>0.44622983134999999</v>
      </c>
      <c r="P25" s="8"/>
      <c r="R25" s="17">
        <f>Flujos!I50</f>
        <v>0.44541972203000002</v>
      </c>
      <c r="Y25" s="15"/>
    </row>
    <row r="26" spans="3:25" x14ac:dyDescent="0.2">
      <c r="I26" s="14"/>
      <c r="J26" s="4"/>
      <c r="N26" s="24">
        <f>N24*N25</f>
        <v>1607.3075812023378</v>
      </c>
      <c r="P26" s="24"/>
      <c r="R26" s="18">
        <f>R24*R25</f>
        <v>85149.773428361237</v>
      </c>
      <c r="Y26" s="15"/>
    </row>
    <row r="27" spans="3:25" x14ac:dyDescent="0.2">
      <c r="I27" s="14"/>
      <c r="Y27" s="15"/>
    </row>
    <row r="28" spans="3:25" x14ac:dyDescent="0.2">
      <c r="C28" s="14"/>
      <c r="D28" s="22"/>
      <c r="G28" s="16"/>
      <c r="I28" s="14"/>
      <c r="U28" s="4"/>
      <c r="Y28" s="15"/>
    </row>
    <row r="29" spans="3:25" x14ac:dyDescent="0.2">
      <c r="C29" s="14"/>
      <c r="F29" s="19"/>
      <c r="G29" s="17"/>
      <c r="I29" s="14"/>
      <c r="O29" s="23">
        <f>Flujos!H63</f>
        <v>5197.93</v>
      </c>
      <c r="S29" s="16">
        <f>Flujos!H51</f>
        <v>18028.570308999999</v>
      </c>
      <c r="U29" s="4"/>
      <c r="Y29" s="15"/>
    </row>
    <row r="30" spans="3:25" x14ac:dyDescent="0.2">
      <c r="C30" s="14"/>
      <c r="F30" s="18"/>
      <c r="G30" s="18"/>
      <c r="I30" s="14"/>
      <c r="O30" s="8">
        <f>Flujos!I63</f>
        <v>0.50214999999999999</v>
      </c>
      <c r="S30" s="17">
        <f>Flujos!I51</f>
        <v>5.2359999999999997E-2</v>
      </c>
      <c r="Y30" s="15"/>
    </row>
    <row r="31" spans="3:25" x14ac:dyDescent="0.2">
      <c r="C31" s="14"/>
      <c r="I31" s="14"/>
      <c r="J31" s="20">
        <f>+Utilidad!O74</f>
        <v>12718</v>
      </c>
      <c r="O31" s="23"/>
      <c r="R31" s="16">
        <f>Flujos!H52</f>
        <v>178336.85681</v>
      </c>
      <c r="S31" s="18">
        <f>S30*S29</f>
        <v>943.97594137923988</v>
      </c>
      <c r="Y31" s="15"/>
    </row>
    <row r="32" spans="3:25" x14ac:dyDescent="0.2">
      <c r="C32" s="14"/>
      <c r="I32" s="14"/>
      <c r="J32" s="21">
        <f>+Utilidad!P74/100</f>
        <v>4.4566456982999998E-3</v>
      </c>
      <c r="R32" s="17">
        <f>Flujos!I52</f>
        <v>0.48680872585000001</v>
      </c>
      <c r="Y32" s="15"/>
    </row>
    <row r="33" spans="3:25" x14ac:dyDescent="0.2">
      <c r="C33" s="14"/>
      <c r="I33" s="14"/>
      <c r="J33" s="22">
        <f>+Utilidad!R74</f>
        <v>5667.96199909794</v>
      </c>
      <c r="M33" s="16">
        <f>+Utilidad!O76</f>
        <v>2628.4124999999999</v>
      </c>
      <c r="O33" s="4"/>
      <c r="R33" s="18">
        <f>R31*R32</f>
        <v>86815.938035769999</v>
      </c>
      <c r="Y33" s="28">
        <f>U9+S14+S29+S36+U45-Y15</f>
        <v>-4918.3743146000197</v>
      </c>
    </row>
    <row r="34" spans="3:25" x14ac:dyDescent="0.2">
      <c r="C34" s="14"/>
      <c r="I34" s="14"/>
      <c r="L34" s="19">
        <f>+Utilidad!O75</f>
        <v>10089.5875</v>
      </c>
      <c r="M34" s="17">
        <f>+Utilidad!P76/100</f>
        <v>4.4955100000000003E-3</v>
      </c>
      <c r="Y34" s="15"/>
    </row>
    <row r="35" spans="3:25" x14ac:dyDescent="0.2">
      <c r="C35" s="14"/>
      <c r="I35" s="14"/>
      <c r="J35" s="4"/>
      <c r="L35" s="18">
        <f>+Utilidad!R75</f>
        <v>4486.3565313290665</v>
      </c>
      <c r="M35" s="18">
        <f>+Utilidad!R76</f>
        <v>1181.6054677874999</v>
      </c>
      <c r="Y35" s="15"/>
    </row>
    <row r="36" spans="3:25" x14ac:dyDescent="0.2">
      <c r="C36" s="14"/>
      <c r="D36" s="20">
        <f>Flujos!H28</f>
        <v>0</v>
      </c>
      <c r="I36" s="14"/>
      <c r="O36" s="4"/>
      <c r="S36" s="16">
        <f>Flujos!H53</f>
        <v>39087.765067</v>
      </c>
      <c r="Y36" s="15"/>
    </row>
    <row r="37" spans="3:25" x14ac:dyDescent="0.2">
      <c r="C37" s="14"/>
      <c r="D37" s="21">
        <f>Flujos!I28</f>
        <v>0</v>
      </c>
      <c r="I37" s="14"/>
      <c r="S37" s="17">
        <f>Flujos!I53</f>
        <v>5.6143999999999999E-2</v>
      </c>
      <c r="Y37" s="15"/>
    </row>
    <row r="38" spans="3:25" x14ac:dyDescent="0.2">
      <c r="C38" s="14"/>
      <c r="D38" s="22">
        <f>D36*D37</f>
        <v>0</v>
      </c>
      <c r="G38" s="16">
        <f>Flujos!H30</f>
        <v>0</v>
      </c>
      <c r="I38" s="14"/>
      <c r="R38" s="16">
        <f>Flujos!H54</f>
        <v>139249.09174999999</v>
      </c>
      <c r="S38" s="18">
        <f>S36*S37</f>
        <v>2194.543481921648</v>
      </c>
      <c r="Y38" s="15"/>
    </row>
    <row r="39" spans="3:25" x14ac:dyDescent="0.2">
      <c r="C39" s="14"/>
      <c r="F39" s="19">
        <f>Flujos!H29</f>
        <v>0</v>
      </c>
      <c r="G39" s="17">
        <f>Flujos!I30</f>
        <v>0</v>
      </c>
      <c r="I39" s="14"/>
      <c r="R39" s="17">
        <f>Flujos!I54</f>
        <v>0.60769799999999996</v>
      </c>
      <c r="Y39" s="15"/>
    </row>
    <row r="40" spans="3:25" x14ac:dyDescent="0.2">
      <c r="C40" s="14"/>
      <c r="D40" s="4"/>
      <c r="F40" s="18">
        <f>Flujos!I29*Flujos!H29</f>
        <v>0</v>
      </c>
      <c r="G40" s="18">
        <f>G39*G38</f>
        <v>0</v>
      </c>
      <c r="I40" s="14"/>
      <c r="R40" s="18">
        <f>R38*R39</f>
        <v>84621.394558291489</v>
      </c>
      <c r="Y40" s="15"/>
    </row>
    <row r="41" spans="3:25" x14ac:dyDescent="0.2">
      <c r="C41" s="14"/>
      <c r="I41" s="14"/>
      <c r="J41" s="20"/>
      <c r="S41" s="16">
        <f>Flujos!H55</f>
        <v>4918.3743145999997</v>
      </c>
      <c r="Y41" s="15"/>
    </row>
    <row r="42" spans="3:25" x14ac:dyDescent="0.2">
      <c r="C42" s="14"/>
      <c r="I42" s="14"/>
      <c r="J42" s="21"/>
      <c r="S42" s="17">
        <f>Flujos!I55</f>
        <v>9.151999999999999E-2</v>
      </c>
      <c r="Y42" s="15"/>
    </row>
    <row r="43" spans="3:25" x14ac:dyDescent="0.2">
      <c r="C43" s="14"/>
      <c r="E43" s="7" t="s">
        <v>72</v>
      </c>
      <c r="I43" s="14"/>
      <c r="J43" s="22"/>
      <c r="M43" s="16"/>
      <c r="S43" s="18">
        <f>S41*S42</f>
        <v>450.12961727219192</v>
      </c>
      <c r="Y43" s="15"/>
    </row>
    <row r="44" spans="3:25" x14ac:dyDescent="0.2">
      <c r="C44" s="14"/>
      <c r="D44" s="20">
        <f>Flujos!H31</f>
        <v>0</v>
      </c>
      <c r="I44" s="14"/>
      <c r="L44" s="19"/>
      <c r="M44" s="17"/>
      <c r="R44" s="29">
        <f>Flujos!H56</f>
        <v>134330.71742999999</v>
      </c>
      <c r="Y44" s="15"/>
    </row>
    <row r="45" spans="3:25" x14ac:dyDescent="0.2">
      <c r="C45" s="14"/>
      <c r="D45" s="21">
        <f>Flujos!I31</f>
        <v>0</v>
      </c>
      <c r="G45" s="16">
        <f>Flujos!H33</f>
        <v>0</v>
      </c>
      <c r="I45" s="14"/>
      <c r="L45" s="18"/>
      <c r="M45" s="18"/>
      <c r="P45" s="16">
        <f>Flujos!H59</f>
        <v>1572.9239052</v>
      </c>
      <c r="R45" s="5">
        <f>Flujos!I56</f>
        <v>0.62659730065999997</v>
      </c>
      <c r="S45" s="18">
        <f>R44*R45</f>
        <v>84171.264937359199</v>
      </c>
      <c r="U45" s="16">
        <f>Flujos!H57</f>
        <v>52756.717430999997</v>
      </c>
      <c r="Y45" s="15"/>
    </row>
    <row r="46" spans="3:25" x14ac:dyDescent="0.2">
      <c r="C46" s="14"/>
      <c r="D46" s="22">
        <f>D44*D45</f>
        <v>0</v>
      </c>
      <c r="F46" s="19">
        <f>Flujos!H32</f>
        <v>0</v>
      </c>
      <c r="G46" s="17">
        <f>Flujos!I33</f>
        <v>0</v>
      </c>
      <c r="I46" s="14"/>
      <c r="P46" s="17">
        <f>Flujos!I59</f>
        <v>0.58780021439000008</v>
      </c>
      <c r="U46" s="17">
        <f>Flujos!I57</f>
        <v>0.57927850000000003</v>
      </c>
      <c r="Y46" s="15"/>
    </row>
    <row r="47" spans="3:25" x14ac:dyDescent="0.2">
      <c r="C47" s="14"/>
      <c r="F47" s="18">
        <f>Flujos!I32*Flujos!H32</f>
        <v>0</v>
      </c>
      <c r="G47" s="18">
        <f>G45*G46</f>
        <v>0</v>
      </c>
      <c r="I47" s="14"/>
      <c r="P47" s="18">
        <f>P45*P46</f>
        <v>924.56500869571619</v>
      </c>
      <c r="U47" s="18">
        <f>U46*U45</f>
        <v>30560.832138353533</v>
      </c>
      <c r="Y47" s="15"/>
    </row>
    <row r="48" spans="3:25" x14ac:dyDescent="0.2">
      <c r="C48" s="14"/>
      <c r="D48" s="4"/>
      <c r="I48" s="14"/>
      <c r="Y48" s="15"/>
    </row>
    <row r="49" spans="3:32" x14ac:dyDescent="0.2">
      <c r="C49" s="14"/>
      <c r="I49" s="14"/>
      <c r="R49" s="16">
        <f>Flujos!H58</f>
        <v>83146.923905000003</v>
      </c>
      <c r="S49" s="17">
        <f>Flujos!I58</f>
        <v>0.65588713626000006</v>
      </c>
      <c r="T49" s="18">
        <f>R49*S49</f>
        <v>54534.997808878594</v>
      </c>
      <c r="Y49" s="15"/>
    </row>
    <row r="50" spans="3:32" x14ac:dyDescent="0.2">
      <c r="C50" s="14"/>
      <c r="E50" t="s">
        <v>73</v>
      </c>
      <c r="I50" s="14"/>
      <c r="T50" s="4"/>
      <c r="Y50" s="15"/>
    </row>
    <row r="51" spans="3:32" x14ac:dyDescent="0.2">
      <c r="C51" s="14"/>
      <c r="D51" s="20">
        <f>Flujos!H34</f>
        <v>0</v>
      </c>
      <c r="G51" s="16">
        <f>Flujos!H36</f>
        <v>0</v>
      </c>
      <c r="I51" s="14"/>
      <c r="J51" s="20">
        <f>+Utilidad!O80</f>
        <v>1056</v>
      </c>
      <c r="Y51" s="15"/>
    </row>
    <row r="52" spans="3:32" x14ac:dyDescent="0.2">
      <c r="C52" s="14"/>
      <c r="D52" s="21">
        <f>Flujos!I34</f>
        <v>0</v>
      </c>
      <c r="G52" s="17">
        <f>Flujos!I36</f>
        <v>0</v>
      </c>
      <c r="I52" s="14"/>
      <c r="J52" s="21">
        <f>+Utilidad!P80/100</f>
        <v>5.0130001783999997E-3</v>
      </c>
      <c r="Y52" s="15"/>
    </row>
    <row r="53" spans="3:32" x14ac:dyDescent="0.2">
      <c r="C53" s="14"/>
      <c r="D53" s="22">
        <f>D51*D52</f>
        <v>0</v>
      </c>
      <c r="G53" s="18">
        <f>G51*G52</f>
        <v>0</v>
      </c>
      <c r="I53" s="14"/>
      <c r="J53" s="22">
        <f>+Utilidad!R80</f>
        <v>529.37281883903995</v>
      </c>
      <c r="M53" s="16">
        <f>+Utilidad!O82</f>
        <v>0</v>
      </c>
      <c r="Y53" s="15"/>
    </row>
    <row r="54" spans="3:32" x14ac:dyDescent="0.2">
      <c r="C54" s="14"/>
      <c r="F54" s="19">
        <f>Flujos!H35</f>
        <v>0</v>
      </c>
      <c r="I54" s="14"/>
      <c r="L54" s="19">
        <f>+Utilidad!O81</f>
        <v>1056</v>
      </c>
      <c r="M54" s="17">
        <f>+Utilidad!P82/100</f>
        <v>5.0130001773000003E-3</v>
      </c>
      <c r="O54" s="16">
        <f>Flujos!H42</f>
        <v>0</v>
      </c>
      <c r="Q54" s="16">
        <f>Flujos!H40</f>
        <v>0</v>
      </c>
      <c r="Y54" s="15"/>
    </row>
    <row r="55" spans="3:32" ht="16" x14ac:dyDescent="0.2">
      <c r="C55" s="14"/>
      <c r="F55" s="18">
        <f>Flujos!I35*Flujos!H35</f>
        <v>0</v>
      </c>
      <c r="I55" s="14"/>
      <c r="J55" s="4">
        <f>J53-L55</f>
        <v>0</v>
      </c>
      <c r="L55" s="18">
        <f>+Utilidad!R81</f>
        <v>529.37281883903995</v>
      </c>
      <c r="M55" s="18">
        <f>+Utilidad!R82</f>
        <v>0</v>
      </c>
      <c r="O55" s="17">
        <f>Flujos!I42</f>
        <v>0</v>
      </c>
      <c r="Q55" s="17">
        <f>Flujos!I40</f>
        <v>0</v>
      </c>
      <c r="Y55" s="15"/>
      <c r="AA55" s="10" t="s">
        <v>74</v>
      </c>
    </row>
    <row r="56" spans="3:32" ht="19" x14ac:dyDescent="0.2">
      <c r="C56" s="14"/>
      <c r="I56" s="14"/>
      <c r="O56" s="18">
        <f>O54*O55</f>
        <v>0</v>
      </c>
      <c r="Q56" s="18">
        <f>Q54*Q55</f>
        <v>0</v>
      </c>
      <c r="Y56" s="15"/>
      <c r="AA56" s="30" t="s">
        <v>75</v>
      </c>
      <c r="AB56" s="31"/>
      <c r="AC56" s="32" t="s">
        <v>76</v>
      </c>
      <c r="AD56" s="32"/>
      <c r="AE56" s="30" t="s">
        <v>77</v>
      </c>
      <c r="AF56" s="30"/>
    </row>
    <row r="57" spans="3:32" ht="32" x14ac:dyDescent="0.2">
      <c r="C57" s="14"/>
      <c r="E57" t="s">
        <v>78</v>
      </c>
      <c r="I57" s="14"/>
      <c r="Y57" s="15"/>
      <c r="AA57" s="33" t="s">
        <v>48</v>
      </c>
      <c r="AB57" s="34">
        <f>+R5</f>
        <v>987340</v>
      </c>
      <c r="AC57" s="33" t="s">
        <v>5</v>
      </c>
      <c r="AD57" s="35">
        <f>+L12</f>
        <v>0</v>
      </c>
      <c r="AE57" s="36" t="s">
        <v>66</v>
      </c>
      <c r="AF57" s="35">
        <f>+S60</f>
        <v>81574</v>
      </c>
    </row>
    <row r="58" spans="3:32" ht="32" x14ac:dyDescent="0.2">
      <c r="C58" s="14"/>
      <c r="D58" s="20">
        <f>Flujos!H37</f>
        <v>0</v>
      </c>
      <c r="G58" s="16">
        <f>Flujos!H39</f>
        <v>0</v>
      </c>
      <c r="I58" s="14"/>
      <c r="K58" t="s">
        <v>79</v>
      </c>
      <c r="Y58" s="15"/>
      <c r="AA58" s="33" t="s">
        <v>4</v>
      </c>
      <c r="AB58" s="34">
        <f>+J9</f>
        <v>0</v>
      </c>
      <c r="AC58" s="33" t="s">
        <v>8</v>
      </c>
      <c r="AD58" s="35">
        <f>+L24</f>
        <v>2247.7275</v>
      </c>
      <c r="AE58" s="36" t="s">
        <v>80</v>
      </c>
      <c r="AF58" s="35">
        <f>+Y15</f>
        <v>894372.97249760001</v>
      </c>
    </row>
    <row r="59" spans="3:32" ht="16" x14ac:dyDescent="0.2">
      <c r="C59" s="14"/>
      <c r="D59" s="21">
        <f>Flujos!I37</f>
        <v>0</v>
      </c>
      <c r="G59" s="17">
        <f>Flujos!I39</f>
        <v>0</v>
      </c>
      <c r="I59" s="14"/>
      <c r="J59" s="20">
        <f>+Utilidad!O83</f>
        <v>0</v>
      </c>
      <c r="S59" t="s">
        <v>81</v>
      </c>
      <c r="Y59" s="15"/>
      <c r="AA59" s="33" t="s">
        <v>7</v>
      </c>
      <c r="AB59" s="34">
        <f>+J21</f>
        <v>2538</v>
      </c>
      <c r="AC59" t="s">
        <v>11</v>
      </c>
      <c r="AD59" s="35">
        <f>+L34</f>
        <v>10089.5875</v>
      </c>
      <c r="AE59" s="37"/>
      <c r="AF59" s="35"/>
    </row>
    <row r="60" spans="3:32" ht="32" x14ac:dyDescent="0.2">
      <c r="C60" s="14"/>
      <c r="D60" s="22">
        <f>D58*D59</f>
        <v>0</v>
      </c>
      <c r="G60" s="18">
        <f>G58*G59</f>
        <v>0</v>
      </c>
      <c r="I60" s="14"/>
      <c r="J60" s="21">
        <f>+Utilidad!P83</f>
        <v>0.43520000910999995</v>
      </c>
      <c r="M60" s="16">
        <f>+Utilidad!O85</f>
        <v>683.28750000000002</v>
      </c>
      <c r="S60" s="16">
        <f>Flujos!H61</f>
        <v>81574</v>
      </c>
      <c r="Y60" s="15"/>
      <c r="AA60" s="33" t="s">
        <v>10</v>
      </c>
      <c r="AB60" s="34">
        <f>+J31</f>
        <v>12718</v>
      </c>
      <c r="AC60" s="33" t="s">
        <v>14</v>
      </c>
      <c r="AD60" s="35">
        <f>O8</f>
        <v>14995</v>
      </c>
      <c r="AE60" s="37"/>
      <c r="AF60" s="35"/>
    </row>
    <row r="61" spans="3:32" ht="32" x14ac:dyDescent="0.2">
      <c r="C61" s="14"/>
      <c r="F61" s="19">
        <f>Flujos!H38</f>
        <v>0</v>
      </c>
      <c r="I61" s="14"/>
      <c r="J61" s="22">
        <f>+Utilidad!R83</f>
        <v>0</v>
      </c>
      <c r="L61" s="19">
        <f>+Utilidad!O84</f>
        <v>-683.28750000000002</v>
      </c>
      <c r="M61" s="17">
        <f>+Utilidad!P85</f>
        <v>0.439552</v>
      </c>
      <c r="O61" s="19">
        <f>Flujos!H41</f>
        <v>0</v>
      </c>
      <c r="S61" s="17">
        <f>Flujos!I61</f>
        <v>0.65720000000000001</v>
      </c>
      <c r="Y61" s="15"/>
      <c r="AA61" s="38" t="s">
        <v>13</v>
      </c>
      <c r="AB61" s="34"/>
      <c r="AC61" s="33" t="s">
        <v>17</v>
      </c>
      <c r="AD61" s="35">
        <f>+L54</f>
        <v>1056</v>
      </c>
      <c r="AE61" s="39"/>
      <c r="AF61" s="35"/>
    </row>
    <row r="62" spans="3:32" ht="32" x14ac:dyDescent="0.2">
      <c r="C62" s="14"/>
      <c r="F62" s="18">
        <f>Flujos!I38*Flujos!H38</f>
        <v>0</v>
      </c>
      <c r="I62" s="14"/>
      <c r="L62" s="18">
        <f>+Utilidad!R84</f>
        <v>-300.34038720000001</v>
      </c>
      <c r="M62" s="18">
        <f>+Utilidad!R85</f>
        <v>300.34038720000001</v>
      </c>
      <c r="O62" s="18">
        <f>Flujos!I41*Flujos!J41</f>
        <v>0</v>
      </c>
      <c r="S62" s="18">
        <f>S60*S61</f>
        <v>53610.432800000002</v>
      </c>
      <c r="Y62" s="15"/>
      <c r="AA62" s="33" t="s">
        <v>16</v>
      </c>
      <c r="AB62" s="34">
        <f>+J51</f>
        <v>1056</v>
      </c>
      <c r="AC62" s="33" t="s">
        <v>20</v>
      </c>
      <c r="AD62" s="35">
        <f>+L61</f>
        <v>-683.28750000000002</v>
      </c>
      <c r="AE62" s="36"/>
      <c r="AF62" s="35"/>
    </row>
    <row r="63" spans="3:32" ht="32" x14ac:dyDescent="0.2">
      <c r="C63" s="14"/>
      <c r="I63" s="14"/>
      <c r="J63" s="4">
        <f>J61-L62</f>
        <v>300.34038720000001</v>
      </c>
      <c r="S63" s="18"/>
      <c r="Y63" s="15"/>
      <c r="AA63" s="33" t="s">
        <v>19</v>
      </c>
      <c r="AB63" s="34">
        <f>+J59</f>
        <v>0</v>
      </c>
      <c r="AC63" s="33" t="s">
        <v>23</v>
      </c>
      <c r="AD63" s="35">
        <f>+L69</f>
        <v>0</v>
      </c>
      <c r="AE63" s="36"/>
      <c r="AF63" s="35"/>
    </row>
    <row r="64" spans="3:32" ht="32" x14ac:dyDescent="0.2">
      <c r="I64" s="14"/>
      <c r="S64" s="18"/>
      <c r="Y64" s="15"/>
      <c r="AA64" s="33" t="s">
        <v>22</v>
      </c>
      <c r="AB64" s="34">
        <f>+J66</f>
        <v>0</v>
      </c>
      <c r="AC64" s="33" t="s">
        <v>28</v>
      </c>
      <c r="AD64" s="35">
        <f>+L76</f>
        <v>55</v>
      </c>
      <c r="AE64" s="36"/>
      <c r="AF64" s="35"/>
    </row>
    <row r="65" spans="9:32" ht="16" x14ac:dyDescent="0.2">
      <c r="I65" s="14"/>
      <c r="K65" t="s">
        <v>82</v>
      </c>
      <c r="S65" s="18"/>
      <c r="Y65" s="15"/>
      <c r="AA65" s="33" t="s">
        <v>26</v>
      </c>
      <c r="AB65" s="34">
        <f>+J73</f>
        <v>55</v>
      </c>
      <c r="AC65" s="40" t="s">
        <v>83</v>
      </c>
      <c r="AD65" s="35"/>
      <c r="AE65" s="37"/>
      <c r="AF65" s="35"/>
    </row>
    <row r="66" spans="9:32" ht="16" x14ac:dyDescent="0.2">
      <c r="I66" s="14"/>
      <c r="J66" s="20">
        <f>+Utilidad!O86</f>
        <v>0</v>
      </c>
      <c r="M66" s="16">
        <f>+Utilidad!O88</f>
        <v>0</v>
      </c>
      <c r="S66" s="18"/>
      <c r="Y66" s="15"/>
      <c r="AA66" s="33" t="s">
        <v>84</v>
      </c>
      <c r="AB66" s="34">
        <f>D36</f>
        <v>0</v>
      </c>
      <c r="AC66" s="33" t="s">
        <v>85</v>
      </c>
      <c r="AD66" s="35">
        <f>F39</f>
        <v>0</v>
      </c>
      <c r="AE66" s="36"/>
      <c r="AF66" s="35"/>
    </row>
    <row r="67" spans="9:32" ht="16" x14ac:dyDescent="0.2">
      <c r="I67" s="14"/>
      <c r="J67" s="21">
        <f>+Utilidad!P86</f>
        <v>0</v>
      </c>
      <c r="M67" s="17">
        <f>+Utilidad!P88</f>
        <v>0</v>
      </c>
      <c r="S67" s="18"/>
      <c r="Y67" s="15"/>
      <c r="AA67" s="33" t="s">
        <v>72</v>
      </c>
      <c r="AB67" s="34">
        <f>D44</f>
        <v>0</v>
      </c>
      <c r="AC67" s="33" t="s">
        <v>86</v>
      </c>
      <c r="AD67" s="35">
        <f>F46</f>
        <v>0</v>
      </c>
      <c r="AE67" s="36"/>
      <c r="AF67" s="35"/>
    </row>
    <row r="68" spans="9:32" ht="16" x14ac:dyDescent="0.2">
      <c r="I68" s="14"/>
      <c r="J68" s="22">
        <f>+Utilidad!R86</f>
        <v>0</v>
      </c>
      <c r="M68" s="18">
        <f>+Utilidad!R88</f>
        <v>0</v>
      </c>
      <c r="S68" s="18"/>
      <c r="Y68" s="15"/>
      <c r="AA68" s="33" t="s">
        <v>73</v>
      </c>
      <c r="AB68" s="34">
        <f>D51</f>
        <v>0</v>
      </c>
      <c r="AC68" s="33" t="s">
        <v>87</v>
      </c>
      <c r="AD68" s="35">
        <f>F54</f>
        <v>0</v>
      </c>
      <c r="AE68" s="36"/>
      <c r="AF68" s="35"/>
    </row>
    <row r="69" spans="9:32" ht="16" x14ac:dyDescent="0.2">
      <c r="I69" s="14"/>
      <c r="L69" s="19">
        <f>+Utilidad!O87</f>
        <v>0</v>
      </c>
      <c r="S69" s="18"/>
      <c r="Y69" s="15"/>
      <c r="AA69" s="33" t="s">
        <v>78</v>
      </c>
      <c r="AB69" s="34">
        <f>D58</f>
        <v>0</v>
      </c>
      <c r="AC69" s="33" t="s">
        <v>88</v>
      </c>
      <c r="AD69" s="35">
        <f>F61</f>
        <v>0</v>
      </c>
      <c r="AE69" s="37"/>
      <c r="AF69" s="35"/>
    </row>
    <row r="70" spans="9:32" x14ac:dyDescent="0.2">
      <c r="I70" s="14"/>
      <c r="L70" s="18">
        <f>+Utilidad!R87</f>
        <v>0</v>
      </c>
      <c r="S70" s="18"/>
      <c r="Y70" s="15"/>
    </row>
    <row r="71" spans="9:32" ht="19" x14ac:dyDescent="0.2">
      <c r="I71" s="14"/>
      <c r="S71" s="18"/>
      <c r="Y71" s="15"/>
      <c r="AA71" s="41" t="s">
        <v>89</v>
      </c>
      <c r="AB71" s="42">
        <f>+SUM(AB57:AB69)</f>
        <v>1003707</v>
      </c>
      <c r="AC71" s="41" t="s">
        <v>90</v>
      </c>
      <c r="AD71" s="43">
        <f>+SUM(AD57:AD69)</f>
        <v>27760.0275</v>
      </c>
      <c r="AE71" s="36"/>
      <c r="AF71" s="42">
        <f>+SUM(AF57:AF64)</f>
        <v>975946.97249760001</v>
      </c>
    </row>
    <row r="72" spans="9:32" x14ac:dyDescent="0.2">
      <c r="I72" s="14"/>
      <c r="K72" t="s">
        <v>91</v>
      </c>
      <c r="S72" s="18"/>
      <c r="Y72" s="15"/>
    </row>
    <row r="73" spans="9:32" ht="19" x14ac:dyDescent="0.2">
      <c r="I73" s="14"/>
      <c r="J73" s="20">
        <f>+Utilidad!O89</f>
        <v>55</v>
      </c>
      <c r="M73" s="16">
        <f>+Utilidad!O91</f>
        <v>0</v>
      </c>
      <c r="S73" s="18"/>
      <c r="Y73" s="15"/>
      <c r="AA73" s="44" t="s">
        <v>92</v>
      </c>
      <c r="AB73" s="45"/>
      <c r="AC73" s="46"/>
      <c r="AD73" s="45"/>
      <c r="AE73" s="47">
        <f>+AB71-AD71-AF71</f>
        <v>2.4000182747840881E-6</v>
      </c>
    </row>
    <row r="74" spans="9:32" x14ac:dyDescent="0.2">
      <c r="I74" s="14"/>
      <c r="J74" s="21">
        <f>+Utilidad!P89/100</f>
        <v>6.4200001799999996E-3</v>
      </c>
      <c r="M74" s="17">
        <f>+Utilidad!P91</f>
        <v>0.64200001772999993</v>
      </c>
      <c r="S74" s="18"/>
      <c r="Y74" s="15"/>
    </row>
    <row r="75" spans="9:32" x14ac:dyDescent="0.2">
      <c r="I75" s="14"/>
      <c r="J75" s="22">
        <f>+Utilidad!R89</f>
        <v>35.310000989999999</v>
      </c>
      <c r="M75" s="18">
        <f>+Utilidad!R91</f>
        <v>0</v>
      </c>
      <c r="S75" s="18"/>
      <c r="Y75" s="15"/>
    </row>
    <row r="76" spans="9:32" x14ac:dyDescent="0.2">
      <c r="I76" s="14"/>
      <c r="L76" s="19">
        <f>+Utilidad!O90</f>
        <v>55</v>
      </c>
      <c r="S76" s="18"/>
      <c r="Y76" s="15"/>
    </row>
    <row r="77" spans="9:32" ht="16" x14ac:dyDescent="0.2">
      <c r="I77" s="14"/>
      <c r="L77" s="18">
        <f>+Utilidad!R90</f>
        <v>35.310000989999999</v>
      </c>
      <c r="S77" s="18"/>
      <c r="Y77" s="15"/>
      <c r="AA77" s="10" t="s">
        <v>93</v>
      </c>
    </row>
    <row r="78" spans="9:32" ht="19" x14ac:dyDescent="0.2">
      <c r="I78" s="14"/>
      <c r="S78" s="18"/>
      <c r="Y78" s="15"/>
      <c r="AA78" s="48" t="s">
        <v>75</v>
      </c>
      <c r="AB78" s="49"/>
      <c r="AC78" s="50" t="s">
        <v>76</v>
      </c>
      <c r="AD78" s="50"/>
      <c r="AE78" s="48" t="s">
        <v>77</v>
      </c>
      <c r="AF78" s="48"/>
    </row>
    <row r="79" spans="9:32" ht="32" x14ac:dyDescent="0.2">
      <c r="I79" s="14"/>
      <c r="J79" s="4"/>
      <c r="S79" s="18"/>
      <c r="Y79" s="15"/>
      <c r="AA79" s="33" t="s">
        <v>48</v>
      </c>
      <c r="AB79" s="34">
        <f>+R7</f>
        <v>143274.88208000001</v>
      </c>
      <c r="AC79" s="33" t="s">
        <v>5</v>
      </c>
      <c r="AD79" s="35">
        <f>+L13</f>
        <v>0</v>
      </c>
      <c r="AE79" s="36" t="s">
        <v>66</v>
      </c>
      <c r="AF79" s="35">
        <f>+S62</f>
        <v>53610.432800000002</v>
      </c>
    </row>
    <row r="80" spans="9:32" ht="32" x14ac:dyDescent="0.2">
      <c r="I80" s="14"/>
      <c r="S80" s="18"/>
      <c r="Y80" s="15"/>
      <c r="AA80" s="33" t="s">
        <v>4</v>
      </c>
      <c r="AB80" s="34">
        <f>+J11</f>
        <v>0</v>
      </c>
      <c r="AC80" s="33" t="s">
        <v>8</v>
      </c>
      <c r="AD80" s="35">
        <f>+L25</f>
        <v>960.58270586097228</v>
      </c>
      <c r="AE80" s="36" t="s">
        <v>80</v>
      </c>
      <c r="AF80" s="35">
        <f>+Y17</f>
        <v>84479.46341511728</v>
      </c>
    </row>
    <row r="81" spans="9:32" ht="32" x14ac:dyDescent="0.2">
      <c r="I81" s="14"/>
      <c r="S81" s="18"/>
      <c r="Y81" s="15"/>
      <c r="AA81" s="33" t="s">
        <v>7</v>
      </c>
      <c r="AB81" s="34">
        <f>+J23</f>
        <v>1085.9444320699799</v>
      </c>
      <c r="AC81" s="33" t="s">
        <v>11</v>
      </c>
      <c r="AD81" s="35">
        <f>+L35</f>
        <v>4486.3565313290665</v>
      </c>
      <c r="AE81" s="37"/>
      <c r="AF81" s="35"/>
    </row>
    <row r="82" spans="9:32" ht="32" x14ac:dyDescent="0.2">
      <c r="I82" s="14"/>
      <c r="S82" s="18"/>
      <c r="Y82" s="15"/>
      <c r="AA82" s="33" t="s">
        <v>10</v>
      </c>
      <c r="AB82" s="34">
        <f>+J33</f>
        <v>5667.96199909794</v>
      </c>
      <c r="AC82" s="33" t="s">
        <v>14</v>
      </c>
      <c r="AD82" s="35">
        <f>+O9</f>
        <v>6792.2934464335995</v>
      </c>
      <c r="AE82" s="37"/>
      <c r="AF82" s="35"/>
    </row>
    <row r="83" spans="9:32" ht="32" x14ac:dyDescent="0.2">
      <c r="I83" s="51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3"/>
      <c r="AA83" s="38" t="s">
        <v>13</v>
      </c>
      <c r="AB83" s="34"/>
      <c r="AC83" s="33" t="s">
        <v>17</v>
      </c>
      <c r="AD83" s="35">
        <f>+L55</f>
        <v>529.37281883903995</v>
      </c>
      <c r="AE83" s="39"/>
      <c r="AF83" s="35"/>
    </row>
    <row r="84" spans="9:32" ht="32" x14ac:dyDescent="0.2">
      <c r="AA84" s="33" t="s">
        <v>16</v>
      </c>
      <c r="AB84" s="34">
        <f>+J53</f>
        <v>529.37281883903995</v>
      </c>
      <c r="AC84" s="33" t="s">
        <v>20</v>
      </c>
      <c r="AD84" s="35">
        <f>+L62</f>
        <v>-300.34038720000001</v>
      </c>
      <c r="AE84" s="36"/>
      <c r="AF84" s="35"/>
    </row>
    <row r="85" spans="9:32" ht="32" x14ac:dyDescent="0.2">
      <c r="AA85" s="33" t="s">
        <v>19</v>
      </c>
      <c r="AB85" s="34">
        <f>+J61</f>
        <v>0</v>
      </c>
      <c r="AC85" s="33" t="s">
        <v>23</v>
      </c>
      <c r="AD85" s="35">
        <f>+L70</f>
        <v>0</v>
      </c>
      <c r="AE85" s="36"/>
      <c r="AF85" s="35"/>
    </row>
    <row r="86" spans="9:32" ht="32" x14ac:dyDescent="0.2">
      <c r="AA86" s="33" t="s">
        <v>22</v>
      </c>
      <c r="AB86" s="34">
        <f>+J68</f>
        <v>0</v>
      </c>
      <c r="AC86" s="33" t="s">
        <v>28</v>
      </c>
      <c r="AD86" s="35">
        <f>+L77</f>
        <v>35.310000989999999</v>
      </c>
      <c r="AE86" s="36"/>
      <c r="AF86" s="35"/>
    </row>
    <row r="87" spans="9:32" ht="16" x14ac:dyDescent="0.2">
      <c r="AA87" s="33" t="s">
        <v>26</v>
      </c>
      <c r="AB87" s="34">
        <f>+J75</f>
        <v>35.310000989999999</v>
      </c>
      <c r="AC87" s="40" t="s">
        <v>83</v>
      </c>
      <c r="AD87" s="35"/>
      <c r="AE87" s="37"/>
      <c r="AF87" s="35"/>
    </row>
    <row r="88" spans="9:32" ht="16" x14ac:dyDescent="0.2">
      <c r="AA88" s="33" t="s">
        <v>84</v>
      </c>
      <c r="AB88" s="34">
        <f>D38</f>
        <v>0</v>
      </c>
      <c r="AC88" s="33" t="s">
        <v>85</v>
      </c>
      <c r="AD88" s="35">
        <f>F40</f>
        <v>0</v>
      </c>
      <c r="AE88" s="36"/>
      <c r="AF88" s="35"/>
    </row>
    <row r="89" spans="9:32" ht="15.75" customHeight="1" x14ac:dyDescent="0.2">
      <c r="AA89" s="33" t="s">
        <v>72</v>
      </c>
      <c r="AB89" s="34">
        <f>D46</f>
        <v>0</v>
      </c>
      <c r="AC89" s="33" t="s">
        <v>86</v>
      </c>
      <c r="AD89" s="35">
        <f>F47</f>
        <v>0</v>
      </c>
      <c r="AE89" s="36"/>
      <c r="AF89" s="35"/>
    </row>
    <row r="90" spans="9:32" ht="16" x14ac:dyDescent="0.2">
      <c r="AA90" s="33" t="s">
        <v>73</v>
      </c>
      <c r="AB90" s="34">
        <f>D53</f>
        <v>0</v>
      </c>
      <c r="AC90" s="33" t="s">
        <v>87</v>
      </c>
      <c r="AD90" s="35">
        <f>F55</f>
        <v>0</v>
      </c>
      <c r="AE90" s="36"/>
      <c r="AF90" s="35"/>
    </row>
    <row r="91" spans="9:32" ht="16.5" customHeight="1" x14ac:dyDescent="0.2">
      <c r="AA91" s="33" t="s">
        <v>78</v>
      </c>
      <c r="AB91" s="34">
        <f>D60</f>
        <v>0</v>
      </c>
      <c r="AC91" s="33" t="s">
        <v>88</v>
      </c>
      <c r="AD91" s="35">
        <f>F62</f>
        <v>0</v>
      </c>
      <c r="AE91" s="37"/>
      <c r="AF91" s="35"/>
    </row>
    <row r="93" spans="9:32" ht="14.25" customHeight="1" x14ac:dyDescent="0.2">
      <c r="AA93" s="41" t="s">
        <v>89</v>
      </c>
      <c r="AB93" s="42">
        <f>+SUM(AB79:AB91)</f>
        <v>150593.47133099695</v>
      </c>
      <c r="AC93" s="41" t="s">
        <v>90</v>
      </c>
      <c r="AD93" s="43">
        <f>+SUM(AD79:AD91)</f>
        <v>12503.575116252679</v>
      </c>
      <c r="AE93" s="36"/>
      <c r="AF93" s="42">
        <f>+SUM(AF79:AF86)</f>
        <v>138089.89621511727</v>
      </c>
    </row>
    <row r="95" spans="9:32" ht="14.25" customHeight="1" x14ac:dyDescent="0.2">
      <c r="AA95" s="44" t="s">
        <v>92</v>
      </c>
      <c r="AB95" s="45"/>
      <c r="AC95" s="46"/>
      <c r="AD95" s="45"/>
      <c r="AE95" s="47">
        <f>+AB93-AD93-AF93</f>
        <v>-3.7299469113349915E-7</v>
      </c>
    </row>
  </sheetData>
  <pageMargins left="0.7" right="0.7" top="0.75" bottom="0.75" header="0.511811023622047" footer="0.511811023622047"/>
  <pageSetup orientation="portrait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4" id="{A316B6AF-F017-48C4-A393-7A6CC787816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31" id="{A900B2B0-6ED2-475D-B9BE-4599CDA1971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F30</xm:sqref>
        </x14:conditionalFormatting>
        <x14:conditionalFormatting xmlns:xm="http://schemas.microsoft.com/office/excel/2006/main">
          <x14:cfRule type="iconSet" priority="25" id="{234C4012-F217-40F5-B4D0-8DF118247BB7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F39</xm:sqref>
        </x14:conditionalFormatting>
        <x14:conditionalFormatting xmlns:xm="http://schemas.microsoft.com/office/excel/2006/main">
          <x14:cfRule type="iconSet" priority="30" id="{FB8E1BF5-D1C4-4136-843D-56C95B7CF53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F40</xm:sqref>
        </x14:conditionalFormatting>
        <x14:conditionalFormatting xmlns:xm="http://schemas.microsoft.com/office/excel/2006/main">
          <x14:cfRule type="iconSet" priority="26" id="{139227B3-BA32-4481-9346-1349D5E464A1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F46</xm:sqref>
        </x14:conditionalFormatting>
        <x14:conditionalFormatting xmlns:xm="http://schemas.microsoft.com/office/excel/2006/main">
          <x14:cfRule type="iconSet" priority="29" id="{E03B7A45-6574-4EFA-A74C-7E7D60D87957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F47</xm:sqref>
        </x14:conditionalFormatting>
        <x14:conditionalFormatting xmlns:xm="http://schemas.microsoft.com/office/excel/2006/main">
          <x14:cfRule type="iconSet" priority="27" id="{F960D68C-B8FC-4548-B689-F781B48B7577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F54</xm:sqref>
        </x14:conditionalFormatting>
        <x14:conditionalFormatting xmlns:xm="http://schemas.microsoft.com/office/excel/2006/main">
          <x14:cfRule type="iconSet" priority="28" id="{79E2C0C3-D03D-4B4A-B2B1-332060E0401E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F55</xm:sqref>
        </x14:conditionalFormatting>
        <x14:conditionalFormatting xmlns:xm="http://schemas.microsoft.com/office/excel/2006/main">
          <x14:cfRule type="iconSet" priority="32" id="{436A556A-AE64-4D57-8786-8AC1D090D7E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F61</xm:sqref>
        </x14:conditionalFormatting>
        <x14:conditionalFormatting xmlns:xm="http://schemas.microsoft.com/office/excel/2006/main">
          <x14:cfRule type="iconSet" priority="33" id="{7DBB6880-77E9-4F31-BA74-E0844110B71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F62</xm:sqref>
        </x14:conditionalFormatting>
        <x14:conditionalFormatting xmlns:xm="http://schemas.microsoft.com/office/excel/2006/main">
          <x14:cfRule type="iconSet" priority="2" id="{839FD91F-6115-43BF-87EC-DD534EC3772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L12</xm:sqref>
        </x14:conditionalFormatting>
        <x14:conditionalFormatting xmlns:xm="http://schemas.microsoft.com/office/excel/2006/main">
          <x14:cfRule type="iconSet" priority="21" id="{84F3904D-52A2-47E6-96D2-D8A95A3AB93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L13</xm:sqref>
        </x14:conditionalFormatting>
        <x14:conditionalFormatting xmlns:xm="http://schemas.microsoft.com/office/excel/2006/main">
          <x14:cfRule type="iconSet" priority="3" id="{D3883F54-6BD8-4E2E-B71A-BDCE3742D12B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L24</xm:sqref>
        </x14:conditionalFormatting>
        <x14:conditionalFormatting xmlns:xm="http://schemas.microsoft.com/office/excel/2006/main">
          <x14:cfRule type="iconSet" priority="15" id="{34F863DB-D898-492C-8E80-AD60704AC3A1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L25</xm:sqref>
        </x14:conditionalFormatting>
        <x14:conditionalFormatting xmlns:xm="http://schemas.microsoft.com/office/excel/2006/main">
          <x14:cfRule type="iconSet" priority="4" id="{20198070-5F96-4C77-9974-626295BA404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14" id="{754AD3E7-24EE-4689-BBCC-35B861E096A7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L35</xm:sqref>
        </x14:conditionalFormatting>
        <x14:conditionalFormatting xmlns:xm="http://schemas.microsoft.com/office/excel/2006/main">
          <x14:cfRule type="iconSet" priority="5" id="{8B39F651-2DAD-4E55-8777-A93325A96F8C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L44</xm:sqref>
        </x14:conditionalFormatting>
        <x14:conditionalFormatting xmlns:xm="http://schemas.microsoft.com/office/excel/2006/main">
          <x14:cfRule type="iconSet" priority="13" id="{98A89BB4-149A-4DBF-8DD2-707E57505FE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L45</xm:sqref>
        </x14:conditionalFormatting>
        <x14:conditionalFormatting xmlns:xm="http://schemas.microsoft.com/office/excel/2006/main">
          <x14:cfRule type="iconSet" priority="6" id="{B8C5C937-7667-4146-9130-4E7C9C90E8FE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L54</xm:sqref>
        </x14:conditionalFormatting>
        <x14:conditionalFormatting xmlns:xm="http://schemas.microsoft.com/office/excel/2006/main">
          <x14:cfRule type="iconSet" priority="12" id="{6BDBD18D-206C-469C-B5FD-667C9744E82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L55</xm:sqref>
        </x14:conditionalFormatting>
        <x14:conditionalFormatting xmlns:xm="http://schemas.microsoft.com/office/excel/2006/main">
          <x14:cfRule type="iconSet" priority="8" id="{8ED08029-3253-4935-A9DF-3C4150E086C5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L61</xm:sqref>
        </x14:conditionalFormatting>
        <x14:conditionalFormatting xmlns:xm="http://schemas.microsoft.com/office/excel/2006/main">
          <x14:cfRule type="iconSet" priority="11" id="{E79BED40-8971-422D-86F5-1E978DC3424E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L62</xm:sqref>
        </x14:conditionalFormatting>
        <x14:conditionalFormatting xmlns:xm="http://schemas.microsoft.com/office/excel/2006/main">
          <x14:cfRule type="iconSet" priority="9" id="{8F7414E0-6016-43F9-8B50-34D011C020B3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L69</xm:sqref>
        </x14:conditionalFormatting>
        <x14:conditionalFormatting xmlns:xm="http://schemas.microsoft.com/office/excel/2006/main">
          <x14:cfRule type="iconSet" priority="10" id="{9B7CE269-E58B-4145-A5FB-F29C2310C477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L70</xm:sqref>
        </x14:conditionalFormatting>
        <x14:conditionalFormatting xmlns:xm="http://schemas.microsoft.com/office/excel/2006/main">
          <x14:cfRule type="iconSet" priority="16" id="{A6C04F3E-F35E-4FED-B655-CFBA4BC96419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L76</xm:sqref>
        </x14:conditionalFormatting>
        <x14:conditionalFormatting xmlns:xm="http://schemas.microsoft.com/office/excel/2006/main">
          <x14:cfRule type="iconSet" priority="17" id="{946D10A7-F87A-4E25-8DA8-10DB8187FBF9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L77</xm:sqref>
        </x14:conditionalFormatting>
        <x14:conditionalFormatting xmlns:xm="http://schemas.microsoft.com/office/excel/2006/main">
          <x14:cfRule type="iconSet" priority="22" id="{83498520-8BFC-4272-B050-9AE6EEC9E09E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O8</xm:sqref>
        </x14:conditionalFormatting>
        <x14:conditionalFormatting xmlns:xm="http://schemas.microsoft.com/office/excel/2006/main">
          <x14:cfRule type="iconSet" priority="23" id="{5B30A0BB-E11A-4833-81E4-2DC523589581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O9</xm:sqref>
        </x14:conditionalFormatting>
        <x14:conditionalFormatting xmlns:xm="http://schemas.microsoft.com/office/excel/2006/main">
          <x14:cfRule type="iconSet" priority="18" id="{6AE85F4B-44D7-46B6-B135-8E4F7C4AAF3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O61</xm:sqref>
        </x14:conditionalFormatting>
        <x14:conditionalFormatting xmlns:xm="http://schemas.microsoft.com/office/excel/2006/main">
          <x14:cfRule type="iconSet" priority="19" id="{FD144962-CA1A-431F-8BBC-908FBB33EBB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O62</xm:sqref>
        </x14:conditionalFormatting>
        <x14:conditionalFormatting xmlns:xm="http://schemas.microsoft.com/office/excel/2006/main">
          <x14:cfRule type="iconSet" priority="7" id="{83E9B0E4-509F-4000-8E20-EDF5256089B3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AD71</xm:sqref>
        </x14:conditionalFormatting>
        <x14:conditionalFormatting xmlns:xm="http://schemas.microsoft.com/office/excel/2006/main">
          <x14:cfRule type="iconSet" priority="20" id="{6E674EBC-41ED-4A18-A052-CD9F415A156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AD93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82"/>
  <sheetViews>
    <sheetView topLeftCell="B55" zoomScale="90" zoomScaleNormal="90" zoomScaleSheetLayoutView="100" workbookViewId="0">
      <selection activeCell="N73" sqref="N73"/>
    </sheetView>
  </sheetViews>
  <sheetFormatPr baseColWidth="10" defaultColWidth="10.5" defaultRowHeight="15" x14ac:dyDescent="0.2"/>
  <cols>
    <col min="1" max="1" width="5.6640625" customWidth="1"/>
    <col min="2" max="2" width="30.33203125" customWidth="1"/>
    <col min="3" max="4" width="13.1640625" customWidth="1"/>
    <col min="5" max="5" width="13.33203125" customWidth="1"/>
    <col min="6" max="6" width="12" customWidth="1"/>
    <col min="7" max="7" width="30.5" customWidth="1"/>
    <col min="8" max="8" width="15.5" customWidth="1"/>
    <col min="9" max="9" width="13.5" customWidth="1"/>
    <col min="10" max="10" width="12.33203125" customWidth="1"/>
    <col min="11" max="11" width="5" customWidth="1"/>
    <col min="12" max="12" width="11.5" customWidth="1"/>
    <col min="13" max="14" width="14.1640625" customWidth="1"/>
    <col min="15" max="15" width="5.83203125" customWidth="1"/>
    <col min="16" max="16" width="15.1640625" customWidth="1"/>
    <col min="17" max="17" width="15.5" customWidth="1"/>
    <col min="18" max="18" width="19.1640625" customWidth="1"/>
    <col min="19" max="19" width="5.83203125" customWidth="1"/>
    <col min="20" max="20" width="16.33203125" customWidth="1"/>
  </cols>
  <sheetData>
    <row r="2" spans="2:20" ht="19.5" customHeight="1" x14ac:dyDescent="0.25">
      <c r="B2" s="184" t="s">
        <v>94</v>
      </c>
      <c r="C2" s="184"/>
      <c r="D2" s="184"/>
      <c r="E2" s="184"/>
      <c r="G2" s="184" t="s">
        <v>95</v>
      </c>
      <c r="H2" s="184"/>
      <c r="I2" s="184"/>
      <c r="J2" s="184"/>
      <c r="L2" s="185" t="s">
        <v>96</v>
      </c>
      <c r="M2" s="185"/>
      <c r="N2" s="185"/>
      <c r="P2" s="54" t="s">
        <v>97</v>
      </c>
      <c r="Q2" s="55" t="s">
        <v>98</v>
      </c>
      <c r="R2" s="55" t="s">
        <v>99</v>
      </c>
      <c r="T2" s="56" t="s">
        <v>100</v>
      </c>
    </row>
    <row r="3" spans="2:20" ht="19" x14ac:dyDescent="0.25">
      <c r="B3" s="57" t="s">
        <v>101</v>
      </c>
      <c r="C3" s="57" t="s">
        <v>1</v>
      </c>
      <c r="D3" s="57" t="s">
        <v>102</v>
      </c>
      <c r="E3" s="57" t="s">
        <v>103</v>
      </c>
      <c r="G3" s="57" t="s">
        <v>101</v>
      </c>
      <c r="H3" s="57" t="s">
        <v>1</v>
      </c>
      <c r="I3" s="57" t="s">
        <v>102</v>
      </c>
      <c r="J3" s="57" t="s">
        <v>103</v>
      </c>
      <c r="L3" s="58" t="s">
        <v>104</v>
      </c>
      <c r="M3" s="58" t="s">
        <v>105</v>
      </c>
      <c r="N3" s="58" t="s">
        <v>106</v>
      </c>
      <c r="P3" s="59"/>
      <c r="Q3" s="59"/>
      <c r="R3" s="59"/>
      <c r="T3" s="59"/>
    </row>
    <row r="4" spans="2:20" ht="21" x14ac:dyDescent="0.25">
      <c r="B4" s="60" t="s">
        <v>4</v>
      </c>
      <c r="C4" s="61">
        <f>Utilidad!A1</f>
        <v>0</v>
      </c>
      <c r="D4" s="62">
        <f>IF(Utilidad!C$46&gt;1,Utilidad!C1/100,Utilidad!C1)</f>
        <v>0</v>
      </c>
      <c r="E4" s="62">
        <f>IF(Utilidad!$E$46&gt;1,Utilidad!E1/100,Utilidad!E1)</f>
        <v>0</v>
      </c>
      <c r="G4" s="60" t="s">
        <v>4</v>
      </c>
      <c r="H4" s="61">
        <f>Utilidad!B1</f>
        <v>0</v>
      </c>
      <c r="I4" s="62">
        <f>IF(Utilidad!$D$46&gt;1,Utilidad!D1/100,Utilidad!D1)</f>
        <v>0</v>
      </c>
      <c r="J4" s="62">
        <f>IF(Utilidad!$F$46&gt;1,Utilidad!F1/100,Utilidad!F1)</f>
        <v>0</v>
      </c>
      <c r="L4" s="63">
        <f t="shared" ref="L4:L35" si="0">+IF(C4&lt;&gt;0,(H4-C4)/C4,ABS(H4-C4))</f>
        <v>0</v>
      </c>
      <c r="M4" s="63">
        <f t="shared" ref="M4:M35" si="1">+IF(D4&lt;&gt;0,(I4-D4)/D4,0)</f>
        <v>0</v>
      </c>
      <c r="N4" s="63">
        <f t="shared" ref="N4:N35" si="2">+IF(E4&lt;&gt;0,(J4-E4)/E4,0)</f>
        <v>0</v>
      </c>
      <c r="P4" s="62">
        <f t="shared" ref="P4:P35" si="3">+IF(L4&lt;&gt;"",ABS(L4),0)</f>
        <v>0</v>
      </c>
      <c r="Q4" s="62">
        <f t="shared" ref="Q4:Q35" si="4">+IF(L4&lt;&gt;"",ABS(M4),0)</f>
        <v>0</v>
      </c>
      <c r="R4" s="62">
        <f t="shared" ref="R4:R35" si="5">+IF(M4&lt;&gt;"",ABS(N4),0)</f>
        <v>0</v>
      </c>
      <c r="T4" s="64" t="str">
        <f t="shared" ref="T4:T35" si="6">IF(J4&lt;=I4,"SI","NO")</f>
        <v>SI</v>
      </c>
    </row>
    <row r="5" spans="2:20" ht="21" x14ac:dyDescent="0.25">
      <c r="B5" s="60" t="s">
        <v>5</v>
      </c>
      <c r="C5" s="61">
        <f>Utilidad!A2</f>
        <v>0</v>
      </c>
      <c r="D5" s="62">
        <f>IF(Utilidad!C$46&gt;1,Utilidad!C2/100,Utilidad!C2)</f>
        <v>0</v>
      </c>
      <c r="E5" s="62">
        <f>IF(Utilidad!$E$46&gt;1,Utilidad!E2/100,Utilidad!E2)</f>
        <v>0</v>
      </c>
      <c r="G5" s="60" t="s">
        <v>5</v>
      </c>
      <c r="H5" s="61">
        <f>Utilidad!B2</f>
        <v>0</v>
      </c>
      <c r="I5" s="62">
        <f>IF(Utilidad!$D$46&gt;1,Utilidad!D2/100,Utilidad!D2)</f>
        <v>0</v>
      </c>
      <c r="J5" s="62">
        <f>IF(Utilidad!$F$46&gt;1,Utilidad!F2/100,Utilidad!F2)</f>
        <v>0</v>
      </c>
      <c r="L5" s="63">
        <f t="shared" si="0"/>
        <v>0</v>
      </c>
      <c r="M5" s="63">
        <f t="shared" si="1"/>
        <v>0</v>
      </c>
      <c r="N5" s="63">
        <f t="shared" si="2"/>
        <v>0</v>
      </c>
      <c r="P5" s="62">
        <f t="shared" si="3"/>
        <v>0</v>
      </c>
      <c r="Q5" s="62">
        <f t="shared" si="4"/>
        <v>0</v>
      </c>
      <c r="R5" s="62">
        <f t="shared" si="5"/>
        <v>0</v>
      </c>
      <c r="T5" s="64" t="str">
        <f t="shared" si="6"/>
        <v>SI</v>
      </c>
    </row>
    <row r="6" spans="2:20" ht="21" x14ac:dyDescent="0.25">
      <c r="B6" s="60" t="s">
        <v>6</v>
      </c>
      <c r="C6" s="61">
        <f>Utilidad!A3</f>
        <v>0</v>
      </c>
      <c r="D6" s="62">
        <f>IF(Utilidad!C$46&gt;1,Utilidad!C3/100,Utilidad!C3)</f>
        <v>0</v>
      </c>
      <c r="E6" s="62">
        <f>IF(Utilidad!$E$46&gt;1,Utilidad!E3/100,Utilidad!E3)</f>
        <v>0</v>
      </c>
      <c r="G6" s="60" t="s">
        <v>6</v>
      </c>
      <c r="H6" s="61">
        <f>Utilidad!B3</f>
        <v>0</v>
      </c>
      <c r="I6" s="62">
        <f>IF(Utilidad!$D$46&gt;1,Utilidad!D3/100,Utilidad!D3)</f>
        <v>0</v>
      </c>
      <c r="J6" s="62">
        <f>IF(Utilidad!$F$46&gt;1,Utilidad!F3/100,Utilidad!F3)</f>
        <v>0</v>
      </c>
      <c r="L6" s="63">
        <f t="shared" si="0"/>
        <v>0</v>
      </c>
      <c r="M6" s="63">
        <f t="shared" si="1"/>
        <v>0</v>
      </c>
      <c r="N6" s="63">
        <f t="shared" si="2"/>
        <v>0</v>
      </c>
      <c r="P6" s="62">
        <f t="shared" si="3"/>
        <v>0</v>
      </c>
      <c r="Q6" s="62">
        <f t="shared" si="4"/>
        <v>0</v>
      </c>
      <c r="R6" s="62">
        <f t="shared" si="5"/>
        <v>0</v>
      </c>
      <c r="T6" s="64" t="str">
        <f t="shared" si="6"/>
        <v>SI</v>
      </c>
    </row>
    <row r="7" spans="2:20" ht="21" x14ac:dyDescent="0.25">
      <c r="B7" s="60" t="s">
        <v>7</v>
      </c>
      <c r="C7" s="61">
        <f>Utilidad!A4</f>
        <v>2538</v>
      </c>
      <c r="D7" s="62">
        <f>IF(Utilidad!C$46&gt;1,Utilidad!C4/100,Utilidad!C4)</f>
        <v>0.42759999999999998</v>
      </c>
      <c r="E7" s="62">
        <f>IF(Utilidad!$E$46&gt;1,Utilidad!E4/100,Utilidad!E4)</f>
        <v>0.40490000000000004</v>
      </c>
      <c r="G7" s="60" t="s">
        <v>7</v>
      </c>
      <c r="H7" s="61">
        <f>Utilidad!B4</f>
        <v>2538</v>
      </c>
      <c r="I7" s="62">
        <f>IF(Utilidad!$D$46&gt;1,Utilidad!D4/100,Utilidad!D4)</f>
        <v>0.42787408670999999</v>
      </c>
      <c r="J7" s="62">
        <f>IF(Utilidad!$F$46&gt;1,Utilidad!F4/100,Utilidad!F4)</f>
        <v>0.40464046330000003</v>
      </c>
      <c r="L7" s="63">
        <f t="shared" si="0"/>
        <v>0</v>
      </c>
      <c r="M7" s="63">
        <f t="shared" si="1"/>
        <v>6.4098856407860142E-4</v>
      </c>
      <c r="N7" s="63">
        <f t="shared" si="2"/>
        <v>-6.4098962706842931E-4</v>
      </c>
      <c r="P7" s="62">
        <f t="shared" si="3"/>
        <v>0</v>
      </c>
      <c r="Q7" s="62">
        <f t="shared" si="4"/>
        <v>6.4098856407860142E-4</v>
      </c>
      <c r="R7" s="62">
        <f t="shared" si="5"/>
        <v>6.4098962706842931E-4</v>
      </c>
      <c r="T7" s="64" t="str">
        <f t="shared" si="6"/>
        <v>SI</v>
      </c>
    </row>
    <row r="8" spans="2:20" ht="21" x14ac:dyDescent="0.25">
      <c r="B8" s="60" t="s">
        <v>8</v>
      </c>
      <c r="C8" s="61">
        <f>Utilidad!A5</f>
        <v>2247</v>
      </c>
      <c r="D8" s="62">
        <f>IF(Utilidad!C$46&gt;1,Utilidad!C5/100,Utilidad!C5)</f>
        <v>0.42759999999999998</v>
      </c>
      <c r="E8" s="62">
        <f>IF(Utilidad!$E$46&gt;1,Utilidad!E5/100,Utilidad!E5)</f>
        <v>0.40490000000000004</v>
      </c>
      <c r="G8" s="60" t="s">
        <v>8</v>
      </c>
      <c r="H8" s="61">
        <f>Utilidad!B5</f>
        <v>2247.7275</v>
      </c>
      <c r="I8" s="62">
        <f>IF(Utilidad!$D$46&gt;1,Utilidad!D5/100,Utilidad!D5)</f>
        <v>0.4273572779</v>
      </c>
      <c r="J8" s="62">
        <f>IF(Utilidad!$F$46&gt;1,Utilidad!F5/100,Utilidad!F5)</f>
        <v>0.40512983622999998</v>
      </c>
      <c r="L8" s="63">
        <f t="shared" si="0"/>
        <v>3.2376502002668609E-4</v>
      </c>
      <c r="M8" s="63">
        <f t="shared" si="1"/>
        <v>-5.6763821328339873E-4</v>
      </c>
      <c r="N8" s="63">
        <f t="shared" si="2"/>
        <v>5.676370214866554E-4</v>
      </c>
      <c r="P8" s="62">
        <f t="shared" si="3"/>
        <v>3.2376502002668609E-4</v>
      </c>
      <c r="Q8" s="62">
        <f t="shared" si="4"/>
        <v>5.6763821328339873E-4</v>
      </c>
      <c r="R8" s="62">
        <f t="shared" si="5"/>
        <v>5.676370214866554E-4</v>
      </c>
      <c r="T8" s="64" t="str">
        <f t="shared" si="6"/>
        <v>SI</v>
      </c>
    </row>
    <row r="9" spans="2:20" ht="21" x14ac:dyDescent="0.25">
      <c r="B9" s="60" t="s">
        <v>9</v>
      </c>
      <c r="C9" s="61">
        <f>Utilidad!A6</f>
        <v>291</v>
      </c>
      <c r="D9" s="62">
        <f>IF(Utilidad!C$46&gt;1,Utilidad!C6/100,Utilidad!C6)</f>
        <v>0.42759999999999998</v>
      </c>
      <c r="E9" s="62">
        <f>IF(Utilidad!$E$46&gt;1,Utilidad!E6/100,Utilidad!E6)</f>
        <v>0.40490000000000004</v>
      </c>
      <c r="G9" s="60" t="s">
        <v>9</v>
      </c>
      <c r="H9" s="61">
        <f>Utilidad!B6</f>
        <v>290.27249999999998</v>
      </c>
      <c r="I9" s="62">
        <f>IF(Utilidad!$D$46&gt;1,Utilidad!D6/100,Utilidad!D6)</f>
        <v>0.43187600000000004</v>
      </c>
      <c r="J9" s="62">
        <f>IF(Utilidad!$F$46&gt;1,Utilidad!F6/100,Utilidad!F6)</f>
        <v>0.40085099999999996</v>
      </c>
      <c r="L9" s="63">
        <f t="shared" si="0"/>
        <v>-2.5000000000000703E-3</v>
      </c>
      <c r="M9" s="63">
        <f t="shared" si="1"/>
        <v>1.0000000000000136E-2</v>
      </c>
      <c r="N9" s="63">
        <f t="shared" si="2"/>
        <v>-1.0000000000000198E-2</v>
      </c>
      <c r="P9" s="62">
        <f t="shared" si="3"/>
        <v>2.5000000000000703E-3</v>
      </c>
      <c r="Q9" s="62">
        <f t="shared" si="4"/>
        <v>1.0000000000000136E-2</v>
      </c>
      <c r="R9" s="62">
        <f t="shared" si="5"/>
        <v>1.0000000000000198E-2</v>
      </c>
      <c r="T9" s="64" t="str">
        <f t="shared" si="6"/>
        <v>SI</v>
      </c>
    </row>
    <row r="10" spans="2:20" ht="21" x14ac:dyDescent="0.25">
      <c r="B10" s="60" t="s">
        <v>10</v>
      </c>
      <c r="C10" s="61">
        <f>Utilidad!A7</f>
        <v>12718</v>
      </c>
      <c r="D10" s="62">
        <f>IF(Utilidad!C$46&gt;1,Utilidad!C7/100,Utilidad!C7)</f>
        <v>0.4451</v>
      </c>
      <c r="E10" s="62">
        <f>IF(Utilidad!$E$46&gt;1,Utilidad!E7/100,Utilidad!E7)</f>
        <v>0.42399999999999999</v>
      </c>
      <c r="G10" s="60" t="s">
        <v>10</v>
      </c>
      <c r="H10" s="61">
        <f>Utilidad!B7</f>
        <v>12718</v>
      </c>
      <c r="I10" s="62">
        <f>IF(Utilidad!$D$46&gt;1,Utilidad!D7/100,Utilidad!D7)</f>
        <v>0.44566456983000002</v>
      </c>
      <c r="J10" s="62">
        <f>IF(Utilidad!$F$46&gt;1,Utilidad!F7/100,Utilidad!F7)</f>
        <v>0.42346219323000001</v>
      </c>
      <c r="L10" s="63">
        <f t="shared" si="0"/>
        <v>0</v>
      </c>
      <c r="M10" s="63">
        <f t="shared" si="1"/>
        <v>1.268411210963891E-3</v>
      </c>
      <c r="N10" s="63">
        <f t="shared" si="2"/>
        <v>-1.2684121933961845E-3</v>
      </c>
      <c r="P10" s="62">
        <f t="shared" si="3"/>
        <v>0</v>
      </c>
      <c r="Q10" s="62">
        <f t="shared" si="4"/>
        <v>1.268411210963891E-3</v>
      </c>
      <c r="R10" s="62">
        <f t="shared" si="5"/>
        <v>1.2684121933961845E-3</v>
      </c>
      <c r="T10" s="64" t="str">
        <f t="shared" si="6"/>
        <v>SI</v>
      </c>
    </row>
    <row r="11" spans="2:20" ht="21" x14ac:dyDescent="0.25">
      <c r="B11" s="60" t="s">
        <v>11</v>
      </c>
      <c r="C11" s="61">
        <f>Utilidad!A8</f>
        <v>10083</v>
      </c>
      <c r="D11" s="62">
        <f>IF(Utilidad!C$46&gt;1,Utilidad!C8/100,Utilidad!C8)</f>
        <v>0.4451</v>
      </c>
      <c r="E11" s="62">
        <f>IF(Utilidad!$E$46&gt;1,Utilidad!E8/100,Utilidad!E8)</f>
        <v>0.42399999999999999</v>
      </c>
      <c r="G11" s="60" t="s">
        <v>11</v>
      </c>
      <c r="H11" s="61">
        <f>Utilidad!B8</f>
        <v>10089.5875</v>
      </c>
      <c r="I11" s="62">
        <f>IF(Utilidad!$D$46&gt;1,Utilidad!D8/100,Utilidad!D8)</f>
        <v>0.44465212590000003</v>
      </c>
      <c r="J11" s="62">
        <f>IF(Utilidad!$F$46&gt;1,Utilidad!F8/100,Utilidad!F8)</f>
        <v>0.42442664207000003</v>
      </c>
      <c r="L11" s="63">
        <f t="shared" si="0"/>
        <v>6.5332738272335972E-4</v>
      </c>
      <c r="M11" s="63">
        <f t="shared" si="1"/>
        <v>-1.0062325320152046E-3</v>
      </c>
      <c r="N11" s="63">
        <f t="shared" si="2"/>
        <v>1.006231297169902E-3</v>
      </c>
      <c r="P11" s="62">
        <f t="shared" si="3"/>
        <v>6.5332738272335972E-4</v>
      </c>
      <c r="Q11" s="62">
        <f t="shared" si="4"/>
        <v>1.0062325320152046E-3</v>
      </c>
      <c r="R11" s="62">
        <f t="shared" si="5"/>
        <v>1.006231297169902E-3</v>
      </c>
      <c r="T11" s="64" t="str">
        <f t="shared" si="6"/>
        <v>SI</v>
      </c>
    </row>
    <row r="12" spans="2:20" ht="21" x14ac:dyDescent="0.25">
      <c r="B12" s="60" t="s">
        <v>12</v>
      </c>
      <c r="C12" s="61">
        <f>Utilidad!A9</f>
        <v>2635</v>
      </c>
      <c r="D12" s="62">
        <f>IF(Utilidad!C$46&gt;1,Utilidad!C9/100,Utilidad!C9)</f>
        <v>0.4451</v>
      </c>
      <c r="E12" s="62">
        <f>IF(Utilidad!$E$46&gt;1,Utilidad!E9/100,Utilidad!E9)</f>
        <v>0.42399999999999999</v>
      </c>
      <c r="G12" s="60" t="s">
        <v>12</v>
      </c>
      <c r="H12" s="61">
        <f>Utilidad!B9</f>
        <v>2628.4124999999999</v>
      </c>
      <c r="I12" s="62">
        <f>IF(Utilidad!$D$46&gt;1,Utilidad!D9/100,Utilidad!D9)</f>
        <v>0.44955100000000003</v>
      </c>
      <c r="J12" s="62">
        <f>IF(Utilidad!$F$46&gt;1,Utilidad!F9/100,Utilidad!F9)</f>
        <v>0.41975999999999997</v>
      </c>
      <c r="L12" s="63">
        <f t="shared" si="0"/>
        <v>-2.5000000000000343E-3</v>
      </c>
      <c r="M12" s="63">
        <f t="shared" si="1"/>
        <v>1.0000000000000085E-2</v>
      </c>
      <c r="N12" s="63">
        <f t="shared" si="2"/>
        <v>-1.0000000000000051E-2</v>
      </c>
      <c r="P12" s="62">
        <f t="shared" si="3"/>
        <v>2.5000000000000343E-3</v>
      </c>
      <c r="Q12" s="62">
        <f t="shared" si="4"/>
        <v>1.0000000000000085E-2</v>
      </c>
      <c r="R12" s="62">
        <f t="shared" si="5"/>
        <v>1.0000000000000051E-2</v>
      </c>
      <c r="T12" s="64" t="str">
        <f t="shared" si="6"/>
        <v>SI</v>
      </c>
    </row>
    <row r="13" spans="2:20" ht="21" x14ac:dyDescent="0.25">
      <c r="B13" s="60" t="s">
        <v>13</v>
      </c>
      <c r="C13" s="61">
        <f>Utilidad!A10</f>
        <v>14995</v>
      </c>
      <c r="D13" s="62">
        <f>IF(Utilidad!C$46&gt;1,Utilidad!C10/100,Utilidad!C10)</f>
        <v>0.45649999999999996</v>
      </c>
      <c r="E13" s="62">
        <f>IF(Utilidad!$E$46&gt;1,Utilidad!E10/100,Utilidad!E10)</f>
        <v>0.43229999999999996</v>
      </c>
      <c r="G13" s="60" t="s">
        <v>13</v>
      </c>
      <c r="H13" s="61">
        <f>Utilidad!B10</f>
        <v>14995</v>
      </c>
      <c r="I13" s="62">
        <f>IF(Utilidad!$D$46&gt;1,Utilidad!D10/100,Utilidad!D10)</f>
        <v>0.45297055327999997</v>
      </c>
      <c r="J13" s="62">
        <f>IF(Utilidad!$F$46&gt;1,Utilidad!F10/100,Utilidad!F10)</f>
        <v>0.440946</v>
      </c>
      <c r="L13" s="63">
        <f t="shared" si="0"/>
        <v>0</v>
      </c>
      <c r="M13" s="63">
        <f t="shared" si="1"/>
        <v>-7.7315371741511416E-3</v>
      </c>
      <c r="N13" s="63">
        <f t="shared" si="2"/>
        <v>2.0000000000000101E-2</v>
      </c>
      <c r="P13" s="62">
        <f t="shared" si="3"/>
        <v>0</v>
      </c>
      <c r="Q13" s="62">
        <f t="shared" si="4"/>
        <v>7.7315371741511416E-3</v>
      </c>
      <c r="R13" s="62">
        <f t="shared" si="5"/>
        <v>2.0000000000000101E-2</v>
      </c>
      <c r="T13" s="64" t="str">
        <f t="shared" si="6"/>
        <v>SI</v>
      </c>
    </row>
    <row r="14" spans="2:20" ht="21" x14ac:dyDescent="0.25">
      <c r="B14" s="60" t="s">
        <v>14</v>
      </c>
      <c r="C14" s="61">
        <f>Utilidad!A11</f>
        <v>14995</v>
      </c>
      <c r="D14" s="62">
        <f>IF(Utilidad!C$46&gt;1,Utilidad!C11/100,Utilidad!C11)</f>
        <v>0.45649999999999996</v>
      </c>
      <c r="E14" s="62">
        <f>IF(Utilidad!$E$46&gt;1,Utilidad!E11/100,Utilidad!E11)</f>
        <v>0.43229999999999996</v>
      </c>
      <c r="G14" s="60" t="s">
        <v>14</v>
      </c>
      <c r="H14" s="61">
        <f>Utilidad!B11</f>
        <v>14995</v>
      </c>
      <c r="I14" s="62">
        <f>IF(Utilidad!$D$46&gt;1,Utilidad!D11/100,Utilidad!D11)</f>
        <v>0.45297055327999997</v>
      </c>
      <c r="J14" s="62">
        <f>IF(Utilidad!$F$46&gt;1,Utilidad!F11/100,Utilidad!F11)</f>
        <v>0.440946</v>
      </c>
      <c r="L14" s="63">
        <f t="shared" si="0"/>
        <v>0</v>
      </c>
      <c r="M14" s="63">
        <f t="shared" si="1"/>
        <v>-7.7315371741511416E-3</v>
      </c>
      <c r="N14" s="63">
        <f t="shared" si="2"/>
        <v>2.0000000000000101E-2</v>
      </c>
      <c r="P14" s="62">
        <f t="shared" si="3"/>
        <v>0</v>
      </c>
      <c r="Q14" s="62">
        <f t="shared" si="4"/>
        <v>7.7315371741511416E-3</v>
      </c>
      <c r="R14" s="62">
        <f t="shared" si="5"/>
        <v>2.0000000000000101E-2</v>
      </c>
      <c r="T14" s="64" t="str">
        <f t="shared" si="6"/>
        <v>SI</v>
      </c>
    </row>
    <row r="15" spans="2:20" ht="21" x14ac:dyDescent="0.25">
      <c r="B15" s="60" t="s">
        <v>15</v>
      </c>
      <c r="C15" s="61">
        <f>Utilidad!A12</f>
        <v>0</v>
      </c>
      <c r="D15" s="62">
        <f>IF(Utilidad!C$46&gt;1,Utilidad!C12/100,Utilidad!C12)</f>
        <v>0.45649999999999996</v>
      </c>
      <c r="E15" s="62">
        <f>IF(Utilidad!$E$46&gt;1,Utilidad!E12/100,Utilidad!E12)</f>
        <v>0.43229999999999996</v>
      </c>
      <c r="G15" s="60" t="s">
        <v>15</v>
      </c>
      <c r="H15" s="61">
        <f>Utilidad!B12</f>
        <v>0</v>
      </c>
      <c r="I15" s="62">
        <f>IF(Utilidad!$D$46&gt;1,Utilidad!D12/100,Utilidad!D12)</f>
        <v>0.45650000820000003</v>
      </c>
      <c r="J15" s="62">
        <f>IF(Utilidad!$F$46&gt;1,Utilidad!F12/100,Utilidad!F12)</f>
        <v>0.43229999116000001</v>
      </c>
      <c r="L15" s="63">
        <f t="shared" si="0"/>
        <v>0</v>
      </c>
      <c r="M15" s="63">
        <f t="shared" si="1"/>
        <v>1.7962760280062166E-8</v>
      </c>
      <c r="N15" s="63">
        <f t="shared" si="2"/>
        <v>-2.0448762327709375E-8</v>
      </c>
      <c r="P15" s="62">
        <f t="shared" si="3"/>
        <v>0</v>
      </c>
      <c r="Q15" s="62">
        <f t="shared" si="4"/>
        <v>1.7962760280062166E-8</v>
      </c>
      <c r="R15" s="62">
        <f t="shared" si="5"/>
        <v>2.0448762327709375E-8</v>
      </c>
      <c r="T15" s="64" t="str">
        <f t="shared" si="6"/>
        <v>SI</v>
      </c>
    </row>
    <row r="16" spans="2:20" ht="21" x14ac:dyDescent="0.25">
      <c r="B16" s="60" t="s">
        <v>16</v>
      </c>
      <c r="C16" s="61">
        <f>Utilidad!A13</f>
        <v>1056</v>
      </c>
      <c r="D16" s="62">
        <f>IF(Utilidad!C$46&gt;1,Utilidad!C13/100,Utilidad!C13)</f>
        <v>0.50130000000000008</v>
      </c>
      <c r="E16" s="62">
        <f>IF(Utilidad!$E$46&gt;1,Utilidad!E13/100,Utilidad!E13)</f>
        <v>0.4385</v>
      </c>
      <c r="G16" s="60" t="s">
        <v>16</v>
      </c>
      <c r="H16" s="61">
        <f>Utilidad!B13</f>
        <v>1056</v>
      </c>
      <c r="I16" s="62">
        <f>IF(Utilidad!$D$46&gt;1,Utilidad!D13/100,Utilidad!D13)</f>
        <v>0.50130001784</v>
      </c>
      <c r="J16" s="62">
        <f>IF(Utilidad!$F$46&gt;1,Utilidad!F13/100,Utilidad!F13)</f>
        <v>0.43849999087999997</v>
      </c>
      <c r="L16" s="63">
        <f t="shared" si="0"/>
        <v>0</v>
      </c>
      <c r="M16" s="63">
        <f t="shared" si="1"/>
        <v>3.5587472415272254E-8</v>
      </c>
      <c r="N16" s="63">
        <f t="shared" si="2"/>
        <v>-2.0798175673767886E-8</v>
      </c>
      <c r="P16" s="62">
        <f t="shared" si="3"/>
        <v>0</v>
      </c>
      <c r="Q16" s="62">
        <f t="shared" si="4"/>
        <v>3.5587472415272254E-8</v>
      </c>
      <c r="R16" s="62">
        <f t="shared" si="5"/>
        <v>2.0798175673767886E-8</v>
      </c>
      <c r="T16" s="64" t="str">
        <f t="shared" si="6"/>
        <v>SI</v>
      </c>
    </row>
    <row r="17" spans="2:20" ht="21" x14ac:dyDescent="0.25">
      <c r="B17" s="60" t="s">
        <v>17</v>
      </c>
      <c r="C17" s="61">
        <f>Utilidad!A14</f>
        <v>1056</v>
      </c>
      <c r="D17" s="62">
        <f>IF(Utilidad!C$46&gt;1,Utilidad!C14/100,Utilidad!C14)</f>
        <v>0.50130000000000008</v>
      </c>
      <c r="E17" s="62">
        <f>IF(Utilidad!$E$46&gt;1,Utilidad!E14/100,Utilidad!E14)</f>
        <v>0.4385</v>
      </c>
      <c r="G17" s="60" t="s">
        <v>17</v>
      </c>
      <c r="H17" s="61">
        <f>Utilidad!B14</f>
        <v>1056</v>
      </c>
      <c r="I17" s="62">
        <f>IF(Utilidad!$D$46&gt;1,Utilidad!D14/100,Utilidad!D14)</f>
        <v>0.50130001784</v>
      </c>
      <c r="J17" s="62">
        <f>IF(Utilidad!$F$46&gt;1,Utilidad!F14/100,Utilidad!F14)</f>
        <v>0.43849999087999997</v>
      </c>
      <c r="L17" s="63">
        <f t="shared" si="0"/>
        <v>0</v>
      </c>
      <c r="M17" s="63">
        <f t="shared" si="1"/>
        <v>3.5587472415272254E-8</v>
      </c>
      <c r="N17" s="63">
        <f t="shared" si="2"/>
        <v>-2.0798175673767886E-8</v>
      </c>
      <c r="P17" s="62">
        <f t="shared" si="3"/>
        <v>0</v>
      </c>
      <c r="Q17" s="62">
        <f t="shared" si="4"/>
        <v>3.5587472415272254E-8</v>
      </c>
      <c r="R17" s="62">
        <f t="shared" si="5"/>
        <v>2.0798175673767886E-8</v>
      </c>
      <c r="T17" s="64" t="str">
        <f t="shared" si="6"/>
        <v>SI</v>
      </c>
    </row>
    <row r="18" spans="2:20" ht="21" x14ac:dyDescent="0.25">
      <c r="B18" s="60" t="s">
        <v>18</v>
      </c>
      <c r="C18" s="61">
        <f>Utilidad!A15</f>
        <v>0</v>
      </c>
      <c r="D18" s="62">
        <f>IF(Utilidad!C$46&gt;1,Utilidad!C15/100,Utilidad!C15)</f>
        <v>0.50130000000000008</v>
      </c>
      <c r="E18" s="62">
        <f>IF(Utilidad!$E$46&gt;1,Utilidad!E15/100,Utilidad!E15)</f>
        <v>0.4385</v>
      </c>
      <c r="G18" s="60" t="s">
        <v>18</v>
      </c>
      <c r="H18" s="61">
        <f>Utilidad!B15</f>
        <v>0</v>
      </c>
      <c r="I18" s="62">
        <f>IF(Utilidad!$D$46&gt;1,Utilidad!D15/100,Utilidad!D15)</f>
        <v>0.50130001772999999</v>
      </c>
      <c r="J18" s="62">
        <f>IF(Utilidad!$F$46&gt;1,Utilidad!F15/100,Utilidad!F15)</f>
        <v>0.43849999111000004</v>
      </c>
      <c r="L18" s="63">
        <f t="shared" si="0"/>
        <v>0</v>
      </c>
      <c r="M18" s="63">
        <f t="shared" si="1"/>
        <v>3.536804291377327E-8</v>
      </c>
      <c r="N18" s="63">
        <f t="shared" si="2"/>
        <v>-2.0273660110389467E-8</v>
      </c>
      <c r="P18" s="62">
        <f t="shared" si="3"/>
        <v>0</v>
      </c>
      <c r="Q18" s="62">
        <f t="shared" si="4"/>
        <v>3.536804291377327E-8</v>
      </c>
      <c r="R18" s="62">
        <f t="shared" si="5"/>
        <v>2.0273660110389467E-8</v>
      </c>
      <c r="T18" s="64" t="str">
        <f t="shared" si="6"/>
        <v>SI</v>
      </c>
    </row>
    <row r="19" spans="2:20" ht="21" x14ac:dyDescent="0.25">
      <c r="B19" s="60" t="s">
        <v>19</v>
      </c>
      <c r="C19" s="61">
        <f>Utilidad!A16</f>
        <v>0</v>
      </c>
      <c r="D19" s="62">
        <f>IF(Utilidad!C$46&gt;1,Utilidad!C16/100,Utilidad!C16)</f>
        <v>0.43520000000000003</v>
      </c>
      <c r="E19" s="62">
        <f>IF(Utilidad!$E$46&gt;1,Utilidad!E16/100,Utilidad!E16)</f>
        <v>0.41389999999999999</v>
      </c>
      <c r="G19" s="60" t="s">
        <v>19</v>
      </c>
      <c r="H19" s="61">
        <f>Utilidad!B16</f>
        <v>0</v>
      </c>
      <c r="I19" s="62">
        <f>IF(Utilidad!$D$46&gt;1,Utilidad!D16/100,Utilidad!D16)</f>
        <v>0.43520000910999995</v>
      </c>
      <c r="J19" s="62">
        <f>IF(Utilidad!$F$46&gt;1,Utilidad!F16/100,Utilidad!F16)</f>
        <v>0.41389999091000002</v>
      </c>
      <c r="L19" s="63">
        <f t="shared" si="0"/>
        <v>0</v>
      </c>
      <c r="M19" s="63">
        <f t="shared" si="1"/>
        <v>2.0932904230463029E-8</v>
      </c>
      <c r="N19" s="63">
        <f t="shared" si="2"/>
        <v>-2.1961826467634346E-8</v>
      </c>
      <c r="P19" s="62">
        <f t="shared" si="3"/>
        <v>0</v>
      </c>
      <c r="Q19" s="62">
        <f t="shared" si="4"/>
        <v>2.0932904230463029E-8</v>
      </c>
      <c r="R19" s="62">
        <f t="shared" si="5"/>
        <v>2.1961826467634346E-8</v>
      </c>
      <c r="T19" s="64" t="str">
        <f t="shared" si="6"/>
        <v>SI</v>
      </c>
    </row>
    <row r="20" spans="2:20" ht="21" x14ac:dyDescent="0.25">
      <c r="B20" s="60" t="s">
        <v>20</v>
      </c>
      <c r="C20" s="61">
        <f>Utilidad!A17</f>
        <v>-685</v>
      </c>
      <c r="D20" s="62">
        <f>IF(Utilidad!C$46&gt;1,Utilidad!C17/100,Utilidad!C17)</f>
        <v>0.43520000000000003</v>
      </c>
      <c r="E20" s="62">
        <f>IF(Utilidad!$E$46&gt;1,Utilidad!E17/100,Utilidad!E17)</f>
        <v>0.41389999999999999</v>
      </c>
      <c r="G20" s="60" t="s">
        <v>20</v>
      </c>
      <c r="H20" s="61">
        <f>Utilidad!B17</f>
        <v>-683.28750000000002</v>
      </c>
      <c r="I20" s="62">
        <f>IF(Utilidad!$D$46&gt;1,Utilidad!D17/100,Utilidad!D17)</f>
        <v>0.439552</v>
      </c>
      <c r="J20" s="62">
        <f>IF(Utilidad!$F$46&gt;1,Utilidad!F17/100,Utilidad!F17)</f>
        <v>0.40976100000000004</v>
      </c>
      <c r="L20" s="63">
        <f t="shared" si="0"/>
        <v>-2.4999999999999667E-3</v>
      </c>
      <c r="M20" s="63">
        <f t="shared" si="1"/>
        <v>9.9999999999999239E-3</v>
      </c>
      <c r="N20" s="63">
        <f t="shared" si="2"/>
        <v>-9.9999999999998753E-3</v>
      </c>
      <c r="P20" s="62">
        <f t="shared" si="3"/>
        <v>2.4999999999999667E-3</v>
      </c>
      <c r="Q20" s="62">
        <f t="shared" si="4"/>
        <v>9.9999999999999239E-3</v>
      </c>
      <c r="R20" s="62">
        <f t="shared" si="5"/>
        <v>9.9999999999998753E-3</v>
      </c>
      <c r="T20" s="64" t="str">
        <f t="shared" si="6"/>
        <v>SI</v>
      </c>
    </row>
    <row r="21" spans="2:20" ht="21" x14ac:dyDescent="0.25">
      <c r="B21" s="60" t="s">
        <v>21</v>
      </c>
      <c r="C21" s="61">
        <f>Utilidad!A18</f>
        <v>685</v>
      </c>
      <c r="D21" s="62">
        <f>IF(Utilidad!C$46&gt;1,Utilidad!C18/100,Utilidad!C18)</f>
        <v>0.43520000000000003</v>
      </c>
      <c r="E21" s="62">
        <f>IF(Utilidad!$E$46&gt;1,Utilidad!E18/100,Utilidad!E18)</f>
        <v>0.41389999999999999</v>
      </c>
      <c r="G21" s="60" t="s">
        <v>21</v>
      </c>
      <c r="H21" s="61">
        <f>Utilidad!B18</f>
        <v>683.28750000000002</v>
      </c>
      <c r="I21" s="62">
        <f>IF(Utilidad!$D$46&gt;1,Utilidad!D18/100,Utilidad!D18)</f>
        <v>0.439552</v>
      </c>
      <c r="J21" s="62">
        <f>IF(Utilidad!$F$46&gt;1,Utilidad!F18/100,Utilidad!F18)</f>
        <v>0.40976100000000004</v>
      </c>
      <c r="L21" s="63">
        <f t="shared" si="0"/>
        <v>-2.4999999999999667E-3</v>
      </c>
      <c r="M21" s="63">
        <f t="shared" si="1"/>
        <v>9.9999999999999239E-3</v>
      </c>
      <c r="N21" s="63">
        <f t="shared" si="2"/>
        <v>-9.9999999999998753E-3</v>
      </c>
      <c r="P21" s="62">
        <f t="shared" si="3"/>
        <v>2.4999999999999667E-3</v>
      </c>
      <c r="Q21" s="62">
        <f t="shared" si="4"/>
        <v>9.9999999999999239E-3</v>
      </c>
      <c r="R21" s="62">
        <f t="shared" si="5"/>
        <v>9.9999999999998753E-3</v>
      </c>
      <c r="T21" s="64" t="str">
        <f t="shared" si="6"/>
        <v>SI</v>
      </c>
    </row>
    <row r="22" spans="2:20" ht="21" x14ac:dyDescent="0.25">
      <c r="B22" s="60" t="s">
        <v>22</v>
      </c>
      <c r="C22" s="61">
        <f>Utilidad!A19</f>
        <v>0</v>
      </c>
      <c r="D22" s="62">
        <f>IF(Utilidad!C$46&gt;1,Utilidad!C19/100,Utilidad!C19)</f>
        <v>0</v>
      </c>
      <c r="E22" s="62">
        <f>IF(Utilidad!$E$46&gt;1,Utilidad!E19/100,Utilidad!E19)</f>
        <v>0</v>
      </c>
      <c r="G22" s="60" t="s">
        <v>22</v>
      </c>
      <c r="H22" s="61">
        <f>Utilidad!B19</f>
        <v>0</v>
      </c>
      <c r="I22" s="62">
        <f>IF(Utilidad!$D$46&gt;1,Utilidad!D19/100,Utilidad!D19)</f>
        <v>0</v>
      </c>
      <c r="J22" s="62">
        <f>IF(Utilidad!$F$46&gt;1,Utilidad!F19/100,Utilidad!F19)</f>
        <v>0</v>
      </c>
      <c r="L22" s="63">
        <f t="shared" si="0"/>
        <v>0</v>
      </c>
      <c r="M22" s="63">
        <f t="shared" si="1"/>
        <v>0</v>
      </c>
      <c r="N22" s="63">
        <f t="shared" si="2"/>
        <v>0</v>
      </c>
      <c r="P22" s="62">
        <f t="shared" si="3"/>
        <v>0</v>
      </c>
      <c r="Q22" s="62">
        <f t="shared" si="4"/>
        <v>0</v>
      </c>
      <c r="R22" s="62">
        <f t="shared" si="5"/>
        <v>0</v>
      </c>
      <c r="T22" s="64" t="str">
        <f t="shared" si="6"/>
        <v>SI</v>
      </c>
    </row>
    <row r="23" spans="2:20" ht="21" x14ac:dyDescent="0.25">
      <c r="B23" s="60" t="s">
        <v>23</v>
      </c>
      <c r="C23" s="61">
        <f>Utilidad!A20</f>
        <v>0</v>
      </c>
      <c r="D23" s="62">
        <f>IF(Utilidad!C$46&gt;1,Utilidad!C20/100,Utilidad!C20)</f>
        <v>0</v>
      </c>
      <c r="E23" s="62">
        <f>IF(Utilidad!$E$46&gt;1,Utilidad!E20/100,Utilidad!E20)</f>
        <v>0</v>
      </c>
      <c r="G23" s="60" t="s">
        <v>23</v>
      </c>
      <c r="H23" s="61">
        <f>Utilidad!B20</f>
        <v>0</v>
      </c>
      <c r="I23" s="62">
        <f>IF(Utilidad!$D$46&gt;1,Utilidad!D20/100,Utilidad!D20)</f>
        <v>0</v>
      </c>
      <c r="J23" s="62">
        <f>IF(Utilidad!$F$46&gt;1,Utilidad!F20/100,Utilidad!F20)</f>
        <v>0</v>
      </c>
      <c r="L23" s="63">
        <f t="shared" si="0"/>
        <v>0</v>
      </c>
      <c r="M23" s="63">
        <f t="shared" si="1"/>
        <v>0</v>
      </c>
      <c r="N23" s="63">
        <f t="shared" si="2"/>
        <v>0</v>
      </c>
      <c r="P23" s="62">
        <f t="shared" si="3"/>
        <v>0</v>
      </c>
      <c r="Q23" s="62">
        <f t="shared" si="4"/>
        <v>0</v>
      </c>
      <c r="R23" s="62">
        <f t="shared" si="5"/>
        <v>0</v>
      </c>
      <c r="T23" s="64" t="str">
        <f t="shared" si="6"/>
        <v>SI</v>
      </c>
    </row>
    <row r="24" spans="2:20" ht="21" x14ac:dyDescent="0.25">
      <c r="B24" s="60" t="s">
        <v>24</v>
      </c>
      <c r="C24" s="61">
        <f>Utilidad!A21</f>
        <v>0</v>
      </c>
      <c r="D24" s="62">
        <f>IF(Utilidad!C$46&gt;1,Utilidad!C21/100,Utilidad!C21)</f>
        <v>0</v>
      </c>
      <c r="E24" s="62">
        <f>IF(Utilidad!$E$46&gt;1,Utilidad!E21/100,Utilidad!E21)</f>
        <v>0</v>
      </c>
      <c r="G24" s="60" t="s">
        <v>24</v>
      </c>
      <c r="H24" s="61">
        <f>Utilidad!B21</f>
        <v>0</v>
      </c>
      <c r="I24" s="62">
        <f>IF(Utilidad!$D$46&gt;1,Utilidad!D21/100,Utilidad!D21)</f>
        <v>0</v>
      </c>
      <c r="J24" s="62">
        <f>IF(Utilidad!$F$46&gt;1,Utilidad!F21/100,Utilidad!F21)</f>
        <v>0</v>
      </c>
      <c r="L24" s="63">
        <f t="shared" si="0"/>
        <v>0</v>
      </c>
      <c r="M24" s="63">
        <f t="shared" si="1"/>
        <v>0</v>
      </c>
      <c r="N24" s="63">
        <f t="shared" si="2"/>
        <v>0</v>
      </c>
      <c r="P24" s="62">
        <f t="shared" si="3"/>
        <v>0</v>
      </c>
      <c r="Q24" s="62">
        <f t="shared" si="4"/>
        <v>0</v>
      </c>
      <c r="R24" s="62">
        <f t="shared" si="5"/>
        <v>0</v>
      </c>
      <c r="T24" s="64" t="str">
        <f t="shared" si="6"/>
        <v>SI</v>
      </c>
    </row>
    <row r="25" spans="2:20" ht="21" x14ac:dyDescent="0.25">
      <c r="B25" s="60" t="s">
        <v>26</v>
      </c>
      <c r="C25" s="61">
        <f>Utilidad!A22</f>
        <v>55</v>
      </c>
      <c r="D25" s="62">
        <f>IF(Utilidad!C$46&gt;1,Utilidad!C22/100,Utilidad!C22)</f>
        <v>0.64200000000000002</v>
      </c>
      <c r="E25" s="62">
        <f>IF(Utilidad!$E$46&gt;1,Utilidad!E22/100,Utilidad!E22)</f>
        <v>0.48399999999999999</v>
      </c>
      <c r="G25" s="60" t="s">
        <v>26</v>
      </c>
      <c r="H25" s="61">
        <f>Utilidad!B22</f>
        <v>55</v>
      </c>
      <c r="I25" s="62">
        <f>IF(Utilidad!$D$46&gt;1,Utilidad!D22/100,Utilidad!D22)</f>
        <v>0.64200001799999995</v>
      </c>
      <c r="J25" s="62">
        <f>IF(Utilidad!$F$46&gt;1,Utilidad!F22/100,Utilidad!F22)</f>
        <v>0.48399998216999995</v>
      </c>
      <c r="L25" s="63">
        <f t="shared" si="0"/>
        <v>0</v>
      </c>
      <c r="M25" s="63">
        <f t="shared" si="1"/>
        <v>2.8037383076346485E-8</v>
      </c>
      <c r="N25" s="63">
        <f t="shared" si="2"/>
        <v>-3.6838843041262154E-8</v>
      </c>
      <c r="P25" s="62">
        <f t="shared" si="3"/>
        <v>0</v>
      </c>
      <c r="Q25" s="62">
        <f t="shared" si="4"/>
        <v>2.8037383076346485E-8</v>
      </c>
      <c r="R25" s="62">
        <f t="shared" si="5"/>
        <v>3.6838843041262154E-8</v>
      </c>
      <c r="T25" s="64" t="str">
        <f t="shared" si="6"/>
        <v>SI</v>
      </c>
    </row>
    <row r="26" spans="2:20" ht="21" x14ac:dyDescent="0.25">
      <c r="B26" s="60" t="s">
        <v>28</v>
      </c>
      <c r="C26" s="61">
        <f>Utilidad!A23</f>
        <v>55</v>
      </c>
      <c r="D26" s="62">
        <f>IF(Utilidad!C$46&gt;1,Utilidad!C23/100,Utilidad!C23)</f>
        <v>0.64200000000000002</v>
      </c>
      <c r="E26" s="62">
        <f>IF(Utilidad!$E$46&gt;1,Utilidad!E23/100,Utilidad!E23)</f>
        <v>0.48399999999999999</v>
      </c>
      <c r="G26" s="60" t="s">
        <v>28</v>
      </c>
      <c r="H26" s="61">
        <f>Utilidad!B23</f>
        <v>55</v>
      </c>
      <c r="I26" s="62">
        <f>IF(Utilidad!$D$46&gt;1,Utilidad!D23/100,Utilidad!D23)</f>
        <v>0.64200001799999995</v>
      </c>
      <c r="J26" s="62">
        <f>IF(Utilidad!$F$46&gt;1,Utilidad!F23/100,Utilidad!F23)</f>
        <v>0.48399998216999995</v>
      </c>
      <c r="L26" s="63">
        <f t="shared" si="0"/>
        <v>0</v>
      </c>
      <c r="M26" s="63">
        <f t="shared" si="1"/>
        <v>2.8037383076346485E-8</v>
      </c>
      <c r="N26" s="63">
        <f t="shared" si="2"/>
        <v>-3.6838843041262154E-8</v>
      </c>
      <c r="P26" s="62">
        <f t="shared" si="3"/>
        <v>0</v>
      </c>
      <c r="Q26" s="62">
        <f t="shared" si="4"/>
        <v>2.8037383076346485E-8</v>
      </c>
      <c r="R26" s="62">
        <f t="shared" si="5"/>
        <v>3.6838843041262154E-8</v>
      </c>
      <c r="T26" s="64" t="str">
        <f t="shared" si="6"/>
        <v>SI</v>
      </c>
    </row>
    <row r="27" spans="2:20" ht="21" x14ac:dyDescent="0.25">
      <c r="B27" s="60" t="s">
        <v>30</v>
      </c>
      <c r="C27" s="61">
        <f>Utilidad!A24</f>
        <v>0</v>
      </c>
      <c r="D27" s="62">
        <f>IF(Utilidad!C$46&gt;1,Utilidad!C24/100,Utilidad!C24)</f>
        <v>0.64200000000000002</v>
      </c>
      <c r="E27" s="62">
        <f>IF(Utilidad!$E$46&gt;1,Utilidad!E24/100,Utilidad!E24)</f>
        <v>0.48399999999999999</v>
      </c>
      <c r="G27" s="60" t="s">
        <v>30</v>
      </c>
      <c r="H27" s="61">
        <f>Utilidad!B24</f>
        <v>0</v>
      </c>
      <c r="I27" s="62">
        <f>IF(Utilidad!$D$46&gt;1,Utilidad!D24/100,Utilidad!D24)</f>
        <v>0.64200001772999993</v>
      </c>
      <c r="J27" s="62">
        <f>IF(Utilidad!$F$46&gt;1,Utilidad!F24/100,Utilidad!F24)</f>
        <v>0.48399998226999996</v>
      </c>
      <c r="L27" s="63">
        <f t="shared" si="0"/>
        <v>0</v>
      </c>
      <c r="M27" s="63">
        <f t="shared" si="1"/>
        <v>2.761682229388558E-8</v>
      </c>
      <c r="N27" s="63">
        <f t="shared" si="2"/>
        <v>-3.6632231453919104E-8</v>
      </c>
      <c r="P27" s="62">
        <f t="shared" si="3"/>
        <v>0</v>
      </c>
      <c r="Q27" s="62">
        <f t="shared" si="4"/>
        <v>2.761682229388558E-8</v>
      </c>
      <c r="R27" s="62">
        <f t="shared" si="5"/>
        <v>3.6632231453919104E-8</v>
      </c>
      <c r="T27" s="64" t="str">
        <f t="shared" si="6"/>
        <v>SI</v>
      </c>
    </row>
    <row r="28" spans="2:20" ht="21" x14ac:dyDescent="0.25">
      <c r="B28" s="60" t="s">
        <v>31</v>
      </c>
      <c r="C28" s="61">
        <f>Utilidad!A25</f>
        <v>0</v>
      </c>
      <c r="D28" s="62">
        <f>IF(Utilidad!C$46&gt;1,Utilidad!C25/100,Utilidad!C25)</f>
        <v>0</v>
      </c>
      <c r="E28" s="62">
        <f>IF(Utilidad!$E$46&gt;1,Utilidad!E25/100,Utilidad!E25)</f>
        <v>0</v>
      </c>
      <c r="G28" s="60" t="s">
        <v>31</v>
      </c>
      <c r="H28" s="61">
        <f>Utilidad!B25</f>
        <v>0</v>
      </c>
      <c r="I28" s="62">
        <f>IF(Utilidad!$D$46&gt;1,Utilidad!D25/100,Utilidad!D25)</f>
        <v>0</v>
      </c>
      <c r="J28" s="62">
        <f>IF(Utilidad!$F$46&gt;1,Utilidad!F25/100,Utilidad!F25)</f>
        <v>0</v>
      </c>
      <c r="L28" s="63">
        <f t="shared" si="0"/>
        <v>0</v>
      </c>
      <c r="M28" s="63">
        <f t="shared" si="1"/>
        <v>0</v>
      </c>
      <c r="N28" s="63">
        <f t="shared" si="2"/>
        <v>0</v>
      </c>
      <c r="P28" s="62">
        <f t="shared" si="3"/>
        <v>0</v>
      </c>
      <c r="Q28" s="62">
        <f t="shared" si="4"/>
        <v>0</v>
      </c>
      <c r="R28" s="62">
        <f t="shared" si="5"/>
        <v>0</v>
      </c>
      <c r="T28" s="64" t="str">
        <f t="shared" si="6"/>
        <v>SI</v>
      </c>
    </row>
    <row r="29" spans="2:20" ht="21" x14ac:dyDescent="0.25">
      <c r="B29" s="60" t="s">
        <v>32</v>
      </c>
      <c r="C29" s="61">
        <f>Utilidad!A26</f>
        <v>0</v>
      </c>
      <c r="D29" s="62">
        <f>IF(Utilidad!C$46&gt;1,Utilidad!C26/100,Utilidad!C26)</f>
        <v>0</v>
      </c>
      <c r="E29" s="62">
        <f>IF(Utilidad!$E$46&gt;1,Utilidad!E26/100,Utilidad!E26)</f>
        <v>0</v>
      </c>
      <c r="G29" s="60" t="s">
        <v>32</v>
      </c>
      <c r="H29" s="61">
        <f>Utilidad!B26</f>
        <v>0</v>
      </c>
      <c r="I29" s="62">
        <f>IF(Utilidad!$D$46&gt;1,Utilidad!D26/100,Utilidad!D26)</f>
        <v>0</v>
      </c>
      <c r="J29" s="62">
        <f>IF(Utilidad!$F$46&gt;1,Utilidad!F26/100,Utilidad!F26)</f>
        <v>0</v>
      </c>
      <c r="L29" s="63">
        <f t="shared" si="0"/>
        <v>0</v>
      </c>
      <c r="M29" s="63">
        <f t="shared" si="1"/>
        <v>0</v>
      </c>
      <c r="N29" s="63">
        <f t="shared" si="2"/>
        <v>0</v>
      </c>
      <c r="P29" s="62">
        <f t="shared" si="3"/>
        <v>0</v>
      </c>
      <c r="Q29" s="62">
        <f t="shared" si="4"/>
        <v>0</v>
      </c>
      <c r="R29" s="62">
        <f t="shared" si="5"/>
        <v>0</v>
      </c>
      <c r="T29" s="64" t="str">
        <f t="shared" si="6"/>
        <v>SI</v>
      </c>
    </row>
    <row r="30" spans="2:20" ht="21" x14ac:dyDescent="0.25">
      <c r="B30" s="60" t="s">
        <v>34</v>
      </c>
      <c r="C30" s="61">
        <f>Utilidad!A27</f>
        <v>0</v>
      </c>
      <c r="D30" s="62">
        <f>IF(Utilidad!C$46&gt;1,Utilidad!C27/100,Utilidad!C27)</f>
        <v>0</v>
      </c>
      <c r="E30" s="62">
        <f>IF(Utilidad!$E$46&gt;1,Utilidad!E27/100,Utilidad!E27)</f>
        <v>0</v>
      </c>
      <c r="G30" s="60" t="s">
        <v>34</v>
      </c>
      <c r="H30" s="61">
        <f>Utilidad!B27</f>
        <v>0</v>
      </c>
      <c r="I30" s="62">
        <f>IF(Utilidad!$D$46&gt;1,Utilidad!D27/100,Utilidad!D27)</f>
        <v>0</v>
      </c>
      <c r="J30" s="62">
        <f>IF(Utilidad!$F$46&gt;1,Utilidad!F27/100,Utilidad!F27)</f>
        <v>0</v>
      </c>
      <c r="L30" s="63">
        <f t="shared" si="0"/>
        <v>0</v>
      </c>
      <c r="M30" s="63">
        <f t="shared" si="1"/>
        <v>0</v>
      </c>
      <c r="N30" s="63">
        <f t="shared" si="2"/>
        <v>0</v>
      </c>
      <c r="P30" s="62">
        <f t="shared" si="3"/>
        <v>0</v>
      </c>
      <c r="Q30" s="62">
        <f t="shared" si="4"/>
        <v>0</v>
      </c>
      <c r="R30" s="62">
        <f t="shared" si="5"/>
        <v>0</v>
      </c>
      <c r="T30" s="64" t="str">
        <f t="shared" si="6"/>
        <v>SI</v>
      </c>
    </row>
    <row r="31" spans="2:20" ht="21" x14ac:dyDescent="0.25">
      <c r="B31" s="60" t="s">
        <v>35</v>
      </c>
      <c r="C31" s="61">
        <f>Utilidad!A28</f>
        <v>0</v>
      </c>
      <c r="D31" s="62">
        <f>IF(Utilidad!C$46&gt;1,Utilidad!C28/100,Utilidad!C28)</f>
        <v>0</v>
      </c>
      <c r="E31" s="62">
        <f>IF(Utilidad!$E$46&gt;1,Utilidad!E28/100,Utilidad!E28)</f>
        <v>0</v>
      </c>
      <c r="G31" s="60" t="s">
        <v>35</v>
      </c>
      <c r="H31" s="61">
        <f>Utilidad!B28</f>
        <v>0</v>
      </c>
      <c r="I31" s="62">
        <f>IF(Utilidad!$D$46&gt;1,Utilidad!D28/100,Utilidad!D28)</f>
        <v>0</v>
      </c>
      <c r="J31" s="62">
        <f>IF(Utilidad!$F$46&gt;1,Utilidad!F28/100,Utilidad!F28)</f>
        <v>0</v>
      </c>
      <c r="L31" s="63">
        <f t="shared" si="0"/>
        <v>0</v>
      </c>
      <c r="M31" s="63">
        <f t="shared" si="1"/>
        <v>0</v>
      </c>
      <c r="N31" s="63">
        <f t="shared" si="2"/>
        <v>0</v>
      </c>
      <c r="P31" s="62">
        <f t="shared" si="3"/>
        <v>0</v>
      </c>
      <c r="Q31" s="62">
        <f t="shared" si="4"/>
        <v>0</v>
      </c>
      <c r="R31" s="62">
        <f t="shared" si="5"/>
        <v>0</v>
      </c>
      <c r="T31" s="64" t="str">
        <f t="shared" si="6"/>
        <v>SI</v>
      </c>
    </row>
    <row r="32" spans="2:20" ht="21" x14ac:dyDescent="0.25">
      <c r="B32" s="60" t="s">
        <v>36</v>
      </c>
      <c r="C32" s="61">
        <f>Utilidad!A29</f>
        <v>0</v>
      </c>
      <c r="D32" s="62">
        <f>IF(Utilidad!C$46&gt;1,Utilidad!C29/100,Utilidad!C29)</f>
        <v>0</v>
      </c>
      <c r="E32" s="62">
        <f>IF(Utilidad!$E$46&gt;1,Utilidad!E29/100,Utilidad!E29)</f>
        <v>0</v>
      </c>
      <c r="G32" s="60" t="s">
        <v>36</v>
      </c>
      <c r="H32" s="61">
        <f>Utilidad!B29</f>
        <v>0</v>
      </c>
      <c r="I32" s="62">
        <f>IF(Utilidad!$D$46&gt;1,Utilidad!D29/100,Utilidad!D29)</f>
        <v>0</v>
      </c>
      <c r="J32" s="62">
        <f>IF(Utilidad!$F$46&gt;1,Utilidad!F29/100,Utilidad!F29)</f>
        <v>0</v>
      </c>
      <c r="L32" s="63">
        <f t="shared" si="0"/>
        <v>0</v>
      </c>
      <c r="M32" s="63">
        <f t="shared" si="1"/>
        <v>0</v>
      </c>
      <c r="N32" s="63">
        <f t="shared" si="2"/>
        <v>0</v>
      </c>
      <c r="P32" s="62">
        <f t="shared" si="3"/>
        <v>0</v>
      </c>
      <c r="Q32" s="62">
        <f t="shared" si="4"/>
        <v>0</v>
      </c>
      <c r="R32" s="62">
        <f t="shared" si="5"/>
        <v>0</v>
      </c>
      <c r="T32" s="64" t="str">
        <f t="shared" si="6"/>
        <v>SI</v>
      </c>
    </row>
    <row r="33" spans="2:20" ht="21" x14ac:dyDescent="0.25">
      <c r="B33" s="60" t="s">
        <v>37</v>
      </c>
      <c r="C33" s="61">
        <f>Utilidad!A30</f>
        <v>0</v>
      </c>
      <c r="D33" s="62">
        <f>IF(Utilidad!C$46&gt;1,Utilidad!C30/100,Utilidad!C30)</f>
        <v>0</v>
      </c>
      <c r="E33" s="62">
        <f>IF(Utilidad!$E$46&gt;1,Utilidad!E30/100,Utilidad!E30)</f>
        <v>0</v>
      </c>
      <c r="G33" s="60" t="s">
        <v>37</v>
      </c>
      <c r="H33" s="61">
        <f>Utilidad!B30</f>
        <v>0</v>
      </c>
      <c r="I33" s="62">
        <f>IF(Utilidad!$D$46&gt;1,Utilidad!D30/100,Utilidad!D30)</f>
        <v>0</v>
      </c>
      <c r="J33" s="62">
        <f>IF(Utilidad!$F$46&gt;1,Utilidad!F30/100,Utilidad!F30)</f>
        <v>0</v>
      </c>
      <c r="L33" s="63">
        <f t="shared" si="0"/>
        <v>0</v>
      </c>
      <c r="M33" s="63">
        <f t="shared" si="1"/>
        <v>0</v>
      </c>
      <c r="N33" s="63">
        <f t="shared" si="2"/>
        <v>0</v>
      </c>
      <c r="P33" s="62">
        <f t="shared" si="3"/>
        <v>0</v>
      </c>
      <c r="Q33" s="62">
        <f t="shared" si="4"/>
        <v>0</v>
      </c>
      <c r="R33" s="62">
        <f t="shared" si="5"/>
        <v>0</v>
      </c>
      <c r="T33" s="64" t="str">
        <f t="shared" si="6"/>
        <v>SI</v>
      </c>
    </row>
    <row r="34" spans="2:20" ht="21" x14ac:dyDescent="0.25">
      <c r="B34" s="60" t="s">
        <v>38</v>
      </c>
      <c r="C34" s="61">
        <f>Utilidad!A31</f>
        <v>0</v>
      </c>
      <c r="D34" s="62">
        <f>IF(Utilidad!C$46&gt;1,Utilidad!C31/100,Utilidad!C31)</f>
        <v>0</v>
      </c>
      <c r="E34" s="62">
        <f>IF(Utilidad!$E$46&gt;1,Utilidad!E31/100,Utilidad!E31)</f>
        <v>0</v>
      </c>
      <c r="G34" s="60" t="s">
        <v>38</v>
      </c>
      <c r="H34" s="61">
        <f>Utilidad!B31</f>
        <v>0</v>
      </c>
      <c r="I34" s="62">
        <f>IF(Utilidad!$D$46&gt;1,Utilidad!D31/100,Utilidad!D31)</f>
        <v>0</v>
      </c>
      <c r="J34" s="62">
        <f>IF(Utilidad!$F$46&gt;1,Utilidad!F31/100,Utilidad!F31)</f>
        <v>0</v>
      </c>
      <c r="L34" s="63">
        <f t="shared" si="0"/>
        <v>0</v>
      </c>
      <c r="M34" s="63">
        <f t="shared" si="1"/>
        <v>0</v>
      </c>
      <c r="N34" s="63">
        <f t="shared" si="2"/>
        <v>0</v>
      </c>
      <c r="P34" s="62">
        <f t="shared" si="3"/>
        <v>0</v>
      </c>
      <c r="Q34" s="62">
        <f t="shared" si="4"/>
        <v>0</v>
      </c>
      <c r="R34" s="62">
        <f t="shared" si="5"/>
        <v>0</v>
      </c>
      <c r="T34" s="64" t="str">
        <f t="shared" si="6"/>
        <v>SI</v>
      </c>
    </row>
    <row r="35" spans="2:20" ht="21" x14ac:dyDescent="0.25">
      <c r="B35" s="60" t="s">
        <v>39</v>
      </c>
      <c r="C35" s="61">
        <f>Utilidad!A32</f>
        <v>0</v>
      </c>
      <c r="D35" s="62">
        <f>IF(Utilidad!C$46&gt;1,Utilidad!C32/100,Utilidad!C32)</f>
        <v>0</v>
      </c>
      <c r="E35" s="62">
        <f>IF(Utilidad!$E$46&gt;1,Utilidad!E32/100,Utilidad!E32)</f>
        <v>0</v>
      </c>
      <c r="G35" s="60" t="s">
        <v>39</v>
      </c>
      <c r="H35" s="61">
        <f>Utilidad!B32</f>
        <v>0</v>
      </c>
      <c r="I35" s="62">
        <f>IF(Utilidad!$D$46&gt;1,Utilidad!D32/100,Utilidad!D32)</f>
        <v>0</v>
      </c>
      <c r="J35" s="62">
        <f>IF(Utilidad!$F$46&gt;1,Utilidad!F32/100,Utilidad!F32)</f>
        <v>0</v>
      </c>
      <c r="L35" s="63">
        <f t="shared" si="0"/>
        <v>0</v>
      </c>
      <c r="M35" s="63">
        <f t="shared" si="1"/>
        <v>0</v>
      </c>
      <c r="N35" s="63">
        <f t="shared" si="2"/>
        <v>0</v>
      </c>
      <c r="P35" s="62">
        <f t="shared" si="3"/>
        <v>0</v>
      </c>
      <c r="Q35" s="62">
        <f t="shared" si="4"/>
        <v>0</v>
      </c>
      <c r="R35" s="62">
        <f t="shared" si="5"/>
        <v>0</v>
      </c>
      <c r="T35" s="64" t="str">
        <f t="shared" si="6"/>
        <v>SI</v>
      </c>
    </row>
    <row r="36" spans="2:20" ht="21" x14ac:dyDescent="0.25">
      <c r="B36" s="60" t="s">
        <v>40</v>
      </c>
      <c r="C36" s="61">
        <f>Utilidad!A33</f>
        <v>0</v>
      </c>
      <c r="D36" s="62">
        <f>IF(Utilidad!C$46&gt;1,Utilidad!C33/100,Utilidad!C33)</f>
        <v>0</v>
      </c>
      <c r="E36" s="62">
        <f>IF(Utilidad!$E$46&gt;1,Utilidad!E33/100,Utilidad!E33)</f>
        <v>0</v>
      </c>
      <c r="G36" s="60" t="s">
        <v>40</v>
      </c>
      <c r="H36" s="61">
        <f>Utilidad!B33</f>
        <v>0</v>
      </c>
      <c r="I36" s="62">
        <f>IF(Utilidad!$D$46&gt;1,Utilidad!D33/100,Utilidad!D33)</f>
        <v>0</v>
      </c>
      <c r="J36" s="62">
        <f>IF(Utilidad!$F$46&gt;1,Utilidad!F33/100,Utilidad!F33)</f>
        <v>0</v>
      </c>
      <c r="L36" s="63">
        <f t="shared" ref="L36:L65" si="7">+IF(C36&lt;&gt;0,(H36-C36)/C36,ABS(H36-C36))</f>
        <v>0</v>
      </c>
      <c r="M36" s="63">
        <f t="shared" ref="M36:M65" si="8">+IF(D36&lt;&gt;0,(I36-D36)/D36,0)</f>
        <v>0</v>
      </c>
      <c r="N36" s="63">
        <f t="shared" ref="N36:N65" si="9">+IF(E36&lt;&gt;0,(J36-E36)/E36,0)</f>
        <v>0</v>
      </c>
      <c r="P36" s="62">
        <f t="shared" ref="P36:P65" si="10">+IF(L36&lt;&gt;"",ABS(L36),0)</f>
        <v>0</v>
      </c>
      <c r="Q36" s="62">
        <f t="shared" ref="Q36:Q65" si="11">+IF(L36&lt;&gt;"",ABS(M36),0)</f>
        <v>0</v>
      </c>
      <c r="R36" s="62">
        <f t="shared" ref="R36:R65" si="12">+IF(M36&lt;&gt;"",ABS(N36),0)</f>
        <v>0</v>
      </c>
      <c r="T36" s="64" t="str">
        <f t="shared" ref="T36:T65" si="13">IF(J36&lt;=I36,"SI","NO")</f>
        <v>SI</v>
      </c>
    </row>
    <row r="37" spans="2:20" ht="21" x14ac:dyDescent="0.25">
      <c r="B37" s="60" t="s">
        <v>41</v>
      </c>
      <c r="C37" s="61">
        <f>Utilidad!A34</f>
        <v>0</v>
      </c>
      <c r="D37" s="62">
        <f>IF(Utilidad!C$46&gt;1,Utilidad!C34/100,Utilidad!C34)</f>
        <v>0</v>
      </c>
      <c r="E37" s="62">
        <f>IF(Utilidad!$E$46&gt;1,Utilidad!E34/100,Utilidad!E34)</f>
        <v>0</v>
      </c>
      <c r="G37" s="60" t="s">
        <v>41</v>
      </c>
      <c r="H37" s="61">
        <f>Utilidad!B34</f>
        <v>0</v>
      </c>
      <c r="I37" s="62">
        <f>IF(Utilidad!$D$46&gt;1,Utilidad!D34/100,Utilidad!D34)</f>
        <v>0</v>
      </c>
      <c r="J37" s="62">
        <f>IF(Utilidad!$F$46&gt;1,Utilidad!F34/100,Utilidad!F34)</f>
        <v>0</v>
      </c>
      <c r="L37" s="63">
        <f t="shared" si="7"/>
        <v>0</v>
      </c>
      <c r="M37" s="63">
        <f t="shared" si="8"/>
        <v>0</v>
      </c>
      <c r="N37" s="63">
        <f t="shared" si="9"/>
        <v>0</v>
      </c>
      <c r="P37" s="62">
        <f t="shared" si="10"/>
        <v>0</v>
      </c>
      <c r="Q37" s="62">
        <f t="shared" si="11"/>
        <v>0</v>
      </c>
      <c r="R37" s="62">
        <f t="shared" si="12"/>
        <v>0</v>
      </c>
      <c r="T37" s="64" t="str">
        <f t="shared" si="13"/>
        <v>SI</v>
      </c>
    </row>
    <row r="38" spans="2:20" ht="21" x14ac:dyDescent="0.25">
      <c r="B38" s="60" t="s">
        <v>42</v>
      </c>
      <c r="C38" s="61">
        <f>Utilidad!A35</f>
        <v>0</v>
      </c>
      <c r="D38" s="62">
        <f>IF(Utilidad!C$46&gt;1,Utilidad!C35/100,Utilidad!C35)</f>
        <v>0</v>
      </c>
      <c r="E38" s="62">
        <f>IF(Utilidad!$E$46&gt;1,Utilidad!E35/100,Utilidad!E35)</f>
        <v>0</v>
      </c>
      <c r="G38" s="60" t="s">
        <v>42</v>
      </c>
      <c r="H38" s="61">
        <f>Utilidad!B35</f>
        <v>0</v>
      </c>
      <c r="I38" s="62">
        <f>IF(Utilidad!$D$46&gt;1,Utilidad!D35/100,Utilidad!D35)</f>
        <v>0</v>
      </c>
      <c r="J38" s="62">
        <f>IF(Utilidad!$F$46&gt;1,Utilidad!F35/100,Utilidad!F35)</f>
        <v>0</v>
      </c>
      <c r="L38" s="63">
        <f t="shared" si="7"/>
        <v>0</v>
      </c>
      <c r="M38" s="63">
        <f t="shared" si="8"/>
        <v>0</v>
      </c>
      <c r="N38" s="63">
        <f t="shared" si="9"/>
        <v>0</v>
      </c>
      <c r="P38" s="62">
        <f t="shared" si="10"/>
        <v>0</v>
      </c>
      <c r="Q38" s="62">
        <f t="shared" si="11"/>
        <v>0</v>
      </c>
      <c r="R38" s="62">
        <f t="shared" si="12"/>
        <v>0</v>
      </c>
      <c r="T38" s="64" t="str">
        <f t="shared" si="13"/>
        <v>SI</v>
      </c>
    </row>
    <row r="39" spans="2:20" ht="21" x14ac:dyDescent="0.25">
      <c r="B39" s="60" t="s">
        <v>43</v>
      </c>
      <c r="C39" s="61">
        <f>Utilidad!A36</f>
        <v>0</v>
      </c>
      <c r="D39" s="62">
        <f>IF(Utilidad!C$46&gt;1,Utilidad!C36/100,Utilidad!C36)</f>
        <v>0</v>
      </c>
      <c r="E39" s="62">
        <f>IF(Utilidad!$E$46&gt;1,Utilidad!E36/100,Utilidad!E36)</f>
        <v>0</v>
      </c>
      <c r="G39" s="60" t="s">
        <v>43</v>
      </c>
      <c r="H39" s="61">
        <f>Utilidad!B36</f>
        <v>0</v>
      </c>
      <c r="I39" s="62">
        <f>IF(Utilidad!$D$46&gt;1,Utilidad!D36/100,Utilidad!D36)</f>
        <v>0</v>
      </c>
      <c r="J39" s="62">
        <f>IF(Utilidad!$F$46&gt;1,Utilidad!F36/100,Utilidad!F36)</f>
        <v>0</v>
      </c>
      <c r="L39" s="63">
        <f t="shared" si="7"/>
        <v>0</v>
      </c>
      <c r="M39" s="63">
        <f t="shared" si="8"/>
        <v>0</v>
      </c>
      <c r="N39" s="63">
        <f t="shared" si="9"/>
        <v>0</v>
      </c>
      <c r="P39" s="62">
        <f t="shared" si="10"/>
        <v>0</v>
      </c>
      <c r="Q39" s="62">
        <f t="shared" si="11"/>
        <v>0</v>
      </c>
      <c r="R39" s="62">
        <f t="shared" si="12"/>
        <v>0</v>
      </c>
      <c r="T39" s="64" t="str">
        <f t="shared" si="13"/>
        <v>SI</v>
      </c>
    </row>
    <row r="40" spans="2:20" ht="21" x14ac:dyDescent="0.25">
      <c r="B40" s="60" t="s">
        <v>44</v>
      </c>
      <c r="C40" s="61">
        <f>Utilidad!A37</f>
        <v>0</v>
      </c>
      <c r="D40" s="62">
        <f>IF(Utilidad!C$46&gt;1,Utilidad!C37/100,Utilidad!C37)</f>
        <v>0</v>
      </c>
      <c r="E40" s="62">
        <f>IF(Utilidad!$E$46&gt;1,Utilidad!E37/100,Utilidad!E37)</f>
        <v>0</v>
      </c>
      <c r="G40" s="60" t="s">
        <v>44</v>
      </c>
      <c r="H40" s="61">
        <f>Utilidad!B37</f>
        <v>0</v>
      </c>
      <c r="I40" s="62">
        <f>IF(Utilidad!$D$46&gt;1,Utilidad!D37/100,Utilidad!D37)</f>
        <v>0</v>
      </c>
      <c r="J40" s="62">
        <f>IF(Utilidad!$F$46&gt;1,Utilidad!F37/100,Utilidad!F37)</f>
        <v>0</v>
      </c>
      <c r="L40" s="63">
        <f t="shared" si="7"/>
        <v>0</v>
      </c>
      <c r="M40" s="63">
        <f t="shared" si="8"/>
        <v>0</v>
      </c>
      <c r="N40" s="63">
        <f t="shared" si="9"/>
        <v>0</v>
      </c>
      <c r="P40" s="62">
        <f t="shared" si="10"/>
        <v>0</v>
      </c>
      <c r="Q40" s="62">
        <f t="shared" si="11"/>
        <v>0</v>
      </c>
      <c r="R40" s="62">
        <f t="shared" si="12"/>
        <v>0</v>
      </c>
      <c r="T40" s="64" t="str">
        <f t="shared" si="13"/>
        <v>SI</v>
      </c>
    </row>
    <row r="41" spans="2:20" ht="21" x14ac:dyDescent="0.25">
      <c r="B41" s="60" t="s">
        <v>46</v>
      </c>
      <c r="C41" s="61">
        <f>Utilidad!A38</f>
        <v>0</v>
      </c>
      <c r="D41" s="62">
        <f>IF(Utilidad!C$46&gt;1,Utilidad!C38/100,Utilidad!C38)</f>
        <v>0</v>
      </c>
      <c r="E41" s="62">
        <f>IF(Utilidad!$E$46&gt;1,Utilidad!E38/100,Utilidad!E38)</f>
        <v>0</v>
      </c>
      <c r="G41" s="60" t="s">
        <v>46</v>
      </c>
      <c r="H41" s="61">
        <f>Utilidad!B38</f>
        <v>0</v>
      </c>
      <c r="I41" s="62">
        <f>IF(Utilidad!$D$46&gt;1,Utilidad!D38/100,Utilidad!D38)</f>
        <v>0</v>
      </c>
      <c r="J41" s="62">
        <f>IF(Utilidad!$F$46&gt;1,Utilidad!F38/100,Utilidad!F38)</f>
        <v>0</v>
      </c>
      <c r="L41" s="63">
        <f t="shared" si="7"/>
        <v>0</v>
      </c>
      <c r="M41" s="63">
        <f t="shared" si="8"/>
        <v>0</v>
      </c>
      <c r="N41" s="63">
        <f t="shared" si="9"/>
        <v>0</v>
      </c>
      <c r="P41" s="62">
        <f t="shared" si="10"/>
        <v>0</v>
      </c>
      <c r="Q41" s="62">
        <f t="shared" si="11"/>
        <v>0</v>
      </c>
      <c r="R41" s="62">
        <f t="shared" si="12"/>
        <v>0</v>
      </c>
      <c r="T41" s="64" t="str">
        <f t="shared" si="13"/>
        <v>SI</v>
      </c>
    </row>
    <row r="42" spans="2:20" ht="21" x14ac:dyDescent="0.25">
      <c r="B42" s="60" t="s">
        <v>47</v>
      </c>
      <c r="C42" s="61">
        <f>Utilidad!A39</f>
        <v>0</v>
      </c>
      <c r="D42" s="62">
        <f>IF(Utilidad!C$46&gt;1,Utilidad!C39/100,Utilidad!C39)</f>
        <v>0</v>
      </c>
      <c r="E42" s="62">
        <f>IF(Utilidad!$E$46&gt;1,Utilidad!E39/100,Utilidad!E39)</f>
        <v>0</v>
      </c>
      <c r="G42" s="60" t="s">
        <v>47</v>
      </c>
      <c r="H42" s="61">
        <f>Utilidad!B39</f>
        <v>0</v>
      </c>
      <c r="I42" s="62">
        <f>IF(Utilidad!$D$46&gt;1,Utilidad!D39/100,Utilidad!D39)</f>
        <v>0</v>
      </c>
      <c r="J42" s="62">
        <f>IF(Utilidad!$F$46&gt;1,Utilidad!F39/100,Utilidad!F39)</f>
        <v>0</v>
      </c>
      <c r="L42" s="63">
        <f t="shared" si="7"/>
        <v>0</v>
      </c>
      <c r="M42" s="63">
        <f t="shared" si="8"/>
        <v>0</v>
      </c>
      <c r="N42" s="63">
        <f t="shared" si="9"/>
        <v>0</v>
      </c>
      <c r="P42" s="62">
        <f t="shared" si="10"/>
        <v>0</v>
      </c>
      <c r="Q42" s="62">
        <f t="shared" si="11"/>
        <v>0</v>
      </c>
      <c r="R42" s="62">
        <f t="shared" si="12"/>
        <v>0</v>
      </c>
      <c r="T42" s="64" t="str">
        <f t="shared" si="13"/>
        <v>SI</v>
      </c>
    </row>
    <row r="43" spans="2:20" ht="21" x14ac:dyDescent="0.25">
      <c r="B43" s="60" t="s">
        <v>48</v>
      </c>
      <c r="C43" s="150">
        <f>Utilidad!A40</f>
        <v>987340</v>
      </c>
      <c r="D43" s="151">
        <f>IF(Utilidad!C$46&gt;1,Utilidad!C40/100,Utilidad!C40)</f>
        <v>0.14960000000000001</v>
      </c>
      <c r="E43" s="151">
        <f>IF(Utilidad!$E$46&gt;1,Utilidad!E40/100,Utilidad!E40)</f>
        <v>9.7899999999999987E-2</v>
      </c>
      <c r="G43" s="60" t="s">
        <v>48</v>
      </c>
      <c r="H43" s="150">
        <f>Utilidad!B40</f>
        <v>987340</v>
      </c>
      <c r="I43" s="151">
        <f>IF(Utilidad!$D$46&gt;1,Utilidad!D40/100,Utilidad!D40)</f>
        <v>0.14511200000000002</v>
      </c>
      <c r="J43" s="151">
        <f>IF(Utilidad!$F$46&gt;1,Utilidad!F40/100,Utilidad!F40)</f>
        <v>9.4962999999999992E-2</v>
      </c>
      <c r="L43" s="63">
        <f t="shared" si="7"/>
        <v>0</v>
      </c>
      <c r="M43" s="63">
        <f t="shared" si="8"/>
        <v>-2.9999999999999943E-2</v>
      </c>
      <c r="N43" s="63">
        <f t="shared" si="9"/>
        <v>-2.9999999999999954E-2</v>
      </c>
      <c r="P43" s="62">
        <f t="shared" si="10"/>
        <v>0</v>
      </c>
      <c r="Q43" s="62">
        <f t="shared" si="11"/>
        <v>2.9999999999999943E-2</v>
      </c>
      <c r="R43" s="62">
        <f t="shared" si="12"/>
        <v>2.9999999999999954E-2</v>
      </c>
      <c r="T43" s="64" t="str">
        <f t="shared" si="13"/>
        <v>SI</v>
      </c>
    </row>
    <row r="44" spans="2:20" ht="21" x14ac:dyDescent="0.25">
      <c r="B44" s="60" t="s">
        <v>49</v>
      </c>
      <c r="C44" s="150">
        <f>Utilidad!A41</f>
        <v>708237</v>
      </c>
      <c r="D44" s="151">
        <f>IF(Utilidad!C$46&gt;1,Utilidad!C41/100,Utilidad!C41)</f>
        <v>6.2300000000000001E-2</v>
      </c>
      <c r="E44" s="151">
        <f>IF(Utilidad!$E$46&gt;1,Utilidad!E41/100,Utilidad!E41)</f>
        <v>4.6999999999999993E-3</v>
      </c>
      <c r="G44" s="60" t="s">
        <v>49</v>
      </c>
      <c r="H44" s="150">
        <f>Utilidad!B41</f>
        <v>719116.75142999995</v>
      </c>
      <c r="I44" s="151">
        <f>IF(Utilidad!$D$46&gt;1,Utilidad!D41/100,Utilidad!D41)</f>
        <v>6.3589100652000005E-2</v>
      </c>
      <c r="J44" s="151">
        <f>IF(Utilidad!$F$46&gt;1,Utilidad!F41/100,Utilidad!F41)</f>
        <v>5.3045604898999997E-3</v>
      </c>
      <c r="L44" s="63">
        <f t="shared" si="7"/>
        <v>1.5361738274052253E-2</v>
      </c>
      <c r="M44" s="63">
        <f t="shared" si="8"/>
        <v>2.0691824269662984E-2</v>
      </c>
      <c r="N44" s="63">
        <f t="shared" si="9"/>
        <v>0.12862989146808521</v>
      </c>
      <c r="P44" s="62">
        <f t="shared" si="10"/>
        <v>1.5361738274052253E-2</v>
      </c>
      <c r="Q44" s="62">
        <f t="shared" si="11"/>
        <v>2.0691824269662984E-2</v>
      </c>
      <c r="R44" s="62">
        <f t="shared" si="12"/>
        <v>0.12862989146808521</v>
      </c>
      <c r="T44" s="64" t="str">
        <f t="shared" si="13"/>
        <v>SI</v>
      </c>
    </row>
    <row r="45" spans="2:20" ht="21" x14ac:dyDescent="0.25">
      <c r="B45" s="60" t="s">
        <v>50</v>
      </c>
      <c r="C45" s="150">
        <f>Utilidad!A42</f>
        <v>279103</v>
      </c>
      <c r="D45" s="151">
        <f>IF(Utilidad!C$46&gt;1,Utilidad!C42/100,Utilidad!C42)</f>
        <v>0.37109999999999999</v>
      </c>
      <c r="E45" s="151">
        <f>IF(Utilidad!$E$46&gt;1,Utilidad!E42/100,Utilidad!E42)</f>
        <v>0.34100000000000003</v>
      </c>
      <c r="G45" s="60" t="s">
        <v>50</v>
      </c>
      <c r="H45" s="150">
        <f>Utilidad!B42</f>
        <v>268223.24857</v>
      </c>
      <c r="I45" s="151">
        <f>IF(Utilidad!$D$46&gt;1,Utilidad!D42/100,Utilidad!D42)</f>
        <v>0.363678</v>
      </c>
      <c r="J45" s="151">
        <f>IF(Utilidad!$F$46&gt;1,Utilidad!F42/100,Utilidad!F42)</f>
        <v>0.33534069321999999</v>
      </c>
      <c r="L45" s="63">
        <f t="shared" si="7"/>
        <v>-3.8981133954131643E-2</v>
      </c>
      <c r="M45" s="63">
        <f t="shared" si="8"/>
        <v>-1.9999999999999959E-2</v>
      </c>
      <c r="N45" s="63">
        <f t="shared" si="9"/>
        <v>-1.659620756598252E-2</v>
      </c>
      <c r="P45" s="62">
        <f t="shared" si="10"/>
        <v>3.8981133954131643E-2</v>
      </c>
      <c r="Q45" s="62">
        <f t="shared" si="11"/>
        <v>1.9999999999999959E-2</v>
      </c>
      <c r="R45" s="62">
        <f t="shared" si="12"/>
        <v>1.659620756598252E-2</v>
      </c>
      <c r="T45" s="64" t="str">
        <f t="shared" si="13"/>
        <v>SI</v>
      </c>
    </row>
    <row r="46" spans="2:20" ht="21" x14ac:dyDescent="0.25">
      <c r="B46" s="60" t="s">
        <v>51</v>
      </c>
      <c r="C46" s="150">
        <f>Utilidad!A43</f>
        <v>62484</v>
      </c>
      <c r="D46" s="151">
        <f>IF(Utilidad!C$46&gt;1,Utilidad!C43/100,Utilidad!C43)</f>
        <v>7.4900000000000008E-2</v>
      </c>
      <c r="E46" s="151">
        <f>IF(Utilidad!$E$46&gt;1,Utilidad!E43/100,Utilidad!E43)</f>
        <v>1.2E-2</v>
      </c>
      <c r="G46" s="60" t="s">
        <v>51</v>
      </c>
      <c r="H46" s="150">
        <f>Utilidad!B43</f>
        <v>60464.793945999998</v>
      </c>
      <c r="I46" s="151">
        <f>IF(Utilidad!$D$46&gt;1,Utilidad!D43/100,Utilidad!D43)</f>
        <v>7.6110318891999998E-2</v>
      </c>
      <c r="J46" s="151">
        <f>IF(Utilidad!$F$46&gt;1,Utilidad!F43/100,Utilidad!F43)</f>
        <v>1.2332926971E-2</v>
      </c>
      <c r="L46" s="63">
        <f t="shared" si="7"/>
        <v>-3.2315569649830386E-2</v>
      </c>
      <c r="M46" s="63">
        <f t="shared" si="8"/>
        <v>1.6159130734312278E-2</v>
      </c>
      <c r="N46" s="63">
        <f t="shared" si="9"/>
        <v>2.7743914249999991E-2</v>
      </c>
      <c r="P46" s="62">
        <f t="shared" si="10"/>
        <v>3.2315569649830386E-2</v>
      </c>
      <c r="Q46" s="62">
        <f t="shared" si="11"/>
        <v>1.6159130734312278E-2</v>
      </c>
      <c r="R46" s="62">
        <f t="shared" si="12"/>
        <v>2.7743914249999991E-2</v>
      </c>
      <c r="T46" s="64" t="str">
        <f t="shared" si="13"/>
        <v>SI</v>
      </c>
    </row>
    <row r="47" spans="2:20" ht="21" x14ac:dyDescent="0.25">
      <c r="B47" s="60" t="s">
        <v>52</v>
      </c>
      <c r="C47" s="150">
        <f>Utilidad!A44</f>
        <v>216619</v>
      </c>
      <c r="D47" s="151">
        <f>IF(Utilidad!C$46&gt;1,Utilidad!C44/100,Utilidad!C44)</f>
        <v>0.45649999999999996</v>
      </c>
      <c r="E47" s="151">
        <f>IF(Utilidad!$E$46&gt;1,Utilidad!E44/100,Utilidad!E44)</f>
        <v>0.43229999999999996</v>
      </c>
      <c r="G47" s="60" t="s">
        <v>52</v>
      </c>
      <c r="H47" s="150">
        <f>Utilidad!B44</f>
        <v>207758.45462</v>
      </c>
      <c r="I47" s="151">
        <f>IF(Utilidad!$D$46&gt;1,Utilidad!D44/100,Utilidad!D44)</f>
        <v>0.44737000000000005</v>
      </c>
      <c r="J47" s="151">
        <f>IF(Utilidad!$F$46&gt;1,Utilidad!F44/100,Utilidad!F44)</f>
        <v>0.42934696633999997</v>
      </c>
      <c r="L47" s="63">
        <f t="shared" si="7"/>
        <v>-4.0903823671977049E-2</v>
      </c>
      <c r="M47" s="63">
        <f t="shared" si="8"/>
        <v>-1.9999999999999817E-2</v>
      </c>
      <c r="N47" s="63">
        <f t="shared" si="9"/>
        <v>-6.8309823270876549E-3</v>
      </c>
      <c r="P47" s="62">
        <f t="shared" si="10"/>
        <v>4.0903823671977049E-2</v>
      </c>
      <c r="Q47" s="62">
        <f t="shared" si="11"/>
        <v>1.9999999999999817E-2</v>
      </c>
      <c r="R47" s="62">
        <f t="shared" si="12"/>
        <v>6.8309823270876549E-3</v>
      </c>
      <c r="T47" s="64" t="str">
        <f t="shared" si="13"/>
        <v>SI</v>
      </c>
    </row>
    <row r="48" spans="2:20" ht="21" x14ac:dyDescent="0.25">
      <c r="B48" s="60" t="s">
        <v>53</v>
      </c>
      <c r="C48" s="150">
        <f>Utilidad!A45</f>
        <v>0</v>
      </c>
      <c r="D48" s="151">
        <f>IF(Utilidad!C$46&gt;1,Utilidad!C45/100,Utilidad!C45)</f>
        <v>0</v>
      </c>
      <c r="E48" s="151">
        <f>IF(Utilidad!$E$46&gt;1,Utilidad!E45/100,Utilidad!E45)</f>
        <v>0</v>
      </c>
      <c r="G48" s="60" t="s">
        <v>53</v>
      </c>
      <c r="H48" s="150">
        <f>Utilidad!B45</f>
        <v>0</v>
      </c>
      <c r="I48" s="151">
        <f>IF(Utilidad!$D$46&gt;1,Utilidad!D45/100,Utilidad!D45)</f>
        <v>0</v>
      </c>
      <c r="J48" s="151">
        <f>IF(Utilidad!$F$46&gt;1,Utilidad!F45/100,Utilidad!F45)</f>
        <v>0</v>
      </c>
      <c r="L48" s="63">
        <f t="shared" si="7"/>
        <v>0</v>
      </c>
      <c r="M48" s="63">
        <f t="shared" si="8"/>
        <v>0</v>
      </c>
      <c r="N48" s="63">
        <f t="shared" si="9"/>
        <v>0</v>
      </c>
      <c r="P48" s="62">
        <f t="shared" si="10"/>
        <v>0</v>
      </c>
      <c r="Q48" s="62">
        <f t="shared" si="11"/>
        <v>0</v>
      </c>
      <c r="R48" s="62">
        <f t="shared" si="12"/>
        <v>0</v>
      </c>
      <c r="T48" s="64" t="str">
        <f t="shared" si="13"/>
        <v>SI</v>
      </c>
    </row>
    <row r="49" spans="2:20" ht="21" x14ac:dyDescent="0.25">
      <c r="B49" s="60" t="s">
        <v>54</v>
      </c>
      <c r="C49" s="150">
        <f>Utilidad!A46</f>
        <v>3611</v>
      </c>
      <c r="D49" s="151">
        <f>IF(Utilidad!C$46&gt;1,Utilidad!C46/100,Utilidad!C46)</f>
        <v>0.44179999999999997</v>
      </c>
      <c r="E49" s="151">
        <f>IF(Utilidad!$E$46&gt;1,Utilidad!E46/100,Utilidad!E46)</f>
        <v>0.42049999999999998</v>
      </c>
      <c r="G49" s="60" t="s">
        <v>54</v>
      </c>
      <c r="H49" s="150">
        <f>Utilidad!B46</f>
        <v>3601.9724999999999</v>
      </c>
      <c r="I49" s="151">
        <f>IF(Utilidad!$D$46&gt;1,Utilidad!D46/100,Utilidad!D46)</f>
        <v>0.44622983134999999</v>
      </c>
      <c r="J49" s="151">
        <f>IF(Utilidad!$F$46&gt;1,Utilidad!F46/100,Utilidad!F46)</f>
        <v>0.41633938686999999</v>
      </c>
      <c r="L49" s="63">
        <f t="shared" si="7"/>
        <v>-2.5000000000000404E-3</v>
      </c>
      <c r="M49" s="63">
        <f t="shared" si="8"/>
        <v>1.0026779877772804E-2</v>
      </c>
      <c r="N49" s="63">
        <f t="shared" si="9"/>
        <v>-9.8944426397146023E-3</v>
      </c>
      <c r="P49" s="62">
        <f t="shared" si="10"/>
        <v>2.5000000000000404E-3</v>
      </c>
      <c r="Q49" s="62">
        <f t="shared" si="11"/>
        <v>1.0026779877772804E-2</v>
      </c>
      <c r="R49" s="62">
        <f t="shared" si="12"/>
        <v>9.8944426397146023E-3</v>
      </c>
      <c r="T49" s="64" t="str">
        <f t="shared" si="13"/>
        <v>SI</v>
      </c>
    </row>
    <row r="50" spans="2:20" ht="21" x14ac:dyDescent="0.25">
      <c r="B50" s="60" t="s">
        <v>55</v>
      </c>
      <c r="C50" s="150">
        <f>Utilidad!A47</f>
        <v>206804</v>
      </c>
      <c r="D50" s="151">
        <f>IF(Utilidad!C$46&gt;1,Utilidad!C47/100,Utilidad!C47)</f>
        <v>0.42799999999999999</v>
      </c>
      <c r="E50" s="151">
        <f>IF(Utilidad!$E$46&gt;1,Utilidad!E47/100,Utilidad!E47)</f>
        <v>0.39799999999999996</v>
      </c>
      <c r="G50" s="60" t="s">
        <v>55</v>
      </c>
      <c r="H50" s="150">
        <f>Utilidad!B47</f>
        <v>191167.49712000001</v>
      </c>
      <c r="I50" s="151">
        <f>IF(Utilidad!$D$46&gt;1,Utilidad!D47/100,Utilidad!D47)</f>
        <v>0.44541972203000002</v>
      </c>
      <c r="J50" s="151">
        <f>IF(Utilidad!$F$46&gt;1,Utilidad!F47/100,Utilidad!F47)</f>
        <v>0.42928720931999997</v>
      </c>
      <c r="L50" s="63">
        <f t="shared" si="7"/>
        <v>-7.5610253573431777E-2</v>
      </c>
      <c r="M50" s="63">
        <f t="shared" si="8"/>
        <v>4.0700285116822499E-2</v>
      </c>
      <c r="N50" s="63">
        <f t="shared" si="9"/>
        <v>7.8611078693467368E-2</v>
      </c>
      <c r="P50" s="62">
        <f t="shared" si="10"/>
        <v>7.5610253573431777E-2</v>
      </c>
      <c r="Q50" s="62">
        <f t="shared" si="11"/>
        <v>4.0700285116822499E-2</v>
      </c>
      <c r="R50" s="62">
        <f t="shared" si="12"/>
        <v>7.8611078693467368E-2</v>
      </c>
      <c r="T50" s="64" t="str">
        <f t="shared" si="13"/>
        <v>SI</v>
      </c>
    </row>
    <row r="51" spans="2:20" ht="21" x14ac:dyDescent="0.25">
      <c r="B51" s="60" t="s">
        <v>56</v>
      </c>
      <c r="C51" s="150">
        <f>Utilidad!A48</f>
        <v>26737</v>
      </c>
      <c r="D51" s="151">
        <f>IF(Utilidad!C$46&gt;1,Utilidad!C48/100,Utilidad!C48)</f>
        <v>5.9500000000000004E-2</v>
      </c>
      <c r="E51" s="151">
        <f>IF(Utilidad!$E$46&gt;1,Utilidad!E48/100,Utilidad!E48)</f>
        <v>4.5999999999999999E-3</v>
      </c>
      <c r="G51" s="60" t="s">
        <v>56</v>
      </c>
      <c r="H51" s="150">
        <f>Utilidad!B48</f>
        <v>18028.570308999999</v>
      </c>
      <c r="I51" s="151">
        <f>IF(Utilidad!$D$46&gt;1,Utilidad!D48/100,Utilidad!D48)</f>
        <v>5.2359999999999997E-2</v>
      </c>
      <c r="J51" s="151">
        <f>IF(Utilidad!$F$46&gt;1,Utilidad!F48/100,Utilidad!F48)</f>
        <v>4.7169736407000002E-3</v>
      </c>
      <c r="L51" s="63">
        <f t="shared" si="7"/>
        <v>-0.32570706103900965</v>
      </c>
      <c r="M51" s="63">
        <f t="shared" si="8"/>
        <v>-0.12000000000000012</v>
      </c>
      <c r="N51" s="63">
        <f t="shared" si="9"/>
        <v>2.5429052326087012E-2</v>
      </c>
      <c r="P51" s="62">
        <f t="shared" si="10"/>
        <v>0.32570706103900965</v>
      </c>
      <c r="Q51" s="62">
        <f t="shared" si="11"/>
        <v>0.12000000000000012</v>
      </c>
      <c r="R51" s="62">
        <f t="shared" si="12"/>
        <v>2.5429052326087012E-2</v>
      </c>
      <c r="T51" s="64" t="str">
        <f t="shared" si="13"/>
        <v>SI</v>
      </c>
    </row>
    <row r="52" spans="2:20" ht="21" x14ac:dyDescent="0.25">
      <c r="B52" s="60" t="s">
        <v>57</v>
      </c>
      <c r="C52" s="150">
        <f>Utilidad!A49</f>
        <v>180066</v>
      </c>
      <c r="D52" s="151">
        <f>IF(Utilidad!C$46&gt;1,Utilidad!C49/100,Utilidad!C49)</f>
        <v>0.48270000000000002</v>
      </c>
      <c r="E52" s="151">
        <f>IF(Utilidad!$E$46&gt;1,Utilidad!E49/100,Utilidad!E49)</f>
        <v>0.46179999999999999</v>
      </c>
      <c r="G52" s="60" t="s">
        <v>57</v>
      </c>
      <c r="H52" s="150">
        <f>Utilidad!B49</f>
        <v>178336.85681</v>
      </c>
      <c r="I52" s="151">
        <f>IF(Utilidad!$D$46&gt;1,Utilidad!D49/100,Utilidad!D49)</f>
        <v>0.48680872585000001</v>
      </c>
      <c r="J52" s="151">
        <f>IF(Utilidad!$F$46&gt;1,Utilidad!F49/100,Utilidad!F49)</f>
        <v>0.47103600000000001</v>
      </c>
      <c r="L52" s="63">
        <f t="shared" si="7"/>
        <v>-9.6028300178823463E-3</v>
      </c>
      <c r="M52" s="63">
        <f t="shared" si="8"/>
        <v>8.5119657136937948E-3</v>
      </c>
      <c r="N52" s="63">
        <f t="shared" si="9"/>
        <v>2.0000000000000049E-2</v>
      </c>
      <c r="P52" s="62">
        <f t="shared" si="10"/>
        <v>9.6028300178823463E-3</v>
      </c>
      <c r="Q52" s="62">
        <f t="shared" si="11"/>
        <v>8.5119657136937948E-3</v>
      </c>
      <c r="R52" s="62">
        <f t="shared" si="12"/>
        <v>2.0000000000000049E-2</v>
      </c>
      <c r="T52" s="64" t="str">
        <f t="shared" si="13"/>
        <v>SI</v>
      </c>
    </row>
    <row r="53" spans="2:20" ht="21" x14ac:dyDescent="0.25">
      <c r="B53" s="60" t="s">
        <v>58</v>
      </c>
      <c r="C53" s="150">
        <f>Utilidad!A50</f>
        <v>44461</v>
      </c>
      <c r="D53" s="151">
        <f>IF(Utilidad!C$46&gt;1,Utilidad!C50/100,Utilidad!C50)</f>
        <v>6.3799999999999996E-2</v>
      </c>
      <c r="E53" s="151">
        <f>IF(Utilidad!$E$46&gt;1,Utilidad!E50/100,Utilidad!E50)</f>
        <v>1.3100000000000001E-2</v>
      </c>
      <c r="G53" s="60" t="s">
        <v>58</v>
      </c>
      <c r="H53" s="150">
        <f>Utilidad!B50</f>
        <v>39087.765067</v>
      </c>
      <c r="I53" s="151">
        <f>IF(Utilidad!$D$46&gt;1,Utilidad!D50/100,Utilidad!D50)</f>
        <v>5.6143999999999999E-2</v>
      </c>
      <c r="J53" s="151">
        <f>IF(Utilidad!$F$46&gt;1,Utilidad!F50/100,Utilidad!F50)</f>
        <v>1.4672000000000001E-2</v>
      </c>
      <c r="L53" s="63">
        <f t="shared" si="7"/>
        <v>-0.12085276833629473</v>
      </c>
      <c r="M53" s="63">
        <f t="shared" si="8"/>
        <v>-0.11999999999999995</v>
      </c>
      <c r="N53" s="63">
        <f t="shared" si="9"/>
        <v>0.12000000000000004</v>
      </c>
      <c r="P53" s="62">
        <f t="shared" si="10"/>
        <v>0.12085276833629473</v>
      </c>
      <c r="Q53" s="62">
        <f t="shared" si="11"/>
        <v>0.11999999999999995</v>
      </c>
      <c r="R53" s="62">
        <f t="shared" si="12"/>
        <v>0.12000000000000004</v>
      </c>
      <c r="T53" s="64" t="str">
        <f t="shared" si="13"/>
        <v>SI</v>
      </c>
    </row>
    <row r="54" spans="2:20" ht="21" x14ac:dyDescent="0.25">
      <c r="B54" s="60" t="s">
        <v>59</v>
      </c>
      <c r="C54" s="150">
        <f>Utilidad!A51</f>
        <v>135605</v>
      </c>
      <c r="D54" s="151">
        <f>IF(Utilidad!C$46&gt;1,Utilidad!C51/100,Utilidad!C51)</f>
        <v>0.62009999999999998</v>
      </c>
      <c r="E54" s="151">
        <f>IF(Utilidad!$E$46&gt;1,Utilidad!E51/100,Utilidad!E51)</f>
        <v>0.61070000000000002</v>
      </c>
      <c r="G54" s="60" t="s">
        <v>59</v>
      </c>
      <c r="H54" s="150">
        <f>Utilidad!B51</f>
        <v>139249.09174999999</v>
      </c>
      <c r="I54" s="151">
        <f>IF(Utilidad!$D$46&gt;1,Utilidad!D51/100,Utilidad!D51)</f>
        <v>0.60769799999999996</v>
      </c>
      <c r="J54" s="151">
        <f>IF(Utilidad!$F$46&gt;1,Utilidad!F51/100,Utilidad!F51)</f>
        <v>0.59913916098999997</v>
      </c>
      <c r="L54" s="63">
        <f t="shared" si="7"/>
        <v>2.687284207809441E-2</v>
      </c>
      <c r="M54" s="63">
        <f t="shared" si="8"/>
        <v>-2.0000000000000039E-2</v>
      </c>
      <c r="N54" s="63">
        <f t="shared" si="9"/>
        <v>-1.893047160635344E-2</v>
      </c>
      <c r="O54" s="65"/>
      <c r="P54" s="62">
        <f t="shared" si="10"/>
        <v>2.687284207809441E-2</v>
      </c>
      <c r="Q54" s="62">
        <f t="shared" si="11"/>
        <v>2.0000000000000039E-2</v>
      </c>
      <c r="R54" s="62">
        <f t="shared" si="12"/>
        <v>1.893047160635344E-2</v>
      </c>
      <c r="T54" s="64" t="str">
        <f t="shared" si="13"/>
        <v>SI</v>
      </c>
    </row>
    <row r="55" spans="2:20" ht="21" x14ac:dyDescent="0.25">
      <c r="B55" s="60" t="s">
        <v>60</v>
      </c>
      <c r="C55" s="150">
        <f>Utilidad!A52</f>
        <v>5079</v>
      </c>
      <c r="D55" s="151">
        <f>IF(Utilidad!C$46&gt;1,Utilidad!C52/100,Utilidad!C52)</f>
        <v>0.10400000000000001</v>
      </c>
      <c r="E55" s="151">
        <f>IF(Utilidad!$E$46&gt;1,Utilidad!E52/100,Utilidad!E52)</f>
        <v>3.4599999999999999E-2</v>
      </c>
      <c r="G55" s="60" t="s">
        <v>60</v>
      </c>
      <c r="H55" s="150">
        <f>Utilidad!B52</f>
        <v>4918.3743145999997</v>
      </c>
      <c r="I55" s="151">
        <f>IF(Utilidad!$D$46&gt;1,Utilidad!D52/100,Utilidad!D52)</f>
        <v>9.151999999999999E-2</v>
      </c>
      <c r="J55" s="151">
        <f>IF(Utilidad!$F$46&gt;1,Utilidad!F52/100,Utilidad!F52)</f>
        <v>3.6312710341000004E-2</v>
      </c>
      <c r="L55" s="63">
        <f t="shared" si="7"/>
        <v>-3.162545489269547E-2</v>
      </c>
      <c r="M55" s="63">
        <f t="shared" si="8"/>
        <v>-0.12000000000000018</v>
      </c>
      <c r="N55" s="63">
        <f t="shared" si="9"/>
        <v>4.9500298872832527E-2</v>
      </c>
      <c r="O55" s="5"/>
      <c r="P55" s="62">
        <f t="shared" si="10"/>
        <v>3.162545489269547E-2</v>
      </c>
      <c r="Q55" s="62">
        <f t="shared" si="11"/>
        <v>0.12000000000000018</v>
      </c>
      <c r="R55" s="62">
        <f t="shared" si="12"/>
        <v>4.9500298872832527E-2</v>
      </c>
      <c r="T55" s="64" t="str">
        <f t="shared" si="13"/>
        <v>SI</v>
      </c>
    </row>
    <row r="56" spans="2:20" ht="21" x14ac:dyDescent="0.25">
      <c r="B56" s="60" t="s">
        <v>61</v>
      </c>
      <c r="C56" s="150">
        <f>Utilidad!A53</f>
        <v>130526</v>
      </c>
      <c r="D56" s="151">
        <f>IF(Utilidad!C$46&gt;1,Utilidad!C53/100,Utilidad!C53)</f>
        <v>0.64019999999999999</v>
      </c>
      <c r="E56" s="151">
        <f>IF(Utilidad!$E$46&gt;1,Utilidad!E53/100,Utilidad!E53)</f>
        <v>0.629</v>
      </c>
      <c r="G56" s="60" t="s">
        <v>61</v>
      </c>
      <c r="H56" s="150">
        <f>Utilidad!B53</f>
        <v>134330.71742999999</v>
      </c>
      <c r="I56" s="151">
        <f>IF(Utilidad!$D$46&gt;1,Utilidad!D53/100,Utilidad!D53)</f>
        <v>0.62659730065999997</v>
      </c>
      <c r="J56" s="151">
        <f>IF(Utilidad!$F$46&gt;1,Utilidad!F53/100,Utilidad!F53)</f>
        <v>0.61974644435000004</v>
      </c>
      <c r="L56" s="63">
        <f t="shared" si="7"/>
        <v>2.9149115348666089E-2</v>
      </c>
      <c r="M56" s="63">
        <f t="shared" si="8"/>
        <v>-2.1247577850671703E-2</v>
      </c>
      <c r="N56" s="63">
        <f t="shared" si="9"/>
        <v>-1.4711535214626339E-2</v>
      </c>
      <c r="O56" s="66"/>
      <c r="P56" s="62">
        <f t="shared" si="10"/>
        <v>2.9149115348666089E-2</v>
      </c>
      <c r="Q56" s="62">
        <f t="shared" si="11"/>
        <v>2.1247577850671703E-2</v>
      </c>
      <c r="R56" s="62">
        <f t="shared" si="12"/>
        <v>1.4711535214626339E-2</v>
      </c>
      <c r="T56" s="64" t="str">
        <f t="shared" si="13"/>
        <v>SI</v>
      </c>
    </row>
    <row r="57" spans="2:20" ht="21" x14ac:dyDescent="0.25">
      <c r="B57" s="60" t="s">
        <v>62</v>
      </c>
      <c r="C57" s="150">
        <f>Utilidad!A54</f>
        <v>30282</v>
      </c>
      <c r="D57" s="151">
        <f>IF(Utilidad!C$46&gt;1,Utilidad!C54/100,Utilidad!C54)</f>
        <v>0.58810000000000007</v>
      </c>
      <c r="E57" s="151">
        <f>IF(Utilidad!$E$46&gt;1,Utilidad!E54/100,Utilidad!E54)</f>
        <v>0.5645</v>
      </c>
      <c r="G57" s="60" t="s">
        <v>62</v>
      </c>
      <c r="H57" s="150">
        <f>Utilidad!B54</f>
        <v>52756.717430999997</v>
      </c>
      <c r="I57" s="151">
        <f>IF(Utilidad!$D$46&gt;1,Utilidad!D54/100,Utilidad!D54)</f>
        <v>0.57927850000000003</v>
      </c>
      <c r="J57" s="151">
        <f>IF(Utilidad!$F$46&gt;1,Utilidad!F54/100,Utilidad!F54)</f>
        <v>0.57296750000000007</v>
      </c>
      <c r="L57" s="63">
        <f t="shared" si="7"/>
        <v>0.74218074866257178</v>
      </c>
      <c r="M57" s="63">
        <f t="shared" si="8"/>
        <v>-1.5000000000000062E-2</v>
      </c>
      <c r="N57" s="63">
        <f t="shared" si="9"/>
        <v>1.5000000000000128E-2</v>
      </c>
      <c r="P57" s="62">
        <f t="shared" si="10"/>
        <v>0.74218074866257178</v>
      </c>
      <c r="Q57" s="62">
        <f t="shared" si="11"/>
        <v>1.5000000000000062E-2</v>
      </c>
      <c r="R57" s="62">
        <f t="shared" si="12"/>
        <v>1.5000000000000128E-2</v>
      </c>
      <c r="T57" s="64" t="str">
        <f t="shared" si="13"/>
        <v>SI</v>
      </c>
    </row>
    <row r="58" spans="2:20" ht="21" x14ac:dyDescent="0.25">
      <c r="B58" s="60" t="s">
        <v>63</v>
      </c>
      <c r="C58" s="150">
        <f>Utilidad!A55</f>
        <v>98676</v>
      </c>
      <c r="D58" s="151">
        <f>IF(Utilidad!C$46&gt;1,Utilidad!C55/100,Utilidad!C55)</f>
        <v>0.65590000000000004</v>
      </c>
      <c r="E58" s="151">
        <f>IF(Utilidad!$E$46&gt;1,Utilidad!E55/100,Utilidad!E55)</f>
        <v>0.64870000000000005</v>
      </c>
      <c r="G58" s="60" t="s">
        <v>63</v>
      </c>
      <c r="H58" s="150">
        <f>Utilidad!B55</f>
        <v>83146.923905000003</v>
      </c>
      <c r="I58" s="151">
        <f>IF(Utilidad!$D$46&gt;1,Utilidad!D55/100,Utilidad!D55)</f>
        <v>0.65588713626000006</v>
      </c>
      <c r="J58" s="151">
        <f>IF(Utilidad!$F$46&gt;1,Utilidad!F55/100,Utilidad!F55)</f>
        <v>0.64832969227999993</v>
      </c>
      <c r="L58" s="63">
        <f t="shared" si="7"/>
        <v>-0.15737439797924518</v>
      </c>
      <c r="M58" s="63">
        <f t="shared" si="8"/>
        <v>-1.9612349443481941E-5</v>
      </c>
      <c r="N58" s="63">
        <f t="shared" si="9"/>
        <v>-5.7084587636831998E-4</v>
      </c>
      <c r="P58" s="62">
        <f t="shared" si="10"/>
        <v>0.15737439797924518</v>
      </c>
      <c r="Q58" s="62">
        <f t="shared" si="11"/>
        <v>1.9612349443481941E-5</v>
      </c>
      <c r="R58" s="62">
        <f t="shared" si="12"/>
        <v>5.7084587636831998E-4</v>
      </c>
      <c r="T58" s="64" t="str">
        <f t="shared" si="13"/>
        <v>SI</v>
      </c>
    </row>
    <row r="59" spans="2:20" ht="21" x14ac:dyDescent="0.25">
      <c r="B59" s="60" t="s">
        <v>64</v>
      </c>
      <c r="C59" s="150">
        <f>Utilidad!A56</f>
        <v>1569</v>
      </c>
      <c r="D59" s="151">
        <f>IF(Utilidad!C$46&gt;1,Utilidad!C56/100,Utilidad!C56)</f>
        <v>0.58779999999999999</v>
      </c>
      <c r="E59" s="151">
        <f>IF(Utilidad!$E$46&gt;1,Utilidad!E56/100,Utilidad!E56)</f>
        <v>0.56169999999999998</v>
      </c>
      <c r="G59" s="60" t="s">
        <v>64</v>
      </c>
      <c r="H59" s="150">
        <f>Utilidad!B56</f>
        <v>1572.9239052</v>
      </c>
      <c r="I59" s="151">
        <f>IF(Utilidad!$D$46&gt;1,Utilidad!D56/100,Utilidad!D56)</f>
        <v>0.58780021439000008</v>
      </c>
      <c r="J59" s="151">
        <f>IF(Utilidad!$F$46&gt;1,Utilidad!F56/100,Utilidad!F56)</f>
        <v>0.56170523328999999</v>
      </c>
      <c r="L59" s="63">
        <f t="shared" si="7"/>
        <v>2.5008956022944777E-3</v>
      </c>
      <c r="M59" s="63">
        <f t="shared" si="8"/>
        <v>3.6473290249432128E-7</v>
      </c>
      <c r="N59" s="63">
        <f t="shared" si="9"/>
        <v>9.3168773366875134E-6</v>
      </c>
      <c r="O59" s="67"/>
      <c r="P59" s="62">
        <f t="shared" si="10"/>
        <v>2.5008956022944777E-3</v>
      </c>
      <c r="Q59" s="62">
        <f t="shared" si="11"/>
        <v>3.6473290249432128E-7</v>
      </c>
      <c r="R59" s="62">
        <f t="shared" si="12"/>
        <v>9.3168773366875134E-6</v>
      </c>
      <c r="T59" s="64" t="str">
        <f t="shared" si="13"/>
        <v>SI</v>
      </c>
    </row>
    <row r="60" spans="2:20" ht="21" x14ac:dyDescent="0.25">
      <c r="B60" s="60" t="s">
        <v>65</v>
      </c>
      <c r="C60" s="150">
        <f>Utilidad!A57</f>
        <v>0</v>
      </c>
      <c r="D60" s="151">
        <f>IF(Utilidad!C$46&gt;1,Utilidad!C57/100,Utilidad!C57)</f>
        <v>0</v>
      </c>
      <c r="E60" s="151">
        <f>IF(Utilidad!$E$46&gt;1,Utilidad!E57/100,Utilidad!E57)</f>
        <v>0</v>
      </c>
      <c r="G60" s="60" t="s">
        <v>65</v>
      </c>
      <c r="H60" s="150">
        <f>Utilidad!B57</f>
        <v>0</v>
      </c>
      <c r="I60" s="151">
        <f>IF(Utilidad!$D$46&gt;1,Utilidad!D57/100,Utilidad!D57)</f>
        <v>0</v>
      </c>
      <c r="J60" s="151">
        <f>IF(Utilidad!$F$46&gt;1,Utilidad!F57/100,Utilidad!F57)</f>
        <v>0</v>
      </c>
      <c r="L60" s="63">
        <f t="shared" si="7"/>
        <v>0</v>
      </c>
      <c r="M60" s="63">
        <f t="shared" si="8"/>
        <v>0</v>
      </c>
      <c r="N60" s="63">
        <f t="shared" si="9"/>
        <v>0</v>
      </c>
      <c r="O60" s="67"/>
      <c r="P60" s="62">
        <f t="shared" si="10"/>
        <v>0</v>
      </c>
      <c r="Q60" s="62">
        <f t="shared" si="11"/>
        <v>0</v>
      </c>
      <c r="R60" s="62">
        <f t="shared" si="12"/>
        <v>0</v>
      </c>
      <c r="T60" s="64" t="str">
        <f t="shared" si="13"/>
        <v>SI</v>
      </c>
    </row>
    <row r="61" spans="2:20" ht="21" x14ac:dyDescent="0.25">
      <c r="B61" s="60" t="s">
        <v>66</v>
      </c>
      <c r="C61" s="150">
        <f>Utilidad!A58</f>
        <v>81574</v>
      </c>
      <c r="D61" s="151">
        <f>IF(Utilidad!C$46&gt;1,Utilidad!C58/100,Utilidad!C58)</f>
        <v>0.65720000000000001</v>
      </c>
      <c r="E61" s="151">
        <f>IF(Utilidad!$E$46&gt;1,Utilidad!E58/100,Utilidad!E58)</f>
        <v>0.65</v>
      </c>
      <c r="G61" s="60" t="s">
        <v>66</v>
      </c>
      <c r="H61" s="150">
        <f>Utilidad!B58</f>
        <v>81574</v>
      </c>
      <c r="I61" s="151">
        <f>IF(Utilidad!$D$46&gt;1,Utilidad!D58/100,Utilidad!D58)</f>
        <v>0.65720000000000001</v>
      </c>
      <c r="J61" s="151">
        <f>IF(Utilidad!$F$46&gt;1,Utilidad!F58/100,Utilidad!F58)</f>
        <v>0.65</v>
      </c>
      <c r="L61" s="63">
        <f t="shared" si="7"/>
        <v>0</v>
      </c>
      <c r="M61" s="63">
        <f t="shared" si="8"/>
        <v>0</v>
      </c>
      <c r="N61" s="63">
        <f t="shared" si="9"/>
        <v>0</v>
      </c>
      <c r="P61" s="62">
        <f t="shared" si="10"/>
        <v>0</v>
      </c>
      <c r="Q61" s="62">
        <f t="shared" si="11"/>
        <v>0</v>
      </c>
      <c r="R61" s="62">
        <f t="shared" si="12"/>
        <v>0</v>
      </c>
      <c r="T61" s="64" t="str">
        <f t="shared" si="13"/>
        <v>SI</v>
      </c>
    </row>
    <row r="62" spans="2:20" ht="21" x14ac:dyDescent="0.25">
      <c r="B62" s="60" t="s">
        <v>67</v>
      </c>
      <c r="C62" s="150">
        <f>Utilidad!A59</f>
        <v>877280</v>
      </c>
      <c r="D62" s="151">
        <f>IF(Utilidad!C$46&gt;1,Utilidad!C59/100,Utilidad!C59)</f>
        <v>8.1600000000000006E-2</v>
      </c>
      <c r="E62" s="151">
        <f>IF(Utilidad!$E$46&gt;1,Utilidad!E59/100,Utilidad!E59)</f>
        <v>2.5099999999999997E-2</v>
      </c>
      <c r="G62" s="60" t="s">
        <v>67</v>
      </c>
      <c r="H62" s="150">
        <f>Utilidad!B59</f>
        <v>894372.97250000003</v>
      </c>
      <c r="I62" s="151">
        <f>IF(Utilidad!$D$46&gt;1,Utilidad!D59/100,Utilidad!D59)</f>
        <v>9.445663723299999E-2</v>
      </c>
      <c r="J62" s="151">
        <f>IF(Utilidad!$F$46&gt;1,Utilidad!F59/100,Utilidad!F59)</f>
        <v>3.9832740107000005E-2</v>
      </c>
      <c r="L62" s="63">
        <f t="shared" si="7"/>
        <v>1.9484055831661535E-2</v>
      </c>
      <c r="M62" s="63">
        <f t="shared" si="8"/>
        <v>0.15755682883578412</v>
      </c>
      <c r="N62" s="63">
        <f t="shared" si="9"/>
        <v>0.58696175725099642</v>
      </c>
      <c r="P62" s="62">
        <f t="shared" si="10"/>
        <v>1.9484055831661535E-2</v>
      </c>
      <c r="Q62" s="62">
        <f t="shared" si="11"/>
        <v>0.15755682883578412</v>
      </c>
      <c r="R62" s="62">
        <f t="shared" si="12"/>
        <v>0.58696175725099642</v>
      </c>
      <c r="T62" s="64" t="str">
        <f t="shared" si="13"/>
        <v>SI</v>
      </c>
    </row>
    <row r="63" spans="2:20" ht="21" x14ac:dyDescent="0.25">
      <c r="B63" s="60" t="s">
        <v>68</v>
      </c>
      <c r="C63" s="61">
        <f>Utilidad!A60</f>
        <v>4998</v>
      </c>
      <c r="D63" s="62">
        <f>IF(Utilidad!C$46&gt;1,Utilidad!C60/100,Utilidad!C60)</f>
        <v>0.45649999999999996</v>
      </c>
      <c r="E63" s="62">
        <f>IF(Utilidad!$E$46&gt;1,Utilidad!E60/100,Utilidad!E60)</f>
        <v>0.43229999999999996</v>
      </c>
      <c r="G63" s="60" t="s">
        <v>68</v>
      </c>
      <c r="H63" s="61">
        <f>Utilidad!B60</f>
        <v>5197.93</v>
      </c>
      <c r="I63" s="62">
        <f>IF(Utilidad!$D$46&gt;1,Utilidad!D60/100,Utilidad!D60)</f>
        <v>0.50214999999999999</v>
      </c>
      <c r="J63" s="62">
        <f>IF(Utilidad!$F$46&gt;1,Utilidad!F60/100,Utilidad!F60)</f>
        <v>0.38906999999999997</v>
      </c>
      <c r="L63" s="63">
        <f t="shared" si="7"/>
        <v>4.0002000800320188E-2</v>
      </c>
      <c r="M63" s="63">
        <f t="shared" si="8"/>
        <v>0.10000000000000006</v>
      </c>
      <c r="N63" s="63">
        <f t="shared" si="9"/>
        <v>-9.9999999999999992E-2</v>
      </c>
      <c r="P63" s="62">
        <f t="shared" si="10"/>
        <v>4.0002000800320188E-2</v>
      </c>
      <c r="Q63" s="62">
        <f t="shared" si="11"/>
        <v>0.10000000000000006</v>
      </c>
      <c r="R63" s="62">
        <f t="shared" si="12"/>
        <v>9.9999999999999992E-2</v>
      </c>
      <c r="T63" s="64" t="str">
        <f t="shared" si="13"/>
        <v>SI</v>
      </c>
    </row>
    <row r="64" spans="2:20" ht="21" x14ac:dyDescent="0.25">
      <c r="B64" s="60" t="s">
        <v>69</v>
      </c>
      <c r="C64" s="61">
        <f>Utilidad!A61</f>
        <v>19993</v>
      </c>
      <c r="D64" s="62">
        <f>IF(Utilidad!C$46&gt;1,Utilidad!C61/100,Utilidad!C61)</f>
        <v>0.45649999999999996</v>
      </c>
      <c r="E64" s="62">
        <f>IF(Utilidad!$E$46&gt;1,Utilidad!E61/100,Utilidad!E61)</f>
        <v>0.43229999999999996</v>
      </c>
      <c r="G64" s="60" t="s">
        <v>69</v>
      </c>
      <c r="H64" s="61">
        <f>Utilidad!B61</f>
        <v>20192.93</v>
      </c>
      <c r="I64" s="62">
        <f>IF(Utilidad!$D$46&gt;1,Utilidad!D61/100,Utilidad!D61)</f>
        <v>0.46563000000000004</v>
      </c>
      <c r="J64" s="62">
        <f>IF(Utilidad!$F$46&gt;1,Utilidad!F61/100,Utilidad!F61)</f>
        <v>0.42759242443000001</v>
      </c>
      <c r="L64" s="63">
        <f t="shared" si="7"/>
        <v>1.0000000000000014E-2</v>
      </c>
      <c r="M64" s="63">
        <f t="shared" si="8"/>
        <v>2.0000000000000181E-2</v>
      </c>
      <c r="N64" s="63">
        <f t="shared" si="9"/>
        <v>-1.0889603446680444E-2</v>
      </c>
      <c r="P64" s="62">
        <f t="shared" si="10"/>
        <v>1.0000000000000014E-2</v>
      </c>
      <c r="Q64" s="62">
        <f t="shared" si="11"/>
        <v>2.0000000000000181E-2</v>
      </c>
      <c r="R64" s="62">
        <f t="shared" si="12"/>
        <v>1.0889603446680444E-2</v>
      </c>
      <c r="T64" s="64" t="str">
        <f t="shared" si="13"/>
        <v>SI</v>
      </c>
    </row>
    <row r="65" spans="2:20" ht="21" x14ac:dyDescent="0.25">
      <c r="B65" s="60" t="s">
        <v>70</v>
      </c>
      <c r="C65" s="61">
        <f>Utilidad!A62</f>
        <v>196626</v>
      </c>
      <c r="D65" s="62">
        <f>IF(Utilidad!C$46&gt;1,Utilidad!C62/100,Utilidad!C62)</f>
        <v>0.45649999999999996</v>
      </c>
      <c r="E65" s="62">
        <f>IF(Utilidad!$E$46&gt;1,Utilidad!E62/100,Utilidad!E62)</f>
        <v>0.43229999999999996</v>
      </c>
      <c r="G65" s="60" t="s">
        <v>70</v>
      </c>
      <c r="H65" s="61">
        <f>Utilidad!B62</f>
        <v>187565.52462000001</v>
      </c>
      <c r="I65" s="62">
        <f>IF(Utilidad!$D$46&gt;1,Utilidad!D62/100,Utilidad!D62)</f>
        <v>0.44540416485000001</v>
      </c>
      <c r="J65" s="62">
        <f>IF(Utilidad!$F$46&gt;1,Utilidad!F62/100,Utilidad!F62)</f>
        <v>0.42953585682000006</v>
      </c>
      <c r="L65" s="63">
        <f t="shared" si="7"/>
        <v>-4.6079742150071656E-2</v>
      </c>
      <c r="M65" s="63">
        <f t="shared" si="8"/>
        <v>-2.4306320153340541E-2</v>
      </c>
      <c r="N65" s="63">
        <f t="shared" si="9"/>
        <v>-6.3940392782787436E-3</v>
      </c>
      <c r="O65" s="68"/>
      <c r="P65" s="62">
        <f t="shared" si="10"/>
        <v>4.6079742150071656E-2</v>
      </c>
      <c r="Q65" s="62">
        <f t="shared" si="11"/>
        <v>2.4306320153340541E-2</v>
      </c>
      <c r="R65" s="62">
        <f t="shared" si="12"/>
        <v>6.3940392782787436E-3</v>
      </c>
      <c r="T65" s="64" t="str">
        <f t="shared" si="13"/>
        <v>SI</v>
      </c>
    </row>
    <row r="70" spans="2:20" x14ac:dyDescent="0.2">
      <c r="B70" s="69" t="s">
        <v>107</v>
      </c>
      <c r="C70" s="70" t="s">
        <v>108</v>
      </c>
      <c r="D70" s="71" t="s">
        <v>109</v>
      </c>
      <c r="E70" s="70" t="s">
        <v>110</v>
      </c>
      <c r="F70" s="70" t="s">
        <v>111</v>
      </c>
      <c r="G70" s="70" t="s">
        <v>112</v>
      </c>
      <c r="H70" s="70" t="s">
        <v>113</v>
      </c>
      <c r="I70" s="70" t="s">
        <v>114</v>
      </c>
      <c r="J70" s="70" t="s">
        <v>115</v>
      </c>
    </row>
    <row r="71" spans="2:20" x14ac:dyDescent="0.2">
      <c r="B71" s="72" t="s">
        <v>116</v>
      </c>
      <c r="C71" s="73">
        <f>+I43</f>
        <v>0.14511200000000002</v>
      </c>
      <c r="D71" s="73">
        <f>+C72</f>
        <v>0.363678</v>
      </c>
      <c r="E71" s="73">
        <f>+I50</f>
        <v>0.44541972203000002</v>
      </c>
      <c r="F71" s="73">
        <f>E72</f>
        <v>0.48680872585000001</v>
      </c>
      <c r="G71" s="73">
        <f>F72</f>
        <v>0.60769799999999996</v>
      </c>
      <c r="H71" s="73">
        <f>G72</f>
        <v>0.62659730065999997</v>
      </c>
      <c r="I71" s="73">
        <f>+H72</f>
        <v>0.65588713626000006</v>
      </c>
      <c r="J71" s="74"/>
    </row>
    <row r="72" spans="2:20" x14ac:dyDescent="0.2">
      <c r="B72" s="72" t="s">
        <v>117</v>
      </c>
      <c r="C72" s="73">
        <f>+I45</f>
        <v>0.363678</v>
      </c>
      <c r="D72" s="73">
        <f>+I47</f>
        <v>0.44737000000000005</v>
      </c>
      <c r="E72" s="73">
        <f>+I52</f>
        <v>0.48680872585000001</v>
      </c>
      <c r="F72" s="73">
        <f>+I54</f>
        <v>0.60769799999999996</v>
      </c>
      <c r="G72" s="73">
        <f>+I56</f>
        <v>0.62659730065999997</v>
      </c>
      <c r="H72" s="73">
        <f>+I58</f>
        <v>0.65588713626000006</v>
      </c>
      <c r="I72" s="73">
        <f>+I61</f>
        <v>0.65720000000000001</v>
      </c>
      <c r="J72" s="75"/>
    </row>
    <row r="73" spans="2:20" x14ac:dyDescent="0.2">
      <c r="B73" s="76" t="s">
        <v>29</v>
      </c>
      <c r="C73" s="77">
        <f>+I44</f>
        <v>6.3589100652000005E-2</v>
      </c>
      <c r="D73" s="77">
        <f>+I46</f>
        <v>7.6110318891999998E-2</v>
      </c>
      <c r="E73" s="77">
        <f>+I51</f>
        <v>5.2359999999999997E-2</v>
      </c>
      <c r="F73" s="77">
        <f>+I53</f>
        <v>5.6143999999999999E-2</v>
      </c>
      <c r="G73" s="77">
        <f>+I55</f>
        <v>9.151999999999999E-2</v>
      </c>
      <c r="H73" s="77">
        <f>+I57</f>
        <v>0.57927850000000003</v>
      </c>
      <c r="I73" s="77">
        <f>+I59</f>
        <v>0.58780021439000008</v>
      </c>
      <c r="J73" s="78"/>
    </row>
    <row r="74" spans="2:20" x14ac:dyDescent="0.2">
      <c r="B74" s="69" t="s">
        <v>118</v>
      </c>
      <c r="C74" s="79">
        <f t="shared" ref="C74:I74" si="14">+(C71-C73)/(C72-C73)*100</f>
        <v>27.166249576416845</v>
      </c>
      <c r="D74" s="79">
        <f t="shared" si="14"/>
        <v>77.457288184317036</v>
      </c>
      <c r="E74" s="79">
        <f t="shared" si="14"/>
        <v>90.473213210828902</v>
      </c>
      <c r="F74" s="79">
        <f t="shared" si="14"/>
        <v>78.082060115600655</v>
      </c>
      <c r="G74" s="79">
        <f t="shared" si="14"/>
        <v>96.467930776228343</v>
      </c>
      <c r="H74" s="79">
        <f>+(H71-H73)/(H72-H73)*100</f>
        <v>61.76692729447096</v>
      </c>
      <c r="I74" s="79">
        <f t="shared" si="14"/>
        <v>98.108259660371672</v>
      </c>
      <c r="J74" s="79">
        <f>+C74*D74*E74*F74*G74*H74*I74/1000000000000</f>
        <v>8.6897600486118716</v>
      </c>
    </row>
    <row r="75" spans="2:20" x14ac:dyDescent="0.2">
      <c r="B75" s="69" t="s">
        <v>119</v>
      </c>
      <c r="C75" s="79">
        <f t="shared" ref="C75:I75" si="15">+(C72/C71)*C74</f>
        <v>68.083737481752877</v>
      </c>
      <c r="D75" s="79">
        <f t="shared" si="15"/>
        <v>95.282274470872352</v>
      </c>
      <c r="E75" s="79">
        <f t="shared" si="15"/>
        <v>98.880106713713516</v>
      </c>
      <c r="F75" s="79">
        <f t="shared" si="15"/>
        <v>97.472188250691119</v>
      </c>
      <c r="G75" s="79">
        <f t="shared" si="15"/>
        <v>99.468066415621607</v>
      </c>
      <c r="H75" s="79">
        <f t="shared" si="15"/>
        <v>64.654177437531942</v>
      </c>
      <c r="I75" s="79">
        <f t="shared" si="15"/>
        <v>98.304639143337383</v>
      </c>
      <c r="J75" s="79">
        <f>+C75*D75*E75*F75*G75*H75*I75/1000000000000</f>
        <v>39.527507192083192</v>
      </c>
    </row>
    <row r="77" spans="2:20" x14ac:dyDescent="0.2">
      <c r="B77" s="69" t="s">
        <v>120</v>
      </c>
      <c r="C77" s="70" t="s">
        <v>108</v>
      </c>
      <c r="D77" s="71" t="s">
        <v>109</v>
      </c>
      <c r="E77" s="70" t="s">
        <v>110</v>
      </c>
      <c r="F77" s="70" t="s">
        <v>111</v>
      </c>
      <c r="G77" s="70" t="s">
        <v>112</v>
      </c>
      <c r="H77" s="70" t="s">
        <v>113</v>
      </c>
      <c r="I77" s="70" t="s">
        <v>114</v>
      </c>
      <c r="J77" s="70" t="s">
        <v>115</v>
      </c>
    </row>
    <row r="78" spans="2:20" x14ac:dyDescent="0.2">
      <c r="B78" s="72" t="s">
        <v>116</v>
      </c>
      <c r="C78" s="73">
        <f>+J43</f>
        <v>9.4962999999999992E-2</v>
      </c>
      <c r="D78" s="73">
        <f>+C79</f>
        <v>0.33534069321999999</v>
      </c>
      <c r="E78" s="73">
        <f>+J50</f>
        <v>0.42928720931999997</v>
      </c>
      <c r="F78" s="73">
        <f>+E79</f>
        <v>0.47103600000000001</v>
      </c>
      <c r="G78" s="73">
        <f>+J54</f>
        <v>0.59913916098999997</v>
      </c>
      <c r="H78" s="73">
        <f>G79</f>
        <v>0.61974644435000004</v>
      </c>
      <c r="I78" s="73">
        <f>+H79</f>
        <v>0.64832969227999993</v>
      </c>
      <c r="J78" s="74"/>
    </row>
    <row r="79" spans="2:20" x14ac:dyDescent="0.2">
      <c r="B79" s="72" t="s">
        <v>117</v>
      </c>
      <c r="C79" s="73">
        <f>+J45</f>
        <v>0.33534069321999999</v>
      </c>
      <c r="D79" s="73">
        <f>+J47</f>
        <v>0.42934696633999997</v>
      </c>
      <c r="E79" s="73">
        <f>+J52</f>
        <v>0.47103600000000001</v>
      </c>
      <c r="F79" s="73">
        <f>+J54</f>
        <v>0.59913916098999997</v>
      </c>
      <c r="G79" s="73">
        <f>+J56</f>
        <v>0.61974644435000004</v>
      </c>
      <c r="H79" s="73">
        <f>+J58</f>
        <v>0.64832969227999993</v>
      </c>
      <c r="I79" s="73">
        <f>+J61</f>
        <v>0.65</v>
      </c>
      <c r="J79" s="75"/>
    </row>
    <row r="80" spans="2:20" x14ac:dyDescent="0.2">
      <c r="B80" s="76" t="s">
        <v>29</v>
      </c>
      <c r="C80" s="77">
        <f>+J44</f>
        <v>5.3045604898999997E-3</v>
      </c>
      <c r="D80" s="77">
        <f>+J46</f>
        <v>1.2332926971E-2</v>
      </c>
      <c r="E80" s="77">
        <f>+J51</f>
        <v>4.7169736407000002E-3</v>
      </c>
      <c r="F80" s="77">
        <f>+J53</f>
        <v>1.4672000000000001E-2</v>
      </c>
      <c r="G80" s="77">
        <f>+J55</f>
        <v>3.6312710341000004E-2</v>
      </c>
      <c r="H80" s="77">
        <f>+J57</f>
        <v>0.57296750000000007</v>
      </c>
      <c r="I80" s="77">
        <f>+J59</f>
        <v>0.56170523328999999</v>
      </c>
      <c r="J80" s="78"/>
    </row>
    <row r="81" spans="2:10" x14ac:dyDescent="0.2">
      <c r="B81" s="69" t="s">
        <v>118</v>
      </c>
      <c r="C81" s="79">
        <f t="shared" ref="C81:I81" si="16">+(C78-C80)/(C79-C80)*100</f>
        <v>27.166249576503709</v>
      </c>
      <c r="D81" s="79">
        <f t="shared" si="16"/>
        <v>77.457288185730036</v>
      </c>
      <c r="E81" s="79">
        <f t="shared" si="16"/>
        <v>91.047161209366465</v>
      </c>
      <c r="F81" s="79">
        <f t="shared" si="16"/>
        <v>78.082060115573924</v>
      </c>
      <c r="G81" s="79">
        <f t="shared" si="16"/>
        <v>96.467930776234098</v>
      </c>
      <c r="H81" s="79">
        <f t="shared" si="16"/>
        <v>62.072165013721992</v>
      </c>
      <c r="I81" s="79">
        <f t="shared" si="16"/>
        <v>98.108259659956815</v>
      </c>
      <c r="J81" s="79">
        <f>+C81*D81*E81*F81*G81*H81*I81/1000000000000</f>
        <v>8.7881017209985473</v>
      </c>
    </row>
    <row r="82" spans="2:10" x14ac:dyDescent="0.2">
      <c r="B82" s="69" t="s">
        <v>121</v>
      </c>
      <c r="C82" s="79">
        <f t="shared" ref="C82:I82" si="17">+(C79/C78)*C81</f>
        <v>95.931562452452908</v>
      </c>
      <c r="D82" s="79">
        <f t="shared" si="17"/>
        <v>99.17093981090062</v>
      </c>
      <c r="E82" s="79">
        <f t="shared" si="17"/>
        <v>99.901626920933083</v>
      </c>
      <c r="F82" s="79">
        <f t="shared" si="17"/>
        <v>99.31729206688172</v>
      </c>
      <c r="G82" s="79">
        <f t="shared" si="17"/>
        <v>99.785927852863026</v>
      </c>
      <c r="H82" s="79">
        <f t="shared" si="17"/>
        <v>64.934987541086258</v>
      </c>
      <c r="I82" s="79">
        <f t="shared" si="17"/>
        <v>98.361018380492197</v>
      </c>
      <c r="J82" s="79">
        <f>+C82*D82*E82*F82*G82*H82*I82/1000000000000</f>
        <v>60.160918139617138</v>
      </c>
    </row>
  </sheetData>
  <mergeCells count="3">
    <mergeCell ref="B2:E2"/>
    <mergeCell ref="G2:J2"/>
    <mergeCell ref="L2:N2"/>
  </mergeCells>
  <conditionalFormatting sqref="L4:N65 O56">
    <cfRule type="expression" dxfId="2" priority="2">
      <formula>ABS(L4)&gt;=10%</formula>
    </cfRule>
  </conditionalFormatting>
  <conditionalFormatting sqref="T4:T65">
    <cfRule type="containsText" dxfId="1" priority="4" operator="containsText" text="NO">
      <formula>NOT(ISERROR(SEARCH("NO",T4)))</formula>
    </cfRule>
    <cfRule type="containsText" dxfId="0" priority="5" operator="containsText" text="SI">
      <formula>NOT(ISERROR(SEARCH("SI",T4)))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"/>
  <sheetViews>
    <sheetView view="pageBreakPreview" zoomScaleNormal="65" workbookViewId="0">
      <selection activeCell="H12" sqref="H12"/>
    </sheetView>
  </sheetViews>
  <sheetFormatPr baseColWidth="10" defaultColWidth="10.5" defaultRowHeight="15" x14ac:dyDescent="0.2"/>
  <cols>
    <col min="1" max="1" width="17.5" customWidth="1"/>
    <col min="2" max="2" width="10.83203125" style="80" customWidth="1"/>
    <col min="3" max="3" width="10.83203125" style="5" customWidth="1"/>
  </cols>
  <sheetData>
    <row r="1" spans="1:5" ht="19" x14ac:dyDescent="0.2">
      <c r="A1" s="81" t="s">
        <v>122</v>
      </c>
      <c r="B1" s="82">
        <v>45971</v>
      </c>
      <c r="C1" s="83">
        <v>0.65600000000000003</v>
      </c>
      <c r="D1" s="84">
        <v>0.64882075181868271</v>
      </c>
      <c r="E1" s="84">
        <v>0</v>
      </c>
    </row>
    <row r="2" spans="1:5" ht="19" x14ac:dyDescent="0.25">
      <c r="A2" s="81" t="s">
        <v>123</v>
      </c>
      <c r="B2" s="85">
        <v>75804</v>
      </c>
      <c r="C2" s="86">
        <v>0.65720501598757497</v>
      </c>
      <c r="D2" s="84">
        <v>0.65001258014034713</v>
      </c>
      <c r="E2" s="84">
        <v>0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0"/>
  <sheetViews>
    <sheetView topLeftCell="A20" zoomScale="258" zoomScaleNormal="258" zoomScaleSheetLayoutView="84" zoomScalePageLayoutView="110" workbookViewId="0">
      <selection activeCell="B31" sqref="B31:D32"/>
    </sheetView>
  </sheetViews>
  <sheetFormatPr baseColWidth="10" defaultColWidth="11.5" defaultRowHeight="15" x14ac:dyDescent="0.2"/>
  <cols>
    <col min="1" max="1" width="4.1640625" customWidth="1"/>
    <col min="2" max="2" width="3.5" customWidth="1"/>
    <col min="4" max="4" width="6.83203125" customWidth="1"/>
    <col min="5" max="5" width="7.83203125" customWidth="1"/>
    <col min="7" max="7" width="9.1640625" customWidth="1"/>
    <col min="8" max="8" width="10.5" customWidth="1"/>
    <col min="9" max="9" width="9.1640625" customWidth="1"/>
    <col min="10" max="10" width="14" customWidth="1"/>
    <col min="11" max="11" width="11.83203125" customWidth="1"/>
    <col min="12" max="12" width="10.1640625" customWidth="1"/>
    <col min="13" max="13" width="10.5" customWidth="1"/>
    <col min="14" max="14" width="10.33203125" customWidth="1"/>
    <col min="15" max="15" width="3.33203125" customWidth="1"/>
    <col min="16" max="16" width="3.6640625" customWidth="1"/>
  </cols>
  <sheetData>
    <row r="1" spans="1:16" ht="12.75" customHeight="1" thickBot="1" x14ac:dyDescent="0.25">
      <c r="A1" s="111"/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110"/>
      <c r="O1" s="88"/>
      <c r="P1" s="110"/>
    </row>
    <row r="2" spans="1:16" ht="12.75" customHeight="1" thickBot="1" x14ac:dyDescent="0.25">
      <c r="A2" s="112"/>
      <c r="B2" s="209"/>
      <c r="C2" s="210"/>
      <c r="D2" s="211" t="s">
        <v>124</v>
      </c>
      <c r="E2" s="212"/>
      <c r="F2" s="212"/>
      <c r="G2" s="212"/>
      <c r="H2" s="212"/>
      <c r="I2" s="212"/>
      <c r="J2" s="212"/>
      <c r="K2" s="212"/>
      <c r="L2" s="212"/>
      <c r="M2" s="212"/>
      <c r="N2" s="102"/>
      <c r="O2" s="89"/>
      <c r="P2" s="102"/>
    </row>
    <row r="3" spans="1:16" ht="12.75" customHeight="1" thickBot="1" x14ac:dyDescent="0.25">
      <c r="A3" s="112"/>
      <c r="B3" s="209"/>
      <c r="C3" s="210"/>
      <c r="D3" s="213"/>
      <c r="E3" s="214"/>
      <c r="F3" s="214"/>
      <c r="G3" s="214"/>
      <c r="H3" s="214"/>
      <c r="I3" s="214"/>
      <c r="J3" s="214"/>
      <c r="K3" s="214"/>
      <c r="L3" s="214"/>
      <c r="M3" s="214"/>
      <c r="N3" s="102"/>
      <c r="O3" s="89"/>
      <c r="P3" s="102"/>
    </row>
    <row r="4" spans="1:16" ht="12.75" customHeight="1" thickBot="1" x14ac:dyDescent="0.25">
      <c r="A4" s="112"/>
      <c r="B4" s="209"/>
      <c r="C4" s="209"/>
      <c r="D4" s="215" t="s">
        <v>125</v>
      </c>
      <c r="E4" s="215"/>
      <c r="F4" s="215"/>
      <c r="G4" s="215"/>
      <c r="H4" s="215"/>
      <c r="I4" s="215"/>
      <c r="J4" s="215"/>
      <c r="K4" s="215"/>
      <c r="L4" s="217">
        <f ca="1">TODAY()-3</f>
        <v>45622</v>
      </c>
      <c r="M4" s="217"/>
      <c r="N4" s="102"/>
      <c r="O4" s="89"/>
      <c r="P4" s="102"/>
    </row>
    <row r="5" spans="1:16" ht="12.75" customHeight="1" thickBot="1" x14ac:dyDescent="0.25">
      <c r="A5" s="112"/>
      <c r="B5" s="209"/>
      <c r="C5" s="209"/>
      <c r="D5" s="216"/>
      <c r="E5" s="216"/>
      <c r="F5" s="216"/>
      <c r="G5" s="216"/>
      <c r="H5" s="216"/>
      <c r="I5" s="216"/>
      <c r="J5" s="216"/>
      <c r="K5" s="216"/>
      <c r="L5" s="218"/>
      <c r="M5" s="218"/>
      <c r="N5" s="102"/>
      <c r="O5" s="89"/>
      <c r="P5" s="102"/>
    </row>
    <row r="6" spans="1:16" x14ac:dyDescent="0.2">
      <c r="A6" s="113"/>
      <c r="B6" s="114"/>
      <c r="C6" s="114"/>
      <c r="D6" s="114"/>
      <c r="E6" s="114"/>
      <c r="F6" s="114"/>
      <c r="G6" s="114"/>
      <c r="H6" s="114"/>
      <c r="I6" s="114"/>
      <c r="J6" s="115"/>
      <c r="K6" s="116"/>
      <c r="L6" s="117"/>
      <c r="M6" s="117"/>
      <c r="N6" s="102"/>
      <c r="O6" s="89"/>
      <c r="P6" s="102"/>
    </row>
    <row r="7" spans="1:16" x14ac:dyDescent="0.2">
      <c r="A7" s="113"/>
      <c r="B7" s="207"/>
      <c r="C7" s="207"/>
      <c r="D7" s="207"/>
      <c r="E7" s="125" t="s">
        <v>126</v>
      </c>
      <c r="F7" s="125" t="s">
        <v>127</v>
      </c>
      <c r="G7" s="125" t="s">
        <v>128</v>
      </c>
      <c r="H7" s="125" t="s">
        <v>127</v>
      </c>
      <c r="I7" s="207"/>
      <c r="J7" s="207"/>
      <c r="K7" s="125" t="s">
        <v>126</v>
      </c>
      <c r="L7" s="125" t="s">
        <v>127</v>
      </c>
      <c r="M7" s="125" t="s">
        <v>128</v>
      </c>
      <c r="N7" s="125" t="s">
        <v>127</v>
      </c>
      <c r="O7" s="89"/>
      <c r="P7" s="102"/>
    </row>
    <row r="8" spans="1:16" x14ac:dyDescent="0.2">
      <c r="A8" s="113"/>
      <c r="B8" s="207"/>
      <c r="C8" s="207"/>
      <c r="D8" s="207"/>
      <c r="E8" s="125" t="s">
        <v>1</v>
      </c>
      <c r="F8" s="125" t="s">
        <v>129</v>
      </c>
      <c r="G8" s="125" t="s">
        <v>130</v>
      </c>
      <c r="H8" s="125" t="s">
        <v>131</v>
      </c>
      <c r="I8" s="207"/>
      <c r="J8" s="207"/>
      <c r="K8" s="125" t="s">
        <v>1</v>
      </c>
      <c r="L8" s="125" t="s">
        <v>129</v>
      </c>
      <c r="M8" s="125" t="s">
        <v>130</v>
      </c>
      <c r="N8" s="125" t="s">
        <v>131</v>
      </c>
      <c r="O8" s="89"/>
      <c r="P8" s="102"/>
    </row>
    <row r="9" spans="1:16" x14ac:dyDescent="0.2">
      <c r="A9" s="113"/>
      <c r="B9" s="194" t="s">
        <v>75</v>
      </c>
      <c r="C9" s="194"/>
      <c r="D9" s="194"/>
      <c r="E9" s="194"/>
      <c r="F9" s="194"/>
      <c r="G9" s="194"/>
      <c r="H9" s="194" t="s">
        <v>132</v>
      </c>
      <c r="I9" s="194"/>
      <c r="J9" s="194"/>
      <c r="K9" s="194"/>
      <c r="L9" s="194"/>
      <c r="M9" s="194"/>
      <c r="N9" s="194"/>
      <c r="O9" s="89"/>
      <c r="P9" s="102"/>
    </row>
    <row r="10" spans="1:16" x14ac:dyDescent="0.2">
      <c r="A10" s="113"/>
      <c r="B10" s="205" t="s">
        <v>133</v>
      </c>
      <c r="C10" s="205"/>
      <c r="D10" s="205"/>
      <c r="E10" s="126">
        <f>Flujos!H43</f>
        <v>987340</v>
      </c>
      <c r="F10" s="90">
        <f>Flujos!I43</f>
        <v>0.14511200000000002</v>
      </c>
      <c r="G10" s="95">
        <f>E10*F10</f>
        <v>143274.88208000001</v>
      </c>
      <c r="H10" s="90">
        <f>Flujos!J43</f>
        <v>9.4962999999999992E-2</v>
      </c>
      <c r="I10" s="124" t="s">
        <v>134</v>
      </c>
      <c r="J10" s="124"/>
      <c r="K10" s="99">
        <f>Flujos!H61</f>
        <v>81574</v>
      </c>
      <c r="L10" s="100">
        <f>Flujos!I61</f>
        <v>0.65720000000000001</v>
      </c>
      <c r="M10" s="99">
        <f>+L10*K10</f>
        <v>53610.432800000002</v>
      </c>
      <c r="N10" s="100">
        <f>Flujos!J61</f>
        <v>0.65</v>
      </c>
      <c r="O10" s="89"/>
      <c r="P10" s="102"/>
    </row>
    <row r="11" spans="1:16" x14ac:dyDescent="0.2">
      <c r="A11" s="113"/>
      <c r="B11" s="205" t="s">
        <v>6</v>
      </c>
      <c r="C11" s="205"/>
      <c r="D11" s="205"/>
      <c r="E11" s="91"/>
      <c r="F11" s="90"/>
      <c r="G11" s="95"/>
      <c r="H11" s="92"/>
      <c r="I11" s="124" t="s">
        <v>123</v>
      </c>
      <c r="J11" s="124"/>
      <c r="K11" s="93">
        <f>'Datos Extra'!B2</f>
        <v>75804</v>
      </c>
      <c r="L11" s="94">
        <f>'Datos Extra'!C2</f>
        <v>0.65720501598757497</v>
      </c>
      <c r="M11" s="99">
        <f>+L11*K11</f>
        <v>49818.769031922136</v>
      </c>
      <c r="N11" s="100">
        <f>'Datos Extra'!D2</f>
        <v>0.65001258014034713</v>
      </c>
      <c r="O11" s="89"/>
      <c r="P11" s="102"/>
    </row>
    <row r="12" spans="1:16" x14ac:dyDescent="0.2">
      <c r="A12" s="118"/>
      <c r="B12" s="208" t="s">
        <v>12</v>
      </c>
      <c r="C12" s="208"/>
      <c r="D12" s="208"/>
      <c r="E12" s="91">
        <f>Utilidad!O76</f>
        <v>2628.4124999999999</v>
      </c>
      <c r="F12" s="90">
        <f>Flujos!I12</f>
        <v>0.44955100000000003</v>
      </c>
      <c r="G12" s="95">
        <f t="shared" ref="G12:G18" si="0">+E12*F12</f>
        <v>1181.6054677874999</v>
      </c>
      <c r="H12" s="92">
        <f>Flujos!J12</f>
        <v>0.41975999999999997</v>
      </c>
      <c r="I12" s="102"/>
      <c r="J12" s="102"/>
      <c r="K12" s="132"/>
      <c r="L12" s="102"/>
      <c r="M12" s="102"/>
      <c r="N12" s="102"/>
      <c r="O12" s="89"/>
      <c r="P12" s="102"/>
    </row>
    <row r="13" spans="1:16" x14ac:dyDescent="0.2">
      <c r="A13" s="118"/>
      <c r="B13" s="208" t="s">
        <v>15</v>
      </c>
      <c r="C13" s="208"/>
      <c r="D13" s="208"/>
      <c r="E13" s="91"/>
      <c r="F13" s="92"/>
      <c r="G13" s="95"/>
      <c r="H13" s="92"/>
      <c r="I13" s="102"/>
      <c r="J13" s="102"/>
      <c r="K13" s="102"/>
      <c r="L13" s="102"/>
      <c r="M13" s="102"/>
      <c r="N13" s="102"/>
      <c r="O13" s="119"/>
      <c r="P13" s="102"/>
    </row>
    <row r="14" spans="1:16" x14ac:dyDescent="0.2">
      <c r="A14" s="118"/>
      <c r="B14" s="208" t="s">
        <v>18</v>
      </c>
      <c r="C14" s="208"/>
      <c r="D14" s="208"/>
      <c r="E14" s="91"/>
      <c r="F14" s="92"/>
      <c r="G14" s="95"/>
      <c r="H14" s="92"/>
      <c r="I14" s="102"/>
      <c r="J14" s="102"/>
      <c r="K14" s="102"/>
      <c r="L14" s="102"/>
      <c r="M14" s="102"/>
      <c r="N14" s="102"/>
      <c r="O14" s="89"/>
      <c r="P14" s="102"/>
    </row>
    <row r="15" spans="1:16" x14ac:dyDescent="0.2">
      <c r="A15" s="118"/>
      <c r="B15" s="208" t="s">
        <v>146</v>
      </c>
      <c r="C15" s="208"/>
      <c r="D15" s="208"/>
      <c r="E15" s="91">
        <f>Utilidad!O85</f>
        <v>683.28750000000002</v>
      </c>
      <c r="F15" s="92">
        <f>Utilidad!P85</f>
        <v>0.439552</v>
      </c>
      <c r="G15" s="95">
        <f t="shared" si="0"/>
        <v>300.34038720000001</v>
      </c>
      <c r="H15" s="92">
        <f>Flujos!J18</f>
        <v>0.43849999111000004</v>
      </c>
      <c r="I15" s="102"/>
      <c r="J15" s="102"/>
      <c r="K15" s="102"/>
      <c r="L15" s="102"/>
      <c r="M15" s="102"/>
      <c r="N15" s="102"/>
      <c r="O15" s="89"/>
      <c r="P15" s="102"/>
    </row>
    <row r="16" spans="1:16" x14ac:dyDescent="0.2">
      <c r="A16" s="118"/>
      <c r="B16" s="208" t="s">
        <v>24</v>
      </c>
      <c r="C16" s="208"/>
      <c r="D16" s="208"/>
      <c r="E16" s="91"/>
      <c r="F16" s="92"/>
      <c r="G16" s="95"/>
      <c r="H16" s="92"/>
      <c r="I16" s="102"/>
      <c r="J16" s="102"/>
      <c r="K16" s="102"/>
      <c r="L16" s="102"/>
      <c r="M16" s="102"/>
      <c r="N16" s="102"/>
      <c r="O16" s="89"/>
      <c r="P16" s="102"/>
    </row>
    <row r="17" spans="1:16" x14ac:dyDescent="0.2">
      <c r="A17" s="118"/>
      <c r="B17" s="208" t="s">
        <v>30</v>
      </c>
      <c r="C17" s="208"/>
      <c r="D17" s="208"/>
      <c r="E17" s="91"/>
      <c r="F17" s="92"/>
      <c r="G17" s="95"/>
      <c r="H17" s="92"/>
      <c r="I17" s="102"/>
      <c r="J17" s="102"/>
      <c r="K17" s="102"/>
      <c r="L17" s="102"/>
      <c r="M17" s="102"/>
      <c r="N17" s="102"/>
      <c r="O17" s="89"/>
      <c r="P17" s="102"/>
    </row>
    <row r="18" spans="1:16" x14ac:dyDescent="0.2">
      <c r="A18" s="118"/>
      <c r="B18" s="208" t="s">
        <v>9</v>
      </c>
      <c r="C18" s="208"/>
      <c r="D18" s="208"/>
      <c r="E18" s="91">
        <f>Utilidad!O73</f>
        <v>290.27249999999998</v>
      </c>
      <c r="F18" s="92">
        <f>Flujos!I9</f>
        <v>0.43187600000000004</v>
      </c>
      <c r="G18" s="95">
        <f t="shared" si="0"/>
        <v>125.36172621</v>
      </c>
      <c r="H18" s="92">
        <f>Flujos!J9</f>
        <v>0.40085099999999996</v>
      </c>
      <c r="I18" s="102"/>
      <c r="J18" s="102"/>
      <c r="K18" s="102"/>
      <c r="L18" s="102"/>
      <c r="M18" s="102"/>
      <c r="N18" s="102"/>
      <c r="O18" s="89"/>
      <c r="P18" s="102"/>
    </row>
    <row r="19" spans="1:16" x14ac:dyDescent="0.2">
      <c r="A19" s="118"/>
      <c r="B19" s="208" t="s">
        <v>135</v>
      </c>
      <c r="C19" s="208"/>
      <c r="D19" s="208"/>
      <c r="E19" s="91"/>
      <c r="F19" s="92"/>
      <c r="G19" s="95"/>
      <c r="H19" s="92"/>
      <c r="I19" s="102"/>
      <c r="J19" s="102"/>
      <c r="K19" s="102"/>
      <c r="L19" s="102"/>
      <c r="M19" s="102"/>
      <c r="N19" s="102"/>
      <c r="O19" s="89"/>
      <c r="P19" s="102"/>
    </row>
    <row r="20" spans="1:16" x14ac:dyDescent="0.2">
      <c r="A20" s="118"/>
      <c r="B20" s="208" t="s">
        <v>136</v>
      </c>
      <c r="C20" s="208"/>
      <c r="D20" s="208"/>
      <c r="E20" s="91"/>
      <c r="F20" s="92"/>
      <c r="G20" s="95"/>
      <c r="H20" s="92"/>
      <c r="I20" s="102"/>
      <c r="J20" s="102"/>
      <c r="K20" s="102"/>
      <c r="L20" s="102"/>
      <c r="M20" s="102"/>
      <c r="N20" s="102"/>
      <c r="O20" s="89"/>
      <c r="P20" s="102"/>
    </row>
    <row r="21" spans="1:16" x14ac:dyDescent="0.2">
      <c r="A21" s="118"/>
      <c r="B21" s="208" t="s">
        <v>137</v>
      </c>
      <c r="C21" s="208"/>
      <c r="D21" s="208"/>
      <c r="E21" s="91"/>
      <c r="F21" s="92"/>
      <c r="G21" s="95"/>
      <c r="H21" s="92"/>
      <c r="I21" s="102"/>
      <c r="J21" s="102"/>
      <c r="K21" s="102"/>
      <c r="L21" s="102"/>
      <c r="M21" s="102"/>
      <c r="N21" s="102"/>
      <c r="O21" s="89"/>
      <c r="P21" s="102"/>
    </row>
    <row r="22" spans="1:16" ht="16" thickBot="1" x14ac:dyDescent="0.25">
      <c r="A22" s="118"/>
      <c r="B22" s="206" t="s">
        <v>138</v>
      </c>
      <c r="C22" s="206"/>
      <c r="D22" s="206"/>
      <c r="E22" s="98"/>
      <c r="F22" s="128"/>
      <c r="G22" s="129"/>
      <c r="H22" s="128"/>
      <c r="I22" s="102"/>
      <c r="J22" s="102"/>
      <c r="K22" s="102"/>
      <c r="L22" s="132"/>
      <c r="M22" s="102"/>
      <c r="N22" s="102"/>
      <c r="O22" s="89"/>
      <c r="P22" s="102"/>
    </row>
    <row r="23" spans="1:16" ht="18" customHeight="1" thickBot="1" x14ac:dyDescent="0.25">
      <c r="A23" s="113"/>
      <c r="B23" s="203" t="s">
        <v>139</v>
      </c>
      <c r="C23" s="203"/>
      <c r="D23" s="203"/>
      <c r="E23" s="97">
        <f>SUM(E10:E22)</f>
        <v>990941.97249999992</v>
      </c>
      <c r="F23" s="96">
        <f>+G23/E23</f>
        <v>0.14620653245283494</v>
      </c>
      <c r="G23" s="101">
        <f>SUM(G10:G22)</f>
        <v>144882.18966119751</v>
      </c>
      <c r="H23" s="130">
        <f>SUMPRODUCT(E10:E22,H10:H22)/E23</f>
        <v>9.6150986717411527E-2</v>
      </c>
      <c r="I23" s="102"/>
      <c r="J23" s="102"/>
      <c r="K23" s="102"/>
      <c r="L23" s="102"/>
      <c r="M23" s="117"/>
      <c r="N23" s="102"/>
      <c r="O23" s="89"/>
      <c r="P23" s="102"/>
    </row>
    <row r="24" spans="1:16" x14ac:dyDescent="0.2">
      <c r="A24" s="113"/>
      <c r="B24" s="204" t="s">
        <v>140</v>
      </c>
      <c r="C24" s="204"/>
      <c r="D24" s="204"/>
      <c r="E24" s="204"/>
      <c r="F24" s="204"/>
      <c r="G24" s="204"/>
      <c r="H24" s="204" t="s">
        <v>141</v>
      </c>
      <c r="I24" s="204"/>
      <c r="J24" s="204"/>
      <c r="K24" s="204"/>
      <c r="L24" s="204"/>
      <c r="M24" s="204"/>
      <c r="N24" s="102"/>
      <c r="O24" s="89"/>
      <c r="P24" s="102"/>
    </row>
    <row r="25" spans="1:16" ht="12.75" customHeight="1" x14ac:dyDescent="0.2">
      <c r="A25" s="113"/>
      <c r="B25" s="205" t="s">
        <v>122</v>
      </c>
      <c r="C25" s="205"/>
      <c r="D25" s="205"/>
      <c r="E25" s="91">
        <f>'Datos Extra'!B1</f>
        <v>45971</v>
      </c>
      <c r="F25" s="127">
        <f>'Datos Extra'!C1</f>
        <v>0.65600000000000003</v>
      </c>
      <c r="G25" s="91">
        <f>+E25*F25</f>
        <v>30156.976000000002</v>
      </c>
      <c r="H25" s="205" t="s">
        <v>133</v>
      </c>
      <c r="I25" s="205"/>
      <c r="J25" s="205"/>
      <c r="K25" s="99">
        <f>Flujos!H62</f>
        <v>894372.97250000003</v>
      </c>
      <c r="L25" s="100">
        <f>Flujos!I62</f>
        <v>9.445663723299999E-2</v>
      </c>
      <c r="M25" s="99">
        <f>+K25*L25</f>
        <v>84479.463414432379</v>
      </c>
      <c r="N25" s="102"/>
      <c r="O25" s="89"/>
      <c r="P25" s="102"/>
    </row>
    <row r="26" spans="1:16" ht="12.75" customHeight="1" x14ac:dyDescent="0.2">
      <c r="A26" s="113"/>
      <c r="B26" s="195" t="s">
        <v>139</v>
      </c>
      <c r="C26" s="195"/>
      <c r="D26" s="195"/>
      <c r="E26" s="105">
        <f>SUM(E24:E25)</f>
        <v>45971</v>
      </c>
      <c r="F26" s="106">
        <f>F25</f>
        <v>0.65600000000000003</v>
      </c>
      <c r="G26" s="107">
        <f>SUM(G24:G25)</f>
        <v>30156.976000000002</v>
      </c>
      <c r="H26" s="195" t="s">
        <v>139</v>
      </c>
      <c r="I26" s="195"/>
      <c r="J26" s="195"/>
      <c r="K26" s="108">
        <f>K25</f>
        <v>894372.97250000003</v>
      </c>
      <c r="L26" s="109">
        <f>L25</f>
        <v>9.445663723299999E-2</v>
      </c>
      <c r="M26" s="108">
        <f>M25</f>
        <v>84479.463414432379</v>
      </c>
      <c r="N26" s="102"/>
      <c r="O26" s="89"/>
      <c r="P26" s="102"/>
    </row>
    <row r="27" spans="1:16" ht="12.75" customHeight="1" x14ac:dyDescent="0.2">
      <c r="A27" s="113"/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17"/>
      <c r="N27" s="102"/>
      <c r="O27" s="89"/>
      <c r="P27" s="102"/>
    </row>
    <row r="28" spans="1:16" ht="12.75" customHeight="1" thickBot="1" x14ac:dyDescent="0.25">
      <c r="A28" s="113"/>
      <c r="B28" s="196" t="s">
        <v>142</v>
      </c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N28" s="102"/>
      <c r="O28" s="89"/>
      <c r="P28" s="102"/>
    </row>
    <row r="29" spans="1:16" ht="12.75" customHeight="1" thickBot="1" x14ac:dyDescent="0.25">
      <c r="A29" s="113"/>
      <c r="B29" s="102"/>
      <c r="C29" s="102"/>
      <c r="D29" s="102"/>
      <c r="E29" s="102"/>
      <c r="F29" s="102"/>
      <c r="G29" s="102"/>
      <c r="H29" s="102"/>
      <c r="I29" s="102"/>
      <c r="J29" s="102"/>
      <c r="K29" s="102"/>
      <c r="L29" s="102"/>
      <c r="M29" s="117"/>
      <c r="N29" s="102"/>
      <c r="O29" s="89"/>
      <c r="P29" s="102"/>
    </row>
    <row r="30" spans="1:16" ht="12.75" customHeight="1" thickBot="1" x14ac:dyDescent="0.25">
      <c r="A30" s="113"/>
      <c r="B30" s="197" t="s">
        <v>143</v>
      </c>
      <c r="C30" s="198"/>
      <c r="D30" s="199"/>
      <c r="E30" s="102"/>
      <c r="F30" s="102"/>
      <c r="G30" s="200" t="s">
        <v>144</v>
      </c>
      <c r="H30" s="201"/>
      <c r="I30" s="202"/>
      <c r="J30" s="102"/>
      <c r="K30" s="197" t="s">
        <v>145</v>
      </c>
      <c r="L30" s="198"/>
      <c r="M30" s="199"/>
      <c r="N30" s="102"/>
      <c r="O30" s="89"/>
      <c r="P30" s="102"/>
    </row>
    <row r="31" spans="1:16" ht="12.75" customHeight="1" thickBot="1" x14ac:dyDescent="0.25">
      <c r="A31" s="131"/>
      <c r="B31" s="186">
        <f>Flujos!J74/100</f>
        <v>8.689760048611872E-2</v>
      </c>
      <c r="C31" s="186"/>
      <c r="D31" s="186"/>
      <c r="E31" s="102"/>
      <c r="F31" s="102"/>
      <c r="G31" s="187">
        <f>Utilidad!I94</f>
        <v>0.39527507192083183</v>
      </c>
      <c r="H31" s="187"/>
      <c r="I31" s="187"/>
      <c r="J31" s="102"/>
      <c r="K31" s="188">
        <f>Utilidad!I104</f>
        <v>0.60160918139617092</v>
      </c>
      <c r="L31" s="189"/>
      <c r="M31" s="190"/>
      <c r="N31" s="102"/>
      <c r="O31" s="89"/>
      <c r="P31" s="102"/>
    </row>
    <row r="32" spans="1:16" ht="12.75" customHeight="1" thickBot="1" x14ac:dyDescent="0.25">
      <c r="A32" s="14"/>
      <c r="B32" s="187"/>
      <c r="C32" s="187"/>
      <c r="D32" s="187"/>
      <c r="E32" s="102"/>
      <c r="F32" s="102"/>
      <c r="G32" s="187"/>
      <c r="H32" s="187"/>
      <c r="I32" s="187"/>
      <c r="J32" s="102"/>
      <c r="K32" s="191"/>
      <c r="L32" s="192"/>
      <c r="M32" s="193"/>
      <c r="O32" s="89"/>
    </row>
    <row r="33" spans="1:16" ht="12.75" customHeight="1" thickBot="1" x14ac:dyDescent="0.25">
      <c r="A33" s="120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2"/>
      <c r="N33" s="121"/>
      <c r="O33" s="123"/>
      <c r="P33" s="102"/>
    </row>
    <row r="34" spans="1:16" ht="12.75" customHeight="1" x14ac:dyDescent="0.2">
      <c r="A34" s="103"/>
    </row>
    <row r="35" spans="1:16" ht="12.75" customHeight="1" x14ac:dyDescent="0.2">
      <c r="A35" s="103"/>
    </row>
    <row r="36" spans="1:16" x14ac:dyDescent="0.2">
      <c r="A36" s="103"/>
    </row>
    <row r="37" spans="1:16" x14ac:dyDescent="0.2">
      <c r="A37" s="103"/>
    </row>
    <row r="38" spans="1:16" x14ac:dyDescent="0.2"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</row>
    <row r="39" spans="1:16" x14ac:dyDescent="0.2"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</row>
    <row r="40" spans="1:16" x14ac:dyDescent="0.2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</sheetData>
  <mergeCells count="36">
    <mergeCell ref="B2:C5"/>
    <mergeCell ref="D2:M3"/>
    <mergeCell ref="D4:I5"/>
    <mergeCell ref="J4:K5"/>
    <mergeCell ref="L4:M5"/>
    <mergeCell ref="B22:D22"/>
    <mergeCell ref="B7:D8"/>
    <mergeCell ref="I7:J8"/>
    <mergeCell ref="B9:G9"/>
    <mergeCell ref="B10:D10"/>
    <mergeCell ref="B17:D17"/>
    <mergeCell ref="B18:D18"/>
    <mergeCell ref="B19:D19"/>
    <mergeCell ref="B20:D20"/>
    <mergeCell ref="B21:D21"/>
    <mergeCell ref="B12:D12"/>
    <mergeCell ref="B13:D13"/>
    <mergeCell ref="B14:D14"/>
    <mergeCell ref="B15:D15"/>
    <mergeCell ref="B16:D16"/>
    <mergeCell ref="B31:D32"/>
    <mergeCell ref="G31:I32"/>
    <mergeCell ref="K31:M32"/>
    <mergeCell ref="H9:N9"/>
    <mergeCell ref="B26:D26"/>
    <mergeCell ref="H26:J26"/>
    <mergeCell ref="B28:M28"/>
    <mergeCell ref="B30:D30"/>
    <mergeCell ref="G30:I30"/>
    <mergeCell ref="K30:M30"/>
    <mergeCell ref="B23:D23"/>
    <mergeCell ref="B24:G24"/>
    <mergeCell ref="H24:M24"/>
    <mergeCell ref="B25:D25"/>
    <mergeCell ref="H25:J25"/>
    <mergeCell ref="B11:D11"/>
  </mergeCells>
  <pageMargins left="0.7" right="0.7" top="0.75" bottom="0.75" header="0.511811023622047" footer="0.511811023622047"/>
  <pageSetup scale="85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79</vt:i4>
      </vt:variant>
    </vt:vector>
  </HeadingPairs>
  <TitlesOfParts>
    <vt:vector size="84" baseType="lpstr">
      <vt:lpstr>Utilidad</vt:lpstr>
      <vt:lpstr>Diagrama Fe T</vt:lpstr>
      <vt:lpstr>Flujos</vt:lpstr>
      <vt:lpstr>Datos Extra</vt:lpstr>
      <vt:lpstr>Reporte</vt:lpstr>
      <vt:lpstr>Reporte!Print_Area</vt:lpstr>
      <vt:lpstr>Utilidad!solver_adj</vt:lpstr>
      <vt:lpstr>Utilidad!solver_lhs1</vt:lpstr>
      <vt:lpstr>Utilidad!solver_lhs10</vt:lpstr>
      <vt:lpstr>Utilidad!solver_lhs11</vt:lpstr>
      <vt:lpstr>Utilidad!solver_lhs12</vt:lpstr>
      <vt:lpstr>Utilidad!solver_lhs13</vt:lpstr>
      <vt:lpstr>Utilidad!solver_lhs14</vt:lpstr>
      <vt:lpstr>Utilidad!solver_lhs15</vt:lpstr>
      <vt:lpstr>Utilidad!solver_lhs16</vt:lpstr>
      <vt:lpstr>Utilidad!solver_lhs17</vt:lpstr>
      <vt:lpstr>Utilidad!solver_lhs18</vt:lpstr>
      <vt:lpstr>Utilidad!solver_lhs19</vt:lpstr>
      <vt:lpstr>Utilidad!solver_lhs2</vt:lpstr>
      <vt:lpstr>Utilidad!solver_lhs20</vt:lpstr>
      <vt:lpstr>Utilidad!solver_lhs21</vt:lpstr>
      <vt:lpstr>Utilidad!solver_lhs22</vt:lpstr>
      <vt:lpstr>Utilidad!solver_lhs23</vt:lpstr>
      <vt:lpstr>Utilidad!solver_lhs24</vt:lpstr>
      <vt:lpstr>Utilidad!solver_lhs25</vt:lpstr>
      <vt:lpstr>Utilidad!solver_lhs26</vt:lpstr>
      <vt:lpstr>Utilidad!solver_lhs27</vt:lpstr>
      <vt:lpstr>Utilidad!solver_lhs28</vt:lpstr>
      <vt:lpstr>Utilidad!solver_lhs29</vt:lpstr>
      <vt:lpstr>Utilidad!solver_lhs3</vt:lpstr>
      <vt:lpstr>Utilidad!solver_lhs30</vt:lpstr>
      <vt:lpstr>Utilidad!solver_lhs31</vt:lpstr>
      <vt:lpstr>Utilidad!solver_lhs32</vt:lpstr>
      <vt:lpstr>Utilidad!solver_lhs33</vt:lpstr>
      <vt:lpstr>Utilidad!solver_lhs34</vt:lpstr>
      <vt:lpstr>Utilidad!solver_lhs35</vt:lpstr>
      <vt:lpstr>Utilidad!solver_lhs36</vt:lpstr>
      <vt:lpstr>Utilidad!solver_lhs37</vt:lpstr>
      <vt:lpstr>Utilidad!solver_lhs38</vt:lpstr>
      <vt:lpstr>Utilidad!solver_lhs39</vt:lpstr>
      <vt:lpstr>Utilidad!solver_lhs4</vt:lpstr>
      <vt:lpstr>Utilidad!solver_lhs40</vt:lpstr>
      <vt:lpstr>Utilidad!solver_lhs41</vt:lpstr>
      <vt:lpstr>Utilidad!solver_lhs42</vt:lpstr>
      <vt:lpstr>Utilidad!solver_lhs43</vt:lpstr>
      <vt:lpstr>Utilidad!solver_lhs44</vt:lpstr>
      <vt:lpstr>Utilidad!solver_lhs45</vt:lpstr>
      <vt:lpstr>Utilidad!solver_lhs46</vt:lpstr>
      <vt:lpstr>Utilidad!solver_lhs47</vt:lpstr>
      <vt:lpstr>Utilidad!solver_lhs48</vt:lpstr>
      <vt:lpstr>Utilidad!solver_lhs49</vt:lpstr>
      <vt:lpstr>Utilidad!solver_lhs5</vt:lpstr>
      <vt:lpstr>Utilidad!solver_lhs50</vt:lpstr>
      <vt:lpstr>Utilidad!solver_lhs6</vt:lpstr>
      <vt:lpstr>Utilidad!solver_lhs7</vt:lpstr>
      <vt:lpstr>Utilidad!solver_lhs8</vt:lpstr>
      <vt:lpstr>Utilidad!solver_lhs9</vt:lpstr>
      <vt:lpstr>'Diagrama Fe T'!solver_opt</vt:lpstr>
      <vt:lpstr>Utilidad!solver_opt</vt:lpstr>
      <vt:lpstr>Utilidad!solver_rhs1</vt:lpstr>
      <vt:lpstr>Utilidad!solver_rhs10</vt:lpstr>
      <vt:lpstr>Utilidad!solver_rhs11</vt:lpstr>
      <vt:lpstr>Utilidad!solver_rhs2</vt:lpstr>
      <vt:lpstr>Utilidad!solver_rhs3</vt:lpstr>
      <vt:lpstr>Utilidad!solver_rhs37</vt:lpstr>
      <vt:lpstr>Utilidad!solver_rhs38</vt:lpstr>
      <vt:lpstr>Utilidad!solver_rhs39</vt:lpstr>
      <vt:lpstr>Utilidad!solver_rhs4</vt:lpstr>
      <vt:lpstr>Utilidad!solver_rhs40</vt:lpstr>
      <vt:lpstr>Utilidad!solver_rhs41</vt:lpstr>
      <vt:lpstr>Utilidad!solver_rhs42</vt:lpstr>
      <vt:lpstr>Utilidad!solver_rhs43</vt:lpstr>
      <vt:lpstr>Utilidad!solver_rhs44</vt:lpstr>
      <vt:lpstr>Utilidad!solver_rhs45</vt:lpstr>
      <vt:lpstr>Utilidad!solver_rhs46</vt:lpstr>
      <vt:lpstr>Utilidad!solver_rhs47</vt:lpstr>
      <vt:lpstr>Utilidad!solver_rhs48</vt:lpstr>
      <vt:lpstr>Utilidad!solver_rhs49</vt:lpstr>
      <vt:lpstr>Utilidad!solver_rhs5</vt:lpstr>
      <vt:lpstr>Utilidad!solver_rhs50</vt:lpstr>
      <vt:lpstr>Utilidad!solver_rhs6</vt:lpstr>
      <vt:lpstr>Utilidad!solver_rhs7</vt:lpstr>
      <vt:lpstr>Utilidad!solver_rhs8</vt:lpstr>
      <vt:lpstr>Utilidad!solver_rhs9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Arru</dc:creator>
  <dc:description/>
  <cp:lastModifiedBy>Fernando</cp:lastModifiedBy>
  <cp:revision>5</cp:revision>
  <cp:lastPrinted>2024-10-17T01:22:55Z</cp:lastPrinted>
  <dcterms:created xsi:type="dcterms:W3CDTF">2021-07-19T13:22:17Z</dcterms:created>
  <dcterms:modified xsi:type="dcterms:W3CDTF">2024-11-29T18:59:52Z</dcterms:modified>
  <dc:language>es-CL</dc:language>
</cp:coreProperties>
</file>