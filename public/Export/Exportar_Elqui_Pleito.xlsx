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drawing4.xml" ContentType="application/vnd.openxmlformats-officedocument.drawing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5.xml" ContentType="application/vnd.openxmlformats-officedocument.spreadsheetml.comment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porte " sheetId="1" state="visible" r:id="rId3"/>
    <sheet name="Flujos" sheetId="2" state="visible" r:id="rId4"/>
    <sheet name="Datos Extra" sheetId="3" state="visible" r:id="rId5"/>
    <sheet name="Utilidad" sheetId="4" state="visible" r:id="rId6"/>
    <sheet name="Info Planta" sheetId="5" state="hidden" r:id="rId7"/>
    <sheet name="Calc Nodos" sheetId="6" state="hidden" r:id="rId8"/>
    <sheet name="Bal AL FeT" sheetId="7" state="hidden" r:id="rId9"/>
    <sheet name="Bal AL FeMag" sheetId="8" state="hidden" r:id="rId10"/>
    <sheet name="Diag Bal AL FeT" sheetId="9" state="visible" r:id="rId11"/>
    <sheet name="Diag ML FeT" sheetId="10" state="visible" r:id="rId12"/>
    <sheet name="Bal ML FeT" sheetId="11" state="hidden" r:id="rId13"/>
    <sheet name="Bal ML FeMag" sheetId="12" state="hidden" r:id="rId14"/>
  </sheets>
  <definedNames>
    <definedName function="false" hidden="false" localSheetId="0" name="_xlnm.Print_Area" vbProcedure="false">'Reporte '!$B$2:$G$78</definedName>
    <definedName function="false" hidden="false" localSheetId="5" name="solver_cvg" vbProcedure="false">0.0001</definedName>
    <definedName function="false" hidden="false" localSheetId="5" name="solver_drv" vbProcedure="false">1</definedName>
    <definedName function="false" hidden="false" localSheetId="5" name="solver_eng" vbProcedure="false">1</definedName>
    <definedName function="false" hidden="false" localSheetId="5" name="solver_est" vbProcedure="false">1</definedName>
    <definedName function="false" hidden="false" localSheetId="5" name="solver_itr" vbProcedure="false">2147483647</definedName>
    <definedName function="false" hidden="false" localSheetId="5" name="solver_mip" vbProcedure="false">2147483647</definedName>
    <definedName function="false" hidden="false" localSheetId="5" name="solver_mni" vbProcedure="false">30</definedName>
    <definedName function="false" hidden="false" localSheetId="5" name="solver_mrt" vbProcedure="false">0.075</definedName>
    <definedName function="false" hidden="false" localSheetId="5" name="solver_msl" vbProcedure="false">2</definedName>
    <definedName function="false" hidden="false" localSheetId="5" name="solver_neg" vbProcedure="false">1</definedName>
    <definedName function="false" hidden="false" localSheetId="5" name="solver_nod" vbProcedure="false">2147483647</definedName>
    <definedName function="false" hidden="false" localSheetId="5" name="solver_num" vbProcedure="false">35</definedName>
    <definedName function="false" hidden="false" localSheetId="5" name="solver_nwt" vbProcedure="false">1</definedName>
    <definedName function="false" hidden="false" localSheetId="5" name="solver_pre" vbProcedure="false">0.000001</definedName>
    <definedName function="false" hidden="false" localSheetId="5" name="solver_rbv" vbProcedure="false">1</definedName>
    <definedName function="false" hidden="false" localSheetId="5" name="solver_rel1" vbProcedure="false">1</definedName>
    <definedName function="false" hidden="false" localSheetId="5" name="solver_rel10" vbProcedure="false">2</definedName>
    <definedName function="false" hidden="false" localSheetId="5" name="solver_rel11" vbProcedure="false">2</definedName>
    <definedName function="false" hidden="false" localSheetId="5" name="solver_rel12" vbProcedure="false">2</definedName>
    <definedName function="false" hidden="false" localSheetId="5" name="solver_rel13" vbProcedure="false">2</definedName>
    <definedName function="false" hidden="false" localSheetId="5" name="solver_rel14" vbProcedure="false">2</definedName>
    <definedName function="false" hidden="false" localSheetId="5" name="solver_rel15" vbProcedure="false">1</definedName>
    <definedName function="false" hidden="false" localSheetId="5" name="solver_rel16" vbProcedure="false">1</definedName>
    <definedName function="false" hidden="false" localSheetId="5" name="solver_rel17" vbProcedure="false">2</definedName>
    <definedName function="false" hidden="false" localSheetId="5" name="solver_rel18" vbProcedure="false">2</definedName>
    <definedName function="false" hidden="false" localSheetId="5" name="solver_rel19" vbProcedure="false">2</definedName>
    <definedName function="false" hidden="false" localSheetId="5" name="solver_rel2" vbProcedure="false">1</definedName>
    <definedName function="false" hidden="false" localSheetId="5" name="solver_rel20" vbProcedure="false">2</definedName>
    <definedName function="false" hidden="false" localSheetId="5" name="solver_rel21" vbProcedure="false">1</definedName>
    <definedName function="false" hidden="false" localSheetId="5" name="solver_rel22" vbProcedure="false">1</definedName>
    <definedName function="false" hidden="false" localSheetId="5" name="solver_rel23" vbProcedure="false">1</definedName>
    <definedName function="false" hidden="false" localSheetId="5" name="solver_rel24" vbProcedure="false">1</definedName>
    <definedName function="false" hidden="false" localSheetId="5" name="solver_rel25" vbProcedure="false">1</definedName>
    <definedName function="false" hidden="false" localSheetId="5" name="solver_rel26" vbProcedure="false">1</definedName>
    <definedName function="false" hidden="false" localSheetId="5" name="solver_rel27" vbProcedure="false">1</definedName>
    <definedName function="false" hidden="false" localSheetId="5" name="solver_rel28" vbProcedure="false">1</definedName>
    <definedName function="false" hidden="false" localSheetId="5" name="solver_rel29" vbProcedure="false">1</definedName>
    <definedName function="false" hidden="false" localSheetId="5" name="solver_rel3" vbProcedure="false">1</definedName>
    <definedName function="false" hidden="false" localSheetId="5" name="solver_rel30" vbProcedure="false">1</definedName>
    <definedName function="false" hidden="false" localSheetId="5" name="solver_rel31" vbProcedure="false">1</definedName>
    <definedName function="false" hidden="false" localSheetId="5" name="solver_rel32" vbProcedure="false">1</definedName>
    <definedName function="false" hidden="false" localSheetId="5" name="solver_rel33" vbProcedure="false">1</definedName>
    <definedName function="false" hidden="false" localSheetId="5" name="solver_rel34" vbProcedure="false">1</definedName>
    <definedName function="false" hidden="false" localSheetId="5" name="solver_rel35" vbProcedure="false">1</definedName>
    <definedName function="false" hidden="false" localSheetId="5" name="solver_rel4" vbProcedure="false">1</definedName>
    <definedName function="false" hidden="false" localSheetId="5" name="solver_rel5" vbProcedure="false">1</definedName>
    <definedName function="false" hidden="false" localSheetId="5" name="solver_rel6" vbProcedure="false">1</definedName>
    <definedName function="false" hidden="false" localSheetId="5" name="solver_rel7" vbProcedure="false">1</definedName>
    <definedName function="false" hidden="false" localSheetId="5" name="solver_rel8" vbProcedure="false">1</definedName>
    <definedName function="false" hidden="false" localSheetId="5" name="solver_rel9" vbProcedure="false">2</definedName>
    <definedName function="false" hidden="false" localSheetId="5" name="solver_rhs10" vbProcedure="false">0</definedName>
    <definedName function="false" hidden="false" localSheetId="5" name="solver_rhs11" vbProcedure="false">0</definedName>
    <definedName function="false" hidden="false" localSheetId="5" name="solver_rhs12" vbProcedure="false">0</definedName>
    <definedName function="false" hidden="false" localSheetId="5" name="solver_rhs13" vbProcedure="false">0</definedName>
    <definedName function="false" hidden="false" localSheetId="5" name="solver_rhs14" vbProcedure="false">0</definedName>
    <definedName function="false" hidden="false" localSheetId="5" name="solver_rhs17" vbProcedure="false">0</definedName>
    <definedName function="false" hidden="false" localSheetId="5" name="solver_rhs18" vbProcedure="false">0</definedName>
    <definedName function="false" hidden="false" localSheetId="5" name="solver_rhs19" vbProcedure="false">0</definedName>
    <definedName function="false" hidden="false" localSheetId="5" name="solver_rhs20" vbProcedure="false">0</definedName>
    <definedName function="false" hidden="false" localSheetId="5" name="solver_rhs9" vbProcedure="false">0</definedName>
    <definedName function="false" hidden="false" localSheetId="5" name="solver_rlx" vbProcedure="false">2</definedName>
    <definedName function="false" hidden="false" localSheetId="5" name="solver_rsd" vbProcedure="false">0</definedName>
    <definedName function="false" hidden="false" localSheetId="5" name="solver_scl" vbProcedure="false">1</definedName>
    <definedName function="false" hidden="false" localSheetId="5" name="solver_sho" vbProcedure="false">2</definedName>
    <definedName function="false" hidden="false" localSheetId="5" name="solver_ssz" vbProcedure="false">100</definedName>
    <definedName function="false" hidden="false" localSheetId="5" name="solver_tim" vbProcedure="false">2147483647</definedName>
    <definedName function="false" hidden="false" localSheetId="5" name="solver_tol" vbProcedure="false">1</definedName>
    <definedName function="false" hidden="false" localSheetId="5" name="solver_typ" vbProcedure="false">2</definedName>
    <definedName function="false" hidden="false" localSheetId="5" name="solver_val" vbProcedure="false">0</definedName>
    <definedName function="false" hidden="false" localSheetId="5" name="solver_ver" vbProcedure="false">3</definedName>
    <definedName function="false" hidden="false" localSheetId="6" name="solver_adj" vbProcedure="false">'Bal AL FeT'!$J$26:$K$42</definedName>
    <definedName function="false" hidden="false" localSheetId="6" name="solver_cvg" vbProcedure="false">0.0001</definedName>
    <definedName function="false" hidden="false" localSheetId="6" name="solver_drv" vbProcedure="false">1</definedName>
    <definedName function="false" hidden="false" localSheetId="6" name="solver_eng" vbProcedure="false">1</definedName>
    <definedName function="false" hidden="false" localSheetId="6" name="solver_est" vbProcedure="false">1</definedName>
    <definedName function="false" hidden="false" localSheetId="6" name="solver_itr" vbProcedure="false">2147483647</definedName>
    <definedName function="false" hidden="false" localSheetId="6" name="solver_lhs1" vbProcedure="false">'Bal AL FeT'!$P$32</definedName>
    <definedName function="false" hidden="false" localSheetId="6" name="solver_lhs10" vbProcedure="false">'Bal AL FeT'!$W$37</definedName>
    <definedName function="false" hidden="false" localSheetId="6" name="solver_lhs11" vbProcedure="false">'Bal AL FeT'!$W$33</definedName>
    <definedName function="false" hidden="false" localSheetId="6" name="solver_lhs12" vbProcedure="false">'Bal AL FeT'!$V$36</definedName>
    <definedName function="false" hidden="false" localSheetId="6" name="solver_lhs13" vbProcedure="false">'Bal AL FeT'!$W$36</definedName>
    <definedName function="false" hidden="false" localSheetId="6" name="solver_lhs14" vbProcedure="false">'Bal AL FeT'!$W$35</definedName>
    <definedName function="false" hidden="false" localSheetId="6" name="solver_lhs15" vbProcedure="false">'Bal AL FeT'!$R$37</definedName>
    <definedName function="false" hidden="false" localSheetId="6" name="solver_lhs16" vbProcedure="false">'Bal AL FeT'!$R$41</definedName>
    <definedName function="false" hidden="false" localSheetId="6" name="solver_lhs17" vbProcedure="false">'Bal AL FeT'!$V$35</definedName>
    <definedName function="false" hidden="false" localSheetId="6" name="solver_lhs18" vbProcedure="false">'Bal AL FeT'!$V$33</definedName>
    <definedName function="false" hidden="false" localSheetId="6" name="solver_lhs19" vbProcedure="false">'Bal AL FeT'!$V$34</definedName>
    <definedName function="false" hidden="false" localSheetId="6" name="solver_lhs2" vbProcedure="false">'Bal AL FeT'!$P$27</definedName>
    <definedName function="false" hidden="false" localSheetId="6" name="solver_lhs20" vbProcedure="false">'Bal AL FeT'!$W$34</definedName>
    <definedName function="false" hidden="false" localSheetId="6" name="solver_lhs21" vbProcedure="false">'Bal AL FeT'!$R$42</definedName>
    <definedName function="false" hidden="false" localSheetId="6" name="solver_lhs22" vbProcedure="false">'Bal AL FeT'!$R$38</definedName>
    <definedName function="false" hidden="false" localSheetId="6" name="solver_lhs23" vbProcedure="false">'Bal AL FeT'!$R$40</definedName>
    <definedName function="false" hidden="false" localSheetId="6" name="solver_lhs24" vbProcedure="false">'Bal AL FeT'!$R$35</definedName>
    <definedName function="false" hidden="false" localSheetId="6" name="solver_lhs25" vbProcedure="false">'Bal AL FeT'!$P$39</definedName>
    <definedName function="false" hidden="false" localSheetId="6" name="solver_lhs26" vbProcedure="false">'Bal AL FeT'!$R$27</definedName>
    <definedName function="false" hidden="false" localSheetId="6" name="solver_lhs27" vbProcedure="false">'Bal AL FeT'!$R$33</definedName>
    <definedName function="false" hidden="false" localSheetId="6" name="solver_lhs28" vbProcedure="false">'Bal AL FeT'!$R$28</definedName>
    <definedName function="false" hidden="false" localSheetId="6" name="solver_lhs29" vbProcedure="false">'Bal AL FeT'!$R$29</definedName>
    <definedName function="false" hidden="false" localSheetId="6" name="solver_lhs3" vbProcedure="false">'Bal AL FeT'!$P$35</definedName>
    <definedName function="false" hidden="false" localSheetId="6" name="solver_lhs30" vbProcedure="false">'Bal AL FeT'!$P$40</definedName>
    <definedName function="false" hidden="false" localSheetId="6" name="solver_lhs31" vbProcedure="false">'Bal AL FeT'!$P$36</definedName>
    <definedName function="false" hidden="false" localSheetId="6" name="solver_lhs32" vbProcedure="false">'Bal AL FeT'!$P$33</definedName>
    <definedName function="false" hidden="false" localSheetId="6" name="solver_lhs33" vbProcedure="false">'Bal AL FeT'!$P$29</definedName>
    <definedName function="false" hidden="false" localSheetId="6" name="solver_lhs34" vbProcedure="false">'Bal AL FeT'!$P$28</definedName>
    <definedName function="false" hidden="false" localSheetId="6" name="solver_lhs35" vbProcedure="false">'Bal AL FeT'!$P$31</definedName>
    <definedName function="false" hidden="false" localSheetId="6" name="solver_lhs4" vbProcedure="false">'Bal AL FeT'!$P$37</definedName>
    <definedName function="false" hidden="false" localSheetId="6" name="solver_lhs5" vbProcedure="false">'Bal AL FeT'!$P$42</definedName>
    <definedName function="false" hidden="false" localSheetId="6" name="solver_lhs6" vbProcedure="false">'Bal AL FeT'!$R$32</definedName>
    <definedName function="false" hidden="false" localSheetId="6" name="solver_lhs7" vbProcedure="false">'Bal AL FeT'!$P$25</definedName>
    <definedName function="false" hidden="false" localSheetId="6" name="solver_lhs8" vbProcedure="false">'Bal AL FeT'!$R$36</definedName>
    <definedName function="false" hidden="false" localSheetId="6" name="solver_lhs9" vbProcedure="false">'Bal AL FeT'!$V$37</definedName>
    <definedName function="false" hidden="false" localSheetId="6" name="solver_mip" vbProcedure="false">2147483647</definedName>
    <definedName function="false" hidden="false" localSheetId="6" name="solver_mni" vbProcedure="false">30</definedName>
    <definedName function="false" hidden="false" localSheetId="6" name="solver_mrt" vbProcedure="false">0.075</definedName>
    <definedName function="false" hidden="false" localSheetId="6" name="solver_msl" vbProcedure="false">2</definedName>
    <definedName function="false" hidden="false" localSheetId="6" name="solver_neg" vbProcedure="false">1</definedName>
    <definedName function="false" hidden="false" localSheetId="6" name="solver_nod" vbProcedure="false">2147483647</definedName>
    <definedName function="false" hidden="false" localSheetId="6" name="solver_num" vbProcedure="false">27</definedName>
    <definedName function="false" hidden="false" localSheetId="6" name="solver_nwt" vbProcedure="false">1</definedName>
    <definedName function="false" hidden="false" localSheetId="6" name="solver_opt" vbProcedure="false">'Bal AL FeT'!$V$40</definedName>
    <definedName function="false" hidden="false" localSheetId="6" name="solver_pre" vbProcedure="false">0.000001</definedName>
    <definedName function="false" hidden="false" localSheetId="6" name="solver_rbv" vbProcedure="false">1</definedName>
    <definedName function="false" hidden="false" localSheetId="6" name="solver_rel1" vbProcedure="false">1</definedName>
    <definedName function="false" hidden="false" localSheetId="6" name="solver_rel10" vbProcedure="false">1</definedName>
    <definedName function="false" hidden="false" localSheetId="6" name="solver_rel11" vbProcedure="false">1</definedName>
    <definedName function="false" hidden="false" localSheetId="6" name="solver_rel12" vbProcedure="false">1</definedName>
    <definedName function="false" hidden="false" localSheetId="6" name="solver_rel13" vbProcedure="false">1</definedName>
    <definedName function="false" hidden="false" localSheetId="6" name="solver_rel14" vbProcedure="false">1</definedName>
    <definedName function="false" hidden="false" localSheetId="6" name="solver_rel15" vbProcedure="false">2</definedName>
    <definedName function="false" hidden="false" localSheetId="6" name="solver_rel16" vbProcedure="false">2</definedName>
    <definedName function="false" hidden="false" localSheetId="6" name="solver_rel17" vbProcedure="false">1</definedName>
    <definedName function="false" hidden="false" localSheetId="6" name="solver_rel18" vbProcedure="false">2</definedName>
    <definedName function="false" hidden="false" localSheetId="6" name="solver_rel19" vbProcedure="false">2</definedName>
    <definedName function="false" hidden="false" localSheetId="6" name="solver_rel2" vbProcedure="false">1</definedName>
    <definedName function="false" hidden="false" localSheetId="6" name="solver_rel20" vbProcedure="false">1</definedName>
    <definedName function="false" hidden="false" localSheetId="6" name="solver_rel21" vbProcedure="false">1</definedName>
    <definedName function="false" hidden="false" localSheetId="6" name="solver_rel22" vbProcedure="false">2</definedName>
    <definedName function="false" hidden="false" localSheetId="6" name="solver_rel23" vbProcedure="false">2</definedName>
    <definedName function="false" hidden="false" localSheetId="6" name="solver_rel24" vbProcedure="false">2</definedName>
    <definedName function="false" hidden="false" localSheetId="6" name="solver_rel25" vbProcedure="false">2</definedName>
    <definedName function="false" hidden="false" localSheetId="6" name="solver_rel26" vbProcedure="false">2</definedName>
    <definedName function="false" hidden="false" localSheetId="6" name="solver_rel27" vbProcedure="false">2</definedName>
    <definedName function="false" hidden="false" localSheetId="6" name="solver_rel3" vbProcedure="false">1</definedName>
    <definedName function="false" hidden="false" localSheetId="6" name="solver_rel4" vbProcedure="false">1</definedName>
    <definedName function="false" hidden="false" localSheetId="6" name="solver_rel5" vbProcedure="false">1</definedName>
    <definedName function="false" hidden="false" localSheetId="6" name="solver_rel6" vbProcedure="false">1</definedName>
    <definedName function="false" hidden="false" localSheetId="6" name="solver_rel7" vbProcedure="false">1</definedName>
    <definedName function="false" hidden="false" localSheetId="6" name="solver_rel8" vbProcedure="false">1</definedName>
    <definedName function="false" hidden="false" localSheetId="6" name="solver_rel9" vbProcedure="false">1</definedName>
    <definedName function="false" hidden="false" localSheetId="6" name="solver_rhs1" vbProcedure="false">'Bal AL FeT'!$Q$32</definedName>
    <definedName function="false" hidden="false" localSheetId="6" name="solver_rhs15" vbProcedure="false">'Bal AL FeT'!$S$37</definedName>
    <definedName function="false" hidden="false" localSheetId="6" name="solver_rhs16" vbProcedure="false">'Bal AL FeT'!$S$41</definedName>
    <definedName function="false" hidden="false" localSheetId="6" name="solver_rhs18" vbProcedure="false">0</definedName>
    <definedName function="false" hidden="false" localSheetId="6" name="solver_rhs19" vbProcedure="false">0</definedName>
    <definedName function="false" hidden="false" localSheetId="6" name="solver_rhs2" vbProcedure="false">'Bal AL FeT'!$Q$27</definedName>
    <definedName function="false" hidden="false" localSheetId="6" name="solver_rhs21" vbProcedure="false">'Bal AL FeT'!$S$42</definedName>
    <definedName function="false" hidden="false" localSheetId="6" name="solver_rhs22" vbProcedure="false">'Bal AL FeT'!$S$38</definedName>
    <definedName function="false" hidden="false" localSheetId="6" name="solver_rhs23" vbProcedure="false">'Bal AL FeT'!$S$40</definedName>
    <definedName function="false" hidden="false" localSheetId="6" name="solver_rhs24" vbProcedure="false">'Bal AL FeT'!$S$35</definedName>
    <definedName function="false" hidden="false" localSheetId="6" name="solver_rhs25" vbProcedure="false">'Bal AL FeT'!$Q$39</definedName>
    <definedName function="false" hidden="false" localSheetId="6" name="solver_rhs26" vbProcedure="false">'Bal AL FeT'!$S$27</definedName>
    <definedName function="false" hidden="false" localSheetId="6" name="solver_rhs27" vbProcedure="false">'Bal AL FeT'!$S$33</definedName>
    <definedName function="false" hidden="false" localSheetId="6" name="solver_rhs28" vbProcedure="false">'Bal AL FeT'!$S$28</definedName>
    <definedName function="false" hidden="false" localSheetId="6" name="solver_rhs29" vbProcedure="false">'Bal AL FeT'!$S$29</definedName>
    <definedName function="false" hidden="false" localSheetId="6" name="solver_rhs3" vbProcedure="false">'Bal AL FeT'!$Q$35</definedName>
    <definedName function="false" hidden="false" localSheetId="6" name="solver_rhs30" vbProcedure="false">'Bal AL FeT'!$Q$40</definedName>
    <definedName function="false" hidden="false" localSheetId="6" name="solver_rhs31" vbProcedure="false">'Bal AL FeT'!$Q$36</definedName>
    <definedName function="false" hidden="false" localSheetId="6" name="solver_rhs32" vbProcedure="false">'Bal AL FeT'!$Q$33</definedName>
    <definedName function="false" hidden="false" localSheetId="6" name="solver_rhs33" vbProcedure="false">'Bal AL FeT'!$Q$29</definedName>
    <definedName function="false" hidden="false" localSheetId="6" name="solver_rhs34" vbProcedure="false">'Bal AL FeT'!$Q$28</definedName>
    <definedName function="false" hidden="false" localSheetId="6" name="solver_rhs35" vbProcedure="false">'Bal AL FeT'!$Q$31</definedName>
    <definedName function="false" hidden="false" localSheetId="6" name="solver_rhs4" vbProcedure="false">'Bal AL FeT'!$Q$37</definedName>
    <definedName function="false" hidden="false" localSheetId="6" name="solver_rhs5" vbProcedure="false">'Bal AL FeT'!$Q$42</definedName>
    <definedName function="false" hidden="false" localSheetId="6" name="solver_rhs6" vbProcedure="false">'Bal AL FeT'!$S$32</definedName>
    <definedName function="false" hidden="false" localSheetId="6" name="solver_rhs7" vbProcedure="false">'Bal AL FeT'!$Q$25</definedName>
    <definedName function="false" hidden="false" localSheetId="6" name="solver_rhs8" vbProcedure="false">'Bal AL FeT'!$S$36</definedName>
    <definedName function="false" hidden="false" localSheetId="6" name="solver_rlx" vbProcedure="false">2</definedName>
    <definedName function="false" hidden="false" localSheetId="6" name="solver_rsd" vbProcedure="false">0</definedName>
    <definedName function="false" hidden="false" localSheetId="6" name="solver_scl" vbProcedure="false">1</definedName>
    <definedName function="false" hidden="false" localSheetId="6" name="solver_sho" vbProcedure="false">2</definedName>
    <definedName function="false" hidden="false" localSheetId="6" name="solver_ssz" vbProcedure="false">100</definedName>
    <definedName function="false" hidden="false" localSheetId="6" name="solver_tim" vbProcedure="false">2147483647</definedName>
    <definedName function="false" hidden="false" localSheetId="6" name="solver_tol" vbProcedure="false">1</definedName>
    <definedName function="false" hidden="false" localSheetId="6" name="solver_typ" vbProcedure="false">2</definedName>
    <definedName function="false" hidden="false" localSheetId="6" name="solver_val" vbProcedure="false">0</definedName>
    <definedName function="false" hidden="false" localSheetId="6" name="solver_ver" vbProcedure="false">3</definedName>
    <definedName function="false" hidden="false" localSheetId="7" name="solver_adj" vbProcedure="false">'Bal AL FeMag'!$K$26:$K$42</definedName>
    <definedName function="false" hidden="false" localSheetId="7" name="solver_lhs1" vbProcedure="false">'Bal AL FeMag'!$P$29</definedName>
    <definedName function="false" hidden="false" localSheetId="7" name="solver_lhs10" vbProcedure="false">'Bal AL FeMag'!$R$28</definedName>
    <definedName function="false" hidden="false" localSheetId="7" name="solver_lhs11" vbProcedure="false">'Bal AL FeMag'!$R$29</definedName>
    <definedName function="false" hidden="false" localSheetId="7" name="solver_lhs12" vbProcedure="false">'Bal AL FeMag'!$R$40</definedName>
    <definedName function="false" hidden="false" localSheetId="7" name="solver_lhs13" vbProcedure="false">'Bal AL FeMag'!$R$32</definedName>
    <definedName function="false" hidden="false" localSheetId="7" name="solver_lhs14" vbProcedure="false">'Bal AL FeMag'!$R$42</definedName>
    <definedName function="false" hidden="false" localSheetId="7" name="solver_lhs15" vbProcedure="false">'Bal AL FeMag'!$V$35</definedName>
    <definedName function="false" hidden="false" localSheetId="7" name="solver_lhs16" vbProcedure="false">'Bal AL FeMag'!$V$34</definedName>
    <definedName function="false" hidden="false" localSheetId="7" name="solver_lhs17" vbProcedure="false">'Bal AL FeMag'!$R$30</definedName>
    <definedName function="false" hidden="false" localSheetId="7" name="solver_lhs18" vbProcedure="false">'Bal AL FeMag'!$V$36</definedName>
    <definedName function="false" hidden="false" localSheetId="7" name="solver_lhs19" vbProcedure="false">'Bal AL FeMag'!$V$33</definedName>
    <definedName function="false" hidden="false" localSheetId="7" name="solver_lhs2" vbProcedure="false">'Bal AL FeMag'!$P$32</definedName>
    <definedName function="false" hidden="false" localSheetId="7" name="solver_lhs20" vbProcedure="false">'Bal AL FeMag'!$R$33</definedName>
    <definedName function="false" hidden="false" localSheetId="7" name="solver_lhs21" vbProcedure="false">'Bal AL FeMag'!$P$25</definedName>
    <definedName function="false" hidden="false" localSheetId="7" name="solver_lhs22" vbProcedure="false">'Bal AL FeMag'!$W$33</definedName>
    <definedName function="false" hidden="false" localSheetId="7" name="solver_lhs23" vbProcedure="false">'Bal AL FeMag'!$V$37</definedName>
    <definedName function="false" hidden="false" localSheetId="7" name="solver_lhs24" vbProcedure="false">'Bal AL FeMag'!$W$34</definedName>
    <definedName function="false" hidden="false" localSheetId="7" name="solver_lhs25" vbProcedure="false">'Bal AL FeMag'!$W$36</definedName>
    <definedName function="false" hidden="false" localSheetId="7" name="solver_lhs26" vbProcedure="false">'Bal AL FeMag'!$W$35</definedName>
    <definedName function="false" hidden="false" localSheetId="7" name="solver_lhs27" vbProcedure="false">'Bal AL FeMag'!$W$37</definedName>
    <definedName function="false" hidden="false" localSheetId="7" name="solver_lhs3" vbProcedure="false">'Bal AL FeMag'!$P$31</definedName>
    <definedName function="false" hidden="false" localSheetId="7" name="solver_lhs4" vbProcedure="false">'Bal AL FeMag'!$P$33</definedName>
    <definedName function="false" hidden="false" localSheetId="7" name="solver_lhs5" vbProcedure="false">'Bal AL FeMag'!$P$35</definedName>
    <definedName function="false" hidden="false" localSheetId="7" name="solver_lhs6" vbProcedure="false">'Bal AL FeMag'!$P$39</definedName>
    <definedName function="false" hidden="false" localSheetId="7" name="solver_lhs7" vbProcedure="false">'Bal AL FeMag'!$P$36</definedName>
    <definedName function="false" hidden="false" localSheetId="7" name="solver_lhs8" vbProcedure="false">'Bal AL FeMag'!$P$42</definedName>
    <definedName function="false" hidden="false" localSheetId="7" name="solver_lhs9" vbProcedure="false">'Bal AL FeMag'!$R$27</definedName>
    <definedName function="false" hidden="false" localSheetId="7" name="solver_opt" vbProcedure="false">'Bal AL FeMag'!$V$40</definedName>
    <definedName function="false" hidden="false" localSheetId="7" name="solver_rhs1" vbProcedure="false">'Bal AL FeMag'!$Q$29</definedName>
    <definedName function="false" hidden="false" localSheetId="7" name="solver_rhs10" vbProcedure="false">'Bal AL FeMag'!$S$28</definedName>
    <definedName function="false" hidden="false" localSheetId="7" name="solver_rhs11" vbProcedure="false">'Bal AL FeMag'!$S$29</definedName>
    <definedName function="false" hidden="false" localSheetId="7" name="solver_rhs12" vbProcedure="false">'Bal AL FeMag'!$S$40</definedName>
    <definedName function="false" hidden="false" localSheetId="7" name="solver_rhs13" vbProcedure="false">'Bal AL FeMag'!$S$32</definedName>
    <definedName function="false" hidden="false" localSheetId="7" name="solver_rhs14" vbProcedure="false">'Bal AL FeMag'!$S$42</definedName>
    <definedName function="false" hidden="false" localSheetId="7" name="solver_rhs17" vbProcedure="false">'Bal AL FeMag'!$S$30</definedName>
    <definedName function="false" hidden="false" localSheetId="7" name="solver_rhs2" vbProcedure="false">'Bal AL FeMag'!$Q$32</definedName>
    <definedName function="false" hidden="false" localSheetId="7" name="solver_rhs20" vbProcedure="false">'Bal AL FeMag'!$S$33</definedName>
    <definedName function="false" hidden="false" localSheetId="7" name="solver_rhs21" vbProcedure="false">'Bal AL FeMag'!$Q$25</definedName>
    <definedName function="false" hidden="false" localSheetId="7" name="solver_rhs3" vbProcedure="false">'Bal AL FeMag'!$Q$31</definedName>
    <definedName function="false" hidden="false" localSheetId="7" name="solver_rhs4" vbProcedure="false">'Bal AL FeMag'!$Q$33</definedName>
    <definedName function="false" hidden="false" localSheetId="7" name="solver_rhs5" vbProcedure="false">'Bal AL FeMag'!$Q$35</definedName>
    <definedName function="false" hidden="false" localSheetId="7" name="solver_rhs6" vbProcedure="false">'Bal AL FeMag'!$Q$39</definedName>
    <definedName function="false" hidden="false" localSheetId="7" name="solver_rhs7" vbProcedure="false">'Bal AL FeMag'!$Q$36</definedName>
    <definedName function="false" hidden="false" localSheetId="7" name="solver_rhs8" vbProcedure="false">'Bal AL FeMag'!$Q$42</definedName>
    <definedName function="false" hidden="false" localSheetId="7" name="solver_rhs9" vbProcedure="false">'Bal AL FeMag'!$S$27</definedName>
    <definedName function="false" hidden="false" localSheetId="10" name="solver_adj" vbProcedure="false">'Bal ML FeT'!$J$20:$K$30</definedName>
    <definedName function="false" hidden="false" localSheetId="10" name="solver_cvg" vbProcedure="false">0.0001</definedName>
    <definedName function="false" hidden="false" localSheetId="10" name="solver_drv" vbProcedure="false">2</definedName>
    <definedName function="false" hidden="false" localSheetId="10" name="solver_eng" vbProcedure="false">1</definedName>
    <definedName function="false" hidden="false" localSheetId="10" name="solver_est" vbProcedure="false">1</definedName>
    <definedName function="false" hidden="false" localSheetId="10" name="solver_itr" vbProcedure="false">2147483647</definedName>
    <definedName function="false" hidden="false" localSheetId="10" name="solver_lhs1" vbProcedure="false">'Bal ML FeT'!$W$21</definedName>
    <definedName function="false" hidden="false" localSheetId="10" name="solver_lhs10" vbProcedure="false">'Bal ML FeT'!$R$30</definedName>
    <definedName function="false" hidden="false" localSheetId="10" name="solver_lhs11" vbProcedure="false">'Bal ML FeT'!$V$20</definedName>
    <definedName function="false" hidden="false" localSheetId="10" name="solver_lhs12" vbProcedure="false">'Bal ML FeT'!$V$19</definedName>
    <definedName function="false" hidden="false" localSheetId="10" name="solver_lhs13" vbProcedure="false">'Bal ML FeT'!$R$25</definedName>
    <definedName function="false" hidden="false" localSheetId="10" name="solver_lhs14" vbProcedure="false">'Bal ML FeT'!$R$23</definedName>
    <definedName function="false" hidden="false" localSheetId="10" name="solver_lhs15" vbProcedure="false">'Bal ML FeT'!$R$21</definedName>
    <definedName function="false" hidden="false" localSheetId="10" name="solver_lhs16" vbProcedure="false">'Bal ML FeT'!$R$22</definedName>
    <definedName function="false" hidden="false" localSheetId="10" name="solver_lhs17" vbProcedure="false">'Bal ML FeT'!$P$30</definedName>
    <definedName function="false" hidden="false" localSheetId="10" name="solver_lhs18" vbProcedure="false">'Bal ML FeT'!$R$20</definedName>
    <definedName function="false" hidden="false" localSheetId="10" name="solver_lhs19" vbProcedure="false">'Bal ML FeT'!$P$29</definedName>
    <definedName function="false" hidden="false" localSheetId="10" name="solver_lhs2" vbProcedure="false">'Bal ML FeT'!$W$20</definedName>
    <definedName function="false" hidden="false" localSheetId="10" name="solver_lhs20" vbProcedure="false">'Bal ML FeT'!$P$28</definedName>
    <definedName function="false" hidden="false" localSheetId="10" name="solver_lhs21" vbProcedure="false">'Bal ML FeT'!$P$27</definedName>
    <definedName function="false" hidden="false" localSheetId="10" name="solver_lhs22" vbProcedure="false">'Bal ML FeT'!$P$25</definedName>
    <definedName function="false" hidden="false" localSheetId="10" name="solver_lhs23" vbProcedure="false">'Bal ML FeT'!$P$24</definedName>
    <definedName function="false" hidden="false" localSheetId="10" name="solver_lhs24" vbProcedure="false">'Bal ML FeT'!$J$21</definedName>
    <definedName function="false" hidden="false" localSheetId="10" name="solver_lhs25" vbProcedure="false">'Bal ML FeT'!$K$30</definedName>
    <definedName function="false" hidden="false" localSheetId="10" name="solver_lhs26" vbProcedure="false">'Bal ML FeT'!$P$20</definedName>
    <definedName function="false" hidden="false" localSheetId="10" name="solver_lhs3" vbProcedure="false">'Bal ML FeT'!$W$22</definedName>
    <definedName function="false" hidden="false" localSheetId="10" name="solver_lhs4" vbProcedure="false">'Bal ML FeT'!$W$19</definedName>
    <definedName function="false" hidden="false" localSheetId="10" name="solver_lhs5" vbProcedure="false">'Bal ML FeT'!$V$22</definedName>
    <definedName function="false" hidden="false" localSheetId="10" name="solver_lhs6" vbProcedure="false">'Bal ML FeT'!$P$22</definedName>
    <definedName function="false" hidden="false" localSheetId="10" name="solver_lhs7" vbProcedure="false">'Bal ML FeT'!$R$26</definedName>
    <definedName function="false" hidden="false" localSheetId="10" name="solver_lhs8" vbProcedure="false">'Bal ML FeT'!$R$28</definedName>
    <definedName function="false" hidden="false" localSheetId="10" name="solver_lhs9" vbProcedure="false">'Bal ML FeT'!$V$21</definedName>
    <definedName function="false" hidden="false" localSheetId="10" name="solver_mip" vbProcedure="false">2147483647</definedName>
    <definedName function="false" hidden="false" localSheetId="10" name="solver_mni" vbProcedure="false">30</definedName>
    <definedName function="false" hidden="false" localSheetId="10" name="solver_mrt" vbProcedure="false">0.075</definedName>
    <definedName function="false" hidden="false" localSheetId="10" name="solver_msl" vbProcedure="false">2</definedName>
    <definedName function="false" hidden="false" localSheetId="10" name="solver_neg" vbProcedure="false">1</definedName>
    <definedName function="false" hidden="false" localSheetId="10" name="solver_nod" vbProcedure="false">2147483647</definedName>
    <definedName function="false" hidden="false" localSheetId="10" name="solver_num" vbProcedure="false">26</definedName>
    <definedName function="false" hidden="false" localSheetId="10" name="solver_nwt" vbProcedure="false">1</definedName>
    <definedName function="false" hidden="false" localSheetId="10" name="solver_opt" vbProcedure="false">'Bal ML FeT'!$V$26</definedName>
    <definedName function="false" hidden="false" localSheetId="10" name="solver_pre" vbProcedure="false">0.000001</definedName>
    <definedName function="false" hidden="false" localSheetId="10" name="solver_rbv" vbProcedure="false">2</definedName>
    <definedName function="false" hidden="false" localSheetId="10" name="solver_rel1" vbProcedure="false">2</definedName>
    <definedName function="false" hidden="false" localSheetId="10" name="solver_rel10" vbProcedure="false">1</definedName>
    <definedName function="false" hidden="false" localSheetId="10" name="solver_rel11" vbProcedure="false">2</definedName>
    <definedName function="false" hidden="false" localSheetId="10" name="solver_rel12" vbProcedure="false">2</definedName>
    <definedName function="false" hidden="false" localSheetId="10" name="solver_rel13" vbProcedure="false">1</definedName>
    <definedName function="false" hidden="false" localSheetId="10" name="solver_rel14" vbProcedure="false">1</definedName>
    <definedName function="false" hidden="false" localSheetId="10" name="solver_rel15" vbProcedure="false">1</definedName>
    <definedName function="false" hidden="false" localSheetId="10" name="solver_rel16" vbProcedure="false">1</definedName>
    <definedName function="false" hidden="false" localSheetId="10" name="solver_rel17" vbProcedure="false">1</definedName>
    <definedName function="false" hidden="false" localSheetId="10" name="solver_rel18" vbProcedure="false">1</definedName>
    <definedName function="false" hidden="false" localSheetId="10" name="solver_rel19" vbProcedure="false">1</definedName>
    <definedName function="false" hidden="false" localSheetId="10" name="solver_rel2" vbProcedure="false">2</definedName>
    <definedName function="false" hidden="false" localSheetId="10" name="solver_rel20" vbProcedure="false">1</definedName>
    <definedName function="false" hidden="false" localSheetId="10" name="solver_rel21" vbProcedure="false">1</definedName>
    <definedName function="false" hidden="false" localSheetId="10" name="solver_rel22" vbProcedure="false">1</definedName>
    <definedName function="false" hidden="false" localSheetId="10" name="solver_rel23" vbProcedure="false">1</definedName>
    <definedName function="false" hidden="false" localSheetId="10" name="solver_rel24" vbProcedure="false">2</definedName>
    <definedName function="false" hidden="false" localSheetId="10" name="solver_rel25" vbProcedure="false">2</definedName>
    <definedName function="false" hidden="false" localSheetId="10" name="solver_rel26" vbProcedure="false">1</definedName>
    <definedName function="false" hidden="false" localSheetId="10" name="solver_rel3" vbProcedure="false">2</definedName>
    <definedName function="false" hidden="false" localSheetId="10" name="solver_rel4" vbProcedure="false">2</definedName>
    <definedName function="false" hidden="false" localSheetId="10" name="solver_rel5" vbProcedure="false">2</definedName>
    <definedName function="false" hidden="false" localSheetId="10" name="solver_rel6" vbProcedure="false">1</definedName>
    <definedName function="false" hidden="false" localSheetId="10" name="solver_rel7" vbProcedure="false">1</definedName>
    <definedName function="false" hidden="false" localSheetId="10" name="solver_rel8" vbProcedure="false">1</definedName>
    <definedName function="false" hidden="false" localSheetId="10" name="solver_rel9" vbProcedure="false">2</definedName>
    <definedName function="false" hidden="false" localSheetId="10" name="solver_rhs1" vbProcedure="false">0</definedName>
    <definedName function="false" hidden="false" localSheetId="10" name="solver_rhs10" vbProcedure="false">'Bal ML FeT'!$S$30</definedName>
    <definedName function="false" hidden="false" localSheetId="10" name="solver_rhs11" vbProcedure="false">0</definedName>
    <definedName function="false" hidden="false" localSheetId="10" name="solver_rhs12" vbProcedure="false">0</definedName>
    <definedName function="false" hidden="false" localSheetId="10" name="solver_rhs13" vbProcedure="false">'Bal ML FeT'!$S$25</definedName>
    <definedName function="false" hidden="false" localSheetId="10" name="solver_rhs14" vbProcedure="false">'Bal ML FeT'!$S$23</definedName>
    <definedName function="false" hidden="false" localSheetId="10" name="solver_rhs15" vbProcedure="false">'Bal ML FeT'!$S$21</definedName>
    <definedName function="false" hidden="false" localSheetId="10" name="solver_rhs16" vbProcedure="false">'Bal ML FeT'!$S$22</definedName>
    <definedName function="false" hidden="false" localSheetId="10" name="solver_rhs17" vbProcedure="false">'Bal ML FeT'!$Q$30</definedName>
    <definedName function="false" hidden="false" localSheetId="10" name="solver_rhs18" vbProcedure="false">'Bal ML FeT'!$S$20</definedName>
    <definedName function="false" hidden="false" localSheetId="10" name="solver_rhs19" vbProcedure="false">'Bal ML FeT'!$Q$29</definedName>
    <definedName function="false" hidden="false" localSheetId="10" name="solver_rhs2" vbProcedure="false">0</definedName>
    <definedName function="false" hidden="false" localSheetId="10" name="solver_rhs20" vbProcedure="false">'Bal ML FeT'!$Q$28</definedName>
    <definedName function="false" hidden="false" localSheetId="10" name="solver_rhs21" vbProcedure="false">'Bal ML FeT'!$Q$27</definedName>
    <definedName function="false" hidden="false" localSheetId="10" name="solver_rhs22" vbProcedure="false">'Bal ML FeT'!$Q$25</definedName>
    <definedName function="false" hidden="false" localSheetId="10" name="solver_rhs23" vbProcedure="false">'Bal ML FeT'!$Q$24</definedName>
    <definedName function="false" hidden="false" localSheetId="10" name="solver_rhs24" vbProcedure="false">'Bal ML FeT'!$G$21</definedName>
    <definedName function="false" hidden="false" localSheetId="10" name="solver_rhs25" vbProcedure="false">'Bal ML FeT'!$K$29</definedName>
    <definedName function="false" hidden="false" localSheetId="10" name="solver_rhs26" vbProcedure="false">'Bal ML FeT'!$Q$20</definedName>
    <definedName function="false" hidden="false" localSheetId="10" name="solver_rhs3" vbProcedure="false">0</definedName>
    <definedName function="false" hidden="false" localSheetId="10" name="solver_rhs4" vbProcedure="false">0</definedName>
    <definedName function="false" hidden="false" localSheetId="10" name="solver_rhs5" vbProcedure="false">0</definedName>
    <definedName function="false" hidden="false" localSheetId="10" name="solver_rhs6" vbProcedure="false">'Bal ML FeT'!$Q$22</definedName>
    <definedName function="false" hidden="false" localSheetId="10" name="solver_rhs7" vbProcedure="false">'Bal ML FeT'!$S$26</definedName>
    <definedName function="false" hidden="false" localSheetId="10" name="solver_rhs8" vbProcedure="false">'Bal ML FeT'!$S$28</definedName>
    <definedName function="false" hidden="false" localSheetId="10" name="solver_rhs9" vbProcedure="false">0</definedName>
    <definedName function="false" hidden="false" localSheetId="10" name="solver_rlx" vbProcedure="false">2</definedName>
    <definedName function="false" hidden="false" localSheetId="10" name="solver_rsd" vbProcedure="false">0</definedName>
    <definedName function="false" hidden="false" localSheetId="10" name="solver_scl" vbProcedure="false">2</definedName>
    <definedName function="false" hidden="false" localSheetId="10" name="solver_sho" vbProcedure="false">2</definedName>
    <definedName function="false" hidden="false" localSheetId="10" name="solver_ssz" vbProcedure="false">100</definedName>
    <definedName function="false" hidden="false" localSheetId="10" name="solver_tim" vbProcedure="false">2147483647</definedName>
    <definedName function="false" hidden="false" localSheetId="10" name="solver_tol" vbProcedure="false">1</definedName>
    <definedName function="false" hidden="false" localSheetId="10" name="solver_typ" vbProcedure="false">2</definedName>
    <definedName function="false" hidden="false" localSheetId="10" name="solver_val" vbProcedure="false">0</definedName>
    <definedName function="false" hidden="false" localSheetId="10" name="solver_ver" vbProcedure="false">3</definedName>
    <definedName function="false" hidden="false" localSheetId="11" name="solver_adj" vbProcedure="false">'Bal ML FeMag'!$K$20:$K$30</definedName>
    <definedName function="false" hidden="false" localSheetId="11" name="solver_cvg" vbProcedure="false">0.0001</definedName>
    <definedName function="false" hidden="false" localSheetId="11" name="solver_drv" vbProcedure="false">2</definedName>
    <definedName function="false" hidden="false" localSheetId="11" name="solver_eng" vbProcedure="false">1</definedName>
    <definedName function="false" hidden="false" localSheetId="11" name="solver_est" vbProcedure="false">1</definedName>
    <definedName function="false" hidden="false" localSheetId="11" name="solver_itr" vbProcedure="false">2147483647</definedName>
    <definedName function="false" hidden="false" localSheetId="11" name="solver_lhs1" vbProcedure="false">'Bal ML FeMag'!$R$22</definedName>
    <definedName function="false" hidden="false" localSheetId="11" name="solver_lhs10" vbProcedure="false">'Bal ML FeMag'!$V$22</definedName>
    <definedName function="false" hidden="false" localSheetId="11" name="solver_lhs11" vbProcedure="false">'Bal ML FeMag'!$V$21</definedName>
    <definedName function="false" hidden="false" localSheetId="11" name="solver_lhs12" vbProcedure="false">'Bal ML FeMag'!$W$19</definedName>
    <definedName function="false" hidden="false" localSheetId="11" name="solver_lhs13" vbProcedure="false">'Bal ML FeMag'!$V$20</definedName>
    <definedName function="false" hidden="false" localSheetId="11" name="solver_lhs14" vbProcedure="false">'Bal ML FeMag'!$W$20</definedName>
    <definedName function="false" hidden="false" localSheetId="11" name="solver_lhs15" vbProcedure="false">'Bal ML FeMag'!$R$20</definedName>
    <definedName function="false" hidden="false" localSheetId="11" name="solver_lhs16" vbProcedure="false">'Bal ML FeMag'!$R$29</definedName>
    <definedName function="false" hidden="false" localSheetId="11" name="solver_lhs17" vbProcedure="false">'Bal ML FeMag'!$R$28</definedName>
    <definedName function="false" hidden="false" localSheetId="11" name="solver_lhs2" vbProcedure="false">'Bal ML FeMag'!$R$24</definedName>
    <definedName function="false" hidden="false" localSheetId="11" name="solver_lhs3" vbProcedure="false">'Bal ML FeMag'!$R$26</definedName>
    <definedName function="false" hidden="false" localSheetId="11" name="solver_lhs4" vbProcedure="false">'Bal ML FeMag'!$R$27</definedName>
    <definedName function="false" hidden="false" localSheetId="11" name="solver_lhs5" vbProcedure="false">'Bal ML FeMag'!$R$30</definedName>
    <definedName function="false" hidden="false" localSheetId="11" name="solver_lhs6" vbProcedure="false">'Bal ML FeMag'!$R$23</definedName>
    <definedName function="false" hidden="false" localSheetId="11" name="solver_lhs7" vbProcedure="false">'Bal ML FeMag'!$W$21</definedName>
    <definedName function="false" hidden="false" localSheetId="11" name="solver_lhs8" vbProcedure="false">'Bal ML FeMag'!$V$19</definedName>
    <definedName function="false" hidden="false" localSheetId="11" name="solver_lhs9" vbProcedure="false">'Bal ML FeMag'!$W$22</definedName>
    <definedName function="false" hidden="false" localSheetId="11" name="solver_mip" vbProcedure="false">2147483647</definedName>
    <definedName function="false" hidden="false" localSheetId="11" name="solver_mni" vbProcedure="false">30</definedName>
    <definedName function="false" hidden="false" localSheetId="11" name="solver_mrt" vbProcedure="false">0.075</definedName>
    <definedName function="false" hidden="false" localSheetId="11" name="solver_msl" vbProcedure="false">2</definedName>
    <definedName function="false" hidden="false" localSheetId="11" name="solver_neg" vbProcedure="false">1</definedName>
    <definedName function="false" hidden="false" localSheetId="11" name="solver_nod" vbProcedure="false">2147483647</definedName>
    <definedName function="false" hidden="false" localSheetId="11" name="solver_num" vbProcedure="false">17</definedName>
    <definedName function="false" hidden="false" localSheetId="11" name="solver_nwt" vbProcedure="false">1</definedName>
    <definedName function="false" hidden="false" localSheetId="11" name="solver_opt" vbProcedure="false">'Bal ML FeMag'!$V$26</definedName>
    <definedName function="false" hidden="false" localSheetId="11" name="solver_pre" vbProcedure="false">0.000001</definedName>
    <definedName function="false" hidden="false" localSheetId="11" name="solver_rbv" vbProcedure="false">2</definedName>
    <definedName function="false" hidden="false" localSheetId="11" name="solver_rel1" vbProcedure="false">1</definedName>
    <definedName function="false" hidden="false" localSheetId="11" name="solver_rel10" vbProcedure="false">2</definedName>
    <definedName function="false" hidden="false" localSheetId="11" name="solver_rel11" vbProcedure="false">2</definedName>
    <definedName function="false" hidden="false" localSheetId="11" name="solver_rel12" vbProcedure="false">2</definedName>
    <definedName function="false" hidden="false" localSheetId="11" name="solver_rel13" vbProcedure="false">2</definedName>
    <definedName function="false" hidden="false" localSheetId="11" name="solver_rel14" vbProcedure="false">2</definedName>
    <definedName function="false" hidden="false" localSheetId="11" name="solver_rel15" vbProcedure="false">1</definedName>
    <definedName function="false" hidden="false" localSheetId="11" name="solver_rel16" vbProcedure="false">1</definedName>
    <definedName function="false" hidden="false" localSheetId="11" name="solver_rel17" vbProcedure="false">1</definedName>
    <definedName function="false" hidden="false" localSheetId="11" name="solver_rel2" vbProcedure="false">1</definedName>
    <definedName function="false" hidden="false" localSheetId="11" name="solver_rel3" vbProcedure="false">1</definedName>
    <definedName function="false" hidden="false" localSheetId="11" name="solver_rel4" vbProcedure="false">1</definedName>
    <definedName function="false" hidden="false" localSheetId="11" name="solver_rel5" vbProcedure="false">1</definedName>
    <definedName function="false" hidden="false" localSheetId="11" name="solver_rel6" vbProcedure="false">1</definedName>
    <definedName function="false" hidden="false" localSheetId="11" name="solver_rel7" vbProcedure="false">2</definedName>
    <definedName function="false" hidden="false" localSheetId="11" name="solver_rel8" vbProcedure="false">2</definedName>
    <definedName function="false" hidden="false" localSheetId="11" name="solver_rel9" vbProcedure="false">2</definedName>
    <definedName function="false" hidden="false" localSheetId="11" name="solver_rhs1" vbProcedure="false">'Bal ML FeMag'!$S$22</definedName>
    <definedName function="false" hidden="false" localSheetId="11" name="solver_rhs10" vbProcedure="false">0</definedName>
    <definedName function="false" hidden="false" localSheetId="11" name="solver_rhs11" vbProcedure="false">0</definedName>
    <definedName function="false" hidden="false" localSheetId="11" name="solver_rhs12" vbProcedure="false">0</definedName>
    <definedName function="false" hidden="false" localSheetId="11" name="solver_rhs13" vbProcedure="false">0</definedName>
    <definedName function="false" hidden="false" localSheetId="11" name="solver_rhs14" vbProcedure="false">0</definedName>
    <definedName function="false" hidden="false" localSheetId="11" name="solver_rhs15" vbProcedure="false">'Bal ML FeMag'!$S$20</definedName>
    <definedName function="false" hidden="false" localSheetId="11" name="solver_rhs16" vbProcedure="false">'Bal ML FeMag'!$S$29</definedName>
    <definedName function="false" hidden="false" localSheetId="11" name="solver_rhs17" vbProcedure="false">'Bal ML FeMag'!$S$28</definedName>
    <definedName function="false" hidden="false" localSheetId="11" name="solver_rhs2" vbProcedure="false">'Bal ML FeMag'!$S$24</definedName>
    <definedName function="false" hidden="false" localSheetId="11" name="solver_rhs3" vbProcedure="false">'Bal ML FeMag'!$S$26</definedName>
    <definedName function="false" hidden="false" localSheetId="11" name="solver_rhs4" vbProcedure="false">'Bal ML FeMag'!$S$27</definedName>
    <definedName function="false" hidden="false" localSheetId="11" name="solver_rhs5" vbProcedure="false">'Bal ML FeMag'!$S$30</definedName>
    <definedName function="false" hidden="false" localSheetId="11" name="solver_rhs6" vbProcedure="false">'Bal ML FeMag'!$S$23</definedName>
    <definedName function="false" hidden="false" localSheetId="11" name="solver_rhs7" vbProcedure="false">0</definedName>
    <definedName function="false" hidden="false" localSheetId="11" name="solver_rhs8" vbProcedure="false">0</definedName>
    <definedName function="false" hidden="false" localSheetId="11" name="solver_rhs9" vbProcedure="false">0</definedName>
    <definedName function="false" hidden="false" localSheetId="11" name="solver_rlx" vbProcedure="false">2</definedName>
    <definedName function="false" hidden="false" localSheetId="11" name="solver_rsd" vbProcedure="false">0</definedName>
    <definedName function="false" hidden="false" localSheetId="11" name="solver_scl" vbProcedure="false">2</definedName>
    <definedName function="false" hidden="false" localSheetId="11" name="solver_sho" vbProcedure="false">2</definedName>
    <definedName function="false" hidden="false" localSheetId="11" name="solver_ssz" vbProcedure="false">100</definedName>
    <definedName function="false" hidden="false" localSheetId="11" name="solver_tim" vbProcedure="false">2147483647</definedName>
    <definedName function="false" hidden="false" localSheetId="11" name="solver_tol" vbProcedure="false">1</definedName>
    <definedName function="false" hidden="false" localSheetId="11" name="solver_typ" vbProcedure="false">2</definedName>
    <definedName function="false" hidden="false" localSheetId="11" name="solver_val" vbProcedure="false">0</definedName>
    <definedName function="false" hidden="false" localSheetId="11" name="solver_ver" vbProcedure="false">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Autoría desconocida</author>
  </authors>
  <commentList>
    <comment ref="E45" authorId="0">
      <text>
        <r>
          <rPr>
            <sz val="11"/>
            <color rgb="FF000000"/>
            <rFont val="Calibri"/>
            <family val="2"/>
            <charset val="1"/>
          </rPr>
          <t xml:space="preserve">======
ID#AAAA1UbYMVE
Sophia Daniela Cisterna Ponce    (2023-01-18 22:35:56)
se ajusta con balance romeral</t>
        </r>
      </text>
    </comment>
    <comment ref="F45" authorId="0">
      <text>
        <r>
          <rPr>
            <sz val="11"/>
            <color rgb="FF000000"/>
            <rFont val="Calibri"/>
            <family val="2"/>
            <charset val="1"/>
          </rPr>
          <t xml:space="preserve">======
ID#AAAA1UbYMU0
Sophia Daniela Cisterna Ponce    (2023-01-18 22:35:56)
de acuerdo a ley obtenida en balance romenral calcular apuntando al mismo magnetismo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Autoría desconocida</author>
  </authors>
  <commentList>
    <comment ref="C32" authorId="0">
      <text>
        <r>
          <rPr>
            <sz val="10"/>
            <rFont val="Arial"/>
            <family val="2"/>
          </rPr>
          <t xml:space="preserve">======
ID#AAAA1UbYMUE
Sophia Daniela Cisterna Ponce    (2023-01-18 22:35:56)
sumar al transporte de acopio ml a romeral</t>
        </r>
      </text>
    </comment>
    <comment ref="C34" authorId="0">
      <text>
        <r>
          <rPr>
            <sz val="10"/>
            <rFont val="Arial"/>
            <family val="2"/>
          </rPr>
          <t xml:space="preserve">======
ID#AAAA1UbYMUo
Sophia Daniela Cisterna Ponce    (2023-01-18 22:35:56)
sumar al transporte de acopio ml a romeral</t>
        </r>
      </text>
    </comment>
    <comment ref="C36" authorId="0">
      <text>
        <r>
          <rPr>
            <sz val="10"/>
            <rFont val="Arial"/>
            <family val="2"/>
          </rPr>
          <t xml:space="preserve">======
ID#AAAA1UbYMUU
Sophia Daniela Cisterna Ponce    (2023-01-18 22:35:56)
sumar al transporte de acopio ml a romeral</t>
        </r>
      </text>
    </comment>
    <comment ref="C38" authorId="0">
      <text>
        <r>
          <rPr>
            <sz val="10"/>
            <rFont val="Arial"/>
            <family val="2"/>
          </rPr>
          <t xml:space="preserve">======
ID#AAAA1UbYMUI
Sophia Daniela Cisterna Ponce    (2023-01-18 22:35:56)
sumar al transporte de acopio ml a romeral</t>
        </r>
      </text>
    </comment>
    <comment ref="D2" authorId="0">
      <text>
        <r>
          <rPr>
            <sz val="10"/>
            <rFont val="Arial"/>
            <family val="2"/>
          </rPr>
          <t xml:space="preserve">======
ID#AAAA1UbYMUw
Sophia Daniela Cisterna Ponce    (2023-01-18 22:35:56)
comparar con dato  de alimentacion chancado primario de reportabilidad distrito pleito</t>
        </r>
      </text>
    </comment>
    <comment ref="D9" authorId="0">
      <text>
        <r>
          <rPr>
            <sz val="10"/>
            <rFont val="Arial"/>
            <family val="2"/>
          </rPr>
          <t xml:space="preserve">======
ID#AAAA1UbYMUc
Sophia Daniela Cisterna Ponce    (2023-01-18 22:35:56)
se restan 8000 ton por envio de mixto 1 a rom por buena calidad</t>
        </r>
      </text>
    </comment>
    <comment ref="D15" authorId="0">
      <text>
        <r>
          <rPr>
            <sz val="10"/>
            <rFont val="Arial"/>
            <family val="2"/>
          </rPr>
          <t xml:space="preserve">======
ID#AAAA1UbYMU4
Sophia Daniela Cisterna Ponce    (2023-01-18 22:35:56)
se coloca el movimiento mina adicional, se suma mov adicional de rechazos</t>
        </r>
      </text>
    </comment>
    <comment ref="D18" authorId="0">
      <text>
        <r>
          <rPr>
            <sz val="10"/>
            <rFont val="Arial"/>
            <family val="2"/>
          </rPr>
          <t xml:space="preserve">======
ID#AAAA1UbYMUY
Sophia Daniela Cisterna Ponce    (2023-01-18 22:35:56)
se suman 3514 porque con material AL se produjo pregranzas</t>
        </r>
      </text>
    </comment>
    <comment ref="D23" authorId="0">
      <text>
        <r>
          <rPr>
            <sz val="10"/>
            <rFont val="Arial"/>
            <family val="2"/>
          </rPr>
          <t xml:space="preserve">======
ID#AAAA1UbYMUs
Sophia Daniela Cisterna Ponce    (2023-01-18 22:35:56)
por diferencia de alimentacion-producciones</t>
        </r>
      </text>
    </comment>
    <comment ref="D26" authorId="0">
      <text>
        <r>
          <rPr>
            <sz val="10"/>
            <rFont val="Arial"/>
            <family val="2"/>
          </rPr>
          <t xml:space="preserve">======
ID#AAAA1UbYMUQ
Sophia Daniela Cisterna Ponce    (2023-01-18 22:35:56)
se coloca el movimiento mina adicional</t>
        </r>
      </text>
    </comment>
    <comment ref="H3" authorId="0">
      <text>
        <r>
          <rPr>
            <sz val="10"/>
            <rFont val="Arial"/>
            <family val="2"/>
          </rPr>
          <t xml:space="preserve">======
ID#AAAA1UbYMUk
Sophia Daniela Cisterna Ponce    (2023-01-18 22:35:56)
stock inicial del mes</t>
        </r>
      </text>
    </comment>
    <comment ref="K3" authorId="0">
      <text>
        <r>
          <rPr>
            <sz val="10"/>
            <rFont val="Arial"/>
            <family val="2"/>
          </rPr>
          <t xml:space="preserve">======
ID#AAAA1UbYMUA
Sophia Daniela Cisterna Ponce    (2023-01-18 22:35:56)
remanentes del dia anterior a las 08 hrs (cubicacion)</t>
        </r>
      </text>
    </comment>
    <comment ref="K11" authorId="0">
      <text>
        <r>
          <rPr>
            <sz val="10"/>
            <rFont val="Arial"/>
            <family val="2"/>
          </rPr>
          <t xml:space="preserve">======
ID#AAAA1UbYMVI
Sophia Daniela Cisterna Ponce    (2023-01-18 22:35:56)
ML Romeral</t>
        </r>
      </text>
    </comment>
    <comment ref="L15" authorId="0">
      <text>
        <r>
          <rPr>
            <sz val="10"/>
            <rFont val="Arial"/>
            <family val="2"/>
          </rPr>
          <t xml:space="preserve">======
ID#AAAA1UbYMUM
Sophia Daniela Cisterna Ponce    (2023-01-18 22:35:56)
se usa 1,95 cuando es principalemnte rechazos y 2,1 cuando es mayoria mixto 1</t>
        </r>
      </text>
    </comment>
    <comment ref="O40" authorId="0">
      <text>
        <r>
          <rPr>
            <sz val="10"/>
            <rFont val="Arial"/>
            <family val="2"/>
          </rPr>
          <t xml:space="preserve">======
ID#AAAA1UbYMVA
Sophia Daniela Cisterna Ponce    (2023-01-18 22:35:56)
se ajusta incorporando  la cantidad en la cubicacion inicial</t>
        </r>
      </text>
    </comment>
  </commentList>
</comments>
</file>

<file path=xl/sharedStrings.xml><?xml version="1.0" encoding="utf-8"?>
<sst xmlns="http://schemas.openxmlformats.org/spreadsheetml/2006/main" count="441" uniqueCount="201">
  <si>
    <t xml:space="preserve">Balance Faena Pleito</t>
  </si>
  <si>
    <t xml:space="preserve">Fecha</t>
  </si>
  <si>
    <t xml:space="preserve">Planta Pleito</t>
  </si>
  <si>
    <t xml:space="preserve">Alimentación Chancado Primario</t>
  </si>
  <si>
    <t xml:space="preserve">TM</t>
  </si>
  <si>
    <t xml:space="preserve">%FeT</t>
  </si>
  <si>
    <t xml:space="preserve">%Femag</t>
  </si>
  <si>
    <t xml:space="preserve">Cálculo promedio ponderado </t>
  </si>
  <si>
    <t xml:space="preserve">Alimentación Alta Ley (AL)</t>
  </si>
  <si>
    <t xml:space="preserve">Pleito</t>
  </si>
  <si>
    <t xml:space="preserve">Bronces</t>
  </si>
  <si>
    <t xml:space="preserve">Alimentación Mediana Ley (ML)</t>
  </si>
  <si>
    <t xml:space="preserve">ML</t>
  </si>
  <si>
    <t xml:space="preserve">Forecast</t>
  </si>
  <si>
    <t xml:space="preserve">Budget</t>
  </si>
  <si>
    <t xml:space="preserve">Acopio</t>
  </si>
  <si>
    <t xml:space="preserve">Alimentación Total</t>
  </si>
  <si>
    <t xml:space="preserve">Producción Planta</t>
  </si>
  <si>
    <t xml:space="preserve">Alta Ley Pleito </t>
  </si>
  <si>
    <t xml:space="preserve">%Rp</t>
  </si>
  <si>
    <t xml:space="preserve">%Rm</t>
  </si>
  <si>
    <t xml:space="preserve">Granzas</t>
  </si>
  <si>
    <t xml:space="preserve">-</t>
  </si>
  <si>
    <t xml:space="preserve">Finos</t>
  </si>
  <si>
    <t xml:space="preserve">Mixtos</t>
  </si>
  <si>
    <t xml:space="preserve">Prec. Mixto 1</t>
  </si>
  <si>
    <t xml:space="preserve">Prec. Mixto 2</t>
  </si>
  <si>
    <t xml:space="preserve">Alta Ley Bronces</t>
  </si>
  <si>
    <t xml:space="preserve">Preconcentrados</t>
  </si>
  <si>
    <t xml:space="preserve">Prec Mixto 1</t>
  </si>
  <si>
    <t xml:space="preserve">Mediana Ley Especial</t>
  </si>
  <si>
    <t xml:space="preserve">Prec. Granzas</t>
  </si>
  <si>
    <t xml:space="preserve">Rechazo</t>
  </si>
  <si>
    <t xml:space="preserve">Mediana Ley </t>
  </si>
  <si>
    <t xml:space="preserve">Prec. Finos</t>
  </si>
  <si>
    <t xml:space="preserve">Mediana Ley Bronces</t>
  </si>
  <si>
    <t xml:space="preserve">Produccion Total</t>
  </si>
  <si>
    <t xml:space="preserve">Fet</t>
  </si>
  <si>
    <t xml:space="preserve">Fem</t>
  </si>
  <si>
    <t xml:space="preserve">Rechazo total</t>
  </si>
  <si>
    <t xml:space="preserve">Transporte</t>
  </si>
  <si>
    <t xml:space="preserve">Prec. Granzas a Romeral (ML)</t>
  </si>
  <si>
    <t xml:space="preserve">Prec. Finos a Romeral (ML)</t>
  </si>
  <si>
    <t xml:space="preserve">Prec. Mixtos 1 a Romeral </t>
  </si>
  <si>
    <t xml:space="preserve">Prec. Mixtos 2 a Romeral </t>
  </si>
  <si>
    <t xml:space="preserve">Granzas a Guayacán</t>
  </si>
  <si>
    <t xml:space="preserve">Rechazo a Botadero</t>
  </si>
  <si>
    <t xml:space="preserve">Inventario</t>
  </si>
  <si>
    <t xml:space="preserve">Ton</t>
  </si>
  <si>
    <t xml:space="preserve">Recuperaciones</t>
  </si>
  <si>
    <t xml:space="preserve">Material</t>
  </si>
  <si>
    <t xml:space="preserve">2. Se consideran 5.769 ton de rechazo como movimientos adicionales  a mina.</t>
  </si>
  <si>
    <t xml:space="preserve">AL</t>
  </si>
  <si>
    <t xml:space="preserve">sept. 21</t>
  </si>
  <si>
    <t xml:space="preserve">oct. 21</t>
  </si>
  <si>
    <t xml:space="preserve">granzas</t>
  </si>
  <si>
    <t xml:space="preserve">finos</t>
  </si>
  <si>
    <t xml:space="preserve">premixto 1</t>
  </si>
  <si>
    <t xml:space="preserve">premixto 2</t>
  </si>
  <si>
    <t xml:space="preserve">Pre granzas</t>
  </si>
  <si>
    <t xml:space="preserve">Prefinos</t>
  </si>
  <si>
    <t xml:space="preserve">Rechazos</t>
  </si>
  <si>
    <t xml:space="preserve">Mediciones</t>
  </si>
  <si>
    <t xml:space="preserve">Balance</t>
  </si>
  <si>
    <t xml:space="preserve">% Cambio relativo</t>
  </si>
  <si>
    <t xml:space="preserve">Max Var Ton</t>
  </si>
  <si>
    <t xml:space="preserve">Max Var  FeT</t>
  </si>
  <si>
    <t xml:space="preserve">Max Var  FeMag</t>
  </si>
  <si>
    <t xml:space="preserve">FeMag &lt; FeT</t>
  </si>
  <si>
    <t xml:space="preserve">Flujos</t>
  </si>
  <si>
    <t xml:space="preserve">TMS</t>
  </si>
  <si>
    <t xml:space="preserve">Ley FeT</t>
  </si>
  <si>
    <t xml:space="preserve">Ley FeMag</t>
  </si>
  <si>
    <t xml:space="preserve">TMSD</t>
  </si>
  <si>
    <t xml:space="preserve">%Fe T</t>
  </si>
  <si>
    <t xml:space="preserve">Alta Ley 1 Pleito</t>
  </si>
  <si>
    <t xml:space="preserve">Alta Ley 2 Pleito</t>
  </si>
  <si>
    <t xml:space="preserve">Alim AL Bronces</t>
  </si>
  <si>
    <t xml:space="preserve">Produc Granzas</t>
  </si>
  <si>
    <t xml:space="preserve">Delta Stock Granzas</t>
  </si>
  <si>
    <t xml:space="preserve">Transporte Granzas a Romeral</t>
  </si>
  <si>
    <t xml:space="preserve">Transporte Granzas a Puerto</t>
  </si>
  <si>
    <t xml:space="preserve">Produc Finos</t>
  </si>
  <si>
    <t xml:space="preserve">Delta Stock Finos</t>
  </si>
  <si>
    <t xml:space="preserve">Transporte Finos a Romeral</t>
  </si>
  <si>
    <t xml:space="preserve">Transporte Finos a Puerto</t>
  </si>
  <si>
    <t xml:space="preserve">Rechazo Mixto 1</t>
  </si>
  <si>
    <t xml:space="preserve">Delta Stock Mixto 1</t>
  </si>
  <si>
    <t xml:space="preserve">Transporte Mixto 1 a Rechazo</t>
  </si>
  <si>
    <t xml:space="preserve">Rechazo Mixto 2</t>
  </si>
  <si>
    <t xml:space="preserve">Delta Stock Mixto 2</t>
  </si>
  <si>
    <t xml:space="preserve">Transporte Mixto 2 a Romeral</t>
  </si>
  <si>
    <t xml:space="preserve">ML Pleito</t>
  </si>
  <si>
    <t xml:space="preserve">Produc Prec Granzas</t>
  </si>
  <si>
    <t xml:space="preserve">Delta Stock Prec Granzas</t>
  </si>
  <si>
    <t xml:space="preserve">Transporte Prec  Granzas  </t>
  </si>
  <si>
    <t xml:space="preserve">Prod Prec Finos</t>
  </si>
  <si>
    <t xml:space="preserve">Delta Prec Finos</t>
  </si>
  <si>
    <t xml:space="preserve">Transp Prec Finos  </t>
  </si>
  <si>
    <t xml:space="preserve">Produc Rechazos</t>
  </si>
  <si>
    <t xml:space="preserve">Delta Stock Rechazos</t>
  </si>
  <si>
    <t xml:space="preserve">Transp Rechazos a botadero</t>
  </si>
  <si>
    <t xml:space="preserve">Transporte Mixto 1 a Romeral</t>
  </si>
  <si>
    <t xml:space="preserve">Transporte Alta Ley a ROM</t>
  </si>
  <si>
    <t xml:space="preserve">Transporte Mediana Ley a ROM</t>
  </si>
  <si>
    <t xml:space="preserve">Inventarios</t>
  </si>
  <si>
    <t xml:space="preserve">Mixto 1</t>
  </si>
  <si>
    <t xml:space="preserve">Mixto 2</t>
  </si>
  <si>
    <t xml:space="preserve">Pre. Granzas</t>
  </si>
  <si>
    <t xml:space="preserve">Pre. Finos</t>
  </si>
  <si>
    <t xml:space="preserve">Planta Pleito Tambor 2</t>
  </si>
  <si>
    <t xml:space="preserve">Cubicaciones</t>
  </si>
  <si>
    <t xml:space="preserve">Comprobacion</t>
  </si>
  <si>
    <t xml:space="preserve">%FeM</t>
  </si>
  <si>
    <t xml:space="preserve">REMANENTES inicio periodo</t>
  </si>
  <si>
    <t xml:space="preserve">REMANENTES fin periodo</t>
  </si>
  <si>
    <t xml:space="preserve">Alta Ley</t>
  </si>
  <si>
    <t xml:space="preserve">Alimentación Alta Ley 1</t>
  </si>
  <si>
    <t xml:space="preserve">Alimentación Alta Ley 2</t>
  </si>
  <si>
    <t xml:space="preserve">Alimentación Bronces</t>
  </si>
  <si>
    <t xml:space="preserve">Producción a  Granzas</t>
  </si>
  <si>
    <t xml:space="preserve">Producción a Finos</t>
  </si>
  <si>
    <t xml:space="preserve">Producción  a Mixto 1</t>
  </si>
  <si>
    <t xml:space="preserve">Producción  a Mixto 2</t>
  </si>
  <si>
    <t xml:space="preserve">ML Acopio</t>
  </si>
  <si>
    <t xml:space="preserve">Verificar con sap stock iniciales</t>
  </si>
  <si>
    <t xml:space="preserve">REMANENTES BOTADERO fin periodo</t>
  </si>
  <si>
    <t xml:space="preserve">Rechazo Planta (m3)</t>
  </si>
  <si>
    <t xml:space="preserve">Densidad</t>
  </si>
  <si>
    <t xml:space="preserve">Rechazo Planta (ton)</t>
  </si>
  <si>
    <t xml:space="preserve">Transporte Alta Ley a Romeral</t>
  </si>
  <si>
    <t xml:space="preserve">Rechazo Planta (ton) balance</t>
  </si>
  <si>
    <t xml:space="preserve">MEDIANA LEY</t>
  </si>
  <si>
    <t xml:space="preserve">Alim Med Ley</t>
  </si>
  <si>
    <t xml:space="preserve">Material en caminos y varios</t>
  </si>
  <si>
    <t xml:space="preserve">Alim Bronces ML</t>
  </si>
  <si>
    <t xml:space="preserve">Informado por Depetris</t>
  </si>
  <si>
    <t xml:space="preserve">Alim ML desde Acopio</t>
  </si>
  <si>
    <t xml:space="preserve">Delta</t>
  </si>
  <si>
    <t xml:space="preserve">Transporte Prec  Granzas a Romeral</t>
  </si>
  <si>
    <t xml:space="preserve">Transp Prec Finos a Romeral</t>
  </si>
  <si>
    <t xml:space="preserve"> </t>
  </si>
  <si>
    <t xml:space="preserve">Transp de Acopio ML a Romeral</t>
  </si>
  <si>
    <t xml:space="preserve">Prefino</t>
  </si>
  <si>
    <t xml:space="preserve">Pregranza</t>
  </si>
  <si>
    <t xml:space="preserve">Transporte noche 13-10</t>
  </si>
  <si>
    <t xml:space="preserve">Transporte noche  20-09</t>
  </si>
  <si>
    <t xml:space="preserve">Transporte noche 27-10</t>
  </si>
  <si>
    <t xml:space="preserve">Transporte noche 19-05</t>
  </si>
  <si>
    <t xml:space="preserve">Codigo</t>
  </si>
  <si>
    <t xml:space="preserve">Stock Inicial Sap</t>
  </si>
  <si>
    <t xml:space="preserve">Ajuste</t>
  </si>
  <si>
    <t xml:space="preserve">Preconcentrados (Mixto 2 + Pregranza + Prefino)</t>
  </si>
  <si>
    <t xml:space="preserve">cub ini</t>
  </si>
  <si>
    <t xml:space="preserve">cub fin</t>
  </si>
  <si>
    <t xml:space="preserve">final - ini</t>
  </si>
  <si>
    <t xml:space="preserve">Valor del Nodo</t>
  </si>
  <si>
    <t xml:space="preserve">Cub final Balanceada</t>
  </si>
  <si>
    <t xml:space="preserve">stock Granzas</t>
  </si>
  <si>
    <t xml:space="preserve">Stock Finos</t>
  </si>
  <si>
    <t xml:space="preserve">Stock Mixto 1</t>
  </si>
  <si>
    <t xml:space="preserve">Stock Mixto 2</t>
  </si>
  <si>
    <t xml:space="preserve">stock  Prec Granzas</t>
  </si>
  <si>
    <t xml:space="preserve">Stock  Prec Finos</t>
  </si>
  <si>
    <t xml:space="preserve">Stock Rechazos</t>
  </si>
  <si>
    <t xml:space="preserve">Stock ML</t>
  </si>
  <si>
    <t xml:space="preserve">Stock botadero</t>
  </si>
  <si>
    <t xml:space="preserve">alim</t>
  </si>
  <si>
    <t xml:space="preserve">Prod T</t>
  </si>
  <si>
    <t xml:space="preserve">Valor Inicial</t>
  </si>
  <si>
    <t xml:space="preserve">Valores Calculados</t>
  </si>
  <si>
    <t xml:space="preserve">TMF Fe</t>
  </si>
  <si>
    <t xml:space="preserve">%FeMag</t>
  </si>
  <si>
    <t xml:space="preserve">TMF Fe Mag</t>
  </si>
  <si>
    <t xml:space="preserve">BALANCE GLOBAL MASA</t>
  </si>
  <si>
    <t xml:space="preserve">ENTRADAS</t>
  </si>
  <si>
    <t xml:space="preserve">VARIACIONES DE INVENTARIOS</t>
  </si>
  <si>
    <t xml:space="preserve">SALIDAS</t>
  </si>
  <si>
    <t xml:space="preserve">Alim Alta Ley 1</t>
  </si>
  <si>
    <t xml:space="preserve">Stock Granzas</t>
  </si>
  <si>
    <t xml:space="preserve">Alim Alta Ley 2</t>
  </si>
  <si>
    <t xml:space="preserve">Stock Finos  </t>
  </si>
  <si>
    <t xml:space="preserve">Alim AL Bornces</t>
  </si>
  <si>
    <t xml:space="preserve">Stock Prec Mixto 1</t>
  </si>
  <si>
    <t xml:space="preserve">TOTAL ENTRADAS</t>
  </si>
  <si>
    <t xml:space="preserve">VAR NETA </t>
  </si>
  <si>
    <t xml:space="preserve">ENTRADAS - VAR INVENTARIO - SALIDAS</t>
  </si>
  <si>
    <t xml:space="preserve">BALANCE GLOBAL FINOS</t>
  </si>
  <si>
    <t xml:space="preserve">Delta Stock S/Bal</t>
  </si>
  <si>
    <t xml:space="preserve">Deltas Stock Balanceado</t>
  </si>
  <si>
    <t xml:space="preserve">Rec P Granzas</t>
  </si>
  <si>
    <t xml:space="preserve">Rec P Finos</t>
  </si>
  <si>
    <t xml:space="preserve">ML Pleitos</t>
  </si>
  <si>
    <t xml:space="preserve">Stock Prec Granzas</t>
  </si>
  <si>
    <t xml:space="preserve">Transporte  Prec Granzas </t>
  </si>
  <si>
    <t xml:space="preserve">ML Bronces</t>
  </si>
  <si>
    <t xml:space="preserve">Stock Prec Finos</t>
  </si>
  <si>
    <t xml:space="preserve">Transporte Prec Finos</t>
  </si>
  <si>
    <t xml:space="preserve">Transporte a Botadero</t>
  </si>
  <si>
    <t xml:space="preserve">BALANCE GLOBAL FINO FeT</t>
  </si>
  <si>
    <t xml:space="preserve">BALANCE GLOBAL FINO FeMag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</si>
</sst>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mmm/yy"/>
    <numFmt numFmtId="166" formatCode="dd/mm/yyyy"/>
    <numFmt numFmtId="167" formatCode="0.0"/>
    <numFmt numFmtId="168" formatCode="#,##0"/>
    <numFmt numFmtId="169" formatCode="0.00\ %"/>
    <numFmt numFmtId="170" formatCode="0.00\ %"/>
    <numFmt numFmtId="171" formatCode="_ * #,##0_ ;_ * \-#,##0_ ;_ * \-_ ;_ @_ "/>
    <numFmt numFmtId="172" formatCode="0.00"/>
    <numFmt numFmtId="173" formatCode="0\ %"/>
    <numFmt numFmtId="174" formatCode="#,##0.00"/>
    <numFmt numFmtId="175" formatCode="dd/mmm"/>
    <numFmt numFmtId="176" formatCode="0.0%"/>
    <numFmt numFmtId="177" formatCode="0\ %"/>
    <numFmt numFmtId="178" formatCode="0"/>
  </numFmts>
  <fonts count="35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2"/>
      <color rgb="FFFFFFFF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1"/>
      <color rgb="FFFFFFFF"/>
      <name val="Calibri"/>
      <family val="2"/>
      <charset val="1"/>
    </font>
    <font>
      <b val="true"/>
      <sz val="10"/>
      <color rgb="FF000000"/>
      <name val="Calibri"/>
      <family val="2"/>
      <charset val="1"/>
    </font>
    <font>
      <i val="true"/>
      <sz val="9"/>
      <color rgb="FF000000"/>
      <name val="Calibri"/>
      <family val="2"/>
      <charset val="1"/>
    </font>
    <font>
      <sz val="11"/>
      <name val="Calibri"/>
      <family val="2"/>
      <charset val="1"/>
    </font>
    <font>
      <sz val="14"/>
      <color rgb="FF757575"/>
      <name val="Calibri"/>
      <family val="2"/>
    </font>
    <font>
      <sz val="9"/>
      <color rgb="FF000000"/>
      <name val="Calibri"/>
      <family val="2"/>
    </font>
    <font>
      <b val="true"/>
      <sz val="10"/>
      <color rgb="FF000000"/>
      <name val="Calibri"/>
      <family val="2"/>
    </font>
    <font>
      <sz val="9"/>
      <color rgb="FF1A1A1A"/>
      <name val="Calibri"/>
      <family val="2"/>
    </font>
    <font>
      <b val="true"/>
      <sz val="14"/>
      <color rgb="FF000000"/>
      <name val="Calibri"/>
      <family val="2"/>
      <charset val="1"/>
    </font>
    <font>
      <b val="true"/>
      <sz val="16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sz val="16"/>
      <color rgb="FF000000"/>
      <name val="Calibri"/>
      <family val="2"/>
      <charset val="1"/>
    </font>
    <font>
      <b val="true"/>
      <sz val="12"/>
      <color rgb="FF2F5496"/>
      <name val="Calibri"/>
      <family val="2"/>
      <charset val="1"/>
    </font>
    <font>
      <b val="true"/>
      <i val="true"/>
      <sz val="11"/>
      <color rgb="FF000000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242424"/>
      <name val="Quattrocento Sans"/>
      <family val="2"/>
      <charset val="1"/>
    </font>
    <font>
      <sz val="8"/>
      <color rgb="FF000000"/>
      <name val="Calibri"/>
      <family val="2"/>
      <charset val="1"/>
    </font>
    <font>
      <sz val="10"/>
      <name val="Arial"/>
      <family val="2"/>
    </font>
    <font>
      <b val="true"/>
      <sz val="12"/>
      <color rgb="FF000000"/>
      <name val="Calibri"/>
      <family val="2"/>
      <charset val="1"/>
    </font>
    <font>
      <b val="true"/>
      <sz val="11"/>
      <color rgb="FF2F5496"/>
      <name val="Calibri"/>
      <family val="2"/>
      <charset val="1"/>
    </font>
    <font>
      <sz val="10"/>
      <color rgb="FF000000"/>
      <name val="Calibri"/>
      <family val="2"/>
      <charset val="1"/>
    </font>
    <font>
      <b val="true"/>
      <sz val="10"/>
      <color rgb="FFC00000"/>
      <name val="Calibri"/>
      <family val="2"/>
      <charset val="1"/>
    </font>
    <font>
      <b val="true"/>
      <sz val="10"/>
      <color rgb="FF2E75B5"/>
      <name val="Calibri"/>
      <family val="2"/>
      <charset val="1"/>
    </font>
    <font>
      <sz val="12"/>
      <color rgb="FF000000"/>
      <name val="Calibri"/>
      <family val="2"/>
      <charset val="1"/>
    </font>
    <font>
      <sz val="11"/>
      <name val="Calibri"/>
      <family val="0"/>
    </font>
    <font>
      <sz val="11"/>
      <name val="Times New Roman"/>
      <family val="0"/>
    </font>
    <font>
      <sz val="10.5"/>
      <name val="Calibri"/>
      <family val="0"/>
    </font>
    <font>
      <sz val="9"/>
      <color rgb="FF000000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2E75B5"/>
        <bgColor rgb="FF4472C4"/>
      </patternFill>
    </fill>
    <fill>
      <patternFill patternType="solid">
        <fgColor theme="2" tint="-0.05"/>
        <bgColor rgb="FFECECEC"/>
      </patternFill>
    </fill>
    <fill>
      <patternFill patternType="solid">
        <fgColor rgb="FFADB9CA"/>
        <bgColor rgb="FFB7B7B7"/>
      </patternFill>
    </fill>
    <fill>
      <patternFill patternType="solid">
        <fgColor rgb="FFFFFF00"/>
        <bgColor rgb="FFFFE598"/>
      </patternFill>
    </fill>
    <fill>
      <patternFill patternType="solid">
        <fgColor rgb="FFBDD6EE"/>
        <bgColor rgb="FFD9D9D9"/>
      </patternFill>
    </fill>
    <fill>
      <patternFill patternType="solid">
        <fgColor rgb="FFC5E0B3"/>
        <bgColor rgb="FFC5E0B4"/>
      </patternFill>
    </fill>
    <fill>
      <patternFill patternType="solid">
        <fgColor rgb="FFC5E0B4"/>
        <bgColor rgb="FFC5E0B3"/>
      </patternFill>
    </fill>
    <fill>
      <patternFill patternType="solid">
        <fgColor rgb="FFFEF2CB"/>
        <bgColor rgb="FFFFF2CC"/>
      </patternFill>
    </fill>
    <fill>
      <patternFill patternType="solid">
        <fgColor rgb="FFFFF2CC"/>
        <bgColor rgb="FFFEF2CB"/>
      </patternFill>
    </fill>
    <fill>
      <patternFill patternType="solid">
        <fgColor rgb="FF70AD47"/>
        <bgColor rgb="FF92D050"/>
      </patternFill>
    </fill>
    <fill>
      <patternFill patternType="solid">
        <fgColor rgb="FF92D050"/>
        <bgColor rgb="FF70AD47"/>
      </patternFill>
    </fill>
    <fill>
      <patternFill patternType="solid">
        <fgColor rgb="FFFF0000"/>
        <bgColor rgb="FFC00000"/>
      </patternFill>
    </fill>
    <fill>
      <patternFill patternType="solid">
        <fgColor rgb="FF8EAADB"/>
        <bgColor rgb="FFADB9CA"/>
      </patternFill>
    </fill>
    <fill>
      <patternFill patternType="solid">
        <fgColor rgb="FFF7CAAC"/>
        <bgColor rgb="FFFFC7CE"/>
      </patternFill>
    </fill>
    <fill>
      <patternFill patternType="solid">
        <fgColor rgb="FFFBE4D5"/>
        <bgColor rgb="FFFEF2CB"/>
      </patternFill>
    </fill>
    <fill>
      <patternFill patternType="solid">
        <fgColor rgb="FFD9E2F3"/>
        <bgColor rgb="FFDEEAF6"/>
      </patternFill>
    </fill>
    <fill>
      <patternFill patternType="solid">
        <fgColor rgb="FFE2EFD9"/>
        <bgColor rgb="FFECECEC"/>
      </patternFill>
    </fill>
    <fill>
      <patternFill patternType="solid">
        <fgColor rgb="FFECECEC"/>
        <bgColor rgb="FFF2F2F2"/>
      </patternFill>
    </fill>
    <fill>
      <patternFill patternType="solid">
        <fgColor rgb="FFDEEAF6"/>
        <bgColor rgb="FFD9E2F3"/>
      </patternFill>
    </fill>
    <fill>
      <patternFill patternType="solid">
        <fgColor rgb="FFFFFFFF"/>
        <bgColor rgb="FFF2F2F2"/>
      </patternFill>
    </fill>
    <fill>
      <patternFill patternType="solid">
        <fgColor rgb="FFFFE598"/>
        <bgColor rgb="FFFEF2CB"/>
      </patternFill>
    </fill>
  </fills>
  <borders count="43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>
        <color rgb="FFAEABAB"/>
      </left>
      <right style="thin">
        <color rgb="FFAEABAB"/>
      </right>
      <top/>
      <bottom style="thin">
        <color rgb="FFAEABAB"/>
      </bottom>
      <diagonal/>
    </border>
    <border diagonalUp="false" diagonalDown="false"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>
        <color rgb="FFAEABAB"/>
      </top>
      <bottom/>
      <diagonal/>
    </border>
    <border diagonalUp="false" diagonalDown="false">
      <left style="thin"/>
      <right style="thin"/>
      <top style="thin"/>
      <bottom style="thin">
        <color rgb="FFAEABAB"/>
      </bottom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/>
      <top style="medium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73" fontId="0" fillId="0" borderId="0" applyFont="true" applyBorder="false" applyAlignment="true" applyProtection="false">
      <alignment horizontal="general" vertical="bottom" textRotation="0" wrapText="false" indent="0" shrinkToFit="false"/>
    </xf>
    <xf numFmtId="171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9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6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6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4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6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4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0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2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0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5" borderId="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5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7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8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5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5" fillId="9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1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1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7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7" fillId="1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1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1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5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6" xfId="0" applyFont="true" applyBorder="true" applyAlignment="true" applyProtection="false">
      <alignment horizontal="center" vertical="center" textRotation="255" wrapText="false" indent="0" shrinkToFit="false"/>
      <protection locked="true" hidden="false"/>
    </xf>
    <xf numFmtId="164" fontId="4" fillId="16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4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4" fillId="0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3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4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7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1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8" borderId="3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4" fillId="18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8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8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3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4" fillId="0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1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3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5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4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255" wrapText="false" indent="0" shrinkToFit="false"/>
      <protection locked="true" hidden="false"/>
    </xf>
    <xf numFmtId="164" fontId="4" fillId="18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4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23" xfId="0" applyFont="true" applyBorder="true" applyAlignment="true" applyProtection="false">
      <alignment horizontal="center" vertical="center" textRotation="255" wrapText="false" indent="0" shrinkToFit="false"/>
      <protection locked="true" hidden="false"/>
    </xf>
    <xf numFmtId="164" fontId="4" fillId="16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1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4" fillId="1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16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7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8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21" fillId="5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8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21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1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8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18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18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19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19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2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17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2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0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0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3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2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1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2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18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8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18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4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4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3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7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3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3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3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5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6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16" borderId="3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16" borderId="3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3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3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9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4" fillId="2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2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5" fillId="16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16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2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2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20" borderId="4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0" borderId="3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3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omma [0]" xfId="20"/>
  </cellStyles>
  <dxfs count="7">
    <dxf>
      <font>
        <b val="1"/>
        <color rgb="FFFF0000"/>
      </font>
      <fill>
        <patternFill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  <color rgb="FFFF0000"/>
      </font>
      <fill>
        <patternFill>
          <bgColor rgb="FFFFFFFF"/>
        </patternFill>
      </fill>
    </dxf>
    <dxf>
      <font>
        <b val="1"/>
        <color rgb="FFFF0000"/>
      </font>
      <fill>
        <patternFill>
          <bgColor rgb="FFFFFFFF"/>
        </patternFill>
      </fill>
    </dxf>
    <dxf>
      <font>
        <b val="1"/>
        <color rgb="FFFF0000"/>
      </font>
      <fill>
        <patternFill>
          <bgColor rgb="FFFFFFFF"/>
        </patternFill>
      </fill>
    </dxf>
    <dxf>
      <font>
        <b val="1"/>
        <color rgb="FFFF0000"/>
      </font>
      <fill>
        <patternFill>
          <bgColor rgb="FFFFFF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ECECEC"/>
      <rgbColor rgb="FF9C0006"/>
      <rgbColor rgb="FF006100"/>
      <rgbColor rgb="FF000080"/>
      <rgbColor rgb="FFFBE4D5"/>
      <rgbColor rgb="FF800080"/>
      <rgbColor rgb="FF008080"/>
      <rgbColor rgb="FFB7B7B7"/>
      <rgbColor rgb="FF7F7F7F"/>
      <rgbColor rgb="FF8EAADB"/>
      <rgbColor rgb="FF993366"/>
      <rgbColor rgb="FFFFF2CC"/>
      <rgbColor rgb="FFDEEAF6"/>
      <rgbColor rgb="FF660066"/>
      <rgbColor rgb="FFA5A5A5"/>
      <rgbColor rgb="FF2E75B5"/>
      <rgbColor rgb="FFBDD6EE"/>
      <rgbColor rgb="FF000080"/>
      <rgbColor rgb="FFFF00FF"/>
      <rgbColor rgb="FFC5E0B3"/>
      <rgbColor rgb="FFF2F2F2"/>
      <rgbColor rgb="FF800080"/>
      <rgbColor rgb="FFC00000"/>
      <rgbColor rgb="FF008080"/>
      <rgbColor rgb="FF0000FF"/>
      <rgbColor rgb="FFD9E2F3"/>
      <rgbColor rgb="FFE2EFD9"/>
      <rgbColor rgb="FFC6EFCE"/>
      <rgbColor rgb="FFFEF2CB"/>
      <rgbColor rgb="FFADB9CA"/>
      <rgbColor rgb="FFFFC7CE"/>
      <rgbColor rgb="FFAEABAB"/>
      <rgbColor rgb="FFF7CAAC"/>
      <rgbColor rgb="FF4472C4"/>
      <rgbColor rgb="FFC5E0B4"/>
      <rgbColor rgb="FF92D050"/>
      <rgbColor rgb="FFFFE598"/>
      <rgbColor rgb="FFD9D9D9"/>
      <rgbColor rgb="FFED7D31"/>
      <rgbColor rgb="FF757575"/>
      <rgbColor rgb="FF8B8B8B"/>
      <rgbColor rgb="FF003366"/>
      <rgbColor rgb="FF70AD47"/>
      <rgbColor rgb="FF003300"/>
      <rgbColor rgb="FF1A1A1A"/>
      <rgbColor rgb="FF993300"/>
      <rgbColor rgb="FF993366"/>
      <rgbColor rgb="FF2F5496"/>
      <rgbColor rgb="FF24242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s-CL" sz="1400" b="0" u="none" strike="noStrike">
                <a:solidFill>
                  <a:srgbClr val="757575"/>
                </a:solidFill>
                <a:uFillTx/>
                <a:latin typeface="Calibri"/>
                <a:ea typeface="Calibri"/>
              </a:rPr>
              <a:t>Recuperaciones en Peso Pleito (%Rp)</a:t>
            </a:r>
          </a:p>
        </c:rich>
      </c:tx>
      <c:layout>
        <c:manualLayout>
          <c:xMode val="edge"/>
          <c:yMode val="edge"/>
          <c:x val="0.264737121614445"/>
          <c:y val="0.0330538340017013"/>
        </c:manualLayout>
      </c:layout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spPr>
            <a:solidFill>
              <a:srgbClr val="4472c4"/>
            </a:solidFill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'Reporte '!$D$85:$I$85</c:f>
              <c:strCache>
                <c:ptCount val="6"/>
                <c:pt idx="0">
                  <c:v>sept. 21</c:v>
                </c:pt>
                <c:pt idx="1">
                  <c:v>oct. 21</c:v>
                </c:pt>
                <c:pt idx="2">
                  <c:v>15-nov</c:v>
                </c:pt>
                <c:pt idx="3">
                  <c:v>30-nov</c:v>
                </c:pt>
                <c:pt idx="4">
                  <c:v>15-dic</c:v>
                </c:pt>
                <c:pt idx="5">
                  <c:v>30-dic</c:v>
                </c:pt>
              </c:strCache>
            </c:strRef>
          </c:cat>
          <c:val>
            <c:numRef>
              <c:f>'Reporte '!$D$90:$I$90</c:f>
              <c:numCache>
                <c:formatCode>0.0</c:formatCode>
                <c:ptCount val="6"/>
                <c:pt idx="0">
                  <c:v>46.7981488457192</c:v>
                </c:pt>
                <c:pt idx="1">
                  <c:v>39.5001310845058</c:v>
                </c:pt>
                <c:pt idx="2">
                  <c:v>40.7186531535305</c:v>
                </c:pt>
                <c:pt idx="3">
                  <c:v>41.73</c:v>
                </c:pt>
                <c:pt idx="4">
                  <c:v>49.6</c:v>
                </c:pt>
                <c:pt idx="5">
                  <c:v>36</c:v>
                </c:pt>
              </c:numCache>
            </c:numRef>
          </c:val>
          <c:smooth val="0"/>
        </c:ser>
        <c:ser>
          <c:idx val="1"/>
          <c:order val="1"/>
          <c:spPr>
            <a:solidFill>
              <a:srgbClr val="ed7d31"/>
            </a:solidFill>
            <a:ln w="1908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'Reporte '!$D$85:$I$85</c:f>
              <c:strCache>
                <c:ptCount val="6"/>
                <c:pt idx="0">
                  <c:v>sept. 21</c:v>
                </c:pt>
                <c:pt idx="1">
                  <c:v>oct. 21</c:v>
                </c:pt>
                <c:pt idx="2">
                  <c:v>15-nov</c:v>
                </c:pt>
                <c:pt idx="3">
                  <c:v>30-nov</c:v>
                </c:pt>
                <c:pt idx="4">
                  <c:v>15-dic</c:v>
                </c:pt>
                <c:pt idx="5">
                  <c:v>30-dic</c:v>
                </c:pt>
              </c:strCache>
            </c:strRef>
          </c:cat>
          <c:val>
            <c:numRef>
              <c:f>'Reporte '!$D$91:$I$91</c:f>
              <c:numCache>
                <c:formatCode>0.0</c:formatCode>
                <c:ptCount val="6"/>
                <c:pt idx="0">
                  <c:v>17.8160146370339</c:v>
                </c:pt>
                <c:pt idx="1">
                  <c:v>22.8821113344403</c:v>
                </c:pt>
                <c:pt idx="2">
                  <c:v>20.9632297512354</c:v>
                </c:pt>
                <c:pt idx="3">
                  <c:v>19.88</c:v>
                </c:pt>
                <c:pt idx="4">
                  <c:v>24.4</c:v>
                </c:pt>
                <c:pt idx="5">
                  <c:v>23.1</c:v>
                </c:pt>
              </c:numCache>
            </c:numRef>
          </c:val>
          <c:smooth val="0"/>
        </c:ser>
        <c:ser>
          <c:idx val="2"/>
          <c:order val="2"/>
          <c:spPr>
            <a:solidFill>
              <a:srgbClr val="a5a5a5"/>
            </a:solidFill>
            <a:ln w="19080">
              <a:solidFill>
                <a:srgbClr val="a5a5a5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'Reporte '!$D$85:$I$85</c:f>
              <c:strCache>
                <c:ptCount val="6"/>
                <c:pt idx="0">
                  <c:v>sept. 21</c:v>
                </c:pt>
                <c:pt idx="1">
                  <c:v>oct. 21</c:v>
                </c:pt>
                <c:pt idx="2">
                  <c:v>15-nov</c:v>
                </c:pt>
                <c:pt idx="3">
                  <c:v>30-nov</c:v>
                </c:pt>
                <c:pt idx="4">
                  <c:v>15-dic</c:v>
                </c:pt>
                <c:pt idx="5">
                  <c:v>30-dic</c:v>
                </c:pt>
              </c:strCache>
            </c:strRef>
          </c:cat>
          <c:val>
            <c:numRef>
              <c:f>'Reporte '!$D$92:$I$92</c:f>
              <c:numCache>
                <c:formatCode>0.0</c:formatCode>
                <c:ptCount val="6"/>
                <c:pt idx="0">
                  <c:v>35.3844912016359</c:v>
                </c:pt>
                <c:pt idx="1">
                  <c:v>37.6160097876431</c:v>
                </c:pt>
                <c:pt idx="2">
                  <c:v>38.3181170952341</c:v>
                </c:pt>
                <c:pt idx="3">
                  <c:v>38.39</c:v>
                </c:pt>
                <c:pt idx="4">
                  <c:v>26</c:v>
                </c:pt>
                <c:pt idx="5">
                  <c:v>40.8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3175549"/>
        <c:axId val="54464077"/>
      </c:lineChart>
      <c:catAx>
        <c:axId val="131755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Título del eje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54464077"/>
        <c:crosses val="autoZero"/>
        <c:auto val="1"/>
        <c:lblAlgn val="ctr"/>
        <c:lblOffset val="100"/>
        <c:noMultiLvlLbl val="0"/>
      </c:catAx>
      <c:valAx>
        <c:axId val="54464077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Título del eje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1317554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4.png"/><Relationship Id="rId4" Type="http://schemas.openxmlformats.org/officeDocument/2006/relationships/image" Target="../media/image5.png"/><Relationship Id="rId5" Type="http://schemas.openxmlformats.org/officeDocument/2006/relationships/image" Target="../media/image6.png"/><Relationship Id="rId6" Type="http://schemas.openxmlformats.org/officeDocument/2006/relationships/image" Target="../media/image7.png"/><Relationship Id="rId7" Type="http://schemas.openxmlformats.org/officeDocument/2006/relationships/image" Target="../media/image8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743040</xdr:colOff>
      <xdr:row>92</xdr:row>
      <xdr:rowOff>85680</xdr:rowOff>
    </xdr:from>
    <xdr:to>
      <xdr:col>5</xdr:col>
      <xdr:colOff>651960</xdr:colOff>
      <xdr:row>107</xdr:row>
      <xdr:rowOff>47520</xdr:rowOff>
    </xdr:to>
    <xdr:graphicFrame>
      <xdr:nvGraphicFramePr>
        <xdr:cNvPr id="1" name="Chart 1"/>
        <xdr:cNvGraphicFramePr/>
      </xdr:nvGraphicFramePr>
      <xdr:xfrm>
        <a:off x="2355840" y="10782360"/>
        <a:ext cx="4066920" cy="2962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704880</xdr:colOff>
      <xdr:row>1</xdr:row>
      <xdr:rowOff>171720</xdr:rowOff>
    </xdr:from>
    <xdr:to>
      <xdr:col>2</xdr:col>
      <xdr:colOff>1088640</xdr:colOff>
      <xdr:row>4</xdr:row>
      <xdr:rowOff>190080</xdr:rowOff>
    </xdr:to>
    <xdr:pic>
      <xdr:nvPicPr>
        <xdr:cNvPr id="2" name="image1.png"/>
        <xdr:cNvPicPr/>
      </xdr:nvPicPr>
      <xdr:blipFill>
        <a:blip r:embed="rId2"/>
        <a:stretch/>
      </xdr:blipFill>
      <xdr:spPr>
        <a:xfrm>
          <a:off x="1511280" y="362160"/>
          <a:ext cx="1190160" cy="5900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95400</xdr:colOff>
      <xdr:row>14</xdr:row>
      <xdr:rowOff>162000</xdr:rowOff>
    </xdr:from>
    <xdr:to>
      <xdr:col>9</xdr:col>
      <xdr:colOff>104400</xdr:colOff>
      <xdr:row>30</xdr:row>
      <xdr:rowOff>199800</xdr:rowOff>
    </xdr:to>
    <xdr:pic>
      <xdr:nvPicPr>
        <xdr:cNvPr id="3" name="image4.png"/>
        <xdr:cNvPicPr/>
      </xdr:nvPicPr>
      <xdr:blipFill>
        <a:blip r:embed="rId1"/>
        <a:stretch/>
      </xdr:blipFill>
      <xdr:spPr>
        <a:xfrm>
          <a:off x="6931800" y="2924280"/>
          <a:ext cx="3885840" cy="33429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17</xdr:col>
      <xdr:colOff>162000</xdr:colOff>
      <xdr:row>0</xdr:row>
      <xdr:rowOff>95400</xdr:rowOff>
    </xdr:from>
    <xdr:to>
      <xdr:col>22</xdr:col>
      <xdr:colOff>128520</xdr:colOff>
      <xdr:row>19</xdr:row>
      <xdr:rowOff>9360</xdr:rowOff>
    </xdr:to>
    <xdr:pic>
      <xdr:nvPicPr>
        <xdr:cNvPr id="4" name="image3.png"/>
        <xdr:cNvPicPr/>
      </xdr:nvPicPr>
      <xdr:blipFill>
        <a:blip r:embed="rId2"/>
        <a:stretch/>
      </xdr:blipFill>
      <xdr:spPr>
        <a:xfrm>
          <a:off x="20250720" y="95400"/>
          <a:ext cx="4866840" cy="3619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18</xdr:col>
      <xdr:colOff>19080</xdr:colOff>
      <xdr:row>18</xdr:row>
      <xdr:rowOff>57240</xdr:rowOff>
    </xdr:from>
    <xdr:to>
      <xdr:col>22</xdr:col>
      <xdr:colOff>349200</xdr:colOff>
      <xdr:row>34</xdr:row>
      <xdr:rowOff>152280</xdr:rowOff>
    </xdr:to>
    <xdr:pic>
      <xdr:nvPicPr>
        <xdr:cNvPr id="5" name="image2.png"/>
        <xdr:cNvPicPr/>
      </xdr:nvPicPr>
      <xdr:blipFill>
        <a:blip r:embed="rId3"/>
        <a:stretch/>
      </xdr:blipFill>
      <xdr:spPr>
        <a:xfrm>
          <a:off x="20918880" y="3571920"/>
          <a:ext cx="4419360" cy="3447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13</xdr:col>
      <xdr:colOff>676440</xdr:colOff>
      <xdr:row>18</xdr:row>
      <xdr:rowOff>162000</xdr:rowOff>
    </xdr:from>
    <xdr:to>
      <xdr:col>17</xdr:col>
      <xdr:colOff>206280</xdr:colOff>
      <xdr:row>38</xdr:row>
      <xdr:rowOff>37800</xdr:rowOff>
    </xdr:to>
    <xdr:pic>
      <xdr:nvPicPr>
        <xdr:cNvPr id="6" name="image5.png"/>
        <xdr:cNvPicPr/>
      </xdr:nvPicPr>
      <xdr:blipFill>
        <a:blip r:embed="rId4"/>
        <a:stretch/>
      </xdr:blipFill>
      <xdr:spPr>
        <a:xfrm>
          <a:off x="16675920" y="3676680"/>
          <a:ext cx="3619080" cy="4028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12</xdr:col>
      <xdr:colOff>371520</xdr:colOff>
      <xdr:row>0</xdr:row>
      <xdr:rowOff>76320</xdr:rowOff>
    </xdr:from>
    <xdr:to>
      <xdr:col>15</xdr:col>
      <xdr:colOff>574920</xdr:colOff>
      <xdr:row>20</xdr:row>
      <xdr:rowOff>75960</xdr:rowOff>
    </xdr:to>
    <xdr:pic>
      <xdr:nvPicPr>
        <xdr:cNvPr id="7" name="image6.png"/>
        <xdr:cNvPicPr/>
      </xdr:nvPicPr>
      <xdr:blipFill>
        <a:blip r:embed="rId5"/>
        <a:stretch/>
      </xdr:blipFill>
      <xdr:spPr>
        <a:xfrm>
          <a:off x="14914440" y="76320"/>
          <a:ext cx="3704760" cy="38952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762120</xdr:colOff>
      <xdr:row>22</xdr:row>
      <xdr:rowOff>76320</xdr:rowOff>
    </xdr:from>
    <xdr:to>
      <xdr:col>12</xdr:col>
      <xdr:colOff>1289160</xdr:colOff>
      <xdr:row>27</xdr:row>
      <xdr:rowOff>95040</xdr:rowOff>
    </xdr:to>
    <xdr:pic>
      <xdr:nvPicPr>
        <xdr:cNvPr id="8" name="image7.png"/>
        <xdr:cNvPicPr/>
      </xdr:nvPicPr>
      <xdr:blipFill>
        <a:blip r:embed="rId6"/>
        <a:stretch/>
      </xdr:blipFill>
      <xdr:spPr>
        <a:xfrm>
          <a:off x="10441440" y="4372200"/>
          <a:ext cx="5390640" cy="1018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8</xdr:col>
      <xdr:colOff>828720</xdr:colOff>
      <xdr:row>27</xdr:row>
      <xdr:rowOff>162000</xdr:rowOff>
    </xdr:from>
    <xdr:to>
      <xdr:col>11</xdr:col>
      <xdr:colOff>654120</xdr:colOff>
      <xdr:row>33</xdr:row>
      <xdr:rowOff>85320</xdr:rowOff>
    </xdr:to>
    <xdr:pic>
      <xdr:nvPicPr>
        <xdr:cNvPr id="9" name="image8.png"/>
        <xdr:cNvPicPr/>
      </xdr:nvPicPr>
      <xdr:blipFill>
        <a:blip r:embed="rId7"/>
        <a:stretch/>
      </xdr:blipFill>
      <xdr:spPr>
        <a:xfrm>
          <a:off x="10508040" y="5457960"/>
          <a:ext cx="3666600" cy="129492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200160</xdr:colOff>
      <xdr:row>6</xdr:row>
      <xdr:rowOff>9360</xdr:rowOff>
    </xdr:from>
    <xdr:to>
      <xdr:col>4</xdr:col>
      <xdr:colOff>588960</xdr:colOff>
      <xdr:row>9</xdr:row>
      <xdr:rowOff>94680</xdr:rowOff>
    </xdr:to>
    <xdr:sp>
      <xdr:nvSpPr>
        <xdr:cNvPr id="10" name="Shape 3"/>
        <xdr:cNvSpPr/>
      </xdr:nvSpPr>
      <xdr:spPr>
        <a:xfrm>
          <a:off x="2632680" y="1152360"/>
          <a:ext cx="1199880" cy="657000"/>
        </a:xfrm>
        <a:prstGeom prst="rect">
          <a:avLst/>
        </a:prstGeom>
        <a:solidFill>
          <a:srgbClr val="ffffff"/>
        </a:solidFill>
        <a:ln w="12700">
          <a:solidFill>
            <a:srgbClr val="31538f"/>
          </a:solidFill>
          <a:miter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  <a:tabLst>
              <a:tab algn="l" pos="0"/>
            </a:tabLst>
          </a:pPr>
          <a:r>
            <a:rPr lang="en-US" sz="1100" b="0" u="none" strike="noStrike">
              <a:effectLst/>
              <a:uFillTx/>
              <a:latin typeface="Calibri"/>
              <a:ea typeface="Calibri"/>
            </a:rPr>
            <a:t>Planta Pleito</a:t>
          </a:r>
          <a:endParaRPr lang="es-CL" sz="1100" b="0" u="none" strike="noStrike">
            <a:effectLst/>
            <a:uFillTx/>
            <a:latin typeface="Times New Roman"/>
          </a:endParaRPr>
        </a:p>
        <a:p>
          <a:pPr algn="ctr">
            <a:lnSpc>
              <a:spcPct val="100000"/>
            </a:lnSpc>
            <a:tabLst>
              <a:tab algn="l" pos="0"/>
            </a:tabLst>
          </a:pPr>
          <a:r>
            <a:rPr lang="en-US" sz="1100" b="0" u="none" strike="noStrike">
              <a:effectLst/>
              <a:uFillTx/>
              <a:latin typeface="Calibri"/>
              <a:ea typeface="Calibri"/>
            </a:rPr>
            <a:t>T2</a:t>
          </a:r>
          <a:endParaRPr lang="es-CL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  <a:tabLst>
              <a:tab algn="l" pos="0"/>
            </a:tabLst>
          </a:pPr>
          <a:endParaRPr lang="es-CL" sz="11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1</xdr:col>
      <xdr:colOff>704520</xdr:colOff>
      <xdr:row>7</xdr:row>
      <xdr:rowOff>104760</xdr:rowOff>
    </xdr:from>
    <xdr:to>
      <xdr:col>3</xdr:col>
      <xdr:colOff>16200</xdr:colOff>
      <xdr:row>9</xdr:row>
      <xdr:rowOff>151920</xdr:rowOff>
    </xdr:to>
    <xdr:grpSp>
      <xdr:nvGrpSpPr>
        <xdr:cNvPr id="11" name="Shape 2"/>
        <xdr:cNvGrpSpPr/>
      </xdr:nvGrpSpPr>
      <xdr:grpSpPr>
        <a:xfrm>
          <a:off x="1515240" y="1438200"/>
          <a:ext cx="933480" cy="428400"/>
          <a:chOff x="1515240" y="1438200"/>
          <a:chExt cx="933480" cy="428400"/>
        </a:xfrm>
      </xdr:grpSpPr>
      <xdr:grpSp>
        <xdr:nvGrpSpPr>
          <xdr:cNvPr id="12" name="Shape 4"/>
          <xdr:cNvGrpSpPr/>
        </xdr:nvGrpSpPr>
        <xdr:grpSpPr>
          <a:xfrm>
            <a:off x="1515240" y="1438200"/>
            <a:ext cx="933480" cy="428400"/>
            <a:chOff x="1515240" y="1438200"/>
            <a:chExt cx="933480" cy="428400"/>
          </a:xfrm>
        </xdr:grpSpPr>
        <xdr:sp>
          <xdr:nvSpPr>
            <xdr:cNvPr id="13" name="Shape 5"/>
            <xdr:cNvSpPr/>
          </xdr:nvSpPr>
          <xdr:spPr>
            <a:xfrm>
              <a:off x="1515600" y="1438200"/>
              <a:ext cx="932760" cy="4280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/>
            <a:fillRef idx="0"/>
            <a:effectRef idx="0"/>
            <a:fontRef idx="minor"/>
          </xdr:style>
        </xdr:sp>
        <xdr:cxnSp>
          <xdr:nvCxnSpPr>
            <xdr:cNvPr id="14" name="Shape 6"/>
            <xdr:cNvCxnSpPr/>
          </xdr:nvCxnSpPr>
          <xdr:spPr>
            <a:xfrm flipV="1">
              <a:off x="1515240" y="1438200"/>
              <a:ext cx="933840" cy="428760"/>
            </a:xfrm>
            <a:prstGeom prst="bentConnector3">
              <a:avLst>
                <a:gd name="adj1" fmla="val 50019"/>
              </a:avLst>
            </a:prstGeom>
            <a:ln w="9525">
              <a:solidFill>
                <a:srgbClr val="4472c4"/>
              </a:solidFill>
              <a:miter/>
              <a:tailEnd len="med" type="triangle" w="med"/>
            </a:ln>
          </xdr:spPr>
        </xdr:cxnSp>
      </xdr:grpSp>
    </xdr:grpSp>
    <xdr:clientData/>
  </xdr:twoCellAnchor>
  <xdr:twoCellAnchor editAs="oneCell">
    <xdr:from>
      <xdr:col>0</xdr:col>
      <xdr:colOff>114480</xdr:colOff>
      <xdr:row>3</xdr:row>
      <xdr:rowOff>76320</xdr:rowOff>
    </xdr:from>
    <xdr:to>
      <xdr:col>1</xdr:col>
      <xdr:colOff>93960</xdr:colOff>
      <xdr:row>5</xdr:row>
      <xdr:rowOff>190440</xdr:rowOff>
    </xdr:to>
    <xdr:sp>
      <xdr:nvSpPr>
        <xdr:cNvPr id="15" name="Shape 7"/>
        <xdr:cNvSpPr/>
      </xdr:nvSpPr>
      <xdr:spPr>
        <a:xfrm>
          <a:off x="114480" y="648000"/>
          <a:ext cx="790200" cy="495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  <a:tabLst>
              <a:tab algn="l" pos="0"/>
            </a:tabLst>
          </a:pPr>
          <a:r>
            <a:rPr lang="en-US" sz="1100" b="0" u="none" strike="noStrike">
              <a:effectLst/>
              <a:uFillTx/>
              <a:latin typeface="Calibri"/>
              <a:ea typeface="Calibri"/>
            </a:rPr>
            <a:t>Alta Ley 1 </a:t>
          </a:r>
          <a:endParaRPr lang="es-CL" sz="11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5</xdr:col>
      <xdr:colOff>447840</xdr:colOff>
      <xdr:row>25</xdr:row>
      <xdr:rowOff>103680</xdr:rowOff>
    </xdr:from>
    <xdr:to>
      <xdr:col>6</xdr:col>
      <xdr:colOff>7920</xdr:colOff>
      <xdr:row>27</xdr:row>
      <xdr:rowOff>131760</xdr:rowOff>
    </xdr:to>
    <xdr:sp>
      <xdr:nvSpPr>
        <xdr:cNvPr id="16" name="Shape 8"/>
        <xdr:cNvSpPr/>
      </xdr:nvSpPr>
      <xdr:spPr>
        <a:xfrm>
          <a:off x="4502160" y="4943520"/>
          <a:ext cx="371160" cy="428400"/>
        </a:xfrm>
        <a:prstGeom prst="triangle">
          <a:avLst>
            <a:gd name="adj" fmla="val 50000"/>
          </a:avLst>
        </a:prstGeom>
        <a:solidFill>
          <a:srgbClr val="ffffff"/>
        </a:solidFill>
        <a:ln w="12700">
          <a:solidFill>
            <a:srgbClr val="31538f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676440</xdr:colOff>
      <xdr:row>4</xdr:row>
      <xdr:rowOff>104760</xdr:rowOff>
    </xdr:from>
    <xdr:to>
      <xdr:col>7</xdr:col>
      <xdr:colOff>246240</xdr:colOff>
      <xdr:row>6</xdr:row>
      <xdr:rowOff>180720</xdr:rowOff>
    </xdr:to>
    <xdr:sp>
      <xdr:nvSpPr>
        <xdr:cNvPr id="17" name="Shape 9"/>
        <xdr:cNvSpPr/>
      </xdr:nvSpPr>
      <xdr:spPr>
        <a:xfrm>
          <a:off x="5541840" y="866880"/>
          <a:ext cx="380520" cy="456840"/>
        </a:xfrm>
        <a:prstGeom prst="triangle">
          <a:avLst>
            <a:gd name="adj" fmla="val 50000"/>
          </a:avLst>
        </a:prstGeom>
        <a:solidFill>
          <a:srgbClr val="ffffff"/>
        </a:solidFill>
        <a:ln w="12700">
          <a:solidFill>
            <a:srgbClr val="31538f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7</xdr:col>
      <xdr:colOff>19080</xdr:colOff>
      <xdr:row>15</xdr:row>
      <xdr:rowOff>46440</xdr:rowOff>
    </xdr:from>
    <xdr:to>
      <xdr:col>7</xdr:col>
      <xdr:colOff>428400</xdr:colOff>
      <xdr:row>17</xdr:row>
      <xdr:rowOff>93600</xdr:rowOff>
    </xdr:to>
    <xdr:sp>
      <xdr:nvSpPr>
        <xdr:cNvPr id="18" name="Shape 10"/>
        <xdr:cNvSpPr/>
      </xdr:nvSpPr>
      <xdr:spPr>
        <a:xfrm>
          <a:off x="5695200" y="2933640"/>
          <a:ext cx="409320" cy="428400"/>
        </a:xfrm>
        <a:prstGeom prst="triangle">
          <a:avLst>
            <a:gd name="adj" fmla="val 50000"/>
          </a:avLst>
        </a:prstGeom>
        <a:solidFill>
          <a:srgbClr val="ffffff"/>
        </a:solidFill>
        <a:ln w="12700">
          <a:solidFill>
            <a:srgbClr val="31538f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6</xdr:col>
      <xdr:colOff>76320</xdr:colOff>
      <xdr:row>6</xdr:row>
      <xdr:rowOff>76320</xdr:rowOff>
    </xdr:from>
    <xdr:to>
      <xdr:col>6</xdr:col>
      <xdr:colOff>723600</xdr:colOff>
      <xdr:row>9</xdr:row>
      <xdr:rowOff>161640</xdr:rowOff>
    </xdr:to>
    <xdr:sp>
      <xdr:nvSpPr>
        <xdr:cNvPr id="19" name="Shape 11"/>
        <xdr:cNvSpPr/>
      </xdr:nvSpPr>
      <xdr:spPr>
        <a:xfrm>
          <a:off x="4941720" y="1219320"/>
          <a:ext cx="647280" cy="657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  <a:tabLst>
              <a:tab algn="l" pos="0"/>
            </a:tabLst>
          </a:pPr>
          <a:r>
            <a:rPr lang="en-US" sz="1100" b="0" u="none" strike="noStrike">
              <a:effectLst/>
              <a:uFillTx/>
              <a:latin typeface="Calibri"/>
              <a:ea typeface="Calibri"/>
            </a:rPr>
            <a:t>Stock Granzas</a:t>
          </a:r>
          <a:endParaRPr lang="es-CL" sz="11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5</xdr:col>
      <xdr:colOff>714240</xdr:colOff>
      <xdr:row>13</xdr:row>
      <xdr:rowOff>9720</xdr:rowOff>
    </xdr:from>
    <xdr:to>
      <xdr:col>7</xdr:col>
      <xdr:colOff>34920</xdr:colOff>
      <xdr:row>15</xdr:row>
      <xdr:rowOff>93960</xdr:rowOff>
    </xdr:to>
    <xdr:sp>
      <xdr:nvSpPr>
        <xdr:cNvPr id="20" name="Shape 12"/>
        <xdr:cNvSpPr/>
      </xdr:nvSpPr>
      <xdr:spPr>
        <a:xfrm>
          <a:off x="4768560" y="2486160"/>
          <a:ext cx="942480" cy="4950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 algn="ctr">
            <a:lnSpc>
              <a:spcPct val="100000"/>
            </a:lnSpc>
            <a:tabLst>
              <a:tab algn="l" pos="0"/>
            </a:tabLst>
          </a:pPr>
          <a:r>
            <a:rPr lang="en-US" sz="1100" b="0" u="none" strike="noStrike">
              <a:effectLst/>
              <a:uFillTx/>
              <a:latin typeface="Calibri"/>
              <a:ea typeface="Calibri"/>
            </a:rPr>
            <a:t>Stock Finos</a:t>
          </a:r>
          <a:endParaRPr lang="es-CL" sz="1100" b="0" u="none" strike="noStrike">
            <a:effectLst/>
            <a:uFillTx/>
            <a:latin typeface="Times New Roman"/>
          </a:endParaRPr>
        </a:p>
        <a:p>
          <a:pPr algn="ctr">
            <a:lnSpc>
              <a:spcPct val="100000"/>
            </a:lnSpc>
            <a:tabLst>
              <a:tab algn="l" pos="0"/>
            </a:tabLst>
          </a:pPr>
          <a:r>
            <a:rPr lang="en-US" sz="1100" b="0" u="none" strike="noStrike">
              <a:effectLst/>
              <a:uFillTx/>
              <a:latin typeface="Calibri"/>
              <a:ea typeface="Calibri"/>
            </a:rPr>
            <a:t> o Sinter Feed</a:t>
          </a:r>
          <a:endParaRPr lang="es-CL" sz="11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4</xdr:col>
      <xdr:colOff>19080</xdr:colOff>
      <xdr:row>35</xdr:row>
      <xdr:rowOff>122400</xdr:rowOff>
    </xdr:from>
    <xdr:to>
      <xdr:col>5</xdr:col>
      <xdr:colOff>579600</xdr:colOff>
      <xdr:row>37</xdr:row>
      <xdr:rowOff>36360</xdr:rowOff>
    </xdr:to>
    <xdr:sp>
      <xdr:nvSpPr>
        <xdr:cNvPr id="21" name="Shape 13"/>
        <xdr:cNvSpPr/>
      </xdr:nvSpPr>
      <xdr:spPr>
        <a:xfrm>
          <a:off x="3262680" y="6962760"/>
          <a:ext cx="1371240" cy="313920"/>
        </a:xfrm>
        <a:prstGeom prst="rect">
          <a:avLst/>
        </a:prstGeom>
        <a:solidFill>
          <a:srgbClr val="ffffff"/>
        </a:solidFill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  <a:tabLst>
              <a:tab algn="l" pos="0"/>
            </a:tabLst>
          </a:pPr>
          <a:r>
            <a:rPr lang="en-US" sz="1100" b="0" u="none" strike="noStrike">
              <a:effectLst/>
              <a:uFillTx/>
              <a:latin typeface="Calibri"/>
              <a:ea typeface="Calibri"/>
            </a:rPr>
            <a:t>Stock Prec. Mixto 2</a:t>
          </a:r>
          <a:endParaRPr lang="es-CL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  <a:tabLst>
              <a:tab algn="l" pos="0"/>
            </a:tabLst>
          </a:pPr>
          <a:endParaRPr lang="es-CL" sz="11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4</xdr:col>
      <xdr:colOff>618840</xdr:colOff>
      <xdr:row>7</xdr:row>
      <xdr:rowOff>171360</xdr:rowOff>
    </xdr:from>
    <xdr:to>
      <xdr:col>6</xdr:col>
      <xdr:colOff>654480</xdr:colOff>
      <xdr:row>16</xdr:row>
      <xdr:rowOff>112680</xdr:rowOff>
    </xdr:to>
    <xdr:grpSp>
      <xdr:nvGrpSpPr>
        <xdr:cNvPr id="22" name="Shape 2"/>
        <xdr:cNvGrpSpPr/>
      </xdr:nvGrpSpPr>
      <xdr:grpSpPr>
        <a:xfrm>
          <a:off x="3862440" y="1504800"/>
          <a:ext cx="1657440" cy="1685880"/>
          <a:chOff x="3862440" y="1504800"/>
          <a:chExt cx="1657440" cy="1685880"/>
        </a:xfrm>
      </xdr:grpSpPr>
      <xdr:grpSp>
        <xdr:nvGrpSpPr>
          <xdr:cNvPr id="23" name="Shape 14"/>
          <xdr:cNvGrpSpPr/>
        </xdr:nvGrpSpPr>
        <xdr:grpSpPr>
          <a:xfrm>
            <a:off x="3862440" y="1504800"/>
            <a:ext cx="1657440" cy="1685880"/>
            <a:chOff x="3862440" y="1504800"/>
            <a:chExt cx="1657440" cy="1685880"/>
          </a:xfrm>
        </xdr:grpSpPr>
        <xdr:sp>
          <xdr:nvSpPr>
            <xdr:cNvPr id="24" name="Shape 5"/>
            <xdr:cNvSpPr/>
          </xdr:nvSpPr>
          <xdr:spPr>
            <a:xfrm>
              <a:off x="3862800" y="1504800"/>
              <a:ext cx="1656720" cy="16851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/>
            <a:fillRef idx="0"/>
            <a:effectRef idx="0"/>
            <a:fontRef idx="minor"/>
          </xdr:style>
        </xdr:sp>
        <xdr:cxnSp>
          <xdr:nvCxnSpPr>
            <xdr:cNvPr id="25" name="Shape 15"/>
            <xdr:cNvCxnSpPr/>
          </xdr:nvCxnSpPr>
          <xdr:spPr>
            <a:xfrm flipH="1" rot="16200000">
              <a:off x="3848400" y="1518840"/>
              <a:ext cx="1686240" cy="1657800"/>
            </a:xfrm>
            <a:prstGeom prst="bentConnector3">
              <a:avLst>
                <a:gd name="adj1" fmla="val 50010"/>
              </a:avLst>
            </a:prstGeom>
            <a:ln w="9525">
              <a:solidFill>
                <a:srgbClr val="4472c4"/>
              </a:solidFill>
              <a:miter/>
              <a:tailEnd len="med" type="triangle" w="med"/>
            </a:ln>
          </xdr:spPr>
        </xdr:cxnSp>
      </xdr:grpSp>
    </xdr:grpSp>
    <xdr:clientData/>
  </xdr:twoCellAnchor>
  <xdr:twoCellAnchor editAs="oneCell">
    <xdr:from>
      <xdr:col>4</xdr:col>
      <xdr:colOff>685800</xdr:colOff>
      <xdr:row>5</xdr:row>
      <xdr:rowOff>104760</xdr:rowOff>
    </xdr:from>
    <xdr:to>
      <xdr:col>6</xdr:col>
      <xdr:colOff>597240</xdr:colOff>
      <xdr:row>7</xdr:row>
      <xdr:rowOff>152280</xdr:rowOff>
    </xdr:to>
    <xdr:grpSp>
      <xdr:nvGrpSpPr>
        <xdr:cNvPr id="26" name="Shape 2"/>
        <xdr:cNvGrpSpPr/>
      </xdr:nvGrpSpPr>
      <xdr:grpSpPr>
        <a:xfrm>
          <a:off x="3929400" y="1057320"/>
          <a:ext cx="1533240" cy="428400"/>
          <a:chOff x="3929400" y="1057320"/>
          <a:chExt cx="1533240" cy="428400"/>
        </a:xfrm>
      </xdr:grpSpPr>
      <xdr:grpSp>
        <xdr:nvGrpSpPr>
          <xdr:cNvPr id="27" name="Shape 16"/>
          <xdr:cNvGrpSpPr/>
        </xdr:nvGrpSpPr>
        <xdr:grpSpPr>
          <a:xfrm>
            <a:off x="3929400" y="1057320"/>
            <a:ext cx="1533240" cy="428400"/>
            <a:chOff x="3929400" y="1057320"/>
            <a:chExt cx="1533240" cy="428400"/>
          </a:xfrm>
        </xdr:grpSpPr>
        <xdr:sp>
          <xdr:nvSpPr>
            <xdr:cNvPr id="28" name="Shape 5"/>
            <xdr:cNvSpPr/>
          </xdr:nvSpPr>
          <xdr:spPr>
            <a:xfrm>
              <a:off x="3929400" y="1057320"/>
              <a:ext cx="1532880" cy="4280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/>
            <a:fillRef idx="0"/>
            <a:effectRef idx="0"/>
            <a:fontRef idx="minor"/>
          </xdr:style>
        </xdr:sp>
        <xdr:cxnSp>
          <xdr:nvCxnSpPr>
            <xdr:cNvPr id="29" name="Shape 17"/>
            <xdr:cNvCxnSpPr/>
          </xdr:nvCxnSpPr>
          <xdr:spPr>
            <a:xfrm flipV="1">
              <a:off x="3929400" y="1057320"/>
              <a:ext cx="1533600" cy="428760"/>
            </a:xfrm>
            <a:prstGeom prst="bentConnector3">
              <a:avLst>
                <a:gd name="adj1" fmla="val 50011"/>
              </a:avLst>
            </a:prstGeom>
            <a:ln w="9525">
              <a:solidFill>
                <a:srgbClr val="4472c4"/>
              </a:solidFill>
              <a:miter/>
              <a:tailEnd len="med" type="triangle" w="med"/>
            </a:ln>
          </xdr:spPr>
        </xdr:cxnSp>
      </xdr:grpSp>
    </xdr:grpSp>
    <xdr:clientData/>
  </xdr:twoCellAnchor>
  <xdr:twoCellAnchor editAs="oneCell">
    <xdr:from>
      <xdr:col>2</xdr:col>
      <xdr:colOff>580680</xdr:colOff>
      <xdr:row>14</xdr:row>
      <xdr:rowOff>141480</xdr:rowOff>
    </xdr:from>
    <xdr:to>
      <xdr:col>6</xdr:col>
      <xdr:colOff>575640</xdr:colOff>
      <xdr:row>21</xdr:row>
      <xdr:rowOff>131760</xdr:rowOff>
    </xdr:to>
    <xdr:grpSp>
      <xdr:nvGrpSpPr>
        <xdr:cNvPr id="30" name="Shape 2"/>
        <xdr:cNvGrpSpPr/>
      </xdr:nvGrpSpPr>
      <xdr:grpSpPr>
        <a:xfrm>
          <a:off x="2202480" y="2838240"/>
          <a:ext cx="3238560" cy="1333440"/>
          <a:chOff x="2202480" y="2838240"/>
          <a:chExt cx="3238560" cy="1333440"/>
        </a:xfrm>
      </xdr:grpSpPr>
      <xdr:grpSp>
        <xdr:nvGrpSpPr>
          <xdr:cNvPr id="31" name="Shape 18"/>
          <xdr:cNvGrpSpPr/>
        </xdr:nvGrpSpPr>
        <xdr:grpSpPr>
          <a:xfrm>
            <a:off x="2202480" y="2838240"/>
            <a:ext cx="3238560" cy="1333440"/>
            <a:chOff x="2202480" y="2838240"/>
            <a:chExt cx="3238560" cy="1333440"/>
          </a:xfrm>
        </xdr:grpSpPr>
        <xdr:sp>
          <xdr:nvSpPr>
            <xdr:cNvPr id="32" name="Shape 5"/>
            <xdr:cNvSpPr/>
          </xdr:nvSpPr>
          <xdr:spPr>
            <a:xfrm>
              <a:off x="2202840" y="2838600"/>
              <a:ext cx="3237840" cy="13327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/>
            <a:fillRef idx="0"/>
            <a:effectRef idx="0"/>
            <a:fontRef idx="minor"/>
          </xdr:style>
        </xdr:sp>
        <xdr:cxnSp>
          <xdr:nvCxnSpPr>
            <xdr:cNvPr id="33" name="Shape 19"/>
            <xdr:cNvCxnSpPr/>
          </xdr:nvCxnSpPr>
          <xdr:spPr>
            <a:xfrm>
              <a:off x="2202480" y="2838240"/>
              <a:ext cx="3238920" cy="1333800"/>
            </a:xfrm>
            <a:prstGeom prst="bentConnector3">
              <a:avLst>
                <a:gd name="adj1" fmla="val 50000"/>
              </a:avLst>
            </a:prstGeom>
            <a:ln w="9525">
              <a:solidFill>
                <a:srgbClr val="4472c4"/>
              </a:solidFill>
              <a:miter/>
              <a:tailEnd len="med" type="triangle" w="med"/>
            </a:ln>
          </xdr:spPr>
        </xdr:cxnSp>
      </xdr:grpSp>
    </xdr:grpSp>
    <xdr:clientData/>
  </xdr:twoCellAnchor>
  <xdr:twoCellAnchor editAs="oneCell">
    <xdr:from>
      <xdr:col>7</xdr:col>
      <xdr:colOff>228600</xdr:colOff>
      <xdr:row>5</xdr:row>
      <xdr:rowOff>95040</xdr:rowOff>
    </xdr:from>
    <xdr:to>
      <xdr:col>8</xdr:col>
      <xdr:colOff>407880</xdr:colOff>
      <xdr:row>5</xdr:row>
      <xdr:rowOff>133200</xdr:rowOff>
    </xdr:to>
    <xdr:grpSp>
      <xdr:nvGrpSpPr>
        <xdr:cNvPr id="34" name="Shape 2"/>
        <xdr:cNvGrpSpPr/>
      </xdr:nvGrpSpPr>
      <xdr:grpSpPr>
        <a:xfrm>
          <a:off x="5904720" y="1047600"/>
          <a:ext cx="990360" cy="38160"/>
          <a:chOff x="5904720" y="1047600"/>
          <a:chExt cx="990360" cy="38160"/>
        </a:xfrm>
      </xdr:grpSpPr>
      <xdr:grpSp>
        <xdr:nvGrpSpPr>
          <xdr:cNvPr id="35" name="Shape 20"/>
          <xdr:cNvGrpSpPr/>
        </xdr:nvGrpSpPr>
        <xdr:grpSpPr>
          <a:xfrm>
            <a:off x="5904720" y="1047600"/>
            <a:ext cx="990360" cy="38160"/>
            <a:chOff x="5904720" y="1047600"/>
            <a:chExt cx="990360" cy="38160"/>
          </a:xfrm>
        </xdr:grpSpPr>
        <xdr:sp>
          <xdr:nvSpPr>
            <xdr:cNvPr id="36" name="Shape 5"/>
            <xdr:cNvSpPr/>
          </xdr:nvSpPr>
          <xdr:spPr>
            <a:xfrm>
              <a:off x="5904720" y="1047960"/>
              <a:ext cx="990000" cy="374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/>
            <a:fillRef idx="0"/>
            <a:effectRef idx="0"/>
            <a:fontRef idx="minor"/>
          </xdr:style>
        </xdr:sp>
        <xdr:cxnSp>
          <xdr:nvCxnSpPr>
            <xdr:cNvPr id="37" name="Shape 21"/>
            <xdr:cNvCxnSpPr/>
          </xdr:nvCxnSpPr>
          <xdr:spPr>
            <a:xfrm>
              <a:off x="5904720" y="1047600"/>
              <a:ext cx="990720" cy="38520"/>
            </a:xfrm>
            <a:prstGeom prst="bentConnector3">
              <a:avLst>
                <a:gd name="adj1" fmla="val 50018"/>
              </a:avLst>
            </a:prstGeom>
            <a:ln w="9525">
              <a:solidFill>
                <a:srgbClr val="4472c4"/>
              </a:solidFill>
              <a:miter/>
              <a:tailEnd len="med" type="triangle" w="med"/>
            </a:ln>
          </xdr:spPr>
        </xdr:cxnSp>
      </xdr:grpSp>
    </xdr:grpSp>
    <xdr:clientData/>
  </xdr:twoCellAnchor>
  <xdr:twoCellAnchor editAs="oneCell">
    <xdr:from>
      <xdr:col>7</xdr:col>
      <xdr:colOff>323640</xdr:colOff>
      <xdr:row>15</xdr:row>
      <xdr:rowOff>46080</xdr:rowOff>
    </xdr:from>
    <xdr:to>
      <xdr:col>9</xdr:col>
      <xdr:colOff>54360</xdr:colOff>
      <xdr:row>16</xdr:row>
      <xdr:rowOff>65160</xdr:rowOff>
    </xdr:to>
    <xdr:grpSp>
      <xdr:nvGrpSpPr>
        <xdr:cNvPr id="38" name="Shape 2"/>
        <xdr:cNvGrpSpPr/>
      </xdr:nvGrpSpPr>
      <xdr:grpSpPr>
        <a:xfrm>
          <a:off x="5999760" y="2933280"/>
          <a:ext cx="1352520" cy="209880"/>
          <a:chOff x="5999760" y="2933280"/>
          <a:chExt cx="1352520" cy="209880"/>
        </a:xfrm>
      </xdr:grpSpPr>
      <xdr:grpSp>
        <xdr:nvGrpSpPr>
          <xdr:cNvPr id="39" name="Shape 22"/>
          <xdr:cNvGrpSpPr/>
        </xdr:nvGrpSpPr>
        <xdr:grpSpPr>
          <a:xfrm>
            <a:off x="5999760" y="2933280"/>
            <a:ext cx="1352520" cy="209880"/>
            <a:chOff x="5999760" y="2933280"/>
            <a:chExt cx="1352520" cy="209880"/>
          </a:xfrm>
        </xdr:grpSpPr>
        <xdr:sp>
          <xdr:nvSpPr>
            <xdr:cNvPr id="40" name="Shape 5"/>
            <xdr:cNvSpPr/>
          </xdr:nvSpPr>
          <xdr:spPr>
            <a:xfrm>
              <a:off x="6000120" y="2933640"/>
              <a:ext cx="1351800" cy="20880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/>
            <a:fillRef idx="0"/>
            <a:effectRef idx="0"/>
            <a:fontRef idx="minor"/>
          </xdr:style>
        </xdr:sp>
        <xdr:cxnSp>
          <xdr:nvCxnSpPr>
            <xdr:cNvPr id="41" name="Shape 23"/>
            <xdr:cNvCxnSpPr/>
          </xdr:nvCxnSpPr>
          <xdr:spPr>
            <a:xfrm flipV="1">
              <a:off x="5999760" y="2933280"/>
              <a:ext cx="1352880" cy="210240"/>
            </a:xfrm>
            <a:prstGeom prst="bentConnector3">
              <a:avLst>
                <a:gd name="adj1" fmla="val 50013"/>
              </a:avLst>
            </a:prstGeom>
            <a:ln w="9525">
              <a:solidFill>
                <a:srgbClr val="4472c4"/>
              </a:solidFill>
              <a:miter/>
              <a:tailEnd len="med" type="triangle" w="med"/>
            </a:ln>
          </xdr:spPr>
        </xdr:cxnSp>
      </xdr:grpSp>
    </xdr:grpSp>
    <xdr:clientData/>
  </xdr:twoCellAnchor>
  <xdr:twoCellAnchor editAs="oneCell">
    <xdr:from>
      <xdr:col>6</xdr:col>
      <xdr:colOff>0</xdr:colOff>
      <xdr:row>26</xdr:row>
      <xdr:rowOff>93960</xdr:rowOff>
    </xdr:from>
    <xdr:to>
      <xdr:col>7</xdr:col>
      <xdr:colOff>379800</xdr:colOff>
      <xdr:row>26</xdr:row>
      <xdr:rowOff>132120</xdr:rowOff>
    </xdr:to>
    <xdr:grpSp>
      <xdr:nvGrpSpPr>
        <xdr:cNvPr id="42" name="Shape 2"/>
        <xdr:cNvGrpSpPr/>
      </xdr:nvGrpSpPr>
      <xdr:grpSpPr>
        <a:xfrm>
          <a:off x="4865400" y="5133960"/>
          <a:ext cx="1190520" cy="38160"/>
          <a:chOff x="4865400" y="5133960"/>
          <a:chExt cx="1190520" cy="38160"/>
        </a:xfrm>
      </xdr:grpSpPr>
      <xdr:grpSp>
        <xdr:nvGrpSpPr>
          <xdr:cNvPr id="43" name="Shape 24"/>
          <xdr:cNvGrpSpPr/>
        </xdr:nvGrpSpPr>
        <xdr:grpSpPr>
          <a:xfrm>
            <a:off x="4865400" y="5133960"/>
            <a:ext cx="1190520" cy="38160"/>
            <a:chOff x="4865400" y="5133960"/>
            <a:chExt cx="1190520" cy="38160"/>
          </a:xfrm>
        </xdr:grpSpPr>
        <xdr:sp>
          <xdr:nvSpPr>
            <xdr:cNvPr id="44" name="Shape 5"/>
            <xdr:cNvSpPr/>
          </xdr:nvSpPr>
          <xdr:spPr>
            <a:xfrm>
              <a:off x="4865400" y="5133960"/>
              <a:ext cx="1189800" cy="374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/>
            <a:fillRef idx="0"/>
            <a:effectRef idx="0"/>
            <a:fontRef idx="minor"/>
          </xdr:style>
        </xdr:sp>
        <xdr:cxnSp>
          <xdr:nvCxnSpPr>
            <xdr:cNvPr id="45" name="Shape 25"/>
            <xdr:cNvCxnSpPr/>
          </xdr:nvCxnSpPr>
          <xdr:spPr>
            <a:xfrm>
              <a:off x="4865400" y="5133960"/>
              <a:ext cx="1190880" cy="38520"/>
            </a:xfrm>
            <a:prstGeom prst="bentConnector3">
              <a:avLst>
                <a:gd name="adj1" fmla="val 50015"/>
              </a:avLst>
            </a:prstGeom>
            <a:ln w="9525">
              <a:solidFill>
                <a:srgbClr val="4472c4"/>
              </a:solidFill>
              <a:miter/>
              <a:tailEnd len="med" type="triangle" w="med"/>
            </a:ln>
          </xdr:spPr>
        </xdr:cxnSp>
      </xdr:grpSp>
    </xdr:grpSp>
    <xdr:clientData/>
  </xdr:twoCellAnchor>
  <xdr:twoCellAnchor editAs="oneCell">
    <xdr:from>
      <xdr:col>6</xdr:col>
      <xdr:colOff>47520</xdr:colOff>
      <xdr:row>23</xdr:row>
      <xdr:rowOff>46440</xdr:rowOff>
    </xdr:from>
    <xdr:to>
      <xdr:col>7</xdr:col>
      <xdr:colOff>417600</xdr:colOff>
      <xdr:row>26</xdr:row>
      <xdr:rowOff>179280</xdr:rowOff>
    </xdr:to>
    <xdr:sp>
      <xdr:nvSpPr>
        <xdr:cNvPr id="46" name="Shape 26"/>
        <xdr:cNvSpPr/>
      </xdr:nvSpPr>
      <xdr:spPr>
        <a:xfrm>
          <a:off x="4912920" y="4486320"/>
          <a:ext cx="1180800" cy="7329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  <a:tabLst>
              <a:tab algn="l" pos="0"/>
            </a:tabLst>
          </a:pPr>
          <a:r>
            <a:rPr lang="en-US" sz="1100" b="0" u="none" strike="noStrike">
              <a:effectLst/>
              <a:uFillTx/>
              <a:latin typeface="Calibri"/>
              <a:ea typeface="Calibri"/>
            </a:rPr>
            <a:t>Transporte a Rechazo</a:t>
          </a:r>
          <a:endParaRPr lang="es-CL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  <a:tabLst>
              <a:tab algn="l" pos="0"/>
            </a:tabLst>
          </a:pPr>
          <a:endParaRPr lang="es-CL" sz="11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10</xdr:col>
      <xdr:colOff>162000</xdr:colOff>
      <xdr:row>3</xdr:row>
      <xdr:rowOff>152280</xdr:rowOff>
    </xdr:from>
    <xdr:to>
      <xdr:col>11</xdr:col>
      <xdr:colOff>398520</xdr:colOff>
      <xdr:row>7</xdr:row>
      <xdr:rowOff>161640</xdr:rowOff>
    </xdr:to>
    <xdr:sp>
      <xdr:nvSpPr>
        <xdr:cNvPr id="47" name="Shape 27"/>
        <xdr:cNvSpPr/>
      </xdr:nvSpPr>
      <xdr:spPr>
        <a:xfrm>
          <a:off x="8271000" y="723960"/>
          <a:ext cx="1047240" cy="771120"/>
        </a:xfrm>
        <a:prstGeom prst="rect">
          <a:avLst/>
        </a:prstGeom>
        <a:solidFill>
          <a:srgbClr val="ffffff"/>
        </a:solidFill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  <a:tabLst>
              <a:tab algn="l" pos="0"/>
            </a:tabLst>
          </a:pPr>
          <a:r>
            <a:rPr lang="en-US" sz="1100" b="0" u="none" strike="noStrike">
              <a:effectLst/>
              <a:uFillTx/>
              <a:latin typeface="Calibri"/>
              <a:ea typeface="Calibri"/>
            </a:rPr>
            <a:t>Transporte a Romeral</a:t>
          </a:r>
          <a:endParaRPr lang="es-CL" sz="11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7</xdr:col>
      <xdr:colOff>209520</xdr:colOff>
      <xdr:row>5</xdr:row>
      <xdr:rowOff>104760</xdr:rowOff>
    </xdr:from>
    <xdr:to>
      <xdr:col>8</xdr:col>
      <xdr:colOff>379440</xdr:colOff>
      <xdr:row>9</xdr:row>
      <xdr:rowOff>114120</xdr:rowOff>
    </xdr:to>
    <xdr:grpSp>
      <xdr:nvGrpSpPr>
        <xdr:cNvPr id="48" name="Shape 2"/>
        <xdr:cNvGrpSpPr/>
      </xdr:nvGrpSpPr>
      <xdr:grpSpPr>
        <a:xfrm>
          <a:off x="5885640" y="1057320"/>
          <a:ext cx="981000" cy="771480"/>
          <a:chOff x="5885640" y="1057320"/>
          <a:chExt cx="981000" cy="771480"/>
        </a:xfrm>
      </xdr:grpSpPr>
      <xdr:grpSp>
        <xdr:nvGrpSpPr>
          <xdr:cNvPr id="49" name="Shape 28"/>
          <xdr:cNvGrpSpPr/>
        </xdr:nvGrpSpPr>
        <xdr:grpSpPr>
          <a:xfrm>
            <a:off x="5885640" y="1057320"/>
            <a:ext cx="981000" cy="771480"/>
            <a:chOff x="5885640" y="1057320"/>
            <a:chExt cx="981000" cy="771480"/>
          </a:xfrm>
        </xdr:grpSpPr>
        <xdr:sp>
          <xdr:nvSpPr>
            <xdr:cNvPr id="50" name="Shape 5"/>
            <xdr:cNvSpPr/>
          </xdr:nvSpPr>
          <xdr:spPr>
            <a:xfrm>
              <a:off x="5885640" y="1057320"/>
              <a:ext cx="980280" cy="770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/>
            <a:fillRef idx="0"/>
            <a:effectRef idx="0"/>
            <a:fontRef idx="minor"/>
          </xdr:style>
        </xdr:sp>
        <xdr:cxnSp>
          <xdr:nvCxnSpPr>
            <xdr:cNvPr id="51" name="Shape 29"/>
            <xdr:cNvCxnSpPr/>
          </xdr:nvCxnSpPr>
          <xdr:spPr>
            <a:xfrm>
              <a:off x="5885640" y="1057320"/>
              <a:ext cx="981360" cy="771840"/>
            </a:xfrm>
            <a:prstGeom prst="bentConnector3">
              <a:avLst>
                <a:gd name="adj1" fmla="val 50018"/>
              </a:avLst>
            </a:prstGeom>
            <a:ln w="9525">
              <a:solidFill>
                <a:srgbClr val="4472c4"/>
              </a:solidFill>
              <a:miter/>
              <a:tailEnd len="med" type="triangle" w="med"/>
            </a:ln>
          </xdr:spPr>
        </xdr:cxnSp>
      </xdr:grpSp>
    </xdr:grpSp>
    <xdr:clientData/>
  </xdr:twoCellAnchor>
  <xdr:twoCellAnchor editAs="oneCell">
    <xdr:from>
      <xdr:col>10</xdr:col>
      <xdr:colOff>295200</xdr:colOff>
      <xdr:row>7</xdr:row>
      <xdr:rowOff>152280</xdr:rowOff>
    </xdr:from>
    <xdr:to>
      <xdr:col>11</xdr:col>
      <xdr:colOff>522360</xdr:colOff>
      <xdr:row>10</xdr:row>
      <xdr:rowOff>142200</xdr:rowOff>
    </xdr:to>
    <xdr:sp>
      <xdr:nvSpPr>
        <xdr:cNvPr id="52" name="Shape 30"/>
        <xdr:cNvSpPr/>
      </xdr:nvSpPr>
      <xdr:spPr>
        <a:xfrm>
          <a:off x="8404200" y="1485720"/>
          <a:ext cx="1037880" cy="561600"/>
        </a:xfrm>
        <a:prstGeom prst="rect">
          <a:avLst/>
        </a:prstGeom>
        <a:solidFill>
          <a:srgbClr val="ffffff"/>
        </a:solidFill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  <a:tabLst>
              <a:tab algn="l" pos="0"/>
            </a:tabLst>
          </a:pPr>
          <a:r>
            <a:rPr lang="en-US" sz="1100" b="0" u="none" strike="noStrike">
              <a:effectLst/>
              <a:uFillTx/>
              <a:latin typeface="Calibri"/>
              <a:ea typeface="Calibri"/>
            </a:rPr>
            <a:t>Transporte a Puerto</a:t>
          </a:r>
          <a:endParaRPr lang="es-CL" sz="11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7</xdr:col>
      <xdr:colOff>457200</xdr:colOff>
      <xdr:row>16</xdr:row>
      <xdr:rowOff>160200</xdr:rowOff>
    </xdr:from>
    <xdr:to>
      <xdr:col>8</xdr:col>
      <xdr:colOff>779400</xdr:colOff>
      <xdr:row>20</xdr:row>
      <xdr:rowOff>65160</xdr:rowOff>
    </xdr:to>
    <xdr:grpSp>
      <xdr:nvGrpSpPr>
        <xdr:cNvPr id="53" name="Shape 2"/>
        <xdr:cNvGrpSpPr/>
      </xdr:nvGrpSpPr>
      <xdr:grpSpPr>
        <a:xfrm>
          <a:off x="6133320" y="3238200"/>
          <a:ext cx="1133280" cy="666720"/>
          <a:chOff x="6133320" y="3238200"/>
          <a:chExt cx="1133280" cy="666720"/>
        </a:xfrm>
      </xdr:grpSpPr>
      <xdr:grpSp>
        <xdr:nvGrpSpPr>
          <xdr:cNvPr id="54" name="Shape 31"/>
          <xdr:cNvGrpSpPr/>
        </xdr:nvGrpSpPr>
        <xdr:grpSpPr>
          <a:xfrm>
            <a:off x="6133320" y="3238200"/>
            <a:ext cx="1133280" cy="666720"/>
            <a:chOff x="6133320" y="3238200"/>
            <a:chExt cx="1133280" cy="666720"/>
          </a:xfrm>
        </xdr:grpSpPr>
        <xdr:sp>
          <xdr:nvSpPr>
            <xdr:cNvPr id="55" name="Shape 5"/>
            <xdr:cNvSpPr/>
          </xdr:nvSpPr>
          <xdr:spPr>
            <a:xfrm>
              <a:off x="6133320" y="3238200"/>
              <a:ext cx="1132920" cy="66600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/>
            <a:fillRef idx="0"/>
            <a:effectRef idx="0"/>
            <a:fontRef idx="minor"/>
          </xdr:style>
        </xdr:sp>
        <xdr:cxnSp>
          <xdr:nvCxnSpPr>
            <xdr:cNvPr id="56" name="Shape 32"/>
            <xdr:cNvCxnSpPr/>
          </xdr:nvCxnSpPr>
          <xdr:spPr>
            <a:xfrm>
              <a:off x="6133320" y="3238200"/>
              <a:ext cx="1133640" cy="667080"/>
            </a:xfrm>
            <a:prstGeom prst="bentConnector3">
              <a:avLst>
                <a:gd name="adj1" fmla="val 50000"/>
              </a:avLst>
            </a:prstGeom>
            <a:ln w="9525">
              <a:solidFill>
                <a:srgbClr val="4472c4"/>
              </a:solidFill>
              <a:miter/>
              <a:tailEnd len="med" type="triangle" w="med"/>
            </a:ln>
          </xdr:spPr>
        </xdr:cxnSp>
      </xdr:grpSp>
    </xdr:grpSp>
    <xdr:clientData/>
  </xdr:twoCellAnchor>
  <xdr:twoCellAnchor editAs="oneCell">
    <xdr:from>
      <xdr:col>7</xdr:col>
      <xdr:colOff>743040</xdr:colOff>
      <xdr:row>19</xdr:row>
      <xdr:rowOff>103680</xdr:rowOff>
    </xdr:from>
    <xdr:to>
      <xdr:col>8</xdr:col>
      <xdr:colOff>798480</xdr:colOff>
      <xdr:row>22</xdr:row>
      <xdr:rowOff>55800</xdr:rowOff>
    </xdr:to>
    <xdr:sp>
      <xdr:nvSpPr>
        <xdr:cNvPr id="57" name="Shape 33"/>
        <xdr:cNvSpPr/>
      </xdr:nvSpPr>
      <xdr:spPr>
        <a:xfrm>
          <a:off x="6419160" y="3753000"/>
          <a:ext cx="866520" cy="54252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  <a:tabLst>
              <a:tab algn="l" pos="0"/>
            </a:tabLst>
          </a:pPr>
          <a:r>
            <a:rPr lang="en-US" sz="1100" b="0" u="none" strike="noStrike">
              <a:effectLst/>
              <a:uFillTx/>
              <a:latin typeface="Calibri"/>
              <a:ea typeface="Calibri"/>
            </a:rPr>
            <a:t>Transporte a Puerto</a:t>
          </a:r>
          <a:endParaRPr lang="es-CL" sz="11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7</xdr:col>
      <xdr:colOff>295200</xdr:colOff>
      <xdr:row>13</xdr:row>
      <xdr:rowOff>9720</xdr:rowOff>
    </xdr:from>
    <xdr:to>
      <xdr:col>9</xdr:col>
      <xdr:colOff>101880</xdr:colOff>
      <xdr:row>14</xdr:row>
      <xdr:rowOff>74880</xdr:rowOff>
    </xdr:to>
    <xdr:sp>
      <xdr:nvSpPr>
        <xdr:cNvPr id="58" name="Shape 34"/>
        <xdr:cNvSpPr/>
      </xdr:nvSpPr>
      <xdr:spPr>
        <a:xfrm>
          <a:off x="5971320" y="2486160"/>
          <a:ext cx="1428480" cy="285480"/>
        </a:xfrm>
        <a:prstGeom prst="rect">
          <a:avLst/>
        </a:prstGeom>
        <a:solidFill>
          <a:srgbClr val="ffffff"/>
        </a:solidFill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  <a:tabLst>
              <a:tab algn="l" pos="0"/>
            </a:tabLst>
          </a:pPr>
          <a:r>
            <a:rPr lang="en-US" sz="1100" b="0" u="none" strike="noStrike">
              <a:effectLst/>
              <a:uFillTx/>
              <a:latin typeface="Calibri"/>
              <a:ea typeface="Calibri"/>
            </a:rPr>
            <a:t>Transporte a Romeral</a:t>
          </a:r>
          <a:endParaRPr lang="es-CL" sz="11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1</xdr:col>
      <xdr:colOff>390240</xdr:colOff>
      <xdr:row>19</xdr:row>
      <xdr:rowOff>189000</xdr:rowOff>
    </xdr:from>
    <xdr:to>
      <xdr:col>7</xdr:col>
      <xdr:colOff>706680</xdr:colOff>
      <xdr:row>26</xdr:row>
      <xdr:rowOff>122400</xdr:rowOff>
    </xdr:to>
    <xdr:grpSp>
      <xdr:nvGrpSpPr>
        <xdr:cNvPr id="59" name="Shape 2"/>
        <xdr:cNvGrpSpPr/>
      </xdr:nvGrpSpPr>
      <xdr:grpSpPr>
        <a:xfrm>
          <a:off x="1200960" y="3838320"/>
          <a:ext cx="5181840" cy="1324080"/>
          <a:chOff x="1200960" y="3838320"/>
          <a:chExt cx="5181840" cy="1324080"/>
        </a:xfrm>
      </xdr:grpSpPr>
      <xdr:grpSp>
        <xdr:nvGrpSpPr>
          <xdr:cNvPr id="60" name="Shape 35"/>
          <xdr:cNvGrpSpPr/>
        </xdr:nvGrpSpPr>
        <xdr:grpSpPr>
          <a:xfrm>
            <a:off x="1200960" y="3838320"/>
            <a:ext cx="5181840" cy="1324080"/>
            <a:chOff x="1200960" y="3838320"/>
            <a:chExt cx="5181840" cy="1324080"/>
          </a:xfrm>
        </xdr:grpSpPr>
        <xdr:sp>
          <xdr:nvSpPr>
            <xdr:cNvPr id="61" name="Shape 5"/>
            <xdr:cNvSpPr/>
          </xdr:nvSpPr>
          <xdr:spPr>
            <a:xfrm>
              <a:off x="1201320" y="3838680"/>
              <a:ext cx="5180760" cy="13233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/>
            <a:fillRef idx="0"/>
            <a:effectRef idx="0"/>
            <a:fontRef idx="minor"/>
          </xdr:style>
        </xdr:sp>
        <xdr:cxnSp>
          <xdr:nvCxnSpPr>
            <xdr:cNvPr id="62" name="Shape 36"/>
            <xdr:cNvCxnSpPr/>
          </xdr:nvCxnSpPr>
          <xdr:spPr>
            <a:xfrm>
              <a:off x="1200960" y="3838320"/>
              <a:ext cx="5182200" cy="1324440"/>
            </a:xfrm>
            <a:prstGeom prst="bentConnector3">
              <a:avLst>
                <a:gd name="adj1" fmla="val 50000"/>
              </a:avLst>
            </a:prstGeom>
            <a:ln w="9525">
              <a:solidFill>
                <a:srgbClr val="4472c4"/>
              </a:solidFill>
              <a:miter/>
              <a:tailEnd len="med" type="triangle" w="med"/>
            </a:ln>
          </xdr:spPr>
        </xdr:cxnSp>
      </xdr:grpSp>
    </xdr:grpSp>
    <xdr:clientData/>
  </xdr:twoCellAnchor>
  <xdr:twoCellAnchor editAs="oneCell">
    <xdr:from>
      <xdr:col>5</xdr:col>
      <xdr:colOff>485640</xdr:colOff>
      <xdr:row>35</xdr:row>
      <xdr:rowOff>141480</xdr:rowOff>
    </xdr:from>
    <xdr:to>
      <xdr:col>6</xdr:col>
      <xdr:colOff>45720</xdr:colOff>
      <xdr:row>37</xdr:row>
      <xdr:rowOff>169920</xdr:rowOff>
    </xdr:to>
    <xdr:sp>
      <xdr:nvSpPr>
        <xdr:cNvPr id="63" name="Shape 8"/>
        <xdr:cNvSpPr/>
      </xdr:nvSpPr>
      <xdr:spPr>
        <a:xfrm>
          <a:off x="4539960" y="6981840"/>
          <a:ext cx="371160" cy="428400"/>
        </a:xfrm>
        <a:prstGeom prst="triangle">
          <a:avLst>
            <a:gd name="adj" fmla="val 50000"/>
          </a:avLst>
        </a:prstGeom>
        <a:solidFill>
          <a:srgbClr val="ffffff"/>
        </a:solidFill>
        <a:ln w="12700">
          <a:solidFill>
            <a:srgbClr val="31538f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4</xdr:col>
      <xdr:colOff>47520</xdr:colOff>
      <xdr:row>24</xdr:row>
      <xdr:rowOff>151200</xdr:rowOff>
    </xdr:from>
    <xdr:to>
      <xdr:col>5</xdr:col>
      <xdr:colOff>608040</xdr:colOff>
      <xdr:row>26</xdr:row>
      <xdr:rowOff>74880</xdr:rowOff>
    </xdr:to>
    <xdr:sp>
      <xdr:nvSpPr>
        <xdr:cNvPr id="64" name="Shape 37"/>
        <xdr:cNvSpPr/>
      </xdr:nvSpPr>
      <xdr:spPr>
        <a:xfrm>
          <a:off x="3291120" y="4791240"/>
          <a:ext cx="1371240" cy="32364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  <a:tabLst>
              <a:tab algn="l" pos="0"/>
            </a:tabLst>
          </a:pPr>
          <a:r>
            <a:rPr lang="en-US" sz="1100" b="0" u="none" strike="noStrike">
              <a:effectLst/>
              <a:uFillTx/>
              <a:latin typeface="Calibri"/>
              <a:ea typeface="Calibri"/>
            </a:rPr>
            <a:t>Stock Prec. Mixto 1</a:t>
          </a:r>
          <a:endParaRPr lang="es-CL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  <a:tabLst>
              <a:tab algn="l" pos="0"/>
            </a:tabLst>
          </a:pPr>
          <a:endParaRPr lang="es-CL" sz="11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6</xdr:col>
      <xdr:colOff>28440</xdr:colOff>
      <xdr:row>36</xdr:row>
      <xdr:rowOff>132120</xdr:rowOff>
    </xdr:from>
    <xdr:to>
      <xdr:col>7</xdr:col>
      <xdr:colOff>294120</xdr:colOff>
      <xdr:row>36</xdr:row>
      <xdr:rowOff>169920</xdr:rowOff>
    </xdr:to>
    <xdr:grpSp>
      <xdr:nvGrpSpPr>
        <xdr:cNvPr id="65" name="Shape 2"/>
        <xdr:cNvGrpSpPr/>
      </xdr:nvGrpSpPr>
      <xdr:grpSpPr>
        <a:xfrm>
          <a:off x="4893840" y="7172280"/>
          <a:ext cx="1076400" cy="37800"/>
          <a:chOff x="4893840" y="7172280"/>
          <a:chExt cx="1076400" cy="37800"/>
        </a:xfrm>
      </xdr:grpSpPr>
      <xdr:grpSp>
        <xdr:nvGrpSpPr>
          <xdr:cNvPr id="66" name="Shape 38"/>
          <xdr:cNvGrpSpPr/>
        </xdr:nvGrpSpPr>
        <xdr:grpSpPr>
          <a:xfrm>
            <a:off x="4893840" y="7172280"/>
            <a:ext cx="1076400" cy="37800"/>
            <a:chOff x="4893840" y="7172280"/>
            <a:chExt cx="1076400" cy="37800"/>
          </a:xfrm>
        </xdr:grpSpPr>
        <xdr:sp>
          <xdr:nvSpPr>
            <xdr:cNvPr id="67" name="Shape 5"/>
            <xdr:cNvSpPr/>
          </xdr:nvSpPr>
          <xdr:spPr>
            <a:xfrm>
              <a:off x="4893840" y="7172280"/>
              <a:ext cx="1075680" cy="374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/>
            <a:fillRef idx="0"/>
            <a:effectRef idx="0"/>
            <a:fontRef idx="minor"/>
          </xdr:style>
        </xdr:sp>
        <xdr:cxnSp>
          <xdr:nvCxnSpPr>
            <xdr:cNvPr id="68" name="Shape 39"/>
            <xdr:cNvCxnSpPr/>
          </xdr:nvCxnSpPr>
          <xdr:spPr>
            <a:xfrm>
              <a:off x="4893840" y="7172280"/>
              <a:ext cx="1076760" cy="38160"/>
            </a:xfrm>
            <a:prstGeom prst="bentConnector3">
              <a:avLst>
                <a:gd name="adj1" fmla="val 50000"/>
              </a:avLst>
            </a:prstGeom>
            <a:ln w="9525">
              <a:solidFill>
                <a:srgbClr val="4472c4"/>
              </a:solidFill>
              <a:miter/>
              <a:tailEnd len="med" type="triangle" w="med"/>
            </a:ln>
          </xdr:spPr>
        </xdr:cxnSp>
      </xdr:grpSp>
    </xdr:grpSp>
    <xdr:clientData/>
  </xdr:twoCellAnchor>
  <xdr:twoCellAnchor editAs="oneCell">
    <xdr:from>
      <xdr:col>6</xdr:col>
      <xdr:colOff>428760</xdr:colOff>
      <xdr:row>34</xdr:row>
      <xdr:rowOff>74880</xdr:rowOff>
    </xdr:from>
    <xdr:to>
      <xdr:col>8</xdr:col>
      <xdr:colOff>511560</xdr:colOff>
      <xdr:row>36</xdr:row>
      <xdr:rowOff>189000</xdr:rowOff>
    </xdr:to>
    <xdr:sp>
      <xdr:nvSpPr>
        <xdr:cNvPr id="69" name="Shape 40"/>
        <xdr:cNvSpPr/>
      </xdr:nvSpPr>
      <xdr:spPr>
        <a:xfrm>
          <a:off x="5294160" y="6715080"/>
          <a:ext cx="1704600" cy="5140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  <a:tabLst>
              <a:tab algn="l" pos="0"/>
            </a:tabLst>
          </a:pPr>
          <a:r>
            <a:rPr lang="en-US" sz="1100" b="0" u="none" strike="noStrike">
              <a:effectLst/>
              <a:uFillTx/>
              <a:latin typeface="Calibri"/>
              <a:ea typeface="Calibri"/>
            </a:rPr>
            <a:t>Transporte a Romeral (molienda)</a:t>
          </a:r>
          <a:endParaRPr lang="es-CL" sz="11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1</xdr:col>
      <xdr:colOff>66600</xdr:colOff>
      <xdr:row>7</xdr:row>
      <xdr:rowOff>133200</xdr:rowOff>
    </xdr:from>
    <xdr:to>
      <xdr:col>3</xdr:col>
      <xdr:colOff>25920</xdr:colOff>
      <xdr:row>16</xdr:row>
      <xdr:rowOff>65160</xdr:rowOff>
    </xdr:to>
    <xdr:grpSp>
      <xdr:nvGrpSpPr>
        <xdr:cNvPr id="70" name="Shape 2"/>
        <xdr:cNvGrpSpPr/>
      </xdr:nvGrpSpPr>
      <xdr:grpSpPr>
        <a:xfrm>
          <a:off x="877320" y="1466640"/>
          <a:ext cx="1581120" cy="1676520"/>
          <a:chOff x="877320" y="1466640"/>
          <a:chExt cx="1581120" cy="1676520"/>
        </a:xfrm>
      </xdr:grpSpPr>
      <xdr:grpSp>
        <xdr:nvGrpSpPr>
          <xdr:cNvPr id="71" name="Shape 41"/>
          <xdr:cNvGrpSpPr/>
        </xdr:nvGrpSpPr>
        <xdr:grpSpPr>
          <a:xfrm>
            <a:off x="877320" y="1466640"/>
            <a:ext cx="1581120" cy="1676520"/>
            <a:chOff x="877320" y="1466640"/>
            <a:chExt cx="1581120" cy="1676520"/>
          </a:xfrm>
        </xdr:grpSpPr>
        <xdr:sp>
          <xdr:nvSpPr>
            <xdr:cNvPr id="72" name="Shape 5"/>
            <xdr:cNvSpPr/>
          </xdr:nvSpPr>
          <xdr:spPr>
            <a:xfrm>
              <a:off x="877320" y="1466640"/>
              <a:ext cx="1580400" cy="167580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/>
            <a:fillRef idx="0"/>
            <a:effectRef idx="0"/>
            <a:fontRef idx="minor"/>
          </xdr:style>
        </xdr:sp>
        <xdr:cxnSp>
          <xdr:nvCxnSpPr>
            <xdr:cNvPr id="73" name="Shape 42"/>
            <xdr:cNvCxnSpPr/>
          </xdr:nvCxnSpPr>
          <xdr:spPr>
            <a:xfrm flipH="1" flipV="1" rot="5400000">
              <a:off x="829440" y="1514160"/>
              <a:ext cx="1676880" cy="1581480"/>
            </a:xfrm>
            <a:prstGeom prst="bentConnector3">
              <a:avLst>
                <a:gd name="adj1" fmla="val 49989"/>
              </a:avLst>
            </a:prstGeom>
            <a:ln w="9525">
              <a:solidFill>
                <a:srgbClr val="4472c4"/>
              </a:solidFill>
              <a:miter/>
              <a:tailEnd len="med" type="triangle" w="med"/>
            </a:ln>
          </xdr:spPr>
        </xdr:cxnSp>
      </xdr:grpSp>
    </xdr:grpSp>
    <xdr:clientData/>
  </xdr:twoCellAnchor>
  <xdr:twoCellAnchor editAs="oneCell">
    <xdr:from>
      <xdr:col>2</xdr:col>
      <xdr:colOff>247320</xdr:colOff>
      <xdr:row>4</xdr:row>
      <xdr:rowOff>75960</xdr:rowOff>
    </xdr:from>
    <xdr:to>
      <xdr:col>3</xdr:col>
      <xdr:colOff>122400</xdr:colOff>
      <xdr:row>8</xdr:row>
      <xdr:rowOff>9720</xdr:rowOff>
    </xdr:to>
    <xdr:grpSp>
      <xdr:nvGrpSpPr>
        <xdr:cNvPr id="74" name="Shape 2"/>
        <xdr:cNvGrpSpPr/>
      </xdr:nvGrpSpPr>
      <xdr:grpSpPr>
        <a:xfrm>
          <a:off x="1869120" y="838080"/>
          <a:ext cx="685800" cy="695520"/>
          <a:chOff x="1869120" y="838080"/>
          <a:chExt cx="685800" cy="695520"/>
        </a:xfrm>
      </xdr:grpSpPr>
      <xdr:grpSp>
        <xdr:nvGrpSpPr>
          <xdr:cNvPr id="75" name="Shape 43"/>
          <xdr:cNvGrpSpPr/>
        </xdr:nvGrpSpPr>
        <xdr:grpSpPr>
          <a:xfrm>
            <a:off x="1869120" y="838080"/>
            <a:ext cx="685800" cy="695520"/>
            <a:chOff x="1869120" y="838080"/>
            <a:chExt cx="685800" cy="695520"/>
          </a:xfrm>
        </xdr:grpSpPr>
        <xdr:sp>
          <xdr:nvSpPr>
            <xdr:cNvPr id="76" name="Shape 5"/>
            <xdr:cNvSpPr/>
          </xdr:nvSpPr>
          <xdr:spPr>
            <a:xfrm>
              <a:off x="1869480" y="838440"/>
              <a:ext cx="685080" cy="6944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/>
            <a:fillRef idx="0"/>
            <a:effectRef idx="0"/>
            <a:fontRef idx="minor"/>
          </xdr:style>
        </xdr:sp>
        <xdr:cxnSp>
          <xdr:nvCxnSpPr>
            <xdr:cNvPr id="77" name="Shape 44"/>
            <xdr:cNvCxnSpPr/>
          </xdr:nvCxnSpPr>
          <xdr:spPr>
            <a:xfrm flipH="1" rot="16200000">
              <a:off x="1864080" y="842760"/>
              <a:ext cx="695880" cy="686160"/>
            </a:xfrm>
            <a:prstGeom prst="bentConnector3">
              <a:avLst>
                <a:gd name="adj1" fmla="val 50000"/>
              </a:avLst>
            </a:prstGeom>
            <a:ln w="9525">
              <a:solidFill>
                <a:srgbClr val="4472c4"/>
              </a:solidFill>
              <a:miter/>
              <a:tailEnd len="med" type="triangle" w="med"/>
            </a:ln>
          </xdr:spPr>
        </xdr:cxnSp>
      </xdr:grpSp>
    </xdr:grpSp>
    <xdr:clientData/>
  </xdr:twoCellAnchor>
  <xdr:twoCellAnchor editAs="oneCell">
    <xdr:from>
      <xdr:col>0</xdr:col>
      <xdr:colOff>114480</xdr:colOff>
      <xdr:row>14</xdr:row>
      <xdr:rowOff>170280</xdr:rowOff>
    </xdr:from>
    <xdr:to>
      <xdr:col>0</xdr:col>
      <xdr:colOff>761760</xdr:colOff>
      <xdr:row>18</xdr:row>
      <xdr:rowOff>55440</xdr:rowOff>
    </xdr:to>
    <xdr:sp>
      <xdr:nvSpPr>
        <xdr:cNvPr id="78" name="Shape 45"/>
        <xdr:cNvSpPr/>
      </xdr:nvSpPr>
      <xdr:spPr>
        <a:xfrm>
          <a:off x="114480" y="2867040"/>
          <a:ext cx="647280" cy="6472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  <a:tabLst>
              <a:tab algn="l" pos="0"/>
            </a:tabLst>
          </a:pPr>
          <a:r>
            <a:rPr lang="en-US" sz="1100" b="0" u="none" strike="noStrike">
              <a:effectLst/>
              <a:uFillTx/>
              <a:latin typeface="Calibri"/>
              <a:ea typeface="Calibri"/>
            </a:rPr>
            <a:t>Alta Ley Bronces</a:t>
          </a:r>
          <a:endParaRPr lang="es-CL" sz="11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0</xdr:col>
      <xdr:colOff>190440</xdr:colOff>
      <xdr:row>8</xdr:row>
      <xdr:rowOff>66600</xdr:rowOff>
    </xdr:from>
    <xdr:to>
      <xdr:col>1</xdr:col>
      <xdr:colOff>150840</xdr:colOff>
      <xdr:row>10</xdr:row>
      <xdr:rowOff>46800</xdr:rowOff>
    </xdr:to>
    <xdr:sp>
      <xdr:nvSpPr>
        <xdr:cNvPr id="79" name="Shape 46"/>
        <xdr:cNvSpPr/>
      </xdr:nvSpPr>
      <xdr:spPr>
        <a:xfrm>
          <a:off x="190440" y="1590480"/>
          <a:ext cx="771120" cy="36144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  <a:tabLst>
              <a:tab algn="l" pos="0"/>
            </a:tabLst>
          </a:pPr>
          <a:r>
            <a:rPr lang="en-US" sz="1100" b="0" u="none" strike="noStrike">
              <a:effectLst/>
              <a:uFillTx/>
              <a:latin typeface="Calibri"/>
              <a:ea typeface="Calibri"/>
            </a:rPr>
            <a:t>Alta Ley 2 </a:t>
          </a:r>
          <a:endParaRPr lang="es-CL" sz="1100" b="0" u="none" strike="noStrike">
            <a:effectLst/>
            <a:uFillTx/>
            <a:latin typeface="Times New Roman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276120</xdr:colOff>
      <xdr:row>3</xdr:row>
      <xdr:rowOff>0</xdr:rowOff>
    </xdr:from>
    <xdr:to>
      <xdr:col>3</xdr:col>
      <xdr:colOff>388800</xdr:colOff>
      <xdr:row>4</xdr:row>
      <xdr:rowOff>114120</xdr:rowOff>
    </xdr:to>
    <xdr:sp>
      <xdr:nvSpPr>
        <xdr:cNvPr id="80" name="Shape 47"/>
        <xdr:cNvSpPr/>
      </xdr:nvSpPr>
      <xdr:spPr>
        <a:xfrm>
          <a:off x="1897920" y="571680"/>
          <a:ext cx="923400" cy="3045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  <a:tabLst>
              <a:tab algn="l" pos="0"/>
            </a:tabLst>
          </a:pPr>
          <a:r>
            <a:rPr lang="en-US" sz="1100" b="0" u="none" strike="noStrike">
              <a:effectLst/>
              <a:uFillTx/>
              <a:latin typeface="Calibri"/>
              <a:ea typeface="Calibri"/>
            </a:rPr>
            <a:t>ML Pleito</a:t>
          </a:r>
          <a:endParaRPr lang="es-CL" sz="11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2</xdr:col>
      <xdr:colOff>237960</xdr:colOff>
      <xdr:row>11</xdr:row>
      <xdr:rowOff>152280</xdr:rowOff>
    </xdr:from>
    <xdr:to>
      <xdr:col>3</xdr:col>
      <xdr:colOff>350640</xdr:colOff>
      <xdr:row>13</xdr:row>
      <xdr:rowOff>151920</xdr:rowOff>
    </xdr:to>
    <xdr:sp>
      <xdr:nvSpPr>
        <xdr:cNvPr id="81" name="Shape 48"/>
        <xdr:cNvSpPr/>
      </xdr:nvSpPr>
      <xdr:spPr>
        <a:xfrm>
          <a:off x="1859760" y="2247840"/>
          <a:ext cx="923400" cy="38052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  <a:tabLst>
              <a:tab algn="l" pos="0"/>
            </a:tabLst>
          </a:pPr>
          <a:r>
            <a:rPr lang="en-US" sz="1100" b="0" u="none" strike="noStrike">
              <a:effectLst/>
              <a:uFillTx/>
              <a:latin typeface="Calibri"/>
              <a:ea typeface="Calibri"/>
            </a:rPr>
            <a:t>ML Bronces</a:t>
          </a:r>
          <a:endParaRPr lang="es-CL" sz="11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5</xdr:col>
      <xdr:colOff>628560</xdr:colOff>
      <xdr:row>4</xdr:row>
      <xdr:rowOff>104760</xdr:rowOff>
    </xdr:from>
    <xdr:to>
      <xdr:col>8</xdr:col>
      <xdr:colOff>443520</xdr:colOff>
      <xdr:row>10</xdr:row>
      <xdr:rowOff>161640</xdr:rowOff>
    </xdr:to>
    <xdr:grpSp>
      <xdr:nvGrpSpPr>
        <xdr:cNvPr id="82" name="Shape 2"/>
        <xdr:cNvGrpSpPr/>
      </xdr:nvGrpSpPr>
      <xdr:grpSpPr>
        <a:xfrm>
          <a:off x="4682880" y="866880"/>
          <a:ext cx="2247840" cy="1199880"/>
          <a:chOff x="4682880" y="866880"/>
          <a:chExt cx="2247840" cy="1199880"/>
        </a:xfrm>
      </xdr:grpSpPr>
      <xdr:grpSp>
        <xdr:nvGrpSpPr>
          <xdr:cNvPr id="83" name="Shape 49"/>
          <xdr:cNvGrpSpPr/>
        </xdr:nvGrpSpPr>
        <xdr:grpSpPr>
          <a:xfrm>
            <a:off x="4682880" y="866880"/>
            <a:ext cx="2247840" cy="1199880"/>
            <a:chOff x="4682880" y="866880"/>
            <a:chExt cx="2247840" cy="1199880"/>
          </a:xfrm>
        </xdr:grpSpPr>
        <xdr:sp>
          <xdr:nvSpPr>
            <xdr:cNvPr id="84" name="Shape 5"/>
            <xdr:cNvSpPr/>
          </xdr:nvSpPr>
          <xdr:spPr>
            <a:xfrm>
              <a:off x="4682880" y="866880"/>
              <a:ext cx="2247120" cy="11995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/>
            <a:fillRef idx="0"/>
            <a:effectRef idx="0"/>
            <a:fontRef idx="minor"/>
          </xdr:style>
        </xdr:sp>
        <xdr:cxnSp>
          <xdr:nvCxnSpPr>
            <xdr:cNvPr id="85" name="Shape 50"/>
            <xdr:cNvCxnSpPr/>
          </xdr:nvCxnSpPr>
          <xdr:spPr>
            <a:xfrm flipV="1">
              <a:off x="4682880" y="866880"/>
              <a:ext cx="2248200" cy="1200240"/>
            </a:xfrm>
            <a:prstGeom prst="bentConnector3">
              <a:avLst>
                <a:gd name="adj1" fmla="val 50000"/>
              </a:avLst>
            </a:prstGeom>
            <a:ln w="9525">
              <a:solidFill>
                <a:srgbClr val="4472c4"/>
              </a:solidFill>
              <a:miter/>
              <a:tailEnd len="med" type="triangle" w="med"/>
            </a:ln>
          </xdr:spPr>
        </xdr:cxnSp>
      </xdr:grpSp>
    </xdr:grpSp>
    <xdr:clientData/>
  </xdr:twoCellAnchor>
  <xdr:twoCellAnchor editAs="oneCell">
    <xdr:from>
      <xdr:col>3</xdr:col>
      <xdr:colOff>123480</xdr:colOff>
      <xdr:row>10</xdr:row>
      <xdr:rowOff>85680</xdr:rowOff>
    </xdr:from>
    <xdr:to>
      <xdr:col>4</xdr:col>
      <xdr:colOff>65160</xdr:colOff>
      <xdr:row>14</xdr:row>
      <xdr:rowOff>104760</xdr:rowOff>
    </xdr:to>
    <xdr:grpSp>
      <xdr:nvGrpSpPr>
        <xdr:cNvPr id="86" name="Shape 2"/>
        <xdr:cNvGrpSpPr/>
      </xdr:nvGrpSpPr>
      <xdr:grpSpPr>
        <a:xfrm>
          <a:off x="2556000" y="1990800"/>
          <a:ext cx="752760" cy="780840"/>
          <a:chOff x="2556000" y="1990800"/>
          <a:chExt cx="752760" cy="780840"/>
        </a:xfrm>
      </xdr:grpSpPr>
      <xdr:grpSp>
        <xdr:nvGrpSpPr>
          <xdr:cNvPr id="87" name="Shape 51"/>
          <xdr:cNvGrpSpPr/>
        </xdr:nvGrpSpPr>
        <xdr:grpSpPr>
          <a:xfrm>
            <a:off x="2556000" y="1990800"/>
            <a:ext cx="752760" cy="780840"/>
            <a:chOff x="2556000" y="1990800"/>
            <a:chExt cx="752760" cy="780840"/>
          </a:xfrm>
        </xdr:grpSpPr>
        <xdr:sp>
          <xdr:nvSpPr>
            <xdr:cNvPr id="88" name="Shape 5"/>
            <xdr:cNvSpPr/>
          </xdr:nvSpPr>
          <xdr:spPr>
            <a:xfrm>
              <a:off x="2556360" y="1990800"/>
              <a:ext cx="751680" cy="780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/>
            <a:fillRef idx="0"/>
            <a:effectRef idx="0"/>
            <a:fontRef idx="minor"/>
          </xdr:style>
        </xdr:sp>
        <xdr:cxnSp>
          <xdr:nvCxnSpPr>
            <xdr:cNvPr id="89" name="Shape 52"/>
            <xdr:cNvCxnSpPr/>
          </xdr:nvCxnSpPr>
          <xdr:spPr>
            <a:xfrm flipH="1" flipV="1" rot="5400000">
              <a:off x="2541600" y="2004840"/>
              <a:ext cx="781200" cy="753120"/>
            </a:xfrm>
            <a:prstGeom prst="bentConnector3">
              <a:avLst>
                <a:gd name="adj1" fmla="val 49976"/>
              </a:avLst>
            </a:prstGeom>
            <a:ln w="9525">
              <a:solidFill>
                <a:srgbClr val="4472c4"/>
              </a:solidFill>
              <a:miter/>
              <a:tailEnd len="med" type="triangle" w="med"/>
            </a:ln>
          </xdr:spPr>
        </xdr:cxnSp>
      </xdr:grpSp>
    </xdr:grpSp>
    <xdr:clientData/>
  </xdr:twoCellAnchor>
  <xdr:twoCellAnchor editAs="oneCell">
    <xdr:from>
      <xdr:col>8</xdr:col>
      <xdr:colOff>619200</xdr:colOff>
      <xdr:row>3</xdr:row>
      <xdr:rowOff>95400</xdr:rowOff>
    </xdr:from>
    <xdr:to>
      <xdr:col>9</xdr:col>
      <xdr:colOff>189000</xdr:colOff>
      <xdr:row>5</xdr:row>
      <xdr:rowOff>152280</xdr:rowOff>
    </xdr:to>
    <xdr:sp>
      <xdr:nvSpPr>
        <xdr:cNvPr id="90" name="Shape 53"/>
        <xdr:cNvSpPr/>
      </xdr:nvSpPr>
      <xdr:spPr>
        <a:xfrm>
          <a:off x="7106400" y="667080"/>
          <a:ext cx="380520" cy="437760"/>
        </a:xfrm>
        <a:prstGeom prst="triangle">
          <a:avLst>
            <a:gd name="adj" fmla="val 50000"/>
          </a:avLst>
        </a:prstGeom>
        <a:solidFill>
          <a:srgbClr val="ffffff"/>
        </a:solidFill>
        <a:ln w="12700">
          <a:solidFill>
            <a:srgbClr val="31538f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95040</xdr:colOff>
      <xdr:row>5</xdr:row>
      <xdr:rowOff>161640</xdr:rowOff>
    </xdr:from>
    <xdr:to>
      <xdr:col>4</xdr:col>
      <xdr:colOff>55440</xdr:colOff>
      <xdr:row>9</xdr:row>
      <xdr:rowOff>133200</xdr:rowOff>
    </xdr:to>
    <xdr:grpSp>
      <xdr:nvGrpSpPr>
        <xdr:cNvPr id="91" name="Shape 2"/>
        <xdr:cNvGrpSpPr/>
      </xdr:nvGrpSpPr>
      <xdr:grpSpPr>
        <a:xfrm>
          <a:off x="2527560" y="1114200"/>
          <a:ext cx="771480" cy="733680"/>
          <a:chOff x="2527560" y="1114200"/>
          <a:chExt cx="771480" cy="733680"/>
        </a:xfrm>
      </xdr:grpSpPr>
      <xdr:grpSp>
        <xdr:nvGrpSpPr>
          <xdr:cNvPr id="92" name="Shape 54"/>
          <xdr:cNvGrpSpPr/>
        </xdr:nvGrpSpPr>
        <xdr:grpSpPr>
          <a:xfrm>
            <a:off x="2527560" y="1114200"/>
            <a:ext cx="771480" cy="733680"/>
            <a:chOff x="2527560" y="1114200"/>
            <a:chExt cx="771480" cy="733680"/>
          </a:xfrm>
        </xdr:grpSpPr>
        <xdr:sp>
          <xdr:nvSpPr>
            <xdr:cNvPr id="93" name="Shape 5"/>
            <xdr:cNvSpPr/>
          </xdr:nvSpPr>
          <xdr:spPr>
            <a:xfrm>
              <a:off x="2527920" y="1114560"/>
              <a:ext cx="770760" cy="73260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/>
            <a:fillRef idx="0"/>
            <a:effectRef idx="0"/>
            <a:fontRef idx="minor"/>
          </xdr:style>
        </xdr:sp>
        <xdr:cxnSp>
          <xdr:nvCxnSpPr>
            <xdr:cNvPr id="94" name="Shape 55"/>
            <xdr:cNvCxnSpPr/>
          </xdr:nvCxnSpPr>
          <xdr:spPr>
            <a:xfrm>
              <a:off x="2527560" y="1114200"/>
              <a:ext cx="771840" cy="734040"/>
            </a:xfrm>
            <a:prstGeom prst="bentConnector3">
              <a:avLst>
                <a:gd name="adj1" fmla="val 50023"/>
              </a:avLst>
            </a:prstGeom>
            <a:ln w="9525">
              <a:solidFill>
                <a:srgbClr val="4472c4"/>
              </a:solidFill>
              <a:miter/>
              <a:tailEnd len="med" type="triangle" w="med"/>
            </a:ln>
          </xdr:spPr>
        </xdr:cxnSp>
      </xdr:grpSp>
    </xdr:grpSp>
    <xdr:clientData/>
  </xdr:twoCellAnchor>
  <xdr:twoCellAnchor editAs="oneCell">
    <xdr:from>
      <xdr:col>8</xdr:col>
      <xdr:colOff>723960</xdr:colOff>
      <xdr:row>14</xdr:row>
      <xdr:rowOff>124200</xdr:rowOff>
    </xdr:from>
    <xdr:to>
      <xdr:col>9</xdr:col>
      <xdr:colOff>284400</xdr:colOff>
      <xdr:row>16</xdr:row>
      <xdr:rowOff>122400</xdr:rowOff>
    </xdr:to>
    <xdr:sp>
      <xdr:nvSpPr>
        <xdr:cNvPr id="95" name="Shape 56"/>
        <xdr:cNvSpPr/>
      </xdr:nvSpPr>
      <xdr:spPr>
        <a:xfrm>
          <a:off x="7211160" y="2791080"/>
          <a:ext cx="371160" cy="390240"/>
        </a:xfrm>
        <a:prstGeom prst="triangle">
          <a:avLst>
            <a:gd name="adj" fmla="val 50000"/>
          </a:avLst>
        </a:prstGeom>
        <a:solidFill>
          <a:srgbClr val="ffffff"/>
        </a:solidFill>
        <a:ln w="12700">
          <a:solidFill>
            <a:srgbClr val="31538f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3</xdr:col>
      <xdr:colOff>361800</xdr:colOff>
      <xdr:row>18</xdr:row>
      <xdr:rowOff>27360</xdr:rowOff>
    </xdr:from>
    <xdr:to>
      <xdr:col>6</xdr:col>
      <xdr:colOff>319680</xdr:colOff>
      <xdr:row>18</xdr:row>
      <xdr:rowOff>65160</xdr:rowOff>
    </xdr:to>
    <xdr:grpSp>
      <xdr:nvGrpSpPr>
        <xdr:cNvPr id="96" name="Shape 2"/>
        <xdr:cNvGrpSpPr/>
      </xdr:nvGrpSpPr>
      <xdr:grpSpPr>
        <a:xfrm>
          <a:off x="2794320" y="3429000"/>
          <a:ext cx="2390760" cy="37800"/>
          <a:chOff x="2794320" y="3429000"/>
          <a:chExt cx="2390760" cy="37800"/>
        </a:xfrm>
      </xdr:grpSpPr>
      <xdr:grpSp>
        <xdr:nvGrpSpPr>
          <xdr:cNvPr id="97" name="Shape 57"/>
          <xdr:cNvGrpSpPr/>
        </xdr:nvGrpSpPr>
        <xdr:grpSpPr>
          <a:xfrm>
            <a:off x="2794320" y="3429000"/>
            <a:ext cx="2390760" cy="37800"/>
            <a:chOff x="2794320" y="3429000"/>
            <a:chExt cx="2390760" cy="37800"/>
          </a:xfrm>
        </xdr:grpSpPr>
        <xdr:sp>
          <xdr:nvSpPr>
            <xdr:cNvPr id="98" name="Shape 5"/>
            <xdr:cNvSpPr/>
          </xdr:nvSpPr>
          <xdr:spPr>
            <a:xfrm>
              <a:off x="2794320" y="3429000"/>
              <a:ext cx="2390040" cy="374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/>
            <a:fillRef idx="0"/>
            <a:effectRef idx="0"/>
            <a:fontRef idx="minor"/>
          </xdr:style>
        </xdr:sp>
        <xdr:cxnSp>
          <xdr:nvCxnSpPr>
            <xdr:cNvPr id="99" name="Shape 58"/>
            <xdr:cNvCxnSpPr/>
          </xdr:nvCxnSpPr>
          <xdr:spPr>
            <a:xfrm>
              <a:off x="2794320" y="3429000"/>
              <a:ext cx="2391120" cy="38160"/>
            </a:xfrm>
            <a:prstGeom prst="bentConnector3">
              <a:avLst>
                <a:gd name="adj1" fmla="val 50007"/>
              </a:avLst>
            </a:prstGeom>
            <a:ln w="9525">
              <a:solidFill>
                <a:srgbClr val="4472c4"/>
              </a:solidFill>
              <a:miter/>
              <a:tailEnd len="med" type="triangle" w="med"/>
            </a:ln>
          </xdr:spPr>
        </xdr:cxnSp>
      </xdr:grpSp>
    </xdr:grpSp>
    <xdr:clientData/>
  </xdr:twoCellAnchor>
  <xdr:twoCellAnchor editAs="oneCell">
    <xdr:from>
      <xdr:col>7</xdr:col>
      <xdr:colOff>723960</xdr:colOff>
      <xdr:row>12</xdr:row>
      <xdr:rowOff>114480</xdr:rowOff>
    </xdr:from>
    <xdr:to>
      <xdr:col>9</xdr:col>
      <xdr:colOff>44640</xdr:colOff>
      <xdr:row>15</xdr:row>
      <xdr:rowOff>122400</xdr:rowOff>
    </xdr:to>
    <xdr:sp>
      <xdr:nvSpPr>
        <xdr:cNvPr id="100" name="Shape 59"/>
        <xdr:cNvSpPr/>
      </xdr:nvSpPr>
      <xdr:spPr>
        <a:xfrm>
          <a:off x="6400080" y="2400480"/>
          <a:ext cx="942480" cy="60912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  <a:tabLst>
              <a:tab algn="l" pos="0"/>
            </a:tabLst>
          </a:pPr>
          <a:r>
            <a:rPr lang="en-US" sz="1100" b="0" u="none" strike="noStrike">
              <a:effectLst/>
              <a:uFillTx/>
              <a:latin typeface="Calibri"/>
              <a:ea typeface="Calibri"/>
            </a:rPr>
            <a:t>Stock Prec. Finos (40%Fem)</a:t>
          </a:r>
          <a:endParaRPr lang="es-CL" sz="11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5</xdr:col>
      <xdr:colOff>628560</xdr:colOff>
      <xdr:row>10</xdr:row>
      <xdr:rowOff>28440</xdr:rowOff>
    </xdr:from>
    <xdr:to>
      <xdr:col>8</xdr:col>
      <xdr:colOff>538920</xdr:colOff>
      <xdr:row>15</xdr:row>
      <xdr:rowOff>151200</xdr:rowOff>
    </xdr:to>
    <xdr:grpSp>
      <xdr:nvGrpSpPr>
        <xdr:cNvPr id="101" name="Shape 2"/>
        <xdr:cNvGrpSpPr/>
      </xdr:nvGrpSpPr>
      <xdr:grpSpPr>
        <a:xfrm>
          <a:off x="4682880" y="1933560"/>
          <a:ext cx="2343240" cy="1104840"/>
          <a:chOff x="4682880" y="1933560"/>
          <a:chExt cx="2343240" cy="1104840"/>
        </a:xfrm>
      </xdr:grpSpPr>
      <xdr:grpSp>
        <xdr:nvGrpSpPr>
          <xdr:cNvPr id="102" name="Shape 60"/>
          <xdr:cNvGrpSpPr/>
        </xdr:nvGrpSpPr>
        <xdr:grpSpPr>
          <a:xfrm>
            <a:off x="4682880" y="1933560"/>
            <a:ext cx="2343240" cy="1104840"/>
            <a:chOff x="4682880" y="1933560"/>
            <a:chExt cx="2343240" cy="1104840"/>
          </a:xfrm>
        </xdr:grpSpPr>
        <xdr:sp>
          <xdr:nvSpPr>
            <xdr:cNvPr id="103" name="Shape 5"/>
            <xdr:cNvSpPr/>
          </xdr:nvSpPr>
          <xdr:spPr>
            <a:xfrm>
              <a:off x="4682880" y="1933560"/>
              <a:ext cx="2342520" cy="110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/>
            <a:fillRef idx="0"/>
            <a:effectRef idx="0"/>
            <a:fontRef idx="minor"/>
          </xdr:style>
        </xdr:sp>
        <xdr:cxnSp>
          <xdr:nvCxnSpPr>
            <xdr:cNvPr id="104" name="Shape 61"/>
            <xdr:cNvCxnSpPr/>
          </xdr:nvCxnSpPr>
          <xdr:spPr>
            <a:xfrm>
              <a:off x="4682880" y="1933560"/>
              <a:ext cx="2343600" cy="1105200"/>
            </a:xfrm>
            <a:prstGeom prst="bentConnector3">
              <a:avLst>
                <a:gd name="adj1" fmla="val 50007"/>
              </a:avLst>
            </a:prstGeom>
            <a:ln w="9525">
              <a:solidFill>
                <a:srgbClr val="4472c4"/>
              </a:solidFill>
              <a:miter/>
              <a:tailEnd len="med" type="triangle" w="med"/>
            </a:ln>
          </xdr:spPr>
        </xdr:cxnSp>
      </xdr:grpSp>
    </xdr:grpSp>
    <xdr:clientData/>
  </xdr:twoCellAnchor>
  <xdr:twoCellAnchor editAs="oneCell">
    <xdr:from>
      <xdr:col>8</xdr:col>
      <xdr:colOff>66600</xdr:colOff>
      <xdr:row>1</xdr:row>
      <xdr:rowOff>19080</xdr:rowOff>
    </xdr:from>
    <xdr:to>
      <xdr:col>8</xdr:col>
      <xdr:colOff>790200</xdr:colOff>
      <xdr:row>5</xdr:row>
      <xdr:rowOff>47160</xdr:rowOff>
    </xdr:to>
    <xdr:sp>
      <xdr:nvSpPr>
        <xdr:cNvPr id="105" name="Shape 62"/>
        <xdr:cNvSpPr/>
      </xdr:nvSpPr>
      <xdr:spPr>
        <a:xfrm>
          <a:off x="6553800" y="209520"/>
          <a:ext cx="723600" cy="79020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  <a:tabLst>
              <a:tab algn="l" pos="0"/>
            </a:tabLst>
          </a:pPr>
          <a:r>
            <a:rPr lang="en-US" sz="1100" b="0" u="none" strike="noStrike">
              <a:effectLst/>
              <a:uFillTx/>
              <a:latin typeface="Calibri"/>
              <a:ea typeface="Calibri"/>
            </a:rPr>
            <a:t>Stock Prec. Granza</a:t>
          </a:r>
          <a:endParaRPr lang="es-CL" sz="11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9</xdr:col>
      <xdr:colOff>276120</xdr:colOff>
      <xdr:row>24</xdr:row>
      <xdr:rowOff>54360</xdr:rowOff>
    </xdr:from>
    <xdr:to>
      <xdr:col>10</xdr:col>
      <xdr:colOff>779040</xdr:colOff>
      <xdr:row>26</xdr:row>
      <xdr:rowOff>177840</xdr:rowOff>
    </xdr:to>
    <xdr:sp>
      <xdr:nvSpPr>
        <xdr:cNvPr id="106" name="Shape 63"/>
        <xdr:cNvSpPr/>
      </xdr:nvSpPr>
      <xdr:spPr>
        <a:xfrm>
          <a:off x="7574040" y="4667040"/>
          <a:ext cx="1314000" cy="523440"/>
        </a:xfrm>
        <a:prstGeom prst="rect">
          <a:avLst/>
        </a:prstGeom>
        <a:solidFill>
          <a:srgbClr val="ffffff"/>
        </a:solidFill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  <a:tabLst>
              <a:tab algn="l" pos="0"/>
            </a:tabLst>
          </a:pPr>
          <a:r>
            <a:rPr lang="en-US" sz="1100" b="0" u="none" strike="noStrike">
              <a:effectLst/>
              <a:uFillTx/>
              <a:latin typeface="Calibri"/>
              <a:ea typeface="Calibri"/>
            </a:rPr>
            <a:t>Transporte a Botadero</a:t>
          </a:r>
          <a:endParaRPr lang="es-CL" sz="11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9</xdr:col>
      <xdr:colOff>161640</xdr:colOff>
      <xdr:row>4</xdr:row>
      <xdr:rowOff>85680</xdr:rowOff>
    </xdr:from>
    <xdr:to>
      <xdr:col>11</xdr:col>
      <xdr:colOff>606960</xdr:colOff>
      <xdr:row>4</xdr:row>
      <xdr:rowOff>123480</xdr:rowOff>
    </xdr:to>
    <xdr:grpSp>
      <xdr:nvGrpSpPr>
        <xdr:cNvPr id="107" name="Shape 2"/>
        <xdr:cNvGrpSpPr/>
      </xdr:nvGrpSpPr>
      <xdr:grpSpPr>
        <a:xfrm>
          <a:off x="7459560" y="847800"/>
          <a:ext cx="2067120" cy="37800"/>
          <a:chOff x="7459560" y="847800"/>
          <a:chExt cx="2067120" cy="37800"/>
        </a:xfrm>
      </xdr:grpSpPr>
      <xdr:grpSp>
        <xdr:nvGrpSpPr>
          <xdr:cNvPr id="108" name="Shape 64"/>
          <xdr:cNvGrpSpPr/>
        </xdr:nvGrpSpPr>
        <xdr:grpSpPr>
          <a:xfrm>
            <a:off x="7459560" y="847800"/>
            <a:ext cx="2067120" cy="37800"/>
            <a:chOff x="7459560" y="847800"/>
            <a:chExt cx="2067120" cy="37800"/>
          </a:xfrm>
        </xdr:grpSpPr>
        <xdr:sp>
          <xdr:nvSpPr>
            <xdr:cNvPr id="109" name="Shape 5"/>
            <xdr:cNvSpPr/>
          </xdr:nvSpPr>
          <xdr:spPr>
            <a:xfrm>
              <a:off x="7459920" y="847800"/>
              <a:ext cx="2066040" cy="374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/>
            <a:fillRef idx="0"/>
            <a:effectRef idx="0"/>
            <a:fontRef idx="minor"/>
          </xdr:style>
        </xdr:sp>
        <xdr:cxnSp>
          <xdr:nvCxnSpPr>
            <xdr:cNvPr id="110" name="Shape 65"/>
            <xdr:cNvCxnSpPr/>
          </xdr:nvCxnSpPr>
          <xdr:spPr>
            <a:xfrm>
              <a:off x="7459560" y="847800"/>
              <a:ext cx="2067480" cy="38160"/>
            </a:xfrm>
            <a:prstGeom prst="bentConnector3">
              <a:avLst>
                <a:gd name="adj1" fmla="val 50000"/>
              </a:avLst>
            </a:prstGeom>
            <a:ln w="9525">
              <a:solidFill>
                <a:srgbClr val="4472c4"/>
              </a:solidFill>
              <a:miter/>
              <a:tailEnd len="med" type="triangle" w="med"/>
            </a:ln>
          </xdr:spPr>
        </xdr:cxnSp>
      </xdr:grpSp>
    </xdr:grpSp>
    <xdr:clientData/>
  </xdr:twoCellAnchor>
  <xdr:twoCellAnchor editAs="oneCell">
    <xdr:from>
      <xdr:col>5</xdr:col>
      <xdr:colOff>95040</xdr:colOff>
      <xdr:row>25</xdr:row>
      <xdr:rowOff>101880</xdr:rowOff>
    </xdr:from>
    <xdr:to>
      <xdr:col>8</xdr:col>
      <xdr:colOff>710280</xdr:colOff>
      <xdr:row>25</xdr:row>
      <xdr:rowOff>149760</xdr:rowOff>
    </xdr:to>
    <xdr:grpSp>
      <xdr:nvGrpSpPr>
        <xdr:cNvPr id="111" name="Shape 2"/>
        <xdr:cNvGrpSpPr/>
      </xdr:nvGrpSpPr>
      <xdr:grpSpPr>
        <a:xfrm>
          <a:off x="4149360" y="4914720"/>
          <a:ext cx="3048120" cy="47880"/>
          <a:chOff x="4149360" y="4914720"/>
          <a:chExt cx="3048120" cy="47880"/>
        </a:xfrm>
      </xdr:grpSpPr>
      <xdr:grpSp>
        <xdr:nvGrpSpPr>
          <xdr:cNvPr id="112" name="Shape 66"/>
          <xdr:cNvGrpSpPr/>
        </xdr:nvGrpSpPr>
        <xdr:grpSpPr>
          <a:xfrm>
            <a:off x="4149360" y="4914720"/>
            <a:ext cx="3048120" cy="47880"/>
            <a:chOff x="4149360" y="4914720"/>
            <a:chExt cx="3048120" cy="47880"/>
          </a:xfrm>
        </xdr:grpSpPr>
        <xdr:sp>
          <xdr:nvSpPr>
            <xdr:cNvPr id="113" name="Shape 5"/>
            <xdr:cNvSpPr/>
          </xdr:nvSpPr>
          <xdr:spPr>
            <a:xfrm>
              <a:off x="4149720" y="4915080"/>
              <a:ext cx="3047400" cy="4680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/>
            <a:fillRef idx="0"/>
            <a:effectRef idx="0"/>
            <a:fontRef idx="minor"/>
          </xdr:style>
        </xdr:sp>
        <xdr:cxnSp>
          <xdr:nvCxnSpPr>
            <xdr:cNvPr id="114" name="Shape 67"/>
            <xdr:cNvCxnSpPr/>
          </xdr:nvCxnSpPr>
          <xdr:spPr>
            <a:xfrm flipV="1">
              <a:off x="4149360" y="4914720"/>
              <a:ext cx="3048480" cy="48240"/>
            </a:xfrm>
            <a:prstGeom prst="bentConnector3">
              <a:avLst>
                <a:gd name="adj1" fmla="val 50005"/>
              </a:avLst>
            </a:prstGeom>
            <a:ln w="9525">
              <a:solidFill>
                <a:srgbClr val="4472c4"/>
              </a:solidFill>
              <a:miter/>
              <a:tailEnd len="med" type="triangle" w="med"/>
            </a:ln>
          </xdr:spPr>
        </xdr:cxnSp>
      </xdr:grpSp>
    </xdr:grpSp>
    <xdr:clientData/>
  </xdr:twoCellAnchor>
  <xdr:twoCellAnchor editAs="oneCell">
    <xdr:from>
      <xdr:col>9</xdr:col>
      <xdr:colOff>257040</xdr:colOff>
      <xdr:row>15</xdr:row>
      <xdr:rowOff>150840</xdr:rowOff>
    </xdr:from>
    <xdr:to>
      <xdr:col>11</xdr:col>
      <xdr:colOff>692640</xdr:colOff>
      <xdr:row>16</xdr:row>
      <xdr:rowOff>17280</xdr:rowOff>
    </xdr:to>
    <xdr:grpSp>
      <xdr:nvGrpSpPr>
        <xdr:cNvPr id="115" name="Shape 2"/>
        <xdr:cNvGrpSpPr/>
      </xdr:nvGrpSpPr>
      <xdr:grpSpPr>
        <a:xfrm>
          <a:off x="7554960" y="3038040"/>
          <a:ext cx="2057400" cy="38160"/>
          <a:chOff x="7554960" y="3038040"/>
          <a:chExt cx="2057400" cy="38160"/>
        </a:xfrm>
      </xdr:grpSpPr>
      <xdr:grpSp>
        <xdr:nvGrpSpPr>
          <xdr:cNvPr id="116" name="Shape 68"/>
          <xdr:cNvGrpSpPr/>
        </xdr:nvGrpSpPr>
        <xdr:grpSpPr>
          <a:xfrm>
            <a:off x="7554960" y="3038040"/>
            <a:ext cx="2057400" cy="38160"/>
            <a:chOff x="7554960" y="3038040"/>
            <a:chExt cx="2057400" cy="38160"/>
          </a:xfrm>
        </xdr:grpSpPr>
        <xdr:sp>
          <xdr:nvSpPr>
            <xdr:cNvPr id="117" name="Shape 5"/>
            <xdr:cNvSpPr/>
          </xdr:nvSpPr>
          <xdr:spPr>
            <a:xfrm>
              <a:off x="7554960" y="3038400"/>
              <a:ext cx="2056680" cy="374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/>
            <a:fillRef idx="0"/>
            <a:effectRef idx="0"/>
            <a:fontRef idx="minor"/>
          </xdr:style>
        </xdr:sp>
        <xdr:cxnSp>
          <xdr:nvCxnSpPr>
            <xdr:cNvPr id="118" name="Shape 69"/>
            <xdr:cNvCxnSpPr/>
          </xdr:nvCxnSpPr>
          <xdr:spPr>
            <a:xfrm>
              <a:off x="7554960" y="3038040"/>
              <a:ext cx="2057760" cy="38520"/>
            </a:xfrm>
            <a:prstGeom prst="bentConnector3">
              <a:avLst>
                <a:gd name="adj1" fmla="val 50008"/>
              </a:avLst>
            </a:prstGeom>
            <a:ln w="9525">
              <a:solidFill>
                <a:srgbClr val="4472c4"/>
              </a:solidFill>
              <a:miter/>
              <a:tailEnd len="med" type="triangle" w="med"/>
            </a:ln>
          </xdr:spPr>
        </xdr:cxnSp>
      </xdr:grpSp>
    </xdr:grpSp>
    <xdr:clientData/>
  </xdr:twoCellAnchor>
  <xdr:twoCellAnchor editAs="oneCell">
    <xdr:from>
      <xdr:col>3</xdr:col>
      <xdr:colOff>324000</xdr:colOff>
      <xdr:row>24</xdr:row>
      <xdr:rowOff>159480</xdr:rowOff>
    </xdr:from>
    <xdr:to>
      <xdr:col>4</xdr:col>
      <xdr:colOff>484200</xdr:colOff>
      <xdr:row>26</xdr:row>
      <xdr:rowOff>178200</xdr:rowOff>
    </xdr:to>
    <xdr:sp>
      <xdr:nvSpPr>
        <xdr:cNvPr id="119" name="Shape 70"/>
        <xdr:cNvSpPr/>
      </xdr:nvSpPr>
      <xdr:spPr>
        <a:xfrm>
          <a:off x="2756520" y="4772160"/>
          <a:ext cx="971280" cy="4186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  <a:tabLst>
              <a:tab algn="l" pos="0"/>
            </a:tabLst>
          </a:pPr>
          <a:r>
            <a:rPr lang="en-US" sz="1050" b="0" u="none" strike="noStrike">
              <a:effectLst/>
              <a:uFillTx/>
              <a:latin typeface="Calibri"/>
              <a:ea typeface="Calibri"/>
            </a:rPr>
            <a:t>Stock Rechazos (10% Fem)</a:t>
          </a:r>
          <a:endParaRPr lang="es-CL" sz="105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12</xdr:col>
      <xdr:colOff>47520</xdr:colOff>
      <xdr:row>3</xdr:row>
      <xdr:rowOff>28440</xdr:rowOff>
    </xdr:from>
    <xdr:to>
      <xdr:col>13</xdr:col>
      <xdr:colOff>1131840</xdr:colOff>
      <xdr:row>6</xdr:row>
      <xdr:rowOff>56880</xdr:rowOff>
    </xdr:to>
    <xdr:sp>
      <xdr:nvSpPr>
        <xdr:cNvPr id="120" name="Shape 71"/>
        <xdr:cNvSpPr/>
      </xdr:nvSpPr>
      <xdr:spPr>
        <a:xfrm>
          <a:off x="9778320" y="600120"/>
          <a:ext cx="1895040" cy="599760"/>
        </a:xfrm>
        <a:prstGeom prst="rect">
          <a:avLst/>
        </a:prstGeom>
        <a:solidFill>
          <a:srgbClr val="ffffff"/>
        </a:solidFill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  <a:tabLst>
              <a:tab algn="l" pos="0"/>
            </a:tabLst>
          </a:pPr>
          <a:r>
            <a:rPr lang="en-US" sz="1100" b="0" u="none" strike="noStrike">
              <a:effectLst/>
              <a:uFillTx/>
              <a:latin typeface="Calibri"/>
              <a:ea typeface="Calibri"/>
            </a:rPr>
            <a:t>Transporte a Romeral (concentradora)</a:t>
          </a:r>
          <a:endParaRPr lang="es-CL" sz="11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4</xdr:col>
      <xdr:colOff>561960</xdr:colOff>
      <xdr:row>24</xdr:row>
      <xdr:rowOff>121320</xdr:rowOff>
    </xdr:from>
    <xdr:to>
      <xdr:col>5</xdr:col>
      <xdr:colOff>131760</xdr:colOff>
      <xdr:row>26</xdr:row>
      <xdr:rowOff>140040</xdr:rowOff>
    </xdr:to>
    <xdr:sp>
      <xdr:nvSpPr>
        <xdr:cNvPr id="121" name="Shape 72"/>
        <xdr:cNvSpPr/>
      </xdr:nvSpPr>
      <xdr:spPr>
        <a:xfrm>
          <a:off x="3805560" y="4734000"/>
          <a:ext cx="380520" cy="418680"/>
        </a:xfrm>
        <a:prstGeom prst="triangle">
          <a:avLst>
            <a:gd name="adj" fmla="val 50000"/>
          </a:avLst>
        </a:prstGeom>
        <a:solidFill>
          <a:srgbClr val="ffffff"/>
        </a:solidFill>
        <a:ln w="12700">
          <a:solidFill>
            <a:srgbClr val="31538f"/>
          </a:solidFill>
          <a:miter/>
        </a:ln>
      </xdr:spPr>
      <xdr:style>
        <a:lnRef idx="0"/>
        <a:fillRef idx="0"/>
        <a:effectRef idx="0"/>
        <a:fontRef idx="minor"/>
      </xdr:style>
    </xdr:sp>
    <xdr:clientData/>
  </xdr:twoCellAnchor>
  <xdr:twoCellAnchor editAs="oneCell">
    <xdr:from>
      <xdr:col>12</xdr:col>
      <xdr:colOff>123840</xdr:colOff>
      <xdr:row>14</xdr:row>
      <xdr:rowOff>86040</xdr:rowOff>
    </xdr:from>
    <xdr:to>
      <xdr:col>13</xdr:col>
      <xdr:colOff>665280</xdr:colOff>
      <xdr:row>17</xdr:row>
      <xdr:rowOff>7920</xdr:rowOff>
    </xdr:to>
    <xdr:sp>
      <xdr:nvSpPr>
        <xdr:cNvPr id="122" name="Shape 73"/>
        <xdr:cNvSpPr/>
      </xdr:nvSpPr>
      <xdr:spPr>
        <a:xfrm>
          <a:off x="9854640" y="2752920"/>
          <a:ext cx="1352160" cy="48528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  <a:tabLst>
              <a:tab algn="l" pos="0"/>
            </a:tabLst>
          </a:pPr>
          <a:r>
            <a:rPr lang="en-US" sz="1100" b="0" u="none" strike="noStrike">
              <a:effectLst/>
              <a:uFillTx/>
              <a:latin typeface="Calibri"/>
              <a:ea typeface="Calibri"/>
            </a:rPr>
            <a:t>Transporte a Romeral (Molienda)</a:t>
          </a:r>
          <a:endParaRPr lang="es-CL" sz="11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4</xdr:col>
      <xdr:colOff>142920</xdr:colOff>
      <xdr:row>8</xdr:row>
      <xdr:rowOff>142920</xdr:rowOff>
    </xdr:from>
    <xdr:to>
      <xdr:col>5</xdr:col>
      <xdr:colOff>532080</xdr:colOff>
      <xdr:row>11</xdr:row>
      <xdr:rowOff>132840</xdr:rowOff>
    </xdr:to>
    <xdr:sp>
      <xdr:nvSpPr>
        <xdr:cNvPr id="123" name="Shape 74"/>
        <xdr:cNvSpPr/>
      </xdr:nvSpPr>
      <xdr:spPr>
        <a:xfrm>
          <a:off x="3386520" y="1666800"/>
          <a:ext cx="1199880" cy="561600"/>
        </a:xfrm>
        <a:prstGeom prst="rect">
          <a:avLst/>
        </a:prstGeom>
        <a:solidFill>
          <a:srgbClr val="ffffff"/>
        </a:solidFill>
        <a:ln w="12700">
          <a:solidFill>
            <a:srgbClr val="31538f"/>
          </a:solidFill>
          <a:miter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ctr">
          <a:noAutofit/>
        </a:bodyPr>
        <a:p>
          <a:pPr algn="ctr">
            <a:lnSpc>
              <a:spcPct val="100000"/>
            </a:lnSpc>
            <a:tabLst>
              <a:tab algn="l" pos="0"/>
            </a:tabLst>
          </a:pPr>
          <a:r>
            <a:rPr lang="en-US" sz="1100" b="0" u="none" strike="noStrike">
              <a:effectLst/>
              <a:uFillTx/>
              <a:latin typeface="Calibri"/>
              <a:ea typeface="Calibri"/>
            </a:rPr>
            <a:t>Planta Pleito</a:t>
          </a:r>
          <a:endParaRPr lang="es-CL" sz="1100" b="0" u="none" strike="noStrike">
            <a:effectLst/>
            <a:uFillTx/>
            <a:latin typeface="Times New Roman"/>
          </a:endParaRPr>
        </a:p>
        <a:p>
          <a:pPr>
            <a:lnSpc>
              <a:spcPct val="100000"/>
            </a:lnSpc>
            <a:tabLst>
              <a:tab algn="l" pos="0"/>
            </a:tabLst>
          </a:pPr>
          <a:endParaRPr lang="es-CL" sz="11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0</xdr:col>
      <xdr:colOff>276120</xdr:colOff>
      <xdr:row>8</xdr:row>
      <xdr:rowOff>0</xdr:rowOff>
    </xdr:from>
    <xdr:to>
      <xdr:col>1</xdr:col>
      <xdr:colOff>388800</xdr:colOff>
      <xdr:row>9</xdr:row>
      <xdr:rowOff>113760</xdr:rowOff>
    </xdr:to>
    <xdr:sp>
      <xdr:nvSpPr>
        <xdr:cNvPr id="124" name="Shape 75"/>
        <xdr:cNvSpPr/>
      </xdr:nvSpPr>
      <xdr:spPr>
        <a:xfrm>
          <a:off x="276120" y="1523880"/>
          <a:ext cx="923400" cy="30456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noAutofit/>
        </a:bodyPr>
        <a:p>
          <a:pPr>
            <a:lnSpc>
              <a:spcPct val="100000"/>
            </a:lnSpc>
            <a:tabLst>
              <a:tab algn="l" pos="0"/>
            </a:tabLst>
          </a:pPr>
          <a:r>
            <a:rPr lang="en-US" sz="1100" b="0" u="none" strike="noStrike">
              <a:effectLst/>
              <a:uFillTx/>
              <a:latin typeface="Calibri"/>
              <a:ea typeface="Calibri"/>
            </a:rPr>
            <a:t>ML Acopio</a:t>
          </a:r>
          <a:endParaRPr lang="es-CL" sz="1100" b="0" u="none" strike="noStrik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1</xdr:col>
      <xdr:colOff>9360</xdr:colOff>
      <xdr:row>10</xdr:row>
      <xdr:rowOff>0</xdr:rowOff>
    </xdr:from>
    <xdr:to>
      <xdr:col>3</xdr:col>
      <xdr:colOff>806760</xdr:colOff>
      <xdr:row>10</xdr:row>
      <xdr:rowOff>360</xdr:rowOff>
    </xdr:to>
    <xdr:grpSp>
      <xdr:nvGrpSpPr>
        <xdr:cNvPr id="125" name="Shape 2"/>
        <xdr:cNvGrpSpPr/>
      </xdr:nvGrpSpPr>
      <xdr:grpSpPr>
        <a:xfrm>
          <a:off x="820080" y="1905120"/>
          <a:ext cx="2419200" cy="360"/>
          <a:chOff x="820080" y="1905120"/>
          <a:chExt cx="2419200" cy="360"/>
        </a:xfrm>
      </xdr:grpSpPr>
      <xdr:grpSp>
        <xdr:nvGrpSpPr>
          <xdr:cNvPr id="126" name="Shape 76"/>
          <xdr:cNvGrpSpPr/>
        </xdr:nvGrpSpPr>
        <xdr:grpSpPr>
          <a:xfrm>
            <a:off x="820080" y="1905120"/>
            <a:ext cx="2419200" cy="360"/>
            <a:chOff x="820080" y="1905120"/>
            <a:chExt cx="2419200" cy="360"/>
          </a:xfrm>
        </xdr:grpSpPr>
        <xdr:sp>
          <xdr:nvSpPr>
            <xdr:cNvPr id="127" name="Shape 5"/>
            <xdr:cNvSpPr/>
          </xdr:nvSpPr>
          <xdr:spPr>
            <a:xfrm>
              <a:off x="820080" y="1905120"/>
              <a:ext cx="2418480" cy="3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/>
            <a:fillRef idx="0"/>
            <a:effectRef idx="0"/>
            <a:fontRef idx="minor"/>
          </xdr:style>
        </xdr:sp>
        <xdr:cxnSp>
          <xdr:nvCxnSpPr>
            <xdr:cNvPr id="128" name="Shape 77"/>
            <xdr:cNvCxnSpPr/>
          </xdr:nvCxnSpPr>
          <xdr:spPr>
            <a:xfrm>
              <a:off x="820080" y="1905120"/>
              <a:ext cx="2419560" cy="360"/>
            </a:xfrm>
            <a:prstGeom prst="bentConnector2">
              <a:avLst/>
            </a:prstGeom>
            <a:ln w="9525">
              <a:solidFill>
                <a:srgbClr val="4472c4"/>
              </a:solidFill>
              <a:miter/>
              <a:tailEnd len="med" type="triangle" w="med"/>
            </a:ln>
          </xdr:spPr>
        </xdr:cxnSp>
      </xdr:grpSp>
    </xdr:grp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015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E15" activeCellId="0" sqref="E15"/>
    </sheetView>
  </sheetViews>
  <sheetFormatPr defaultColWidth="14.4453125" defaultRowHeight="15" customHeight="true" zeroHeight="false" outlineLevelRow="0" outlineLevelCol="0"/>
  <cols>
    <col collapsed="false" customWidth="true" hidden="false" outlineLevel="0" max="2" min="1" style="0" width="11.44"/>
    <col collapsed="false" customWidth="true" hidden="false" outlineLevel="0" max="3" min="3" style="0" width="36.11"/>
    <col collapsed="false" customWidth="true" hidden="false" outlineLevel="0" max="7" min="4" style="0" width="11.44"/>
    <col collapsed="false" customWidth="true" hidden="false" outlineLevel="0" max="8" min="8" style="0" width="16.44"/>
    <col collapsed="false" customWidth="true" hidden="false" outlineLevel="0" max="12" min="9" style="0" width="11.44"/>
    <col collapsed="false" customWidth="true" hidden="false" outlineLevel="0" max="13" min="13" style="0" width="13"/>
    <col collapsed="false" customWidth="true" hidden="false" outlineLevel="0" max="15" min="14" style="0" width="11.44"/>
    <col collapsed="false" customWidth="true" hidden="false" outlineLevel="0" max="16" min="16" style="0" width="13"/>
    <col collapsed="false" customWidth="true" hidden="false" outlineLevel="0" max="17" min="17" style="0" width="15.66"/>
    <col collapsed="false" customWidth="true" hidden="false" outlineLevel="0" max="24" min="18" style="0" width="11.44"/>
  </cols>
  <sheetData>
    <row r="1" customFormat="false" ht="15" hidden="false" customHeight="false" outlineLevel="0" collapsed="false">
      <c r="A1" s="1"/>
      <c r="B1" s="1"/>
      <c r="C1" s="1"/>
      <c r="D1" s="2"/>
      <c r="E1" s="2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customFormat="false" ht="15" hidden="false" customHeight="false" outlineLevel="0" collapsed="false">
      <c r="A2" s="1"/>
      <c r="B2" s="3"/>
      <c r="C2" s="4"/>
      <c r="D2" s="5"/>
      <c r="E2" s="5"/>
      <c r="F2" s="5"/>
      <c r="G2" s="6"/>
      <c r="H2" s="7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</row>
    <row r="3" customFormat="false" ht="15" hidden="false" customHeight="false" outlineLevel="0" collapsed="false">
      <c r="A3" s="1"/>
      <c r="B3" s="8"/>
      <c r="C3" s="7"/>
      <c r="D3" s="9"/>
      <c r="E3" s="9"/>
      <c r="F3" s="9"/>
      <c r="G3" s="10"/>
      <c r="H3" s="7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</row>
    <row r="4" customFormat="false" ht="15" hidden="false" customHeight="false" outlineLevel="0" collapsed="false">
      <c r="A4" s="1"/>
      <c r="B4" s="8"/>
      <c r="C4" s="11" t="s">
        <v>0</v>
      </c>
      <c r="D4" s="11"/>
      <c r="E4" s="11"/>
      <c r="F4" s="11"/>
      <c r="G4" s="10"/>
      <c r="H4" s="7"/>
      <c r="I4" s="1"/>
      <c r="J4" s="1"/>
      <c r="K4" s="1"/>
      <c r="L4" s="1"/>
      <c r="M4" s="12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customFormat="false" ht="15" hidden="false" customHeight="false" outlineLevel="0" collapsed="false">
      <c r="A5" s="1"/>
      <c r="B5" s="8"/>
      <c r="C5" s="7"/>
      <c r="D5" s="9"/>
      <c r="E5" s="9"/>
      <c r="F5" s="9"/>
      <c r="G5" s="10"/>
      <c r="H5" s="7"/>
      <c r="I5" s="1"/>
      <c r="J5" s="1"/>
      <c r="K5" s="1"/>
      <c r="L5" s="1"/>
      <c r="M5" s="2"/>
      <c r="N5" s="2"/>
      <c r="O5" s="2"/>
      <c r="P5" s="2"/>
      <c r="Q5" s="2"/>
      <c r="R5" s="2"/>
      <c r="S5" s="2"/>
      <c r="T5" s="2"/>
      <c r="U5" s="2"/>
      <c r="V5" s="1"/>
      <c r="W5" s="1"/>
      <c r="X5" s="1"/>
      <c r="Y5" s="1"/>
      <c r="Z5" s="1"/>
      <c r="AA5" s="1"/>
      <c r="AB5" s="1"/>
    </row>
    <row r="6" customFormat="false" ht="15" hidden="false" customHeight="false" outlineLevel="0" collapsed="false">
      <c r="A6" s="1"/>
      <c r="B6" s="8"/>
      <c r="C6" s="13" t="s">
        <v>1</v>
      </c>
      <c r="D6" s="14" t="n">
        <f aca="true">TODAY()-2</f>
        <v>46140</v>
      </c>
      <c r="E6" s="14"/>
      <c r="F6" s="14"/>
      <c r="G6" s="10"/>
      <c r="H6" s="7"/>
      <c r="I6" s="1"/>
      <c r="J6" s="1"/>
      <c r="K6" s="1"/>
      <c r="L6" s="1"/>
      <c r="M6" s="15"/>
      <c r="N6" s="16"/>
      <c r="O6" s="16"/>
      <c r="P6" s="16"/>
      <c r="Q6" s="16"/>
      <c r="R6" s="16"/>
      <c r="S6" s="16"/>
      <c r="T6" s="16"/>
      <c r="U6" s="16"/>
      <c r="V6" s="1"/>
      <c r="W6" s="1"/>
      <c r="X6" s="1"/>
      <c r="Y6" s="1"/>
      <c r="Z6" s="1"/>
      <c r="AA6" s="1"/>
      <c r="AB6" s="1"/>
    </row>
    <row r="7" customFormat="false" ht="15" hidden="false" customHeight="false" outlineLevel="0" collapsed="false">
      <c r="A7" s="1"/>
      <c r="B7" s="8"/>
      <c r="C7" s="7"/>
      <c r="D7" s="9"/>
      <c r="E7" s="9"/>
      <c r="F7" s="9"/>
      <c r="G7" s="17"/>
      <c r="H7" s="7"/>
      <c r="I7" s="1"/>
      <c r="J7" s="1"/>
      <c r="K7" s="1"/>
      <c r="L7" s="1"/>
      <c r="M7" s="15"/>
      <c r="N7" s="16"/>
      <c r="O7" s="16"/>
      <c r="P7" s="16"/>
      <c r="Q7" s="16"/>
      <c r="R7" s="16"/>
      <c r="S7" s="16"/>
      <c r="T7" s="16"/>
      <c r="U7" s="16"/>
      <c r="V7" s="1"/>
      <c r="W7" s="1"/>
      <c r="X7" s="1"/>
      <c r="Y7" s="1"/>
      <c r="Z7" s="1"/>
      <c r="AA7" s="1"/>
      <c r="AB7" s="1"/>
    </row>
    <row r="8" customFormat="false" ht="15" hidden="false" customHeight="false" outlineLevel="0" collapsed="false">
      <c r="A8" s="1"/>
      <c r="B8" s="8"/>
      <c r="C8" s="18" t="s">
        <v>2</v>
      </c>
      <c r="D8" s="18"/>
      <c r="E8" s="18"/>
      <c r="F8" s="18"/>
      <c r="G8" s="10"/>
      <c r="H8" s="7"/>
      <c r="I8" s="1"/>
      <c r="J8" s="1"/>
      <c r="K8" s="1"/>
      <c r="L8" s="1"/>
      <c r="M8" s="15"/>
      <c r="N8" s="16"/>
      <c r="O8" s="16"/>
      <c r="P8" s="16"/>
      <c r="Q8" s="16"/>
      <c r="R8" s="16"/>
      <c r="S8" s="16"/>
      <c r="T8" s="16"/>
      <c r="U8" s="16"/>
      <c r="V8" s="1"/>
      <c r="W8" s="1"/>
      <c r="X8" s="1"/>
      <c r="Y8" s="1"/>
      <c r="Z8" s="1"/>
      <c r="AA8" s="1"/>
      <c r="AB8" s="1"/>
    </row>
    <row r="9" customFormat="false" ht="15" hidden="false" customHeight="false" outlineLevel="0" collapsed="false">
      <c r="A9" s="1"/>
      <c r="B9" s="8"/>
      <c r="C9" s="19" t="s">
        <v>3</v>
      </c>
      <c r="D9" s="20" t="s">
        <v>4</v>
      </c>
      <c r="E9" s="20" t="s">
        <v>5</v>
      </c>
      <c r="F9" s="20" t="s">
        <v>6</v>
      </c>
      <c r="G9" s="10"/>
      <c r="H9" s="7"/>
      <c r="I9" s="21" t="s">
        <v>7</v>
      </c>
      <c r="J9" s="21"/>
      <c r="K9" s="21"/>
      <c r="L9" s="1"/>
      <c r="M9" s="15"/>
      <c r="N9" s="16"/>
      <c r="O9" s="16"/>
      <c r="P9" s="16"/>
      <c r="Q9" s="16"/>
      <c r="R9" s="16"/>
      <c r="S9" s="16"/>
      <c r="T9" s="16"/>
      <c r="U9" s="16"/>
      <c r="V9" s="1"/>
      <c r="W9" s="1"/>
      <c r="X9" s="1"/>
      <c r="Y9" s="1"/>
      <c r="Z9" s="1"/>
      <c r="AA9" s="1"/>
      <c r="AB9" s="1"/>
    </row>
    <row r="10" customFormat="false" ht="15" hidden="true" customHeight="false" outlineLevel="0" collapsed="false">
      <c r="A10" s="1"/>
      <c r="B10" s="8"/>
      <c r="C10" s="22" t="s">
        <v>8</v>
      </c>
      <c r="D10" s="23" t="n">
        <f aca="false">Flujos!H6</f>
        <v>36777.591411</v>
      </c>
      <c r="E10" s="24" t="n">
        <f aca="false">Flujos!I6</f>
        <v>0.52832609075</v>
      </c>
      <c r="F10" s="24" t="n">
        <f aca="false">Flujos!J6</f>
        <v>0.49928316254</v>
      </c>
      <c r="G10" s="10"/>
      <c r="H10" s="25" t="n">
        <f aca="false">+F10/E10</f>
        <v>0.945028404391744</v>
      </c>
      <c r="I10" s="26" t="n">
        <f aca="false">D10</f>
        <v>36777.591411</v>
      </c>
      <c r="J10" s="27" t="n">
        <f aca="false">E10</f>
        <v>0.52832609075</v>
      </c>
      <c r="K10" s="27" t="n">
        <f aca="false">F10</f>
        <v>0.49928316254</v>
      </c>
      <c r="L10" s="1"/>
      <c r="M10" s="15"/>
      <c r="N10" s="16"/>
      <c r="O10" s="16"/>
      <c r="P10" s="16"/>
      <c r="Q10" s="16"/>
      <c r="R10" s="16"/>
      <c r="S10" s="16"/>
      <c r="T10" s="16"/>
      <c r="U10" s="16"/>
      <c r="V10" s="1"/>
      <c r="W10" s="1"/>
      <c r="X10" s="1"/>
      <c r="Y10" s="1"/>
      <c r="Z10" s="1"/>
      <c r="AA10" s="1"/>
      <c r="AB10" s="1"/>
    </row>
    <row r="11" customFormat="false" ht="15" hidden="true" customHeight="false" outlineLevel="0" collapsed="false">
      <c r="A11" s="1"/>
      <c r="B11" s="8"/>
      <c r="C11" s="28" t="s">
        <v>9</v>
      </c>
      <c r="D11" s="29" t="n">
        <v>0</v>
      </c>
      <c r="E11" s="30" t="n">
        <v>0</v>
      </c>
      <c r="F11" s="30" t="n">
        <v>0</v>
      </c>
      <c r="G11" s="10"/>
      <c r="H11" s="25" t="e">
        <f aca="false">+F11/E11</f>
        <v>#DIV/0!</v>
      </c>
      <c r="I11" s="26" t="n">
        <f aca="false">D13</f>
        <v>79422.600229</v>
      </c>
      <c r="J11" s="27" t="n">
        <f aca="false">E13</f>
        <v>0.3542</v>
      </c>
      <c r="K11" s="27" t="n">
        <f aca="false">F13</f>
        <v>0.30384766077</v>
      </c>
      <c r="L11" s="1"/>
      <c r="M11" s="15"/>
      <c r="N11" s="16"/>
      <c r="O11" s="16"/>
      <c r="P11" s="16"/>
      <c r="Q11" s="16"/>
      <c r="R11" s="16"/>
      <c r="S11" s="16"/>
      <c r="T11" s="16"/>
      <c r="U11" s="16"/>
      <c r="V11" s="1"/>
      <c r="W11" s="1"/>
      <c r="X11" s="1"/>
      <c r="Y11" s="1"/>
      <c r="Z11" s="1"/>
      <c r="AA11" s="1"/>
      <c r="AB11" s="1"/>
    </row>
    <row r="12" customFormat="false" ht="15" hidden="true" customHeight="false" outlineLevel="0" collapsed="false">
      <c r="A12" s="1"/>
      <c r="B12" s="8"/>
      <c r="C12" s="28" t="s">
        <v>10</v>
      </c>
      <c r="D12" s="29" t="n">
        <f aca="false">D10</f>
        <v>36777.591411</v>
      </c>
      <c r="E12" s="30" t="n">
        <f aca="false">E10</f>
        <v>0.52832609075</v>
      </c>
      <c r="F12" s="30" t="n">
        <f aca="false">F10</f>
        <v>0.49928316254</v>
      </c>
      <c r="G12" s="10"/>
      <c r="H12" s="25" t="n">
        <f aca="false">+F12/E12</f>
        <v>0.945028404391744</v>
      </c>
      <c r="I12" s="26" t="n">
        <f aca="false">SUM(I10:I11)</f>
        <v>116200.19164</v>
      </c>
      <c r="J12" s="31" t="n">
        <f aca="false">SUMPRODUCT($I$10:$I$11,J10:J11)/$I$12</f>
        <v>0.409311253511855</v>
      </c>
      <c r="K12" s="31" t="n">
        <f aca="false">SUMPRODUCT($I$10:$I$11,K10:K11)/$I$12</f>
        <v>0.365703385187124</v>
      </c>
      <c r="L12" s="1"/>
      <c r="M12" s="15"/>
      <c r="N12" s="16"/>
      <c r="O12" s="16"/>
      <c r="P12" s="16"/>
      <c r="Q12" s="16"/>
      <c r="R12" s="16"/>
      <c r="S12" s="16"/>
      <c r="T12" s="16"/>
      <c r="U12" s="16"/>
      <c r="V12" s="1"/>
      <c r="W12" s="1"/>
      <c r="X12" s="1"/>
      <c r="Y12" s="1"/>
      <c r="Z12" s="1"/>
      <c r="AA12" s="1"/>
      <c r="AB12" s="1"/>
    </row>
    <row r="13" customFormat="false" ht="15" hidden="false" customHeight="false" outlineLevel="0" collapsed="false">
      <c r="A13" s="1"/>
      <c r="B13" s="8"/>
      <c r="C13" s="22" t="s">
        <v>11</v>
      </c>
      <c r="D13" s="23" t="n">
        <f aca="false">Flujos!H22</f>
        <v>79422.600229</v>
      </c>
      <c r="E13" s="24" t="n">
        <f aca="false">Flujos!I22</f>
        <v>0.3542</v>
      </c>
      <c r="F13" s="24" t="n">
        <f aca="false">Flujos!J22</f>
        <v>0.30384766077</v>
      </c>
      <c r="G13" s="10"/>
      <c r="H13" s="25" t="n">
        <f aca="false">+F13/E13</f>
        <v>0.857842068802936</v>
      </c>
      <c r="I13" s="1"/>
      <c r="J13" s="1"/>
      <c r="K13" s="1"/>
      <c r="L13" s="1"/>
      <c r="M13" s="15"/>
      <c r="N13" s="16"/>
      <c r="O13" s="16"/>
      <c r="P13" s="16"/>
      <c r="Q13" s="16"/>
      <c r="R13" s="16"/>
      <c r="S13" s="16"/>
      <c r="T13" s="16"/>
      <c r="U13" s="16"/>
      <c r="V13" s="1"/>
      <c r="W13" s="1"/>
      <c r="X13" s="1"/>
      <c r="Y13" s="1"/>
      <c r="Z13" s="1"/>
      <c r="AA13" s="1"/>
      <c r="AB13" s="1"/>
    </row>
    <row r="14" customFormat="false" ht="15" hidden="true" customHeight="false" outlineLevel="0" collapsed="false">
      <c r="A14" s="1"/>
      <c r="B14" s="8"/>
      <c r="C14" s="28" t="s">
        <v>9</v>
      </c>
      <c r="D14" s="29" t="n">
        <v>0</v>
      </c>
      <c r="E14" s="30" t="n">
        <v>0</v>
      </c>
      <c r="F14" s="30" t="n">
        <v>0</v>
      </c>
      <c r="G14" s="10"/>
      <c r="H14" s="25" t="e">
        <f aca="false">+F14/E14</f>
        <v>#DIV/0!</v>
      </c>
      <c r="I14" s="1"/>
      <c r="J14" s="1"/>
      <c r="K14" s="1"/>
      <c r="L14" s="1"/>
      <c r="M14" s="15"/>
      <c r="N14" s="16"/>
      <c r="O14" s="16"/>
      <c r="P14" s="16"/>
      <c r="Q14" s="16"/>
      <c r="R14" s="16"/>
      <c r="S14" s="16"/>
      <c r="T14" s="16"/>
      <c r="U14" s="16"/>
      <c r="V14" s="1"/>
      <c r="W14" s="1"/>
      <c r="X14" s="1"/>
      <c r="Y14" s="1"/>
      <c r="Z14" s="1"/>
      <c r="AA14" s="1"/>
      <c r="AB14" s="1"/>
    </row>
    <row r="15" customFormat="false" ht="15" hidden="false" customHeight="false" outlineLevel="0" collapsed="false">
      <c r="A15" s="1"/>
      <c r="B15" s="8"/>
      <c r="C15" s="28" t="s">
        <v>12</v>
      </c>
      <c r="D15" s="29" t="n">
        <f aca="false">D13</f>
        <v>79422.600229</v>
      </c>
      <c r="E15" s="30" t="n">
        <f aca="false">E13</f>
        <v>0.3542</v>
      </c>
      <c r="F15" s="30" t="n">
        <f aca="false">F13</f>
        <v>0.30384766077</v>
      </c>
      <c r="G15" s="10"/>
      <c r="H15" s="25" t="n">
        <f aca="false">+F15/E15</f>
        <v>0.857842068802936</v>
      </c>
      <c r="I15" s="1"/>
      <c r="J15" s="22" t="s">
        <v>13</v>
      </c>
      <c r="K15" s="22" t="s">
        <v>14</v>
      </c>
      <c r="L15" s="1"/>
      <c r="M15" s="15"/>
      <c r="N15" s="16"/>
      <c r="O15" s="16"/>
      <c r="P15" s="16"/>
      <c r="Q15" s="16"/>
      <c r="R15" s="16"/>
      <c r="S15" s="16"/>
      <c r="T15" s="16"/>
      <c r="U15" s="16"/>
      <c r="V15" s="1"/>
      <c r="W15" s="1"/>
      <c r="X15" s="1"/>
      <c r="Y15" s="1"/>
      <c r="Z15" s="1"/>
      <c r="AA15" s="1"/>
      <c r="AB15" s="1"/>
    </row>
    <row r="16" customFormat="false" ht="15" hidden="true" customHeight="false" outlineLevel="0" collapsed="false">
      <c r="A16" s="1"/>
      <c r="B16" s="8"/>
      <c r="C16" s="28" t="s">
        <v>15</v>
      </c>
      <c r="D16" s="29" t="n">
        <v>13114.856148</v>
      </c>
      <c r="E16" s="32" t="n">
        <v>0.35974301741</v>
      </c>
      <c r="F16" s="32" t="n">
        <v>0.29708978894</v>
      </c>
      <c r="G16" s="10"/>
      <c r="H16" s="33" t="n">
        <f aca="false">+F16/E16</f>
        <v>0.825838931020602</v>
      </c>
      <c r="I16" s="1"/>
      <c r="J16" s="31"/>
      <c r="K16" s="31"/>
      <c r="L16" s="1"/>
      <c r="M16" s="15"/>
      <c r="N16" s="16"/>
      <c r="O16" s="16"/>
      <c r="P16" s="16"/>
      <c r="Q16" s="16"/>
      <c r="R16" s="16"/>
      <c r="S16" s="16"/>
      <c r="T16" s="16"/>
      <c r="U16" s="16"/>
      <c r="V16" s="1"/>
      <c r="W16" s="1"/>
      <c r="X16" s="1"/>
      <c r="Y16" s="1"/>
      <c r="Z16" s="1"/>
      <c r="AA16" s="1"/>
      <c r="AB16" s="1"/>
    </row>
    <row r="17" customFormat="false" ht="15" hidden="false" customHeight="false" outlineLevel="0" collapsed="false">
      <c r="A17" s="1"/>
      <c r="B17" s="8"/>
      <c r="C17" s="34" t="s">
        <v>16</v>
      </c>
      <c r="D17" s="35" t="n">
        <f aca="false">SUM(D10,D13)</f>
        <v>116200.19164</v>
      </c>
      <c r="E17" s="36" t="n">
        <f aca="false">J12</f>
        <v>0.409311253511855</v>
      </c>
      <c r="F17" s="36" t="n">
        <f aca="false">K12</f>
        <v>0.365703385187124</v>
      </c>
      <c r="G17" s="10"/>
      <c r="H17" s="7"/>
      <c r="I17" s="37"/>
      <c r="J17" s="38" t="n">
        <v>118976</v>
      </c>
      <c r="K17" s="38" t="n">
        <v>101611.428</v>
      </c>
      <c r="L17" s="1"/>
      <c r="M17" s="15"/>
      <c r="N17" s="16"/>
      <c r="O17" s="16"/>
      <c r="P17" s="16"/>
      <c r="Q17" s="16"/>
      <c r="R17" s="16"/>
      <c r="S17" s="16"/>
      <c r="T17" s="16"/>
      <c r="U17" s="16"/>
      <c r="V17" s="1"/>
      <c r="W17" s="1"/>
      <c r="X17" s="1"/>
      <c r="Y17" s="1"/>
      <c r="Z17" s="1"/>
      <c r="AA17" s="1"/>
      <c r="AB17" s="1"/>
    </row>
    <row r="18" customFormat="false" ht="7.5" hidden="false" customHeight="true" outlineLevel="0" collapsed="false">
      <c r="A18" s="1"/>
      <c r="B18" s="8"/>
      <c r="C18" s="7"/>
      <c r="D18" s="39"/>
      <c r="E18" s="40"/>
      <c r="F18" s="40"/>
      <c r="G18" s="10"/>
      <c r="H18" s="7"/>
      <c r="I18" s="1"/>
      <c r="J18" s="31"/>
      <c r="K18" s="31"/>
      <c r="L18" s="1"/>
      <c r="M18" s="1"/>
      <c r="N18" s="16"/>
      <c r="O18" s="16"/>
      <c r="P18" s="16"/>
      <c r="Q18" s="16"/>
      <c r="R18" s="16"/>
      <c r="S18" s="16"/>
      <c r="T18" s="16"/>
      <c r="U18" s="16"/>
      <c r="V18" s="1"/>
      <c r="W18" s="1"/>
      <c r="X18" s="1"/>
      <c r="Y18" s="1"/>
      <c r="Z18" s="1"/>
      <c r="AA18" s="1"/>
      <c r="AB18" s="1"/>
    </row>
    <row r="19" customFormat="false" ht="15" hidden="false" customHeight="false" outlineLevel="0" collapsed="false">
      <c r="A19" s="1"/>
      <c r="B19" s="8"/>
      <c r="C19" s="18" t="s">
        <v>17</v>
      </c>
      <c r="D19" s="18"/>
      <c r="E19" s="18"/>
      <c r="F19" s="18"/>
      <c r="G19" s="10"/>
      <c r="H19" s="7"/>
      <c r="I19" s="1"/>
      <c r="J19" s="41" t="n">
        <f aca="false">$D$17/J17</f>
        <v>0.976669173951049</v>
      </c>
      <c r="K19" s="41" t="n">
        <f aca="false">$D$17/K17</f>
        <v>1.14357404405339</v>
      </c>
      <c r="L19" s="1"/>
      <c r="M19" s="15"/>
      <c r="N19" s="16"/>
      <c r="O19" s="16"/>
      <c r="P19" s="16"/>
      <c r="Q19" s="16"/>
      <c r="R19" s="16"/>
      <c r="S19" s="16"/>
      <c r="T19" s="16"/>
      <c r="U19" s="16"/>
      <c r="V19" s="1"/>
      <c r="W19" s="1"/>
      <c r="X19" s="1"/>
      <c r="Y19" s="1"/>
      <c r="Z19" s="1"/>
      <c r="AA19" s="1"/>
      <c r="AB19" s="1"/>
    </row>
    <row r="20" customFormat="false" ht="15" hidden="true" customHeight="false" outlineLevel="0" collapsed="false">
      <c r="A20" s="1"/>
      <c r="B20" s="8"/>
      <c r="C20" s="42" t="s">
        <v>18</v>
      </c>
      <c r="D20" s="42"/>
      <c r="E20" s="42"/>
      <c r="F20" s="42"/>
      <c r="G20" s="10"/>
      <c r="H20" s="43" t="s">
        <v>19</v>
      </c>
      <c r="I20" s="31" t="s">
        <v>20</v>
      </c>
      <c r="J20" s="1"/>
      <c r="K20" s="1"/>
      <c r="L20" s="1"/>
      <c r="M20" s="15"/>
      <c r="N20" s="16"/>
      <c r="O20" s="16"/>
      <c r="P20" s="16"/>
      <c r="Q20" s="16"/>
      <c r="R20" s="16"/>
      <c r="S20" s="16"/>
      <c r="T20" s="16"/>
      <c r="U20" s="16"/>
      <c r="V20" s="1"/>
      <c r="W20" s="1"/>
      <c r="X20" s="1"/>
      <c r="Y20" s="1"/>
      <c r="Z20" s="1"/>
      <c r="AA20" s="1"/>
      <c r="AB20" s="1"/>
    </row>
    <row r="21" customFormat="false" ht="15" hidden="true" customHeight="false" outlineLevel="0" collapsed="false">
      <c r="A21" s="1"/>
      <c r="B21" s="8"/>
      <c r="C21" s="31" t="s">
        <v>21</v>
      </c>
      <c r="D21" s="44" t="n">
        <f aca="false">Flujos!H7</f>
        <v>11452.675821</v>
      </c>
      <c r="E21" s="45" t="n">
        <f aca="false">Flujos!I7</f>
        <v>0.6006929912</v>
      </c>
      <c r="F21" s="45" t="s">
        <v>22</v>
      </c>
      <c r="G21" s="10"/>
      <c r="H21" s="46" t="n">
        <f aca="false">+D21/$D$10*100</f>
        <v>31.1403639597088</v>
      </c>
      <c r="I21" s="47" t="n">
        <f aca="false">+H21*E21/$E$10</f>
        <v>35.4057819621587</v>
      </c>
      <c r="J21" s="1"/>
      <c r="K21" s="1"/>
      <c r="L21" s="1"/>
      <c r="M21" s="15"/>
      <c r="N21" s="16"/>
      <c r="O21" s="16"/>
      <c r="P21" s="16"/>
      <c r="Q21" s="16"/>
      <c r="R21" s="16"/>
      <c r="S21" s="16"/>
      <c r="T21" s="16"/>
      <c r="U21" s="16"/>
      <c r="V21" s="1"/>
      <c r="W21" s="1"/>
      <c r="X21" s="1"/>
      <c r="Y21" s="1"/>
      <c r="Z21" s="1"/>
      <c r="AA21" s="1"/>
      <c r="AB21" s="1"/>
    </row>
    <row r="22" customFormat="false" ht="15" hidden="true" customHeight="false" outlineLevel="0" collapsed="false">
      <c r="A22" s="1"/>
      <c r="B22" s="8"/>
      <c r="C22" s="31" t="s">
        <v>23</v>
      </c>
      <c r="D22" s="44" t="n">
        <f aca="false">Flujos!H11</f>
        <v>7425</v>
      </c>
      <c r="E22" s="45" t="n">
        <f aca="false">Flujos!I11</f>
        <v>0.5951</v>
      </c>
      <c r="F22" s="45" t="s">
        <v>22</v>
      </c>
      <c r="G22" s="10"/>
      <c r="H22" s="46" t="n">
        <f aca="false">+D22/$D$10*100</f>
        <v>20.1889240571073</v>
      </c>
      <c r="I22" s="47" t="n">
        <f aca="false">+H22*E22/$E$10</f>
        <v>22.7405553440095</v>
      </c>
      <c r="J22" s="1"/>
      <c r="K22" s="1"/>
      <c r="L22" s="1"/>
      <c r="M22" s="15"/>
      <c r="N22" s="16"/>
      <c r="O22" s="16"/>
      <c r="P22" s="16"/>
      <c r="Q22" s="16"/>
      <c r="R22" s="16"/>
      <c r="S22" s="16"/>
      <c r="T22" s="16"/>
      <c r="U22" s="16"/>
      <c r="V22" s="1"/>
      <c r="W22" s="1"/>
      <c r="X22" s="1"/>
      <c r="Y22" s="1"/>
      <c r="Z22" s="1"/>
      <c r="AA22" s="1"/>
      <c r="AB22" s="1"/>
    </row>
    <row r="23" customFormat="false" ht="15" hidden="true" customHeight="false" outlineLevel="0" collapsed="false">
      <c r="A23" s="1"/>
      <c r="B23" s="8"/>
      <c r="C23" s="31" t="s">
        <v>24</v>
      </c>
      <c r="D23" s="44" t="n">
        <v>10379.0834381</v>
      </c>
      <c r="E23" s="45" t="n">
        <v>0.82474918523</v>
      </c>
      <c r="F23" s="45" t="n">
        <v>0.75918980837</v>
      </c>
      <c r="G23" s="10"/>
      <c r="H23" s="46" t="n">
        <f aca="false">+D23/$D$10*100</f>
        <v>28.2212157998897</v>
      </c>
      <c r="I23" s="47" t="n">
        <f aca="false">+H23*E23/$E$10</f>
        <v>44.0550356014365</v>
      </c>
      <c r="J23" s="1"/>
      <c r="K23" s="1"/>
      <c r="L23" s="1"/>
      <c r="M23" s="15"/>
      <c r="N23" s="16"/>
      <c r="O23" s="16"/>
      <c r="P23" s="16"/>
      <c r="Q23" s="16"/>
      <c r="R23" s="16"/>
      <c r="S23" s="16"/>
      <c r="T23" s="16"/>
      <c r="U23" s="16"/>
      <c r="V23" s="1"/>
      <c r="W23" s="1"/>
      <c r="X23" s="1"/>
      <c r="Y23" s="1"/>
      <c r="Z23" s="1"/>
      <c r="AA23" s="1"/>
      <c r="AB23" s="1"/>
    </row>
    <row r="24" customFormat="false" ht="15" hidden="true" customHeight="false" outlineLevel="0" collapsed="false">
      <c r="A24" s="1"/>
      <c r="B24" s="8"/>
      <c r="C24" s="31" t="s">
        <v>25</v>
      </c>
      <c r="D24" s="44" t="n">
        <f aca="false">Flujos!H15</f>
        <v>10638.011689</v>
      </c>
      <c r="E24" s="45" t="n">
        <f aca="false">Flujos!I15</f>
        <v>0.42934585867</v>
      </c>
      <c r="F24" s="45" t="n">
        <f aca="false">Flujos!J15</f>
        <v>0.40050499832</v>
      </c>
      <c r="G24" s="10"/>
      <c r="H24" s="46" t="n">
        <f aca="false">+D24/$D$10*100</f>
        <v>28.9252538865779</v>
      </c>
      <c r="I24" s="47" t="n">
        <f aca="false">+H24*E24/$E$10</f>
        <v>23.5061985099976</v>
      </c>
      <c r="J24" s="1"/>
      <c r="K24" s="1"/>
      <c r="L24" s="1"/>
      <c r="M24" s="15"/>
      <c r="N24" s="16"/>
      <c r="O24" s="16"/>
      <c r="P24" s="16"/>
      <c r="Q24" s="16"/>
      <c r="R24" s="16"/>
      <c r="S24" s="16"/>
      <c r="T24" s="16"/>
      <c r="U24" s="16"/>
      <c r="V24" s="1"/>
      <c r="W24" s="1"/>
      <c r="X24" s="1"/>
      <c r="Y24" s="1"/>
      <c r="Z24" s="1"/>
      <c r="AA24" s="1"/>
      <c r="AB24" s="1"/>
    </row>
    <row r="25" customFormat="false" ht="15" hidden="true" customHeight="false" outlineLevel="0" collapsed="false">
      <c r="A25" s="1"/>
      <c r="B25" s="8"/>
      <c r="C25" s="31" t="s">
        <v>26</v>
      </c>
      <c r="D25" s="44" t="n">
        <f aca="false">Flujos!H18</f>
        <v>7261.9039016</v>
      </c>
      <c r="E25" s="45" t="n">
        <f aca="false">Flujos!I18</f>
        <v>0.49092018931</v>
      </c>
      <c r="F25" s="45" t="n">
        <f aca="false">Flujos!J18</f>
        <v>0.46871516196</v>
      </c>
      <c r="G25" s="10"/>
      <c r="H25" s="46" t="n">
        <f aca="false">+D25/$D$10*100</f>
        <v>19.7454580982375</v>
      </c>
      <c r="I25" s="47" t="n">
        <f aca="false">+H25*E25/$E$10</f>
        <v>18.3474641841724</v>
      </c>
      <c r="J25" s="1"/>
      <c r="K25" s="1"/>
      <c r="L25" s="1"/>
      <c r="M25" s="15"/>
      <c r="N25" s="16"/>
      <c r="O25" s="16"/>
      <c r="P25" s="16"/>
      <c r="Q25" s="16"/>
      <c r="R25" s="16"/>
      <c r="S25" s="16"/>
      <c r="T25" s="16"/>
      <c r="U25" s="16"/>
      <c r="V25" s="1"/>
      <c r="W25" s="1"/>
      <c r="X25" s="1"/>
      <c r="Y25" s="1"/>
      <c r="Z25" s="1"/>
      <c r="AA25" s="1"/>
      <c r="AB25" s="1"/>
    </row>
    <row r="26" customFormat="false" ht="15.75" hidden="true" customHeight="true" outlineLevel="0" collapsed="false">
      <c r="A26" s="1"/>
      <c r="B26" s="8"/>
      <c r="C26" s="42" t="s">
        <v>27</v>
      </c>
      <c r="D26" s="42"/>
      <c r="E26" s="42"/>
      <c r="F26" s="42"/>
      <c r="G26" s="10"/>
      <c r="H26" s="46" t="s">
        <v>28</v>
      </c>
      <c r="I26" s="47"/>
      <c r="J26" s="1"/>
      <c r="K26" s="1"/>
      <c r="L26" s="1"/>
      <c r="M26" s="15"/>
      <c r="N26" s="16"/>
      <c r="O26" s="16"/>
      <c r="P26" s="16"/>
      <c r="Q26" s="16"/>
      <c r="R26" s="16"/>
      <c r="S26" s="16"/>
      <c r="T26" s="16"/>
      <c r="U26" s="16"/>
      <c r="V26" s="1"/>
      <c r="W26" s="1"/>
      <c r="X26" s="1"/>
      <c r="Y26" s="1"/>
      <c r="Z26" s="1"/>
      <c r="AA26" s="1"/>
      <c r="AB26" s="1"/>
    </row>
    <row r="27" customFormat="false" ht="15.75" hidden="true" customHeight="true" outlineLevel="0" collapsed="false">
      <c r="A27" s="1"/>
      <c r="B27" s="8"/>
      <c r="C27" s="31" t="str">
        <f aca="false">+C21</f>
        <v>Granzas</v>
      </c>
      <c r="D27" s="44"/>
      <c r="E27" s="48"/>
      <c r="F27" s="48"/>
      <c r="G27" s="10"/>
      <c r="H27" s="46" t="n">
        <f aca="false">+D25+D36+D37</f>
        <v>59538.8374666</v>
      </c>
      <c r="I27" s="47"/>
      <c r="J27" s="37"/>
      <c r="K27" s="37" t="n">
        <f aca="false">+D25+D36+D37</f>
        <v>59538.8374666</v>
      </c>
      <c r="L27" s="1"/>
      <c r="M27" s="15"/>
      <c r="N27" s="16"/>
      <c r="O27" s="16"/>
      <c r="P27" s="16"/>
      <c r="Q27" s="16"/>
      <c r="R27" s="16"/>
      <c r="S27" s="16"/>
      <c r="T27" s="16"/>
      <c r="U27" s="16"/>
      <c r="V27" s="1"/>
      <c r="W27" s="1"/>
      <c r="X27" s="1"/>
      <c r="Y27" s="1"/>
      <c r="Z27" s="1"/>
      <c r="AA27" s="1"/>
      <c r="AB27" s="1"/>
    </row>
    <row r="28" customFormat="false" ht="15.75" hidden="true" customHeight="true" outlineLevel="0" collapsed="false">
      <c r="A28" s="1"/>
      <c r="B28" s="8"/>
      <c r="C28" s="31" t="s">
        <v>23</v>
      </c>
      <c r="D28" s="44"/>
      <c r="E28" s="48"/>
      <c r="F28" s="48"/>
      <c r="G28" s="10"/>
      <c r="H28" s="46" t="n">
        <f aca="false">+D45+D46+D47</f>
        <v>57320</v>
      </c>
      <c r="I28" s="47"/>
      <c r="J28" s="1"/>
      <c r="K28" s="37" t="n">
        <f aca="false">+D45+D46+D47</f>
        <v>57320</v>
      </c>
      <c r="L28" s="1"/>
      <c r="M28" s="15"/>
      <c r="N28" s="16"/>
      <c r="O28" s="16"/>
      <c r="P28" s="16"/>
      <c r="Q28" s="16"/>
      <c r="R28" s="16"/>
      <c r="S28" s="16"/>
      <c r="T28" s="16"/>
      <c r="U28" s="16"/>
      <c r="V28" s="1"/>
      <c r="W28" s="1"/>
      <c r="X28" s="1"/>
      <c r="Y28" s="1"/>
      <c r="Z28" s="1"/>
      <c r="AA28" s="1"/>
      <c r="AB28" s="1"/>
    </row>
    <row r="29" customFormat="false" ht="15.75" hidden="true" customHeight="true" outlineLevel="0" collapsed="false">
      <c r="A29" s="1"/>
      <c r="B29" s="8"/>
      <c r="C29" s="31" t="s">
        <v>29</v>
      </c>
      <c r="D29" s="44"/>
      <c r="E29" s="48"/>
      <c r="F29" s="48"/>
      <c r="G29" s="10"/>
      <c r="H29" s="46" t="n">
        <f aca="false">+H28-H27</f>
        <v>-2218.8374666</v>
      </c>
      <c r="I29" s="47"/>
      <c r="J29" s="1"/>
      <c r="K29" s="37" t="n">
        <f aca="false">+K27-K28</f>
        <v>2218.8374666</v>
      </c>
      <c r="L29" s="1"/>
      <c r="M29" s="15"/>
      <c r="N29" s="16"/>
      <c r="O29" s="16"/>
      <c r="P29" s="16"/>
      <c r="Q29" s="16"/>
      <c r="R29" s="16"/>
      <c r="S29" s="16"/>
      <c r="T29" s="16"/>
      <c r="U29" s="16"/>
      <c r="V29" s="1"/>
      <c r="W29" s="1"/>
      <c r="X29" s="1"/>
      <c r="Y29" s="1"/>
      <c r="Z29" s="1"/>
      <c r="AA29" s="1"/>
      <c r="AB29" s="1"/>
    </row>
    <row r="30" customFormat="false" ht="15.75" hidden="true" customHeight="true" outlineLevel="0" collapsed="false">
      <c r="A30" s="1"/>
      <c r="B30" s="8"/>
      <c r="C30" s="31" t="str">
        <f aca="false">+C25</f>
        <v>Prec. Mixto 2</v>
      </c>
      <c r="D30" s="44"/>
      <c r="E30" s="48"/>
      <c r="F30" s="48"/>
      <c r="G30" s="10"/>
      <c r="H30" s="46"/>
      <c r="I30" s="47"/>
      <c r="J30" s="1"/>
      <c r="K30" s="1"/>
      <c r="L30" s="1"/>
      <c r="M30" s="15"/>
      <c r="N30" s="16"/>
      <c r="O30" s="16"/>
      <c r="P30" s="16"/>
      <c r="Q30" s="16"/>
      <c r="R30" s="16"/>
      <c r="S30" s="1"/>
      <c r="T30" s="16"/>
      <c r="U30" s="16"/>
      <c r="V30" s="1"/>
      <c r="W30" s="1"/>
      <c r="X30" s="1"/>
      <c r="Y30" s="1"/>
      <c r="Z30" s="1"/>
      <c r="AA30" s="1"/>
      <c r="AB30" s="1"/>
    </row>
    <row r="31" customFormat="false" ht="15.75" hidden="true" customHeight="true" outlineLevel="0" collapsed="false">
      <c r="A31" s="1"/>
      <c r="B31" s="8"/>
      <c r="C31" s="42" t="s">
        <v>30</v>
      </c>
      <c r="D31" s="42"/>
      <c r="E31" s="42"/>
      <c r="F31" s="42"/>
      <c r="G31" s="10"/>
      <c r="H31" s="46"/>
      <c r="I31" s="47"/>
      <c r="J31" s="1"/>
      <c r="K31" s="1"/>
      <c r="L31" s="1"/>
      <c r="M31" s="1"/>
      <c r="N31" s="16"/>
      <c r="O31" s="16"/>
      <c r="P31" s="16"/>
      <c r="Q31" s="16"/>
      <c r="R31" s="16"/>
      <c r="S31" s="16"/>
      <c r="T31" s="16"/>
      <c r="U31" s="16"/>
      <c r="V31" s="1"/>
      <c r="W31" s="1"/>
      <c r="X31" s="1"/>
      <c r="Y31" s="1"/>
      <c r="Z31" s="1"/>
      <c r="AA31" s="1"/>
      <c r="AB31" s="1"/>
    </row>
    <row r="32" customFormat="false" ht="15.75" hidden="true" customHeight="true" outlineLevel="0" collapsed="false">
      <c r="A32" s="1"/>
      <c r="B32" s="8"/>
      <c r="C32" s="31" t="s">
        <v>31</v>
      </c>
      <c r="D32" s="44"/>
      <c r="E32" s="48"/>
      <c r="F32" s="48"/>
      <c r="G32" s="10"/>
      <c r="H32" s="46"/>
      <c r="I32" s="47"/>
      <c r="J32" s="1"/>
      <c r="K32" s="1"/>
      <c r="L32" s="1"/>
      <c r="M32" s="1"/>
      <c r="N32" s="16"/>
      <c r="O32" s="16"/>
      <c r="P32" s="16"/>
      <c r="Q32" s="16"/>
      <c r="R32" s="16"/>
      <c r="S32" s="16"/>
      <c r="T32" s="16"/>
      <c r="U32" s="16"/>
      <c r="V32" s="1"/>
      <c r="W32" s="1"/>
      <c r="X32" s="1"/>
      <c r="Y32" s="1"/>
      <c r="Z32" s="1"/>
      <c r="AA32" s="1"/>
      <c r="AB32" s="1"/>
    </row>
    <row r="33" customFormat="false" ht="15.75" hidden="true" customHeight="true" outlineLevel="0" collapsed="false">
      <c r="A33" s="1"/>
      <c r="B33" s="8"/>
      <c r="C33" s="31" t="s">
        <v>23</v>
      </c>
      <c r="D33" s="44"/>
      <c r="E33" s="48"/>
      <c r="F33" s="48"/>
      <c r="G33" s="10"/>
      <c r="H33" s="46"/>
      <c r="I33" s="47"/>
      <c r="J33" s="1"/>
      <c r="K33" s="1"/>
      <c r="L33" s="1"/>
      <c r="M33" s="1"/>
      <c r="N33" s="16"/>
      <c r="O33" s="16"/>
      <c r="P33" s="16"/>
      <c r="Q33" s="16"/>
      <c r="R33" s="16"/>
      <c r="S33" s="16"/>
      <c r="T33" s="16"/>
      <c r="U33" s="16"/>
      <c r="V33" s="1"/>
      <c r="W33" s="1"/>
      <c r="X33" s="1"/>
      <c r="Y33" s="1"/>
      <c r="Z33" s="1"/>
      <c r="AA33" s="1"/>
      <c r="AB33" s="1"/>
    </row>
    <row r="34" customFormat="false" ht="15.75" hidden="true" customHeight="true" outlineLevel="0" collapsed="false">
      <c r="A34" s="1"/>
      <c r="B34" s="8"/>
      <c r="C34" s="31" t="s">
        <v>32</v>
      </c>
      <c r="D34" s="44"/>
      <c r="E34" s="48"/>
      <c r="F34" s="48"/>
      <c r="G34" s="10"/>
      <c r="H34" s="46"/>
      <c r="I34" s="47"/>
      <c r="J34" s="1"/>
      <c r="K34" s="1"/>
      <c r="L34" s="1"/>
      <c r="M34" s="1"/>
      <c r="N34" s="16"/>
      <c r="O34" s="16"/>
      <c r="P34" s="16"/>
      <c r="Q34" s="16"/>
      <c r="R34" s="16"/>
      <c r="S34" s="16"/>
      <c r="T34" s="16"/>
      <c r="U34" s="16"/>
      <c r="V34" s="1"/>
      <c r="W34" s="1"/>
      <c r="X34" s="1"/>
      <c r="Y34" s="1"/>
      <c r="Z34" s="1"/>
      <c r="AA34" s="1"/>
      <c r="AB34" s="1"/>
    </row>
    <row r="35" customFormat="false" ht="15.75" hidden="false" customHeight="true" outlineLevel="0" collapsed="false">
      <c r="A35" s="1"/>
      <c r="B35" s="8"/>
      <c r="C35" s="42" t="s">
        <v>33</v>
      </c>
      <c r="D35" s="42"/>
      <c r="E35" s="42"/>
      <c r="F35" s="42"/>
      <c r="G35" s="10"/>
      <c r="H35" s="46" t="s">
        <v>19</v>
      </c>
      <c r="I35" s="47"/>
      <c r="J35" s="1"/>
      <c r="K35" s="1"/>
      <c r="L35" s="1"/>
      <c r="M35" s="15"/>
      <c r="N35" s="16"/>
      <c r="O35" s="16"/>
      <c r="P35" s="16"/>
      <c r="Q35" s="16"/>
      <c r="R35" s="16"/>
      <c r="S35" s="16"/>
      <c r="T35" s="16"/>
      <c r="U35" s="16"/>
      <c r="V35" s="1"/>
      <c r="W35" s="1"/>
      <c r="X35" s="1"/>
      <c r="Y35" s="1"/>
      <c r="Z35" s="1"/>
      <c r="AA35" s="1"/>
      <c r="AB35" s="1"/>
    </row>
    <row r="36" customFormat="false" ht="15.75" hidden="false" customHeight="true" outlineLevel="0" collapsed="false">
      <c r="A36" s="1"/>
      <c r="B36" s="8"/>
      <c r="C36" s="31" t="str">
        <f aca="false">+C32</f>
        <v>Prec. Granzas</v>
      </c>
      <c r="D36" s="44" t="n">
        <f aca="false">Flujos!H24</f>
        <v>34506.647325</v>
      </c>
      <c r="E36" s="45" t="n">
        <f aca="false">Flujos!I24</f>
        <v>0.42791370343</v>
      </c>
      <c r="F36" s="45" t="n">
        <f aca="false">Flujos!J24</f>
        <v>0.40018</v>
      </c>
      <c r="G36" s="10"/>
      <c r="H36" s="46" t="n">
        <f aca="false">+D36/$D$13*100</f>
        <v>43.4468869383609</v>
      </c>
      <c r="I36" s="47" t="n">
        <f aca="false">+E36*H36/$E$13</f>
        <v>52.4887585892109</v>
      </c>
      <c r="J36" s="1"/>
      <c r="K36" s="1"/>
      <c r="L36" s="1"/>
      <c r="M36" s="15"/>
      <c r="N36" s="16"/>
      <c r="O36" s="16"/>
      <c r="P36" s="16"/>
      <c r="Q36" s="16"/>
      <c r="R36" s="16"/>
      <c r="S36" s="16"/>
      <c r="T36" s="16"/>
      <c r="U36" s="16"/>
      <c r="V36" s="1"/>
      <c r="W36" s="1"/>
      <c r="X36" s="1"/>
      <c r="Y36" s="1"/>
      <c r="Z36" s="1"/>
      <c r="AA36" s="1"/>
      <c r="AB36" s="1"/>
    </row>
    <row r="37" customFormat="false" ht="15.75" hidden="false" customHeight="true" outlineLevel="0" collapsed="false">
      <c r="A37" s="1"/>
      <c r="B37" s="8"/>
      <c r="C37" s="31" t="s">
        <v>34</v>
      </c>
      <c r="D37" s="44" t="n">
        <f aca="false">Flujos!H27</f>
        <v>17770.28624</v>
      </c>
      <c r="E37" s="45" t="n">
        <f aca="false">Flujos!I27</f>
        <v>0.45355083764</v>
      </c>
      <c r="F37" s="45" t="n">
        <f aca="false">Flujos!J27</f>
        <v>0.42383</v>
      </c>
      <c r="G37" s="10"/>
      <c r="H37" s="46" t="n">
        <f aca="false">+D37/$D$13*100</f>
        <v>22.3743445678721</v>
      </c>
      <c r="I37" s="47" t="n">
        <f aca="false">+E37*H37/$E$13</f>
        <v>28.6502053088773</v>
      </c>
      <c r="J37" s="1"/>
      <c r="K37" s="1"/>
      <c r="L37" s="1"/>
      <c r="M37" s="15"/>
      <c r="N37" s="16"/>
      <c r="O37" s="16"/>
      <c r="P37" s="16"/>
      <c r="Q37" s="16"/>
      <c r="R37" s="16"/>
      <c r="S37" s="16"/>
      <c r="T37" s="16"/>
      <c r="U37" s="16"/>
      <c r="V37" s="1"/>
      <c r="W37" s="1"/>
      <c r="X37" s="1"/>
      <c r="Y37" s="1"/>
      <c r="Z37" s="1"/>
      <c r="AA37" s="1"/>
      <c r="AB37" s="1"/>
    </row>
    <row r="38" customFormat="false" ht="15.75" hidden="false" customHeight="true" outlineLevel="0" collapsed="false">
      <c r="A38" s="1"/>
      <c r="B38" s="8"/>
      <c r="C38" s="31" t="s">
        <v>32</v>
      </c>
      <c r="D38" s="44" t="n">
        <f aca="false">Flujos!H30</f>
        <v>27145.666664</v>
      </c>
      <c r="E38" s="45" t="n">
        <f aca="false">Flujos!I30</f>
        <v>0.1954599095</v>
      </c>
      <c r="F38" s="45" t="n">
        <f aca="false">Flujos!J30</f>
        <v>0.10284959282</v>
      </c>
      <c r="G38" s="10"/>
      <c r="H38" s="46" t="n">
        <f aca="false">+D38/$D$13*100</f>
        <v>34.178768493767</v>
      </c>
      <c r="I38" s="47" t="n">
        <f aca="false">+E38*H38/$E$13</f>
        <v>18.8610361282133</v>
      </c>
      <c r="J38" s="1"/>
      <c r="K38" s="1"/>
      <c r="L38" s="1"/>
      <c r="M38" s="15"/>
      <c r="N38" s="16"/>
      <c r="O38" s="16"/>
      <c r="P38" s="16"/>
      <c r="Q38" s="16"/>
      <c r="R38" s="16"/>
      <c r="S38" s="16"/>
      <c r="T38" s="16"/>
      <c r="U38" s="16"/>
      <c r="V38" s="1"/>
      <c r="W38" s="1"/>
      <c r="X38" s="1"/>
      <c r="Y38" s="1"/>
      <c r="Z38" s="1"/>
      <c r="AA38" s="1"/>
      <c r="AB38" s="1"/>
    </row>
    <row r="39" customFormat="false" ht="15.75" hidden="true" customHeight="true" outlineLevel="0" collapsed="false">
      <c r="A39" s="1"/>
      <c r="B39" s="8"/>
      <c r="C39" s="49" t="s">
        <v>35</v>
      </c>
      <c r="D39" s="49"/>
      <c r="E39" s="49"/>
      <c r="F39" s="49"/>
      <c r="G39" s="10"/>
      <c r="H39" s="7" t="s">
        <v>36</v>
      </c>
      <c r="I39" s="50" t="s">
        <v>37</v>
      </c>
      <c r="J39" s="51" t="s">
        <v>38</v>
      </c>
      <c r="K39" s="1"/>
      <c r="L39" s="1"/>
      <c r="M39" s="15"/>
      <c r="N39" s="16"/>
      <c r="O39" s="16"/>
      <c r="P39" s="16"/>
      <c r="Q39" s="16"/>
      <c r="R39" s="16"/>
      <c r="S39" s="16"/>
      <c r="T39" s="16"/>
      <c r="U39" s="16"/>
      <c r="V39" s="1"/>
      <c r="W39" s="1"/>
      <c r="X39" s="1"/>
      <c r="Y39" s="1"/>
      <c r="Z39" s="1"/>
      <c r="AA39" s="1"/>
      <c r="AB39" s="1"/>
    </row>
    <row r="40" customFormat="false" ht="15.75" hidden="true" customHeight="true" outlineLevel="0" collapsed="false">
      <c r="A40" s="1"/>
      <c r="B40" s="8"/>
      <c r="C40" s="52" t="str">
        <f aca="false">+C36</f>
        <v>Prec. Granzas</v>
      </c>
      <c r="D40" s="53"/>
      <c r="E40" s="54"/>
      <c r="F40" s="54"/>
      <c r="G40" s="10"/>
      <c r="H40" s="55" t="n">
        <f aca="false">+D21+D22+D25+D36+D37</f>
        <v>78416.5132876</v>
      </c>
      <c r="I40" s="56" t="n">
        <f aca="false">+(D21*E21+D22*E22+D25*E25+D36*E36+D37*E37)/H40*100</f>
        <v>48.0622877927586</v>
      </c>
      <c r="J40" s="57" t="e">
        <f aca="false">+(D21*F21+D22*F22+D25*F25+D36*F36+D37*F37)/H40*100</f>
        <v>#VALUE!</v>
      </c>
      <c r="K40" s="1"/>
      <c r="L40" s="1"/>
      <c r="M40" s="15"/>
      <c r="N40" s="16"/>
      <c r="O40" s="16"/>
      <c r="P40" s="16"/>
      <c r="Q40" s="16"/>
      <c r="R40" s="16"/>
      <c r="S40" s="16"/>
      <c r="T40" s="16"/>
      <c r="U40" s="16"/>
      <c r="V40" s="1"/>
      <c r="W40" s="1"/>
      <c r="X40" s="1"/>
      <c r="Y40" s="1"/>
      <c r="Z40" s="1"/>
      <c r="AA40" s="1"/>
      <c r="AB40" s="1"/>
    </row>
    <row r="41" customFormat="false" ht="15.75" hidden="true" customHeight="true" outlineLevel="0" collapsed="false">
      <c r="A41" s="1"/>
      <c r="B41" s="8"/>
      <c r="C41" s="52" t="str">
        <f aca="false">+C37</f>
        <v>Prec. Finos</v>
      </c>
      <c r="D41" s="53"/>
      <c r="E41" s="54"/>
      <c r="F41" s="54"/>
      <c r="G41" s="10"/>
      <c r="H41" s="58" t="s">
        <v>39</v>
      </c>
      <c r="I41" s="58" t="s">
        <v>37</v>
      </c>
      <c r="J41" s="51" t="s">
        <v>38</v>
      </c>
      <c r="K41" s="1"/>
      <c r="L41" s="1"/>
      <c r="M41" s="15"/>
      <c r="N41" s="16"/>
      <c r="O41" s="16"/>
      <c r="P41" s="16"/>
      <c r="Q41" s="16"/>
      <c r="R41" s="16"/>
      <c r="S41" s="16"/>
      <c r="T41" s="16"/>
      <c r="U41" s="1"/>
      <c r="V41" s="1"/>
      <c r="W41" s="1"/>
      <c r="X41" s="1"/>
      <c r="Y41" s="1"/>
      <c r="Z41" s="1"/>
      <c r="AA41" s="1"/>
      <c r="AB41" s="1"/>
    </row>
    <row r="42" customFormat="false" ht="15.75" hidden="true" customHeight="true" outlineLevel="0" collapsed="false">
      <c r="A42" s="1"/>
      <c r="B42" s="8"/>
      <c r="C42" s="52" t="str">
        <f aca="false">+C38</f>
        <v>Rechazo</v>
      </c>
      <c r="D42" s="53"/>
      <c r="E42" s="54"/>
      <c r="F42" s="54"/>
      <c r="G42" s="10"/>
      <c r="H42" s="55" t="n">
        <f aca="false">+D24+D38</f>
        <v>37783.678353</v>
      </c>
      <c r="I42" s="59" t="n">
        <f aca="false">(D24*E24+D38*E38)/H42</f>
        <v>0.261310604022593</v>
      </c>
      <c r="J42" s="60" t="n">
        <f aca="false">+(D24*F24+D38*F38)/H42</f>
        <v>0.186654606546294</v>
      </c>
      <c r="K42" s="1"/>
      <c r="L42" s="1"/>
      <c r="M42" s="15"/>
      <c r="N42" s="61"/>
      <c r="O42" s="61"/>
      <c r="P42" s="61"/>
      <c r="Q42" s="1"/>
      <c r="R42" s="1"/>
      <c r="S42" s="1"/>
      <c r="T42" s="1"/>
      <c r="U42" s="1"/>
      <c r="V42" s="1"/>
      <c r="W42" s="15"/>
      <c r="X42" s="16"/>
      <c r="Y42" s="1"/>
      <c r="Z42" s="1"/>
      <c r="AA42" s="1"/>
      <c r="AB42" s="1"/>
    </row>
    <row r="43" customFormat="false" ht="7.5" hidden="false" customHeight="true" outlineLevel="0" collapsed="false">
      <c r="A43" s="1"/>
      <c r="B43" s="8"/>
      <c r="C43" s="62"/>
      <c r="D43" s="63"/>
      <c r="E43" s="64"/>
      <c r="F43" s="64"/>
      <c r="G43" s="10"/>
      <c r="H43" s="7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5"/>
      <c r="X43" s="16"/>
      <c r="Y43" s="1"/>
      <c r="Z43" s="1"/>
      <c r="AA43" s="1"/>
      <c r="AB43" s="1"/>
    </row>
    <row r="44" customFormat="false" ht="15.75" hidden="false" customHeight="true" outlineLevel="0" collapsed="false">
      <c r="A44" s="1"/>
      <c r="B44" s="8"/>
      <c r="C44" s="18" t="s">
        <v>40</v>
      </c>
      <c r="D44" s="18"/>
      <c r="E44" s="18"/>
      <c r="F44" s="18"/>
      <c r="G44" s="10"/>
      <c r="H44" s="65"/>
      <c r="I44" s="1"/>
      <c r="J44" s="1"/>
      <c r="K44" s="1"/>
      <c r="L44" s="1"/>
      <c r="M44" s="15"/>
      <c r="N44" s="61"/>
      <c r="O44" s="61"/>
      <c r="P44" s="61"/>
      <c r="Q44" s="61"/>
      <c r="R44" s="61"/>
      <c r="S44" s="61"/>
      <c r="T44" s="61"/>
      <c r="U44" s="1"/>
      <c r="V44" s="1"/>
      <c r="W44" s="15"/>
      <c r="X44" s="16"/>
      <c r="Y44" s="1"/>
      <c r="Z44" s="1"/>
      <c r="AA44" s="1"/>
      <c r="AB44" s="1"/>
    </row>
    <row r="45" customFormat="false" ht="15.75" hidden="false" customHeight="true" outlineLevel="0" collapsed="false">
      <c r="A45" s="1"/>
      <c r="B45" s="8"/>
      <c r="C45" s="31" t="s">
        <v>41</v>
      </c>
      <c r="D45" s="44" t="n">
        <f aca="false">Flujos!H26</f>
        <v>32738</v>
      </c>
      <c r="E45" s="45" t="n">
        <f aca="false">Flujos!I26</f>
        <v>0.4419</v>
      </c>
      <c r="F45" s="45" t="n">
        <f aca="false">Flujos!J26</f>
        <v>0.4138</v>
      </c>
      <c r="G45" s="10"/>
      <c r="H45" s="65"/>
      <c r="I45" s="1"/>
      <c r="J45" s="1"/>
      <c r="K45" s="1"/>
      <c r="L45" s="1"/>
      <c r="M45" s="15"/>
      <c r="N45" s="61"/>
      <c r="O45" s="61"/>
      <c r="P45" s="61"/>
      <c r="Q45" s="61"/>
      <c r="R45" s="61"/>
      <c r="S45" s="61"/>
      <c r="T45" s="61"/>
      <c r="U45" s="1"/>
      <c r="V45" s="1"/>
      <c r="W45" s="15"/>
      <c r="X45" s="1"/>
      <c r="Y45" s="1"/>
      <c r="Z45" s="1"/>
      <c r="AA45" s="1"/>
      <c r="AB45" s="1"/>
    </row>
    <row r="46" customFormat="false" ht="15.75" hidden="false" customHeight="true" outlineLevel="0" collapsed="false">
      <c r="A46" s="1"/>
      <c r="B46" s="8"/>
      <c r="C46" s="31" t="s">
        <v>42</v>
      </c>
      <c r="D46" s="44" t="n">
        <f aca="false">Flujos!H29</f>
        <v>16148</v>
      </c>
      <c r="E46" s="45" t="n">
        <f aca="false">Flujos!I29</f>
        <v>0.4578</v>
      </c>
      <c r="F46" s="45" t="n">
        <f aca="false">Flujos!J29</f>
        <v>0.4281</v>
      </c>
      <c r="G46" s="10"/>
      <c r="H46" s="66"/>
      <c r="I46" s="1"/>
      <c r="J46" s="37"/>
      <c r="K46" s="37"/>
      <c r="L46" s="1"/>
      <c r="M46" s="15"/>
      <c r="N46" s="61"/>
      <c r="O46" s="61"/>
      <c r="P46" s="61"/>
      <c r="Q46" s="61"/>
      <c r="R46" s="61"/>
      <c r="S46" s="61"/>
      <c r="T46" s="61"/>
      <c r="U46" s="1"/>
      <c r="V46" s="1"/>
      <c r="W46" s="15"/>
      <c r="X46" s="1"/>
      <c r="Y46" s="1"/>
      <c r="Z46" s="1"/>
      <c r="AA46" s="1"/>
      <c r="AB46" s="1"/>
    </row>
    <row r="47" customFormat="false" ht="15.75" hidden="true" customHeight="true" outlineLevel="0" collapsed="false">
      <c r="A47" s="1"/>
      <c r="B47" s="8"/>
      <c r="C47" s="31" t="s">
        <v>43</v>
      </c>
      <c r="D47" s="44" t="n">
        <f aca="false">Flujos!H33</f>
        <v>8434</v>
      </c>
      <c r="E47" s="67" t="n">
        <f aca="false">Flujos!I33</f>
        <v>0.4298</v>
      </c>
      <c r="F47" s="67" t="n">
        <f aca="false">Flujos!J33</f>
        <v>0.4004</v>
      </c>
      <c r="G47" s="10"/>
      <c r="H47" s="65"/>
      <c r="I47" s="1"/>
      <c r="J47" s="37"/>
      <c r="K47" s="37"/>
      <c r="L47" s="1"/>
      <c r="M47" s="15"/>
      <c r="N47" s="61"/>
      <c r="O47" s="61"/>
      <c r="P47" s="61"/>
      <c r="Q47" s="61"/>
      <c r="R47" s="61"/>
      <c r="S47" s="61"/>
      <c r="T47" s="61"/>
      <c r="U47" s="1"/>
      <c r="V47" s="1"/>
      <c r="W47" s="15"/>
      <c r="X47" s="1"/>
      <c r="Y47" s="1"/>
      <c r="Z47" s="1"/>
      <c r="AA47" s="1"/>
      <c r="AB47" s="1"/>
    </row>
    <row r="48" customFormat="false" ht="15.75" hidden="true" customHeight="true" outlineLevel="0" collapsed="false">
      <c r="A48" s="1"/>
      <c r="B48" s="8"/>
      <c r="C48" s="31" t="s">
        <v>44</v>
      </c>
      <c r="D48" s="44" t="n">
        <f aca="false">Flujos!H20</f>
        <v>5550</v>
      </c>
      <c r="E48" s="45" t="n">
        <f aca="false">Flujos!I20</f>
        <v>0.4896</v>
      </c>
      <c r="F48" s="45" t="n">
        <f aca="false">Flujos!J20</f>
        <v>0.4673</v>
      </c>
      <c r="G48" s="10"/>
      <c r="H48" s="7"/>
      <c r="I48" s="1"/>
      <c r="J48" s="37"/>
      <c r="K48" s="1"/>
      <c r="L48" s="1"/>
      <c r="M48" s="1"/>
      <c r="N48" s="61"/>
      <c r="O48" s="61"/>
      <c r="P48" s="61"/>
      <c r="Q48" s="61"/>
      <c r="R48" s="61"/>
      <c r="S48" s="61"/>
      <c r="T48" s="61"/>
      <c r="U48" s="1"/>
      <c r="V48" s="1"/>
      <c r="W48" s="1"/>
      <c r="X48" s="1"/>
      <c r="Y48" s="1"/>
      <c r="Z48" s="1"/>
      <c r="AA48" s="1"/>
      <c r="AB48" s="1"/>
    </row>
    <row r="49" customFormat="false" ht="15.75" hidden="true" customHeight="true" outlineLevel="0" collapsed="false">
      <c r="A49" s="1"/>
      <c r="B49" s="8"/>
      <c r="C49" s="31" t="s">
        <v>45</v>
      </c>
      <c r="D49" s="44" t="n">
        <f aca="false">Flujos!H10</f>
        <v>10318</v>
      </c>
      <c r="E49" s="45" t="n">
        <f aca="false">Flujos!I10</f>
        <v>0.5948</v>
      </c>
      <c r="F49" s="45" t="s">
        <v>22</v>
      </c>
      <c r="G49" s="10"/>
      <c r="H49" s="68" t="n">
        <f aca="false">+D21-D49</f>
        <v>1134.675821</v>
      </c>
      <c r="I49" s="1"/>
      <c r="J49" s="1"/>
      <c r="K49" s="1"/>
      <c r="L49" s="1"/>
      <c r="M49" s="15"/>
      <c r="N49" s="61"/>
      <c r="O49" s="61"/>
      <c r="P49" s="61"/>
      <c r="Q49" s="61"/>
      <c r="R49" s="61"/>
      <c r="S49" s="61"/>
      <c r="T49" s="61"/>
      <c r="U49" s="1"/>
      <c r="V49" s="1"/>
      <c r="W49" s="1"/>
      <c r="X49" s="1"/>
      <c r="Y49" s="1"/>
      <c r="Z49" s="1"/>
      <c r="AA49" s="1"/>
      <c r="AB49" s="1"/>
    </row>
    <row r="50" customFormat="false" ht="15.75" hidden="false" customHeight="true" outlineLevel="0" collapsed="false">
      <c r="A50" s="1"/>
      <c r="B50" s="8"/>
      <c r="C50" s="31" t="s">
        <v>46</v>
      </c>
      <c r="D50" s="44" t="n">
        <f aca="false">Flujos!H32</f>
        <v>23263.2</v>
      </c>
      <c r="E50" s="45" t="n">
        <f aca="false">Flujos!I32</f>
        <v>0.19521</v>
      </c>
      <c r="F50" s="45" t="n">
        <f aca="false">Flujos!J32</f>
        <v>0.10281550827</v>
      </c>
      <c r="G50" s="10"/>
      <c r="H50" s="68" t="n">
        <f aca="false">+D22-D50</f>
        <v>-15838.2</v>
      </c>
      <c r="I50" s="1"/>
      <c r="J50" s="1"/>
      <c r="K50" s="1"/>
      <c r="L50" s="1"/>
      <c r="M50" s="15"/>
      <c r="N50" s="61"/>
      <c r="O50" s="61"/>
      <c r="P50" s="61"/>
      <c r="Q50" s="61"/>
      <c r="R50" s="61"/>
      <c r="S50" s="61"/>
      <c r="T50" s="61"/>
      <c r="U50" s="1"/>
      <c r="V50" s="1"/>
      <c r="W50" s="1"/>
      <c r="X50" s="1"/>
      <c r="Y50" s="1"/>
      <c r="Z50" s="1"/>
      <c r="AA50" s="1"/>
      <c r="AB50" s="1"/>
    </row>
    <row r="51" customFormat="false" ht="6" hidden="false" customHeight="true" outlineLevel="0" collapsed="false">
      <c r="A51" s="1"/>
      <c r="B51" s="8"/>
      <c r="C51" s="7"/>
      <c r="D51" s="39"/>
      <c r="E51" s="9"/>
      <c r="F51" s="40"/>
      <c r="G51" s="10"/>
      <c r="H51" s="7"/>
      <c r="I51" s="1"/>
      <c r="J51" s="1"/>
      <c r="K51" s="1"/>
      <c r="L51" s="1"/>
      <c r="M51" s="1"/>
      <c r="N51" s="61"/>
      <c r="O51" s="61"/>
      <c r="P51" s="61"/>
      <c r="Q51" s="61"/>
      <c r="R51" s="61"/>
      <c r="S51" s="61"/>
      <c r="T51" s="61"/>
      <c r="U51" s="1"/>
      <c r="V51" s="1"/>
      <c r="W51" s="1"/>
      <c r="X51" s="1"/>
      <c r="Y51" s="1"/>
      <c r="Z51" s="1"/>
      <c r="AA51" s="1"/>
      <c r="AB51" s="1"/>
    </row>
    <row r="52" customFormat="false" ht="15.75" hidden="false" customHeight="true" outlineLevel="0" collapsed="false">
      <c r="A52" s="1"/>
      <c r="B52" s="8"/>
      <c r="C52" s="69" t="s">
        <v>47</v>
      </c>
      <c r="D52" s="69"/>
      <c r="E52" s="69"/>
      <c r="F52" s="69"/>
      <c r="G52" s="10"/>
      <c r="H52" s="7"/>
      <c r="I52" s="1"/>
      <c r="J52" s="1"/>
      <c r="K52" s="1"/>
      <c r="L52" s="1"/>
      <c r="M52" s="15"/>
      <c r="N52" s="61"/>
      <c r="O52" s="61"/>
      <c r="P52" s="61"/>
      <c r="Q52" s="61"/>
      <c r="R52" s="61"/>
      <c r="S52" s="61"/>
      <c r="T52" s="61"/>
      <c r="U52" s="1"/>
      <c r="V52" s="1"/>
      <c r="W52" s="1"/>
      <c r="X52" s="1"/>
      <c r="Y52" s="1"/>
      <c r="Z52" s="1"/>
      <c r="AA52" s="1"/>
      <c r="AB52" s="1"/>
    </row>
    <row r="53" customFormat="false" ht="15.75" hidden="false" customHeight="true" outlineLevel="0" collapsed="false">
      <c r="A53" s="1"/>
      <c r="B53" s="8"/>
      <c r="C53" s="70"/>
      <c r="D53" s="71"/>
      <c r="E53" s="71"/>
      <c r="F53" s="72"/>
      <c r="G53" s="10"/>
      <c r="H53" s="7"/>
      <c r="I53" s="1"/>
      <c r="J53" s="1"/>
      <c r="K53" s="1"/>
      <c r="L53" s="1"/>
      <c r="M53" s="15"/>
      <c r="N53" s="61"/>
      <c r="O53" s="61"/>
      <c r="P53" s="61"/>
      <c r="Q53" s="61"/>
      <c r="R53" s="61"/>
      <c r="S53" s="61"/>
      <c r="T53" s="61"/>
      <c r="U53" s="1"/>
      <c r="V53" s="1"/>
      <c r="W53" s="1"/>
      <c r="X53" s="1"/>
      <c r="Y53" s="1"/>
      <c r="Z53" s="1"/>
      <c r="AA53" s="1"/>
      <c r="AB53" s="1"/>
    </row>
    <row r="54" customFormat="false" ht="15.75" hidden="false" customHeight="true" outlineLevel="0" collapsed="false">
      <c r="A54" s="1"/>
      <c r="B54" s="8"/>
      <c r="C54" s="31"/>
      <c r="D54" s="23" t="s">
        <v>48</v>
      </c>
      <c r="E54" s="23"/>
      <c r="F54" s="73"/>
      <c r="G54" s="10"/>
      <c r="H54" s="7"/>
      <c r="I54" s="1"/>
      <c r="J54" s="1"/>
      <c r="K54" s="1"/>
      <c r="L54" s="1"/>
      <c r="M54" s="15"/>
      <c r="N54" s="61"/>
      <c r="O54" s="61"/>
      <c r="P54" s="61"/>
      <c r="Q54" s="61"/>
      <c r="R54" s="61"/>
      <c r="S54" s="61"/>
      <c r="T54" s="61"/>
      <c r="U54" s="1"/>
      <c r="V54" s="1"/>
      <c r="W54" s="1"/>
      <c r="X54" s="1"/>
      <c r="Y54" s="1"/>
      <c r="Z54" s="1"/>
      <c r="AA54" s="1"/>
      <c r="AB54" s="1"/>
    </row>
    <row r="55" customFormat="false" ht="15.75" hidden="true" customHeight="true" outlineLevel="0" collapsed="false">
      <c r="A55" s="1"/>
      <c r="B55" s="8"/>
      <c r="C55" s="31" t="s">
        <v>21</v>
      </c>
      <c r="D55" s="44" t="n">
        <f aca="false">'Datos Extra'!B4</f>
        <v>744.572</v>
      </c>
      <c r="E55" s="44"/>
      <c r="F55" s="74"/>
      <c r="G55" s="10"/>
      <c r="H55" s="65"/>
      <c r="I55" s="1"/>
      <c r="J55" s="1"/>
      <c r="K55" s="1"/>
      <c r="L55" s="1"/>
      <c r="M55" s="15"/>
      <c r="N55" s="61"/>
      <c r="O55" s="61"/>
      <c r="P55" s="61"/>
      <c r="Q55" s="61"/>
      <c r="R55" s="61"/>
      <c r="S55" s="61"/>
      <c r="T55" s="61"/>
      <c r="U55" s="1"/>
      <c r="V55" s="1"/>
      <c r="W55" s="1"/>
      <c r="X55" s="1"/>
      <c r="Y55" s="1"/>
      <c r="Z55" s="1"/>
      <c r="AA55" s="1"/>
      <c r="AB55" s="1"/>
    </row>
    <row r="56" customFormat="false" ht="15.75" hidden="true" customHeight="true" outlineLevel="0" collapsed="false">
      <c r="A56" s="1"/>
      <c r="B56" s="8"/>
      <c r="C56" s="31" t="s">
        <v>23</v>
      </c>
      <c r="D56" s="44" t="n">
        <f aca="false">'Datos Extra'!B5</f>
        <v>0</v>
      </c>
      <c r="E56" s="44"/>
      <c r="F56" s="74"/>
      <c r="G56" s="10"/>
      <c r="H56" s="65"/>
      <c r="I56" s="1"/>
      <c r="J56" s="1"/>
      <c r="K56" s="1"/>
      <c r="L56" s="1"/>
      <c r="M56" s="15"/>
      <c r="N56" s="61"/>
      <c r="O56" s="61"/>
      <c r="P56" s="61"/>
      <c r="Q56" s="61"/>
      <c r="R56" s="61"/>
      <c r="S56" s="61"/>
      <c r="T56" s="61"/>
      <c r="U56" s="1"/>
      <c r="V56" s="1"/>
      <c r="W56" s="1"/>
      <c r="X56" s="1"/>
      <c r="Y56" s="1"/>
      <c r="Z56" s="1"/>
      <c r="AA56" s="1"/>
      <c r="AB56" s="1"/>
    </row>
    <row r="57" customFormat="false" ht="15.75" hidden="true" customHeight="true" outlineLevel="0" collapsed="false">
      <c r="A57" s="1"/>
      <c r="B57" s="8"/>
      <c r="C57" s="31" t="s">
        <v>25</v>
      </c>
      <c r="D57" s="44" t="n">
        <f aca="false">'Datos Extra'!B6</f>
        <v>9038.028</v>
      </c>
      <c r="E57" s="44"/>
      <c r="F57" s="74"/>
      <c r="G57" s="10"/>
      <c r="H57" s="65"/>
      <c r="I57" s="1"/>
      <c r="J57" s="1"/>
      <c r="K57" s="1"/>
      <c r="L57" s="1"/>
      <c r="M57" s="15"/>
      <c r="N57" s="61"/>
      <c r="O57" s="61"/>
      <c r="P57" s="61"/>
      <c r="Q57" s="61"/>
      <c r="R57" s="61"/>
      <c r="S57" s="61"/>
      <c r="T57" s="61"/>
      <c r="U57" s="1"/>
      <c r="V57" s="1"/>
      <c r="W57" s="1"/>
      <c r="X57" s="1"/>
      <c r="Y57" s="1"/>
      <c r="Z57" s="1"/>
      <c r="AA57" s="1"/>
      <c r="AB57" s="1"/>
    </row>
    <row r="58" customFormat="false" ht="15.75" hidden="true" customHeight="true" outlineLevel="0" collapsed="false">
      <c r="A58" s="1"/>
      <c r="B58" s="8"/>
      <c r="C58" s="31" t="s">
        <v>26</v>
      </c>
      <c r="D58" s="44" t="n">
        <f aca="false">'Datos Extra'!B7</f>
        <v>1705</v>
      </c>
      <c r="E58" s="44"/>
      <c r="F58" s="74"/>
      <c r="G58" s="10"/>
      <c r="H58" s="65"/>
      <c r="I58" s="1"/>
      <c r="J58" s="1"/>
      <c r="K58" s="1"/>
      <c r="L58" s="1"/>
      <c r="M58" s="15"/>
      <c r="N58" s="61"/>
      <c r="O58" s="61"/>
      <c r="P58" s="61"/>
      <c r="Q58" s="61"/>
      <c r="R58" s="61"/>
      <c r="S58" s="61"/>
      <c r="T58" s="61"/>
      <c r="U58" s="1"/>
      <c r="V58" s="1"/>
      <c r="W58" s="1"/>
      <c r="X58" s="1"/>
      <c r="Y58" s="1"/>
      <c r="Z58" s="1"/>
      <c r="AA58" s="1"/>
      <c r="AB58" s="1"/>
    </row>
    <row r="59" customFormat="false" ht="15.75" hidden="false" customHeight="true" outlineLevel="0" collapsed="false">
      <c r="A59" s="1"/>
      <c r="B59" s="8"/>
      <c r="C59" s="31" t="s">
        <v>31</v>
      </c>
      <c r="D59" s="44" t="n">
        <f aca="false">'Datos Extra'!B8</f>
        <v>8203.458</v>
      </c>
      <c r="E59" s="44"/>
      <c r="F59" s="74"/>
      <c r="G59" s="10"/>
      <c r="H59" s="65"/>
      <c r="I59" s="1"/>
      <c r="J59" s="1"/>
      <c r="K59" s="1"/>
      <c r="L59" s="1"/>
      <c r="M59" s="15"/>
      <c r="N59" s="61"/>
      <c r="O59" s="61"/>
      <c r="P59" s="61"/>
      <c r="Q59" s="61"/>
      <c r="R59" s="61"/>
      <c r="S59" s="61"/>
      <c r="T59" s="61"/>
      <c r="U59" s="1"/>
      <c r="V59" s="1"/>
      <c r="W59" s="1"/>
      <c r="X59" s="1"/>
      <c r="Y59" s="1"/>
      <c r="Z59" s="1"/>
      <c r="AA59" s="1"/>
      <c r="AB59" s="1"/>
    </row>
    <row r="60" customFormat="false" ht="15.75" hidden="false" customHeight="true" outlineLevel="0" collapsed="false">
      <c r="A60" s="1"/>
      <c r="B60" s="8"/>
      <c r="C60" s="31" t="s">
        <v>34</v>
      </c>
      <c r="D60" s="44" t="n">
        <f aca="false">'Datos Extra'!B9</f>
        <v>5764.832</v>
      </c>
      <c r="E60" s="44"/>
      <c r="F60" s="74"/>
      <c r="G60" s="10"/>
      <c r="H60" s="65"/>
      <c r="I60" s="1"/>
      <c r="J60" s="1"/>
      <c r="K60" s="1"/>
      <c r="L60" s="1"/>
      <c r="M60" s="15"/>
      <c r="N60" s="61"/>
      <c r="O60" s="61"/>
      <c r="P60" s="61"/>
      <c r="Q60" s="61"/>
      <c r="R60" s="61"/>
      <c r="S60" s="61"/>
      <c r="T60" s="61"/>
      <c r="U60" s="1"/>
      <c r="V60" s="1"/>
      <c r="W60" s="1"/>
      <c r="X60" s="1"/>
      <c r="Y60" s="1"/>
      <c r="Z60" s="1"/>
      <c r="AA60" s="1"/>
      <c r="AB60" s="1"/>
    </row>
    <row r="61" customFormat="false" ht="15.75" hidden="false" customHeight="true" outlineLevel="0" collapsed="false">
      <c r="A61" s="1"/>
      <c r="B61" s="8"/>
      <c r="C61" s="31" t="s">
        <v>32</v>
      </c>
      <c r="D61" s="44" t="n">
        <f aca="false">'Datos Extra'!B10</f>
        <v>3739.9208</v>
      </c>
      <c r="E61" s="44"/>
      <c r="F61" s="74"/>
      <c r="G61" s="10"/>
      <c r="H61" s="65"/>
      <c r="I61" s="1"/>
      <c r="J61" s="1"/>
      <c r="K61" s="1"/>
      <c r="L61" s="1"/>
      <c r="M61" s="15"/>
      <c r="N61" s="61"/>
      <c r="O61" s="61"/>
      <c r="P61" s="61"/>
      <c r="Q61" s="61"/>
      <c r="R61" s="61"/>
      <c r="S61" s="61"/>
      <c r="T61" s="61"/>
      <c r="U61" s="1"/>
      <c r="V61" s="1"/>
      <c r="W61" s="1"/>
      <c r="X61" s="1"/>
      <c r="Y61" s="1"/>
      <c r="Z61" s="1"/>
      <c r="AA61" s="1"/>
      <c r="AB61" s="1"/>
    </row>
    <row r="62" customFormat="false" ht="15.75" hidden="false" customHeight="true" outlineLevel="0" collapsed="false">
      <c r="A62" s="1"/>
      <c r="B62" s="8"/>
      <c r="C62" s="75"/>
      <c r="D62" s="76"/>
      <c r="E62" s="76"/>
      <c r="F62" s="77"/>
      <c r="G62" s="10"/>
      <c r="H62" s="65"/>
      <c r="I62" s="1"/>
      <c r="J62" s="1"/>
      <c r="K62" s="1"/>
      <c r="L62" s="1"/>
      <c r="M62" s="15"/>
      <c r="N62" s="61"/>
      <c r="O62" s="61"/>
      <c r="P62" s="61"/>
      <c r="Q62" s="61"/>
      <c r="R62" s="61"/>
      <c r="S62" s="61"/>
      <c r="T62" s="61"/>
      <c r="U62" s="1"/>
      <c r="V62" s="1"/>
      <c r="W62" s="1"/>
      <c r="X62" s="1"/>
      <c r="Y62" s="1"/>
      <c r="Z62" s="1"/>
      <c r="AA62" s="1"/>
      <c r="AB62" s="1"/>
    </row>
    <row r="63" customFormat="false" ht="15.75" hidden="false" customHeight="true" outlineLevel="0" collapsed="false">
      <c r="A63" s="1"/>
      <c r="B63" s="8"/>
      <c r="C63" s="7"/>
      <c r="D63" s="39"/>
      <c r="E63" s="40"/>
      <c r="F63" s="40"/>
      <c r="G63" s="10"/>
      <c r="H63" s="7"/>
      <c r="I63" s="1"/>
      <c r="J63" s="1"/>
      <c r="K63" s="1"/>
      <c r="L63" s="1"/>
      <c r="M63" s="15"/>
      <c r="N63" s="61"/>
      <c r="O63" s="61"/>
      <c r="P63" s="61"/>
      <c r="Q63" s="61"/>
      <c r="R63" s="61"/>
      <c r="S63" s="61"/>
      <c r="T63" s="61"/>
      <c r="U63" s="1"/>
      <c r="V63" s="1"/>
      <c r="W63" s="1"/>
      <c r="X63" s="1"/>
      <c r="Y63" s="1"/>
      <c r="Z63" s="1"/>
      <c r="AA63" s="1"/>
      <c r="AB63" s="1"/>
    </row>
    <row r="64" customFormat="false" ht="15.75" hidden="false" customHeight="true" outlineLevel="0" collapsed="false">
      <c r="A64" s="1"/>
      <c r="B64" s="8"/>
      <c r="C64" s="69" t="s">
        <v>49</v>
      </c>
      <c r="D64" s="69"/>
      <c r="E64" s="69"/>
      <c r="F64" s="69"/>
      <c r="G64" s="10"/>
      <c r="H64" s="7"/>
      <c r="I64" s="1"/>
      <c r="J64" s="1"/>
      <c r="K64" s="1"/>
      <c r="L64" s="1"/>
      <c r="M64" s="15"/>
      <c r="N64" s="61"/>
      <c r="O64" s="61"/>
      <c r="P64" s="61"/>
      <c r="Q64" s="61"/>
      <c r="R64" s="61"/>
      <c r="S64" s="61"/>
      <c r="T64" s="1"/>
      <c r="U64" s="1"/>
      <c r="V64" s="1"/>
      <c r="W64" s="1"/>
      <c r="X64" s="1"/>
      <c r="Y64" s="1"/>
      <c r="Z64" s="1"/>
      <c r="AA64" s="1"/>
      <c r="AB64" s="1"/>
    </row>
    <row r="65" customFormat="false" ht="15.75" hidden="false" customHeight="true" outlineLevel="0" collapsed="false">
      <c r="A65" s="1"/>
      <c r="B65" s="8"/>
      <c r="C65" s="78"/>
      <c r="D65" s="9"/>
      <c r="E65" s="9"/>
      <c r="F65" s="74"/>
      <c r="G65" s="10"/>
      <c r="H65" s="7"/>
      <c r="I65" s="79"/>
      <c r="J65" s="79"/>
      <c r="K65" s="1"/>
      <c r="L65" s="1"/>
      <c r="M65" s="15"/>
      <c r="N65" s="1"/>
      <c r="O65" s="1"/>
      <c r="P65" s="1"/>
      <c r="Q65" s="61"/>
      <c r="R65" s="61"/>
      <c r="S65" s="61"/>
      <c r="T65" s="61"/>
      <c r="U65" s="1"/>
      <c r="V65" s="1"/>
      <c r="W65" s="1"/>
      <c r="X65" s="1"/>
      <c r="Y65" s="1"/>
      <c r="Z65" s="1"/>
      <c r="AA65" s="1"/>
      <c r="AB65" s="1"/>
    </row>
    <row r="66" customFormat="false" ht="15.75" hidden="false" customHeight="true" outlineLevel="0" collapsed="false">
      <c r="A66" s="1"/>
      <c r="B66" s="8"/>
      <c r="C66" s="80" t="s">
        <v>50</v>
      </c>
      <c r="D66" s="21" t="s">
        <v>19</v>
      </c>
      <c r="E66" s="21" t="s">
        <v>20</v>
      </c>
      <c r="F66" s="74"/>
      <c r="G66" s="10"/>
      <c r="H66" s="7"/>
      <c r="I66" s="79"/>
      <c r="J66" s="79"/>
      <c r="K66" s="1"/>
      <c r="L66" s="1"/>
      <c r="M66" s="15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</row>
    <row r="67" customFormat="false" ht="15.75" hidden="true" customHeight="true" outlineLevel="0" collapsed="false">
      <c r="A67" s="1"/>
      <c r="B67" s="8"/>
      <c r="C67" s="81" t="str">
        <f aca="false">+C21</f>
        <v>Granzas</v>
      </c>
      <c r="D67" s="82" t="n">
        <f aca="false">IFERROR(H21, 0)</f>
        <v>31.1403639597088</v>
      </c>
      <c r="E67" s="82" t="n">
        <f aca="false">IFERROR(I21, 0)</f>
        <v>35.4057819621587</v>
      </c>
      <c r="F67" s="74"/>
      <c r="G67" s="10"/>
      <c r="H67" s="7"/>
      <c r="I67" s="83"/>
      <c r="J67" s="83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</row>
    <row r="68" customFormat="false" ht="15.75" hidden="true" customHeight="true" outlineLevel="0" collapsed="false">
      <c r="A68" s="1"/>
      <c r="B68" s="8"/>
      <c r="C68" s="81" t="str">
        <f aca="false">+C22</f>
        <v>Finos</v>
      </c>
      <c r="D68" s="82" t="n">
        <f aca="false">IFERROR(H22, 0)</f>
        <v>20.1889240571073</v>
      </c>
      <c r="E68" s="82" t="n">
        <f aca="false">IFERROR(I22, 0)</f>
        <v>22.7405553440095</v>
      </c>
      <c r="F68" s="74"/>
      <c r="G68" s="10"/>
      <c r="H68" s="7"/>
      <c r="I68" s="83"/>
      <c r="J68" s="83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</row>
    <row r="69" customFormat="false" ht="15.75" hidden="true" customHeight="true" outlineLevel="0" collapsed="false">
      <c r="A69" s="1"/>
      <c r="B69" s="8"/>
      <c r="C69" s="81" t="str">
        <f aca="false">+C24</f>
        <v>Prec. Mixto 1</v>
      </c>
      <c r="D69" s="82" t="n">
        <f aca="false">IFERROR(H24, 0)</f>
        <v>28.9252538865779</v>
      </c>
      <c r="E69" s="82" t="n">
        <f aca="false">IFERROR(I24, 0)</f>
        <v>23.5061985099976</v>
      </c>
      <c r="F69" s="74"/>
      <c r="G69" s="10"/>
      <c r="H69" s="7"/>
      <c r="I69" s="83"/>
      <c r="J69" s="83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</row>
    <row r="70" customFormat="false" ht="15.75" hidden="true" customHeight="true" outlineLevel="0" collapsed="false">
      <c r="A70" s="1"/>
      <c r="B70" s="8"/>
      <c r="C70" s="81" t="str">
        <f aca="false">+C25</f>
        <v>Prec. Mixto 2</v>
      </c>
      <c r="D70" s="82" t="n">
        <f aca="false">IFERROR(H25, 0)</f>
        <v>19.7454580982375</v>
      </c>
      <c r="E70" s="82" t="n">
        <f aca="false">IFERROR(I25, 0)</f>
        <v>18.3474641841724</v>
      </c>
      <c r="F70" s="74"/>
      <c r="G70" s="10"/>
      <c r="H70" s="7"/>
      <c r="I70" s="83"/>
      <c r="J70" s="83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</row>
    <row r="71" customFormat="false" ht="15.75" hidden="false" customHeight="true" outlineLevel="0" collapsed="false">
      <c r="A71" s="1"/>
      <c r="B71" s="8"/>
      <c r="C71" s="81" t="str">
        <f aca="false">+C36</f>
        <v>Prec. Granzas</v>
      </c>
      <c r="D71" s="82" t="n">
        <f aca="false">+H36</f>
        <v>43.4468869383609</v>
      </c>
      <c r="E71" s="82" t="n">
        <f aca="false">+I36</f>
        <v>52.4887585892109</v>
      </c>
      <c r="F71" s="74"/>
      <c r="G71" s="10"/>
      <c r="H71" s="7"/>
      <c r="I71" s="83"/>
      <c r="J71" s="83"/>
      <c r="K71" s="1"/>
      <c r="L71" s="1"/>
      <c r="M71" s="1"/>
      <c r="N71" s="1"/>
      <c r="O71" s="84"/>
      <c r="P71" s="84"/>
      <c r="Q71" s="84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customFormat="false" ht="15.75" hidden="false" customHeight="true" outlineLevel="0" collapsed="false">
      <c r="A72" s="1"/>
      <c r="B72" s="8"/>
      <c r="C72" s="81" t="str">
        <f aca="false">+C37</f>
        <v>Prec. Finos</v>
      </c>
      <c r="D72" s="82" t="n">
        <f aca="false">+H37</f>
        <v>22.3743445678721</v>
      </c>
      <c r="E72" s="82" t="n">
        <f aca="false">+I37</f>
        <v>28.6502053088773</v>
      </c>
      <c r="F72" s="74"/>
      <c r="G72" s="10"/>
      <c r="H72" s="7"/>
      <c r="I72" s="83"/>
      <c r="J72" s="83"/>
      <c r="K72" s="1"/>
      <c r="L72" s="1"/>
      <c r="M72" s="1"/>
      <c r="N72" s="1"/>
      <c r="O72" s="85"/>
      <c r="P72" s="85"/>
      <c r="Q72" s="85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customFormat="false" ht="15.75" hidden="false" customHeight="true" outlineLevel="0" collapsed="false">
      <c r="A73" s="1"/>
      <c r="B73" s="8"/>
      <c r="C73" s="81" t="str">
        <f aca="false">+C38</f>
        <v>Rechazo</v>
      </c>
      <c r="D73" s="82" t="n">
        <f aca="false">+H38</f>
        <v>34.178768493767</v>
      </c>
      <c r="E73" s="82" t="n">
        <f aca="false">+I38</f>
        <v>18.8610361282133</v>
      </c>
      <c r="F73" s="74"/>
      <c r="G73" s="10"/>
      <c r="H73" s="7"/>
      <c r="I73" s="83"/>
      <c r="J73" s="83"/>
      <c r="K73" s="1"/>
      <c r="L73" s="1"/>
      <c r="M73" s="1"/>
      <c r="N73" s="1"/>
      <c r="O73" s="85"/>
      <c r="P73" s="85"/>
      <c r="Q73" s="85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customFormat="false" ht="15.75" hidden="false" customHeight="true" outlineLevel="0" collapsed="false">
      <c r="A74" s="1"/>
      <c r="B74" s="8"/>
      <c r="C74" s="78"/>
      <c r="D74" s="9"/>
      <c r="E74" s="9"/>
      <c r="F74" s="74"/>
      <c r="G74" s="10"/>
      <c r="H74" s="7"/>
      <c r="I74" s="83"/>
      <c r="J74" s="83"/>
      <c r="K74" s="1"/>
      <c r="L74" s="1"/>
      <c r="M74" s="1"/>
      <c r="N74" s="1"/>
      <c r="O74" s="85"/>
      <c r="P74" s="85"/>
      <c r="Q74" s="85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customFormat="false" ht="30.75" hidden="true" customHeight="true" outlineLevel="0" collapsed="false">
      <c r="A75" s="1"/>
      <c r="B75" s="8"/>
      <c r="C75" s="86" t="s">
        <v>51</v>
      </c>
      <c r="D75" s="86"/>
      <c r="E75" s="86"/>
      <c r="F75" s="86"/>
      <c r="G75" s="10"/>
      <c r="H75" s="7"/>
      <c r="I75" s="83"/>
      <c r="J75" s="83"/>
      <c r="K75" s="1"/>
      <c r="L75" s="1"/>
      <c r="M75" s="1"/>
      <c r="N75" s="1"/>
      <c r="O75" s="85"/>
      <c r="P75" s="85"/>
      <c r="Q75" s="85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customFormat="false" ht="12" hidden="false" customHeight="true" outlineLevel="0" collapsed="false">
      <c r="A76" s="1"/>
      <c r="B76" s="8"/>
      <c r="C76" s="87"/>
      <c r="D76" s="87"/>
      <c r="E76" s="87"/>
      <c r="F76" s="87"/>
      <c r="G76" s="10"/>
      <c r="H76" s="7"/>
      <c r="I76" s="79"/>
      <c r="J76" s="79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customFormat="false" ht="15.75" hidden="false" customHeight="true" outlineLevel="0" collapsed="false">
      <c r="A77" s="1"/>
      <c r="B77" s="8"/>
      <c r="C77" s="7"/>
      <c r="D77" s="9"/>
      <c r="E77" s="9"/>
      <c r="F77" s="9"/>
      <c r="G77" s="10"/>
      <c r="H77" s="7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customFormat="false" ht="15.75" hidden="false" customHeight="true" outlineLevel="0" collapsed="false">
      <c r="A78" s="1"/>
      <c r="B78" s="88"/>
      <c r="C78" s="56"/>
      <c r="D78" s="89"/>
      <c r="E78" s="89"/>
      <c r="F78" s="89"/>
      <c r="G78" s="57"/>
      <c r="H78" s="7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customFormat="false" ht="15.75" hidden="false" customHeight="true" outlineLevel="0" collapsed="false">
      <c r="A79" s="1"/>
      <c r="B79" s="7"/>
      <c r="C79" s="7"/>
      <c r="D79" s="9"/>
      <c r="E79" s="9"/>
      <c r="F79" s="9"/>
      <c r="G79" s="7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customFormat="false" ht="15.75" hidden="false" customHeight="true" outlineLevel="0" collapsed="false">
      <c r="A80" s="1"/>
      <c r="B80" s="7"/>
      <c r="C80" s="7"/>
      <c r="D80" s="9"/>
      <c r="E80" s="9"/>
      <c r="F80" s="9"/>
      <c r="G80" s="7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customFormat="false" ht="15.75" hidden="false" customHeight="true" outlineLevel="0" collapsed="false">
      <c r="A81" s="1"/>
      <c r="B81" s="7"/>
      <c r="C81" s="7"/>
      <c r="D81" s="9"/>
      <c r="E81" s="9"/>
      <c r="F81" s="9"/>
      <c r="G81" s="7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customFormat="false" ht="15.75" hidden="false" customHeight="true" outlineLevel="0" collapsed="false">
      <c r="A82" s="1"/>
      <c r="B82" s="1"/>
      <c r="C82" s="1"/>
      <c r="D82" s="2"/>
      <c r="E82" s="2"/>
      <c r="F82" s="2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customFormat="false" ht="15.75" hidden="false" customHeight="true" outlineLevel="0" collapsed="false">
      <c r="A83" s="1"/>
      <c r="B83" s="1"/>
      <c r="C83" s="1" t="s">
        <v>52</v>
      </c>
      <c r="D83" s="2" t="n">
        <v>47087</v>
      </c>
      <c r="E83" s="2" t="n">
        <v>20539</v>
      </c>
      <c r="F83" s="2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customFormat="false" ht="15.75" hidden="false" customHeight="true" outlineLevel="0" collapsed="false">
      <c r="A84" s="1"/>
      <c r="B84" s="1"/>
      <c r="C84" s="1" t="s">
        <v>12</v>
      </c>
      <c r="D84" s="2" t="n">
        <v>74332</v>
      </c>
      <c r="E84" s="2" t="n">
        <v>57215</v>
      </c>
      <c r="F84" s="2" t="n">
        <v>59695</v>
      </c>
      <c r="G84" s="2" t="n">
        <v>118094</v>
      </c>
      <c r="H84" s="2" t="n">
        <v>21736</v>
      </c>
      <c r="I84" s="2" t="n">
        <v>38418</v>
      </c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customFormat="false" ht="15.75" hidden="false" customHeight="true" outlineLevel="0" collapsed="false">
      <c r="A85" s="1"/>
      <c r="B85" s="1"/>
      <c r="C85" s="1" t="s">
        <v>49</v>
      </c>
      <c r="D85" s="2" t="s">
        <v>53</v>
      </c>
      <c r="E85" s="2" t="s">
        <v>54</v>
      </c>
      <c r="F85" s="90" t="n">
        <v>44880</v>
      </c>
      <c r="G85" s="91" t="n">
        <v>44895</v>
      </c>
      <c r="H85" s="91" t="n">
        <v>44910</v>
      </c>
      <c r="I85" s="91" t="n">
        <v>44925</v>
      </c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customFormat="false" ht="15.75" hidden="false" customHeight="true" outlineLevel="0" collapsed="false">
      <c r="A86" s="1"/>
      <c r="B86" s="1"/>
      <c r="C86" s="1" t="s">
        <v>55</v>
      </c>
      <c r="D86" s="16" t="n">
        <f aca="false">12859/D83*100</f>
        <v>27.3090237220464</v>
      </c>
      <c r="E86" s="16" t="n">
        <f aca="false">5640/E83*100</f>
        <v>27.4599542334096</v>
      </c>
      <c r="F86" s="16"/>
      <c r="G86" s="16"/>
      <c r="H86" s="16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customFormat="false" ht="15.75" hidden="false" customHeight="true" outlineLevel="0" collapsed="false">
      <c r="A87" s="1"/>
      <c r="B87" s="1"/>
      <c r="C87" s="1" t="s">
        <v>56</v>
      </c>
      <c r="D87" s="16" t="n">
        <f aca="false">11814/D83*100</f>
        <v>25.089727525644</v>
      </c>
      <c r="E87" s="16" t="n">
        <f aca="false">3967/E83*100</f>
        <v>19.3144749014071</v>
      </c>
      <c r="F87" s="16"/>
      <c r="G87" s="16"/>
      <c r="H87" s="16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customFormat="false" ht="15.75" hidden="false" customHeight="true" outlineLevel="0" collapsed="false">
      <c r="A88" s="1"/>
      <c r="B88" s="1"/>
      <c r="C88" s="1" t="s">
        <v>57</v>
      </c>
      <c r="D88" s="16" t="n">
        <f aca="false">6355/D83*100</f>
        <v>13.4962940939113</v>
      </c>
      <c r="E88" s="16" t="n">
        <f aca="false">(2509)/E83*100</f>
        <v>12.215784604898</v>
      </c>
      <c r="F88" s="16"/>
      <c r="G88" s="16"/>
      <c r="H88" s="16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customFormat="false" ht="15.75" hidden="false" customHeight="true" outlineLevel="0" collapsed="false">
      <c r="A89" s="1"/>
      <c r="B89" s="1"/>
      <c r="C89" s="1" t="s">
        <v>58</v>
      </c>
      <c r="D89" s="16" t="n">
        <f aca="false">16059/D83*100</f>
        <v>34.1049546583983</v>
      </c>
      <c r="E89" s="16" t="n">
        <f aca="false">8422/E83*100</f>
        <v>41.0049174740737</v>
      </c>
      <c r="F89" s="16"/>
      <c r="G89" s="16"/>
      <c r="H89" s="16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customFormat="false" ht="15.75" hidden="false" customHeight="true" outlineLevel="0" collapsed="false">
      <c r="A90" s="1"/>
      <c r="B90" s="1"/>
      <c r="C90" s="1" t="s">
        <v>59</v>
      </c>
      <c r="D90" s="16" t="n">
        <f aca="false">34786/D84*100</f>
        <v>46.7981488457192</v>
      </c>
      <c r="E90" s="16" t="n">
        <f aca="false">+(7598+14018+984)/E84*100</f>
        <v>39.5001310845058</v>
      </c>
      <c r="F90" s="16" t="n">
        <f aca="false">24307/F84*100</f>
        <v>40.7186531535305</v>
      </c>
      <c r="G90" s="16" t="n">
        <v>41.73</v>
      </c>
      <c r="H90" s="16" t="n">
        <v>49.6</v>
      </c>
      <c r="I90" s="1" t="n">
        <v>36</v>
      </c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customFormat="false" ht="15.75" hidden="false" customHeight="true" outlineLevel="0" collapsed="false">
      <c r="A91" s="1"/>
      <c r="B91" s="1"/>
      <c r="C91" s="1" t="s">
        <v>60</v>
      </c>
      <c r="D91" s="16" t="n">
        <f aca="false">13243/D84*100</f>
        <v>17.8160146370339</v>
      </c>
      <c r="E91" s="16" t="n">
        <f aca="false">+(8088+2573+2431)/E84*100</f>
        <v>22.8821113344403</v>
      </c>
      <c r="F91" s="16" t="n">
        <f aca="false">12514/F84*100</f>
        <v>20.9632297512354</v>
      </c>
      <c r="G91" s="16" t="n">
        <v>19.88</v>
      </c>
      <c r="H91" s="16" t="n">
        <v>24.4</v>
      </c>
      <c r="I91" s="1" t="n">
        <v>23.1</v>
      </c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customFormat="false" ht="15.75" hidden="false" customHeight="true" outlineLevel="0" collapsed="false">
      <c r="A92" s="1"/>
      <c r="B92" s="1"/>
      <c r="C92" s="1" t="s">
        <v>61</v>
      </c>
      <c r="D92" s="16" t="n">
        <f aca="false">26302/D84*100</f>
        <v>35.3844912016359</v>
      </c>
      <c r="E92" s="16" t="n">
        <f aca="false">+(5683+10477+5362)/E84*100</f>
        <v>37.6160097876431</v>
      </c>
      <c r="F92" s="16" t="n">
        <f aca="false">22874/F84*100</f>
        <v>38.3181170952341</v>
      </c>
      <c r="G92" s="16" t="n">
        <v>38.39</v>
      </c>
      <c r="H92" s="16" t="n">
        <v>26</v>
      </c>
      <c r="I92" s="1" t="n">
        <v>40.8</v>
      </c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customFormat="false" ht="15.75" hidden="false" customHeight="true" outlineLevel="0" collapsed="false">
      <c r="A93" s="1"/>
      <c r="B93" s="1"/>
      <c r="C93" s="1"/>
      <c r="D93" s="2"/>
      <c r="E93" s="2"/>
      <c r="F93" s="2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customFormat="false" ht="15.75" hidden="false" customHeight="true" outlineLevel="0" collapsed="false">
      <c r="A94" s="1"/>
      <c r="B94" s="1"/>
      <c r="C94" s="1"/>
      <c r="D94" s="2"/>
      <c r="E94" s="2"/>
      <c r="F94" s="2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customFormat="false" ht="15.75" hidden="false" customHeight="true" outlineLevel="0" collapsed="false">
      <c r="A95" s="1"/>
      <c r="B95" s="1"/>
      <c r="C95" s="1"/>
      <c r="D95" s="2"/>
      <c r="E95" s="2"/>
      <c r="F95" s="2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customFormat="false" ht="15.75" hidden="false" customHeight="true" outlineLevel="0" collapsed="false">
      <c r="A96" s="1"/>
      <c r="B96" s="1"/>
      <c r="C96" s="1"/>
      <c r="D96" s="2"/>
      <c r="E96" s="2"/>
      <c r="F96" s="2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customFormat="false" ht="15.75" hidden="false" customHeight="true" outlineLevel="0" collapsed="false">
      <c r="A97" s="1"/>
      <c r="B97" s="1"/>
      <c r="C97" s="1"/>
      <c r="D97" s="2"/>
      <c r="E97" s="2"/>
      <c r="F97" s="2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customFormat="false" ht="15.75" hidden="false" customHeight="true" outlineLevel="0" collapsed="false">
      <c r="A98" s="1"/>
      <c r="B98" s="1"/>
      <c r="C98" s="1"/>
      <c r="D98" s="2"/>
      <c r="E98" s="2"/>
      <c r="F98" s="2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customFormat="false" ht="15.75" hidden="false" customHeight="true" outlineLevel="0" collapsed="false">
      <c r="A99" s="1"/>
      <c r="B99" s="1"/>
      <c r="C99" s="1"/>
      <c r="D99" s="2"/>
      <c r="E99" s="2"/>
      <c r="F99" s="2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customFormat="false" ht="15.75" hidden="false" customHeight="true" outlineLevel="0" collapsed="false">
      <c r="A100" s="1"/>
      <c r="B100" s="1"/>
      <c r="C100" s="1"/>
      <c r="D100" s="2"/>
      <c r="E100" s="2"/>
      <c r="F100" s="2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customFormat="false" ht="15.75" hidden="false" customHeight="true" outlineLevel="0" collapsed="false">
      <c r="A101" s="1"/>
      <c r="B101" s="1"/>
      <c r="C101" s="1"/>
      <c r="D101" s="2"/>
      <c r="E101" s="2"/>
      <c r="F101" s="2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customFormat="false" ht="15.75" hidden="false" customHeight="true" outlineLevel="0" collapsed="false">
      <c r="A102" s="1"/>
      <c r="B102" s="1"/>
      <c r="C102" s="1"/>
      <c r="D102" s="2"/>
      <c r="E102" s="2"/>
      <c r="F102" s="2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customFormat="false" ht="15.75" hidden="false" customHeight="true" outlineLevel="0" collapsed="false">
      <c r="A103" s="1"/>
      <c r="B103" s="1"/>
      <c r="C103" s="1"/>
      <c r="D103" s="2"/>
      <c r="E103" s="2"/>
      <c r="F103" s="2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customFormat="false" ht="15.75" hidden="false" customHeight="true" outlineLevel="0" collapsed="false">
      <c r="A104" s="1"/>
      <c r="B104" s="1"/>
      <c r="C104" s="1"/>
      <c r="D104" s="2"/>
      <c r="E104" s="2"/>
      <c r="F104" s="2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customFormat="false" ht="15.75" hidden="false" customHeight="true" outlineLevel="0" collapsed="false">
      <c r="A105" s="1"/>
      <c r="B105" s="1"/>
      <c r="C105" s="1"/>
      <c r="D105" s="2"/>
      <c r="E105" s="2"/>
      <c r="F105" s="2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customFormat="false" ht="15.75" hidden="false" customHeight="true" outlineLevel="0" collapsed="false">
      <c r="A106" s="1"/>
      <c r="B106" s="1"/>
      <c r="C106" s="1"/>
      <c r="D106" s="2"/>
      <c r="E106" s="2"/>
      <c r="F106" s="2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customFormat="false" ht="15.75" hidden="false" customHeight="true" outlineLevel="0" collapsed="false">
      <c r="A107" s="1"/>
      <c r="B107" s="1"/>
      <c r="C107" s="1"/>
      <c r="D107" s="2"/>
      <c r="E107" s="2"/>
      <c r="F107" s="2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customFormat="false" ht="15.75" hidden="false" customHeight="true" outlineLevel="0" collapsed="false">
      <c r="A108" s="1"/>
      <c r="B108" s="1"/>
      <c r="C108" s="1"/>
      <c r="D108" s="2"/>
      <c r="E108" s="2"/>
      <c r="F108" s="2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customFormat="false" ht="15.75" hidden="false" customHeight="true" outlineLevel="0" collapsed="false">
      <c r="A109" s="1"/>
      <c r="B109" s="1"/>
      <c r="C109" s="1"/>
      <c r="D109" s="2"/>
      <c r="E109" s="2"/>
      <c r="F109" s="2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customFormat="false" ht="15.75" hidden="false" customHeight="true" outlineLevel="0" collapsed="false">
      <c r="A110" s="1"/>
      <c r="B110" s="1"/>
      <c r="C110" s="1"/>
      <c r="D110" s="2"/>
      <c r="E110" s="2"/>
      <c r="F110" s="2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customFormat="false" ht="15.75" hidden="false" customHeight="true" outlineLevel="0" collapsed="false">
      <c r="A111" s="1"/>
      <c r="B111" s="1"/>
      <c r="C111" s="1"/>
      <c r="D111" s="2"/>
      <c r="E111" s="2"/>
      <c r="F111" s="2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customFormat="false" ht="15.75" hidden="false" customHeight="true" outlineLevel="0" collapsed="false">
      <c r="A112" s="1"/>
      <c r="B112" s="1"/>
      <c r="C112" s="1"/>
      <c r="D112" s="2"/>
      <c r="E112" s="2"/>
      <c r="F112" s="2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customFormat="false" ht="15.75" hidden="false" customHeight="true" outlineLevel="0" collapsed="false">
      <c r="A113" s="1"/>
      <c r="B113" s="1"/>
      <c r="C113" s="1"/>
      <c r="D113" s="2"/>
      <c r="E113" s="2"/>
      <c r="F113" s="2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customFormat="false" ht="15.75" hidden="false" customHeight="true" outlineLevel="0" collapsed="false">
      <c r="A114" s="1"/>
      <c r="B114" s="1"/>
      <c r="C114" s="1"/>
      <c r="D114" s="2"/>
      <c r="E114" s="2"/>
      <c r="F114" s="2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customFormat="false" ht="15.75" hidden="false" customHeight="true" outlineLevel="0" collapsed="false">
      <c r="A115" s="1"/>
      <c r="B115" s="1"/>
      <c r="C115" s="1"/>
      <c r="D115" s="2"/>
      <c r="E115" s="2"/>
      <c r="F115" s="2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customFormat="false" ht="15.75" hidden="false" customHeight="true" outlineLevel="0" collapsed="false">
      <c r="A116" s="1"/>
      <c r="B116" s="1"/>
      <c r="C116" s="1"/>
      <c r="D116" s="2"/>
      <c r="E116" s="2"/>
      <c r="F116" s="2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customFormat="false" ht="15.75" hidden="false" customHeight="true" outlineLevel="0" collapsed="false">
      <c r="A117" s="1"/>
      <c r="B117" s="1"/>
      <c r="C117" s="1"/>
      <c r="D117" s="2"/>
      <c r="E117" s="2"/>
      <c r="F117" s="2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customFormat="false" ht="15.75" hidden="false" customHeight="true" outlineLevel="0" collapsed="false">
      <c r="A118" s="1"/>
      <c r="B118" s="1"/>
      <c r="C118" s="1"/>
      <c r="D118" s="2"/>
      <c r="E118" s="2"/>
      <c r="F118" s="2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customFormat="false" ht="15.75" hidden="false" customHeight="true" outlineLevel="0" collapsed="false">
      <c r="A119" s="1"/>
      <c r="B119" s="1"/>
      <c r="C119" s="1"/>
      <c r="D119" s="2"/>
      <c r="E119" s="2"/>
      <c r="F119" s="2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customFormat="false" ht="15.75" hidden="false" customHeight="true" outlineLevel="0" collapsed="false">
      <c r="A120" s="1"/>
      <c r="B120" s="1"/>
      <c r="C120" s="1"/>
      <c r="D120" s="2"/>
      <c r="E120" s="2"/>
      <c r="F120" s="2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customFormat="false" ht="15.75" hidden="false" customHeight="true" outlineLevel="0" collapsed="false">
      <c r="A121" s="1"/>
      <c r="B121" s="1"/>
      <c r="C121" s="1"/>
      <c r="D121" s="2"/>
      <c r="E121" s="2"/>
      <c r="F121" s="2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customFormat="false" ht="15.75" hidden="false" customHeight="true" outlineLevel="0" collapsed="false">
      <c r="A122" s="1"/>
      <c r="B122" s="1"/>
      <c r="C122" s="1"/>
      <c r="D122" s="2"/>
      <c r="E122" s="2"/>
      <c r="F122" s="2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customFormat="false" ht="15.75" hidden="false" customHeight="true" outlineLevel="0" collapsed="false">
      <c r="A123" s="1"/>
      <c r="B123" s="1"/>
      <c r="C123" s="1"/>
      <c r="D123" s="2"/>
      <c r="E123" s="2"/>
      <c r="F123" s="2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customFormat="false" ht="15.75" hidden="false" customHeight="true" outlineLevel="0" collapsed="false">
      <c r="A124" s="1"/>
      <c r="B124" s="1"/>
      <c r="C124" s="1"/>
      <c r="D124" s="2"/>
      <c r="E124" s="2"/>
      <c r="F124" s="2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customFormat="false" ht="15.75" hidden="false" customHeight="true" outlineLevel="0" collapsed="false">
      <c r="A125" s="1"/>
      <c r="B125" s="1"/>
      <c r="C125" s="1"/>
      <c r="D125" s="2"/>
      <c r="E125" s="2"/>
      <c r="F125" s="2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customFormat="false" ht="15.75" hidden="false" customHeight="true" outlineLevel="0" collapsed="false">
      <c r="A126" s="1"/>
      <c r="B126" s="1"/>
      <c r="C126" s="1"/>
      <c r="D126" s="2"/>
      <c r="E126" s="2"/>
      <c r="F126" s="2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customFormat="false" ht="15.75" hidden="false" customHeight="true" outlineLevel="0" collapsed="false">
      <c r="A127" s="1"/>
      <c r="B127" s="1"/>
      <c r="C127" s="1"/>
      <c r="D127" s="2"/>
      <c r="E127" s="2"/>
      <c r="F127" s="2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customFormat="false" ht="15.75" hidden="false" customHeight="true" outlineLevel="0" collapsed="false">
      <c r="A128" s="1"/>
      <c r="B128" s="1"/>
      <c r="C128" s="1"/>
      <c r="D128" s="2"/>
      <c r="E128" s="2"/>
      <c r="F128" s="2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customFormat="false" ht="15.75" hidden="false" customHeight="true" outlineLevel="0" collapsed="false">
      <c r="A129" s="1"/>
      <c r="B129" s="1"/>
      <c r="C129" s="1"/>
      <c r="D129" s="2"/>
      <c r="E129" s="2"/>
      <c r="F129" s="2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customFormat="false" ht="15.75" hidden="false" customHeight="true" outlineLevel="0" collapsed="false">
      <c r="A130" s="1"/>
      <c r="B130" s="1"/>
      <c r="C130" s="1"/>
      <c r="D130" s="2"/>
      <c r="E130" s="2"/>
      <c r="F130" s="2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customFormat="false" ht="15.75" hidden="false" customHeight="true" outlineLevel="0" collapsed="false">
      <c r="A131" s="1"/>
      <c r="B131" s="1"/>
      <c r="C131" s="1"/>
      <c r="D131" s="2"/>
      <c r="E131" s="2"/>
      <c r="F131" s="2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customFormat="false" ht="15.75" hidden="false" customHeight="true" outlineLevel="0" collapsed="false">
      <c r="A132" s="1"/>
      <c r="B132" s="1"/>
      <c r="C132" s="1"/>
      <c r="D132" s="2"/>
      <c r="E132" s="2"/>
      <c r="F132" s="2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customFormat="false" ht="15.75" hidden="false" customHeight="true" outlineLevel="0" collapsed="false">
      <c r="A133" s="1"/>
      <c r="B133" s="1"/>
      <c r="C133" s="1"/>
      <c r="D133" s="2"/>
      <c r="E133" s="2"/>
      <c r="F133" s="2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customFormat="false" ht="15.75" hidden="false" customHeight="true" outlineLevel="0" collapsed="false">
      <c r="A134" s="1"/>
      <c r="B134" s="1"/>
      <c r="C134" s="1"/>
      <c r="D134" s="2"/>
      <c r="E134" s="2"/>
      <c r="F134" s="2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customFormat="false" ht="15.75" hidden="false" customHeight="true" outlineLevel="0" collapsed="false">
      <c r="A135" s="1"/>
      <c r="B135" s="1"/>
      <c r="C135" s="1"/>
      <c r="D135" s="2"/>
      <c r="E135" s="2"/>
      <c r="F135" s="2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customFormat="false" ht="15.75" hidden="false" customHeight="true" outlineLevel="0" collapsed="false">
      <c r="A136" s="1"/>
      <c r="B136" s="1"/>
      <c r="C136" s="1"/>
      <c r="D136" s="2"/>
      <c r="E136" s="2"/>
      <c r="F136" s="2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customFormat="false" ht="15.75" hidden="false" customHeight="true" outlineLevel="0" collapsed="false">
      <c r="A137" s="1"/>
      <c r="B137" s="1"/>
      <c r="C137" s="1"/>
      <c r="D137" s="2"/>
      <c r="E137" s="2"/>
      <c r="F137" s="2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customFormat="false" ht="15.75" hidden="false" customHeight="true" outlineLevel="0" collapsed="false">
      <c r="A138" s="1"/>
      <c r="B138" s="1"/>
      <c r="C138" s="1"/>
      <c r="D138" s="2"/>
      <c r="E138" s="2"/>
      <c r="F138" s="2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customFormat="false" ht="15.75" hidden="false" customHeight="true" outlineLevel="0" collapsed="false">
      <c r="A139" s="1"/>
      <c r="B139" s="1"/>
      <c r="C139" s="1"/>
      <c r="D139" s="2"/>
      <c r="E139" s="2"/>
      <c r="F139" s="2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customFormat="false" ht="15.75" hidden="false" customHeight="true" outlineLevel="0" collapsed="false">
      <c r="A140" s="1"/>
      <c r="B140" s="1"/>
      <c r="C140" s="1"/>
      <c r="D140" s="2"/>
      <c r="E140" s="2"/>
      <c r="F140" s="2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customFormat="false" ht="15.75" hidden="false" customHeight="true" outlineLevel="0" collapsed="false">
      <c r="A141" s="1"/>
      <c r="B141" s="1"/>
      <c r="C141" s="1"/>
      <c r="D141" s="2"/>
      <c r="E141" s="2"/>
      <c r="F141" s="2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customFormat="false" ht="15.75" hidden="false" customHeight="true" outlineLevel="0" collapsed="false">
      <c r="A142" s="1"/>
      <c r="B142" s="1"/>
      <c r="C142" s="1"/>
      <c r="D142" s="2"/>
      <c r="E142" s="2"/>
      <c r="F142" s="2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customFormat="false" ht="15.75" hidden="false" customHeight="true" outlineLevel="0" collapsed="false">
      <c r="A143" s="1"/>
      <c r="B143" s="1"/>
      <c r="C143" s="1"/>
      <c r="D143" s="2"/>
      <c r="E143" s="2"/>
      <c r="F143" s="2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customFormat="false" ht="15.75" hidden="false" customHeight="true" outlineLevel="0" collapsed="false">
      <c r="A144" s="1"/>
      <c r="B144" s="1"/>
      <c r="C144" s="1"/>
      <c r="D144" s="2"/>
      <c r="E144" s="2"/>
      <c r="F144" s="2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customFormat="false" ht="15.75" hidden="false" customHeight="true" outlineLevel="0" collapsed="false">
      <c r="A145" s="1"/>
      <c r="B145" s="1"/>
      <c r="C145" s="1"/>
      <c r="D145" s="2"/>
      <c r="E145" s="2"/>
      <c r="F145" s="2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customFormat="false" ht="15.75" hidden="false" customHeight="true" outlineLevel="0" collapsed="false">
      <c r="A146" s="1"/>
      <c r="B146" s="1"/>
      <c r="C146" s="1"/>
      <c r="D146" s="2"/>
      <c r="E146" s="2"/>
      <c r="F146" s="2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customFormat="false" ht="15.75" hidden="false" customHeight="true" outlineLevel="0" collapsed="false">
      <c r="A147" s="1"/>
      <c r="B147" s="1"/>
      <c r="C147" s="1"/>
      <c r="D147" s="2"/>
      <c r="E147" s="2"/>
      <c r="F147" s="2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customFormat="false" ht="15.75" hidden="false" customHeight="true" outlineLevel="0" collapsed="false">
      <c r="A148" s="1"/>
      <c r="B148" s="1"/>
      <c r="C148" s="1"/>
      <c r="D148" s="2"/>
      <c r="E148" s="2"/>
      <c r="F148" s="2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customFormat="false" ht="15.75" hidden="false" customHeight="true" outlineLevel="0" collapsed="false">
      <c r="A149" s="1"/>
      <c r="B149" s="1"/>
      <c r="C149" s="1"/>
      <c r="D149" s="2"/>
      <c r="E149" s="2"/>
      <c r="F149" s="2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customFormat="false" ht="15.75" hidden="false" customHeight="true" outlineLevel="0" collapsed="false">
      <c r="A150" s="1"/>
      <c r="B150" s="1"/>
      <c r="C150" s="1"/>
      <c r="D150" s="2"/>
      <c r="E150" s="2"/>
      <c r="F150" s="2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customFormat="false" ht="15.75" hidden="false" customHeight="true" outlineLevel="0" collapsed="false">
      <c r="A151" s="1"/>
      <c r="B151" s="1"/>
      <c r="C151" s="1"/>
      <c r="D151" s="2"/>
      <c r="E151" s="2"/>
      <c r="F151" s="2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customFormat="false" ht="15.75" hidden="false" customHeight="true" outlineLevel="0" collapsed="false">
      <c r="A152" s="1"/>
      <c r="B152" s="1"/>
      <c r="C152" s="1"/>
      <c r="D152" s="2"/>
      <c r="E152" s="2"/>
      <c r="F152" s="2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customFormat="false" ht="15.75" hidden="false" customHeight="true" outlineLevel="0" collapsed="false">
      <c r="A153" s="1"/>
      <c r="B153" s="1"/>
      <c r="C153" s="1"/>
      <c r="D153" s="2"/>
      <c r="E153" s="2"/>
      <c r="F153" s="2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customFormat="false" ht="15.75" hidden="false" customHeight="true" outlineLevel="0" collapsed="false">
      <c r="A154" s="1"/>
      <c r="B154" s="1"/>
      <c r="C154" s="1"/>
      <c r="D154" s="2"/>
      <c r="E154" s="2"/>
      <c r="F154" s="2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customFormat="false" ht="15.75" hidden="false" customHeight="true" outlineLevel="0" collapsed="false">
      <c r="A155" s="1"/>
      <c r="B155" s="1"/>
      <c r="C155" s="1"/>
      <c r="D155" s="2"/>
      <c r="E155" s="2"/>
      <c r="F155" s="2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customFormat="false" ht="15.75" hidden="false" customHeight="true" outlineLevel="0" collapsed="false">
      <c r="A156" s="1"/>
      <c r="B156" s="1"/>
      <c r="C156" s="1"/>
      <c r="D156" s="2"/>
      <c r="E156" s="2"/>
      <c r="F156" s="2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customFormat="false" ht="15.75" hidden="false" customHeight="true" outlineLevel="0" collapsed="false">
      <c r="A157" s="1"/>
      <c r="B157" s="1"/>
      <c r="C157" s="1"/>
      <c r="D157" s="2"/>
      <c r="E157" s="2"/>
      <c r="F157" s="2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</row>
    <row r="158" customFormat="false" ht="15.75" hidden="false" customHeight="true" outlineLevel="0" collapsed="false">
      <c r="A158" s="1"/>
      <c r="B158" s="1"/>
      <c r="C158" s="1"/>
      <c r="D158" s="2"/>
      <c r="E158" s="2"/>
      <c r="F158" s="2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</row>
    <row r="159" customFormat="false" ht="15.75" hidden="false" customHeight="true" outlineLevel="0" collapsed="false">
      <c r="A159" s="1"/>
      <c r="B159" s="1"/>
      <c r="C159" s="1"/>
      <c r="D159" s="2"/>
      <c r="E159" s="2"/>
      <c r="F159" s="2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</row>
    <row r="160" customFormat="false" ht="15.75" hidden="false" customHeight="true" outlineLevel="0" collapsed="false">
      <c r="A160" s="1"/>
      <c r="B160" s="1"/>
      <c r="C160" s="1"/>
      <c r="D160" s="2"/>
      <c r="E160" s="2"/>
      <c r="F160" s="2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</row>
    <row r="161" customFormat="false" ht="15.75" hidden="false" customHeight="true" outlineLevel="0" collapsed="false">
      <c r="A161" s="1"/>
      <c r="B161" s="1"/>
      <c r="C161" s="1"/>
      <c r="D161" s="2"/>
      <c r="E161" s="2"/>
      <c r="F161" s="2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</row>
    <row r="162" customFormat="false" ht="15.75" hidden="false" customHeight="true" outlineLevel="0" collapsed="false">
      <c r="A162" s="1"/>
      <c r="B162" s="1"/>
      <c r="C162" s="1"/>
      <c r="D162" s="2"/>
      <c r="E162" s="2"/>
      <c r="F162" s="2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</row>
    <row r="163" customFormat="false" ht="15.75" hidden="false" customHeight="true" outlineLevel="0" collapsed="false">
      <c r="A163" s="1"/>
      <c r="B163" s="1"/>
      <c r="C163" s="1"/>
      <c r="D163" s="2"/>
      <c r="E163" s="2"/>
      <c r="F163" s="2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</row>
    <row r="164" customFormat="false" ht="15.75" hidden="false" customHeight="true" outlineLevel="0" collapsed="false">
      <c r="A164" s="1"/>
      <c r="B164" s="1"/>
      <c r="C164" s="1"/>
      <c r="D164" s="2"/>
      <c r="E164" s="2"/>
      <c r="F164" s="2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</row>
    <row r="165" customFormat="false" ht="15.75" hidden="false" customHeight="true" outlineLevel="0" collapsed="false">
      <c r="A165" s="1"/>
      <c r="B165" s="1"/>
      <c r="C165" s="1"/>
      <c r="D165" s="2"/>
      <c r="E165" s="2"/>
      <c r="F165" s="2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</row>
    <row r="166" customFormat="false" ht="15.75" hidden="false" customHeight="true" outlineLevel="0" collapsed="false">
      <c r="A166" s="1"/>
      <c r="B166" s="1"/>
      <c r="C166" s="1"/>
      <c r="D166" s="2"/>
      <c r="E166" s="2"/>
      <c r="F166" s="2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</row>
    <row r="167" customFormat="false" ht="15.75" hidden="false" customHeight="true" outlineLevel="0" collapsed="false">
      <c r="A167" s="1"/>
      <c r="B167" s="1"/>
      <c r="C167" s="1"/>
      <c r="D167" s="2"/>
      <c r="E167" s="2"/>
      <c r="F167" s="2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</row>
    <row r="168" customFormat="false" ht="15.75" hidden="false" customHeight="true" outlineLevel="0" collapsed="false">
      <c r="A168" s="1"/>
      <c r="B168" s="1"/>
      <c r="C168" s="1"/>
      <c r="D168" s="2"/>
      <c r="E168" s="2"/>
      <c r="F168" s="2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</row>
    <row r="169" customFormat="false" ht="15.75" hidden="false" customHeight="true" outlineLevel="0" collapsed="false">
      <c r="A169" s="1"/>
      <c r="B169" s="1"/>
      <c r="C169" s="1"/>
      <c r="D169" s="2"/>
      <c r="E169" s="2"/>
      <c r="F169" s="2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</row>
    <row r="170" customFormat="false" ht="15.75" hidden="false" customHeight="true" outlineLevel="0" collapsed="false">
      <c r="A170" s="1"/>
      <c r="B170" s="1"/>
      <c r="C170" s="1"/>
      <c r="D170" s="2"/>
      <c r="E170" s="2"/>
      <c r="F170" s="2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</row>
    <row r="171" customFormat="false" ht="15.75" hidden="false" customHeight="true" outlineLevel="0" collapsed="false">
      <c r="A171" s="1"/>
      <c r="B171" s="1"/>
      <c r="C171" s="1"/>
      <c r="D171" s="2"/>
      <c r="E171" s="2"/>
      <c r="F171" s="2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</row>
    <row r="172" customFormat="false" ht="15.75" hidden="false" customHeight="true" outlineLevel="0" collapsed="false">
      <c r="A172" s="1"/>
      <c r="B172" s="1"/>
      <c r="C172" s="1"/>
      <c r="D172" s="2"/>
      <c r="E172" s="2"/>
      <c r="F172" s="2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</row>
    <row r="173" customFormat="false" ht="15.75" hidden="false" customHeight="true" outlineLevel="0" collapsed="false">
      <c r="A173" s="1"/>
      <c r="B173" s="1"/>
      <c r="C173" s="1"/>
      <c r="D173" s="2"/>
      <c r="E173" s="2"/>
      <c r="F173" s="2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</row>
    <row r="174" customFormat="false" ht="15.75" hidden="false" customHeight="true" outlineLevel="0" collapsed="false">
      <c r="A174" s="1"/>
      <c r="B174" s="1"/>
      <c r="C174" s="1"/>
      <c r="D174" s="2"/>
      <c r="E174" s="2"/>
      <c r="F174" s="2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</row>
    <row r="175" customFormat="false" ht="15.75" hidden="false" customHeight="true" outlineLevel="0" collapsed="false">
      <c r="A175" s="1"/>
      <c r="B175" s="1"/>
      <c r="C175" s="1"/>
      <c r="D175" s="2"/>
      <c r="E175" s="2"/>
      <c r="F175" s="2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</row>
    <row r="176" customFormat="false" ht="15.75" hidden="false" customHeight="true" outlineLevel="0" collapsed="false">
      <c r="A176" s="1"/>
      <c r="B176" s="1"/>
      <c r="C176" s="1"/>
      <c r="D176" s="2"/>
      <c r="E176" s="2"/>
      <c r="F176" s="2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</row>
    <row r="177" customFormat="false" ht="15.75" hidden="false" customHeight="true" outlineLevel="0" collapsed="false">
      <c r="A177" s="1"/>
      <c r="B177" s="1"/>
      <c r="C177" s="1"/>
      <c r="D177" s="2"/>
      <c r="E177" s="2"/>
      <c r="F177" s="2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</row>
    <row r="178" customFormat="false" ht="15.75" hidden="false" customHeight="true" outlineLevel="0" collapsed="false">
      <c r="A178" s="1"/>
      <c r="B178" s="1"/>
      <c r="C178" s="1"/>
      <c r="D178" s="2"/>
      <c r="E178" s="2"/>
      <c r="F178" s="2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</row>
    <row r="179" customFormat="false" ht="15.75" hidden="false" customHeight="true" outlineLevel="0" collapsed="false">
      <c r="A179" s="1"/>
      <c r="B179" s="1"/>
      <c r="C179" s="1"/>
      <c r="D179" s="2"/>
      <c r="E179" s="2"/>
      <c r="F179" s="2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</row>
    <row r="180" customFormat="false" ht="15.75" hidden="false" customHeight="true" outlineLevel="0" collapsed="false">
      <c r="A180" s="1"/>
      <c r="B180" s="1"/>
      <c r="C180" s="1"/>
      <c r="D180" s="2"/>
      <c r="E180" s="2"/>
      <c r="F180" s="2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</row>
    <row r="181" customFormat="false" ht="15.75" hidden="false" customHeight="true" outlineLevel="0" collapsed="false">
      <c r="A181" s="1"/>
      <c r="B181" s="1"/>
      <c r="C181" s="1"/>
      <c r="D181" s="2"/>
      <c r="E181" s="2"/>
      <c r="F181" s="2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</row>
    <row r="182" customFormat="false" ht="15.75" hidden="false" customHeight="true" outlineLevel="0" collapsed="false">
      <c r="A182" s="1"/>
      <c r="B182" s="1"/>
      <c r="C182" s="1"/>
      <c r="D182" s="2"/>
      <c r="E182" s="2"/>
      <c r="F182" s="2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</row>
    <row r="183" customFormat="false" ht="15.75" hidden="false" customHeight="true" outlineLevel="0" collapsed="false">
      <c r="A183" s="1"/>
      <c r="B183" s="1"/>
      <c r="C183" s="1"/>
      <c r="D183" s="2"/>
      <c r="E183" s="2"/>
      <c r="F183" s="2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</row>
    <row r="184" customFormat="false" ht="15.75" hidden="false" customHeight="true" outlineLevel="0" collapsed="false">
      <c r="A184" s="1"/>
      <c r="B184" s="1"/>
      <c r="C184" s="1"/>
      <c r="D184" s="2"/>
      <c r="E184" s="2"/>
      <c r="F184" s="2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</row>
    <row r="185" customFormat="false" ht="15.75" hidden="false" customHeight="true" outlineLevel="0" collapsed="false">
      <c r="A185" s="1"/>
      <c r="B185" s="1"/>
      <c r="C185" s="1"/>
      <c r="D185" s="2"/>
      <c r="E185" s="2"/>
      <c r="F185" s="2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</row>
    <row r="186" customFormat="false" ht="15.75" hidden="false" customHeight="true" outlineLevel="0" collapsed="false">
      <c r="A186" s="1"/>
      <c r="B186" s="1"/>
      <c r="C186" s="1"/>
      <c r="D186" s="2"/>
      <c r="E186" s="2"/>
      <c r="F186" s="2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</row>
    <row r="187" customFormat="false" ht="15.75" hidden="false" customHeight="true" outlineLevel="0" collapsed="false">
      <c r="A187" s="1"/>
      <c r="B187" s="1"/>
      <c r="C187" s="1"/>
      <c r="D187" s="2"/>
      <c r="E187" s="2"/>
      <c r="F187" s="2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</row>
    <row r="188" customFormat="false" ht="15.75" hidden="false" customHeight="true" outlineLevel="0" collapsed="false">
      <c r="A188" s="1"/>
      <c r="B188" s="1"/>
      <c r="C188" s="1"/>
      <c r="D188" s="2"/>
      <c r="E188" s="2"/>
      <c r="F188" s="2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</row>
    <row r="189" customFormat="false" ht="15.75" hidden="false" customHeight="true" outlineLevel="0" collapsed="false">
      <c r="A189" s="1"/>
      <c r="B189" s="1"/>
      <c r="C189" s="1"/>
      <c r="D189" s="2"/>
      <c r="E189" s="2"/>
      <c r="F189" s="2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</row>
    <row r="190" customFormat="false" ht="15.75" hidden="false" customHeight="true" outlineLevel="0" collapsed="false">
      <c r="A190" s="1"/>
      <c r="B190" s="1"/>
      <c r="C190" s="1"/>
      <c r="D190" s="2"/>
      <c r="E190" s="2"/>
      <c r="F190" s="2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</row>
    <row r="191" customFormat="false" ht="15.75" hidden="false" customHeight="true" outlineLevel="0" collapsed="false">
      <c r="A191" s="1"/>
      <c r="B191" s="1"/>
      <c r="C191" s="1"/>
      <c r="D191" s="2"/>
      <c r="E191" s="2"/>
      <c r="F191" s="2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</row>
    <row r="192" customFormat="false" ht="15.75" hidden="false" customHeight="true" outlineLevel="0" collapsed="false">
      <c r="A192" s="1"/>
      <c r="B192" s="1"/>
      <c r="C192" s="1"/>
      <c r="D192" s="2"/>
      <c r="E192" s="2"/>
      <c r="F192" s="2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</row>
    <row r="193" customFormat="false" ht="15.75" hidden="false" customHeight="true" outlineLevel="0" collapsed="false">
      <c r="A193" s="1"/>
      <c r="B193" s="1"/>
      <c r="C193" s="1"/>
      <c r="D193" s="2"/>
      <c r="E193" s="2"/>
      <c r="F193" s="2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</row>
    <row r="194" customFormat="false" ht="15.75" hidden="false" customHeight="true" outlineLevel="0" collapsed="false">
      <c r="A194" s="1"/>
      <c r="B194" s="1"/>
      <c r="C194" s="1"/>
      <c r="D194" s="2"/>
      <c r="E194" s="2"/>
      <c r="F194" s="2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</row>
    <row r="195" customFormat="false" ht="15.75" hidden="false" customHeight="true" outlineLevel="0" collapsed="false">
      <c r="A195" s="1"/>
      <c r="B195" s="1"/>
      <c r="C195" s="1"/>
      <c r="D195" s="2"/>
      <c r="E195" s="2"/>
      <c r="F195" s="2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</row>
    <row r="196" customFormat="false" ht="15.75" hidden="false" customHeight="true" outlineLevel="0" collapsed="false">
      <c r="A196" s="1"/>
      <c r="B196" s="1"/>
      <c r="C196" s="1"/>
      <c r="D196" s="2"/>
      <c r="E196" s="2"/>
      <c r="F196" s="2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</row>
    <row r="197" customFormat="false" ht="15.75" hidden="false" customHeight="true" outlineLevel="0" collapsed="false">
      <c r="A197" s="1"/>
      <c r="B197" s="1"/>
      <c r="C197" s="1"/>
      <c r="D197" s="2"/>
      <c r="E197" s="2"/>
      <c r="F197" s="2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</row>
    <row r="198" customFormat="false" ht="15.75" hidden="false" customHeight="true" outlineLevel="0" collapsed="false">
      <c r="A198" s="1"/>
      <c r="B198" s="1"/>
      <c r="C198" s="1"/>
      <c r="D198" s="2"/>
      <c r="E198" s="2"/>
      <c r="F198" s="2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</row>
    <row r="199" customFormat="false" ht="15.75" hidden="false" customHeight="true" outlineLevel="0" collapsed="false">
      <c r="A199" s="1"/>
      <c r="B199" s="1"/>
      <c r="C199" s="1"/>
      <c r="D199" s="2"/>
      <c r="E199" s="2"/>
      <c r="F199" s="2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</row>
    <row r="200" customFormat="false" ht="15.75" hidden="false" customHeight="true" outlineLevel="0" collapsed="false">
      <c r="A200" s="1"/>
      <c r="B200" s="1"/>
      <c r="C200" s="1"/>
      <c r="D200" s="2"/>
      <c r="E200" s="2"/>
      <c r="F200" s="2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</row>
    <row r="201" customFormat="false" ht="15.75" hidden="false" customHeight="true" outlineLevel="0" collapsed="false">
      <c r="A201" s="1"/>
      <c r="B201" s="1"/>
      <c r="C201" s="1"/>
      <c r="D201" s="2"/>
      <c r="E201" s="2"/>
      <c r="F201" s="2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</row>
    <row r="202" customFormat="false" ht="15.75" hidden="false" customHeight="true" outlineLevel="0" collapsed="false">
      <c r="A202" s="1"/>
      <c r="B202" s="1"/>
      <c r="C202" s="1"/>
      <c r="D202" s="2"/>
      <c r="E202" s="2"/>
      <c r="F202" s="2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</row>
    <row r="203" customFormat="false" ht="15.75" hidden="false" customHeight="true" outlineLevel="0" collapsed="false">
      <c r="A203" s="1"/>
      <c r="B203" s="1"/>
      <c r="C203" s="1"/>
      <c r="D203" s="2"/>
      <c r="E203" s="2"/>
      <c r="F203" s="2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</row>
    <row r="204" customFormat="false" ht="15.75" hidden="false" customHeight="true" outlineLevel="0" collapsed="false">
      <c r="A204" s="1"/>
      <c r="B204" s="1"/>
      <c r="C204" s="1"/>
      <c r="D204" s="2"/>
      <c r="E204" s="2"/>
      <c r="F204" s="2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</row>
    <row r="205" customFormat="false" ht="15.75" hidden="false" customHeight="true" outlineLevel="0" collapsed="false">
      <c r="A205" s="1"/>
      <c r="B205" s="1"/>
      <c r="C205" s="1"/>
      <c r="D205" s="2"/>
      <c r="E205" s="2"/>
      <c r="F205" s="2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</row>
    <row r="206" customFormat="false" ht="15.75" hidden="false" customHeight="true" outlineLevel="0" collapsed="false">
      <c r="A206" s="1"/>
      <c r="B206" s="1"/>
      <c r="C206" s="1"/>
      <c r="D206" s="2"/>
      <c r="E206" s="2"/>
      <c r="F206" s="2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</row>
    <row r="207" customFormat="false" ht="15.75" hidden="false" customHeight="true" outlineLevel="0" collapsed="false">
      <c r="A207" s="1"/>
      <c r="B207" s="1"/>
      <c r="C207" s="1"/>
      <c r="D207" s="2"/>
      <c r="E207" s="2"/>
      <c r="F207" s="2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</row>
    <row r="208" customFormat="false" ht="15.75" hidden="false" customHeight="true" outlineLevel="0" collapsed="false">
      <c r="A208" s="1"/>
      <c r="B208" s="1"/>
      <c r="C208" s="1"/>
      <c r="D208" s="2"/>
      <c r="E208" s="2"/>
      <c r="F208" s="2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</row>
    <row r="209" customFormat="false" ht="15.75" hidden="false" customHeight="true" outlineLevel="0" collapsed="false">
      <c r="A209" s="1"/>
      <c r="B209" s="1"/>
      <c r="C209" s="1"/>
      <c r="D209" s="2"/>
      <c r="E209" s="2"/>
      <c r="F209" s="2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</row>
    <row r="210" customFormat="false" ht="15.75" hidden="false" customHeight="true" outlineLevel="0" collapsed="false">
      <c r="A210" s="1"/>
      <c r="B210" s="1"/>
      <c r="C210" s="1"/>
      <c r="D210" s="2"/>
      <c r="E210" s="2"/>
      <c r="F210" s="2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</row>
    <row r="211" customFormat="false" ht="15.75" hidden="false" customHeight="true" outlineLevel="0" collapsed="false">
      <c r="A211" s="1"/>
      <c r="B211" s="1"/>
      <c r="C211" s="1"/>
      <c r="D211" s="2"/>
      <c r="E211" s="2"/>
      <c r="F211" s="2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</row>
    <row r="212" customFormat="false" ht="15.75" hidden="false" customHeight="true" outlineLevel="0" collapsed="false">
      <c r="A212" s="1"/>
      <c r="B212" s="1"/>
      <c r="C212" s="1"/>
      <c r="D212" s="2"/>
      <c r="E212" s="2"/>
      <c r="F212" s="2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</row>
    <row r="213" customFormat="false" ht="15.75" hidden="false" customHeight="true" outlineLevel="0" collapsed="false">
      <c r="A213" s="1"/>
      <c r="B213" s="1"/>
      <c r="C213" s="1"/>
      <c r="D213" s="2"/>
      <c r="E213" s="2"/>
      <c r="F213" s="2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</row>
    <row r="214" customFormat="false" ht="15.75" hidden="false" customHeight="true" outlineLevel="0" collapsed="false">
      <c r="A214" s="1"/>
      <c r="B214" s="1"/>
      <c r="C214" s="1"/>
      <c r="D214" s="2"/>
      <c r="E214" s="2"/>
      <c r="F214" s="2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</row>
    <row r="215" customFormat="false" ht="15.75" hidden="false" customHeight="true" outlineLevel="0" collapsed="false">
      <c r="A215" s="1"/>
      <c r="B215" s="1"/>
      <c r="C215" s="1"/>
      <c r="D215" s="2"/>
      <c r="E215" s="2"/>
      <c r="F215" s="2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</row>
    <row r="216" customFormat="false" ht="15.75" hidden="false" customHeight="true" outlineLevel="0" collapsed="false">
      <c r="A216" s="1"/>
      <c r="B216" s="1"/>
      <c r="C216" s="1"/>
      <c r="D216" s="2"/>
      <c r="E216" s="2"/>
      <c r="F216" s="2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</row>
    <row r="217" customFormat="false" ht="15.75" hidden="false" customHeight="true" outlineLevel="0" collapsed="false">
      <c r="A217" s="1"/>
      <c r="B217" s="1"/>
      <c r="C217" s="1"/>
      <c r="D217" s="2"/>
      <c r="E217" s="2"/>
      <c r="F217" s="2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</row>
    <row r="218" customFormat="false" ht="15.75" hidden="false" customHeight="true" outlineLevel="0" collapsed="false">
      <c r="A218" s="1"/>
      <c r="B218" s="1"/>
      <c r="C218" s="1"/>
      <c r="D218" s="2"/>
      <c r="E218" s="2"/>
      <c r="F218" s="2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</row>
    <row r="219" customFormat="false" ht="15.75" hidden="false" customHeight="true" outlineLevel="0" collapsed="false">
      <c r="A219" s="1"/>
      <c r="B219" s="1"/>
      <c r="C219" s="1"/>
      <c r="D219" s="2"/>
      <c r="E219" s="2"/>
      <c r="F219" s="2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</row>
    <row r="220" customFormat="false" ht="15.75" hidden="false" customHeight="true" outlineLevel="0" collapsed="false">
      <c r="A220" s="1"/>
      <c r="B220" s="1"/>
      <c r="C220" s="1"/>
      <c r="D220" s="2"/>
      <c r="E220" s="2"/>
      <c r="F220" s="2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</row>
    <row r="221" customFormat="false" ht="15.75" hidden="false" customHeight="true" outlineLevel="0" collapsed="false">
      <c r="A221" s="1"/>
      <c r="B221" s="1"/>
      <c r="C221" s="1"/>
      <c r="D221" s="2"/>
      <c r="E221" s="2"/>
      <c r="F221" s="2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</row>
    <row r="222" customFormat="false" ht="15.75" hidden="false" customHeight="true" outlineLevel="0" collapsed="false">
      <c r="A222" s="1"/>
      <c r="B222" s="1"/>
      <c r="C222" s="1"/>
      <c r="D222" s="2"/>
      <c r="E222" s="2"/>
      <c r="F222" s="2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</row>
    <row r="223" customFormat="false" ht="15.75" hidden="false" customHeight="true" outlineLevel="0" collapsed="false">
      <c r="A223" s="1"/>
      <c r="B223" s="1"/>
      <c r="C223" s="1"/>
      <c r="D223" s="2"/>
      <c r="E223" s="2"/>
      <c r="F223" s="2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</row>
    <row r="224" customFormat="false" ht="15.75" hidden="false" customHeight="true" outlineLevel="0" collapsed="false">
      <c r="A224" s="1"/>
      <c r="B224" s="1"/>
      <c r="C224" s="1"/>
      <c r="D224" s="2"/>
      <c r="E224" s="2"/>
      <c r="F224" s="2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</row>
    <row r="225" customFormat="false" ht="15.75" hidden="false" customHeight="true" outlineLevel="0" collapsed="false">
      <c r="A225" s="1"/>
      <c r="B225" s="1"/>
      <c r="C225" s="1"/>
      <c r="D225" s="2"/>
      <c r="E225" s="2"/>
      <c r="F225" s="2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</row>
    <row r="226" customFormat="false" ht="15.75" hidden="false" customHeight="true" outlineLevel="0" collapsed="false">
      <c r="A226" s="1"/>
      <c r="B226" s="1"/>
      <c r="C226" s="1"/>
      <c r="D226" s="2"/>
      <c r="E226" s="2"/>
      <c r="F226" s="2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</row>
    <row r="227" customFormat="false" ht="15.75" hidden="false" customHeight="true" outlineLevel="0" collapsed="false">
      <c r="A227" s="1"/>
      <c r="B227" s="1"/>
      <c r="C227" s="1"/>
      <c r="D227" s="2"/>
      <c r="E227" s="2"/>
      <c r="F227" s="2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</row>
    <row r="228" customFormat="false" ht="15.75" hidden="false" customHeight="true" outlineLevel="0" collapsed="false">
      <c r="A228" s="1"/>
      <c r="B228" s="1"/>
      <c r="C228" s="1"/>
      <c r="D228" s="2"/>
      <c r="E228" s="2"/>
      <c r="F228" s="2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</row>
    <row r="229" customFormat="false" ht="15.75" hidden="false" customHeight="true" outlineLevel="0" collapsed="false">
      <c r="A229" s="1"/>
      <c r="B229" s="1"/>
      <c r="C229" s="1"/>
      <c r="D229" s="2"/>
      <c r="E229" s="2"/>
      <c r="F229" s="2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</row>
    <row r="230" customFormat="false" ht="15.75" hidden="false" customHeight="true" outlineLevel="0" collapsed="false">
      <c r="A230" s="1"/>
      <c r="B230" s="1"/>
      <c r="C230" s="1"/>
      <c r="D230" s="2"/>
      <c r="E230" s="2"/>
      <c r="F230" s="2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</row>
    <row r="231" customFormat="false" ht="15.75" hidden="false" customHeight="true" outlineLevel="0" collapsed="false">
      <c r="A231" s="1"/>
      <c r="B231" s="1"/>
      <c r="C231" s="1"/>
      <c r="D231" s="2"/>
      <c r="E231" s="2"/>
      <c r="F231" s="2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</row>
    <row r="232" customFormat="false" ht="15.75" hidden="false" customHeight="true" outlineLevel="0" collapsed="false">
      <c r="A232" s="1"/>
      <c r="B232" s="1"/>
      <c r="C232" s="1"/>
      <c r="D232" s="2"/>
      <c r="E232" s="2"/>
      <c r="F232" s="2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</row>
    <row r="233" customFormat="false" ht="15.75" hidden="false" customHeight="true" outlineLevel="0" collapsed="false">
      <c r="A233" s="1"/>
      <c r="B233" s="1"/>
      <c r="C233" s="1"/>
      <c r="D233" s="2"/>
      <c r="E233" s="2"/>
      <c r="F233" s="2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</row>
    <row r="234" customFormat="false" ht="15.75" hidden="false" customHeight="true" outlineLevel="0" collapsed="false">
      <c r="A234" s="1"/>
      <c r="B234" s="1"/>
      <c r="C234" s="1"/>
      <c r="D234" s="2"/>
      <c r="E234" s="2"/>
      <c r="F234" s="2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</row>
    <row r="235" customFormat="false" ht="15.75" hidden="false" customHeight="true" outlineLevel="0" collapsed="false">
      <c r="A235" s="1"/>
      <c r="B235" s="1"/>
      <c r="C235" s="1"/>
      <c r="D235" s="2"/>
      <c r="E235" s="2"/>
      <c r="F235" s="2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</row>
    <row r="236" customFormat="false" ht="15.75" hidden="false" customHeight="true" outlineLevel="0" collapsed="false">
      <c r="A236" s="1"/>
      <c r="B236" s="1"/>
      <c r="C236" s="1"/>
      <c r="D236" s="2"/>
      <c r="E236" s="2"/>
      <c r="F236" s="2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</row>
    <row r="237" customFormat="false" ht="15.75" hidden="false" customHeight="true" outlineLevel="0" collapsed="false">
      <c r="A237" s="1"/>
      <c r="B237" s="1"/>
      <c r="C237" s="1"/>
      <c r="D237" s="2"/>
      <c r="E237" s="2"/>
      <c r="F237" s="2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</row>
    <row r="238" customFormat="false" ht="15.75" hidden="false" customHeight="true" outlineLevel="0" collapsed="false">
      <c r="A238" s="1"/>
      <c r="B238" s="1"/>
      <c r="C238" s="1"/>
      <c r="D238" s="2"/>
      <c r="E238" s="2"/>
      <c r="F238" s="2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</row>
    <row r="239" customFormat="false" ht="15.75" hidden="false" customHeight="true" outlineLevel="0" collapsed="false">
      <c r="A239" s="1"/>
      <c r="B239" s="1"/>
      <c r="C239" s="1"/>
      <c r="D239" s="2"/>
      <c r="E239" s="2"/>
      <c r="F239" s="2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</row>
    <row r="240" customFormat="false" ht="15.75" hidden="false" customHeight="true" outlineLevel="0" collapsed="false">
      <c r="A240" s="1"/>
      <c r="B240" s="1"/>
      <c r="C240" s="1"/>
      <c r="D240" s="2"/>
      <c r="E240" s="2"/>
      <c r="F240" s="2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</row>
    <row r="241" customFormat="false" ht="15.75" hidden="false" customHeight="true" outlineLevel="0" collapsed="false">
      <c r="A241" s="1"/>
      <c r="B241" s="1"/>
      <c r="C241" s="1"/>
      <c r="D241" s="2"/>
      <c r="E241" s="2"/>
      <c r="F241" s="2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</row>
    <row r="242" customFormat="false" ht="15.75" hidden="false" customHeight="true" outlineLevel="0" collapsed="false">
      <c r="A242" s="1"/>
      <c r="B242" s="1"/>
      <c r="C242" s="1"/>
      <c r="D242" s="2"/>
      <c r="E242" s="2"/>
      <c r="F242" s="2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</row>
    <row r="243" customFormat="false" ht="15.75" hidden="false" customHeight="true" outlineLevel="0" collapsed="false">
      <c r="A243" s="1"/>
      <c r="B243" s="1"/>
      <c r="C243" s="1"/>
      <c r="D243" s="2"/>
      <c r="E243" s="2"/>
      <c r="F243" s="2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</row>
    <row r="244" customFormat="false" ht="15.75" hidden="false" customHeight="true" outlineLevel="0" collapsed="false">
      <c r="A244" s="1"/>
      <c r="B244" s="1"/>
      <c r="C244" s="1"/>
      <c r="D244" s="2"/>
      <c r="E244" s="2"/>
      <c r="F244" s="2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</row>
    <row r="245" customFormat="false" ht="15.75" hidden="false" customHeight="true" outlineLevel="0" collapsed="false">
      <c r="A245" s="1"/>
      <c r="B245" s="1"/>
      <c r="C245" s="1"/>
      <c r="D245" s="2"/>
      <c r="E245" s="2"/>
      <c r="F245" s="2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</row>
    <row r="246" customFormat="false" ht="15.75" hidden="false" customHeight="true" outlineLevel="0" collapsed="false">
      <c r="A246" s="1"/>
      <c r="B246" s="1"/>
      <c r="C246" s="1"/>
      <c r="D246" s="2"/>
      <c r="E246" s="2"/>
      <c r="F246" s="2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</row>
    <row r="247" customFormat="false" ht="15.75" hidden="false" customHeight="true" outlineLevel="0" collapsed="false">
      <c r="A247" s="1"/>
      <c r="B247" s="1"/>
      <c r="C247" s="1"/>
      <c r="D247" s="2"/>
      <c r="E247" s="2"/>
      <c r="F247" s="2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</row>
    <row r="248" customFormat="false" ht="15.75" hidden="false" customHeight="true" outlineLevel="0" collapsed="false">
      <c r="A248" s="1"/>
      <c r="B248" s="1"/>
      <c r="C248" s="1"/>
      <c r="D248" s="2"/>
      <c r="E248" s="2"/>
      <c r="F248" s="2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</row>
    <row r="249" customFormat="false" ht="15.75" hidden="false" customHeight="true" outlineLevel="0" collapsed="false">
      <c r="A249" s="1"/>
      <c r="B249" s="1"/>
      <c r="C249" s="1"/>
      <c r="D249" s="2"/>
      <c r="E249" s="2"/>
      <c r="F249" s="2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</row>
    <row r="250" customFormat="false" ht="15.75" hidden="false" customHeight="true" outlineLevel="0" collapsed="false">
      <c r="A250" s="1"/>
      <c r="B250" s="1"/>
      <c r="C250" s="1"/>
      <c r="D250" s="2"/>
      <c r="E250" s="2"/>
      <c r="F250" s="2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</row>
    <row r="251" customFormat="false" ht="15.75" hidden="false" customHeight="true" outlineLevel="0" collapsed="false">
      <c r="A251" s="1"/>
      <c r="B251" s="1"/>
      <c r="C251" s="1"/>
      <c r="D251" s="2"/>
      <c r="E251" s="2"/>
      <c r="F251" s="2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</row>
    <row r="252" customFormat="false" ht="15.75" hidden="false" customHeight="true" outlineLevel="0" collapsed="false">
      <c r="A252" s="1"/>
      <c r="B252" s="1"/>
      <c r="C252" s="1"/>
      <c r="D252" s="2"/>
      <c r="E252" s="2"/>
      <c r="F252" s="2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</row>
    <row r="253" customFormat="false" ht="15.75" hidden="false" customHeight="true" outlineLevel="0" collapsed="false">
      <c r="A253" s="1"/>
      <c r="B253" s="1"/>
      <c r="C253" s="1"/>
      <c r="D253" s="2"/>
      <c r="E253" s="2"/>
      <c r="F253" s="2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</row>
    <row r="254" customFormat="false" ht="15.75" hidden="false" customHeight="true" outlineLevel="0" collapsed="false">
      <c r="A254" s="1"/>
      <c r="B254" s="1"/>
      <c r="C254" s="1"/>
      <c r="D254" s="2"/>
      <c r="E254" s="2"/>
      <c r="F254" s="2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</row>
    <row r="255" customFormat="false" ht="15.75" hidden="false" customHeight="true" outlineLevel="0" collapsed="false">
      <c r="A255" s="1"/>
      <c r="B255" s="1"/>
      <c r="C255" s="1"/>
      <c r="D255" s="2"/>
      <c r="E255" s="2"/>
      <c r="F255" s="2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</row>
    <row r="256" customFormat="false" ht="15.75" hidden="false" customHeight="true" outlineLevel="0" collapsed="false">
      <c r="A256" s="1"/>
      <c r="B256" s="1"/>
      <c r="C256" s="1"/>
      <c r="D256" s="2"/>
      <c r="E256" s="2"/>
      <c r="F256" s="2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</row>
    <row r="257" customFormat="false" ht="15.75" hidden="false" customHeight="true" outlineLevel="0" collapsed="false">
      <c r="A257" s="1"/>
      <c r="B257" s="1"/>
      <c r="C257" s="1"/>
      <c r="D257" s="2"/>
      <c r="E257" s="2"/>
      <c r="F257" s="2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</row>
    <row r="258" customFormat="false" ht="15.75" hidden="false" customHeight="true" outlineLevel="0" collapsed="false">
      <c r="A258" s="1"/>
      <c r="B258" s="1"/>
      <c r="C258" s="1"/>
      <c r="D258" s="2"/>
      <c r="E258" s="2"/>
      <c r="F258" s="2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</row>
    <row r="259" customFormat="false" ht="15.75" hidden="false" customHeight="true" outlineLevel="0" collapsed="false">
      <c r="A259" s="1"/>
      <c r="B259" s="1"/>
      <c r="C259" s="1"/>
      <c r="D259" s="2"/>
      <c r="E259" s="2"/>
      <c r="F259" s="2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</row>
    <row r="260" customFormat="false" ht="15.75" hidden="false" customHeight="true" outlineLevel="0" collapsed="false">
      <c r="A260" s="1"/>
      <c r="B260" s="1"/>
      <c r="C260" s="1"/>
      <c r="D260" s="2"/>
      <c r="E260" s="2"/>
      <c r="F260" s="2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</row>
    <row r="261" customFormat="false" ht="15.75" hidden="false" customHeight="true" outlineLevel="0" collapsed="false">
      <c r="A261" s="1"/>
      <c r="B261" s="1"/>
      <c r="C261" s="1"/>
      <c r="D261" s="2"/>
      <c r="E261" s="2"/>
      <c r="F261" s="2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</row>
    <row r="262" customFormat="false" ht="15.75" hidden="false" customHeight="true" outlineLevel="0" collapsed="false">
      <c r="A262" s="1"/>
      <c r="B262" s="1"/>
      <c r="C262" s="1"/>
      <c r="D262" s="2"/>
      <c r="E262" s="2"/>
      <c r="F262" s="2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</row>
    <row r="263" customFormat="false" ht="15.75" hidden="false" customHeight="true" outlineLevel="0" collapsed="false">
      <c r="A263" s="1"/>
      <c r="B263" s="1"/>
      <c r="C263" s="1"/>
      <c r="D263" s="2"/>
      <c r="E263" s="2"/>
      <c r="F263" s="2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</row>
    <row r="264" customFormat="false" ht="15.75" hidden="false" customHeight="true" outlineLevel="0" collapsed="false">
      <c r="A264" s="1"/>
      <c r="B264" s="1"/>
      <c r="C264" s="1"/>
      <c r="D264" s="2"/>
      <c r="E264" s="2"/>
      <c r="F264" s="2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</row>
    <row r="265" customFormat="false" ht="15.75" hidden="false" customHeight="true" outlineLevel="0" collapsed="false">
      <c r="A265" s="1"/>
      <c r="B265" s="1"/>
      <c r="C265" s="1"/>
      <c r="D265" s="2"/>
      <c r="E265" s="2"/>
      <c r="F265" s="2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</row>
    <row r="266" customFormat="false" ht="15.75" hidden="false" customHeight="true" outlineLevel="0" collapsed="false">
      <c r="A266" s="1"/>
      <c r="B266" s="1"/>
      <c r="C266" s="1"/>
      <c r="D266" s="2"/>
      <c r="E266" s="2"/>
      <c r="F266" s="2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</row>
    <row r="267" customFormat="false" ht="15.75" hidden="false" customHeight="true" outlineLevel="0" collapsed="false">
      <c r="A267" s="1"/>
      <c r="B267" s="1"/>
      <c r="C267" s="1"/>
      <c r="D267" s="2"/>
      <c r="E267" s="2"/>
      <c r="F267" s="2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</row>
    <row r="268" customFormat="false" ht="15.75" hidden="false" customHeight="true" outlineLevel="0" collapsed="false">
      <c r="A268" s="1"/>
      <c r="B268" s="1"/>
      <c r="C268" s="1"/>
      <c r="D268" s="2"/>
      <c r="E268" s="2"/>
      <c r="F268" s="2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</row>
    <row r="269" customFormat="false" ht="15.75" hidden="false" customHeight="true" outlineLevel="0" collapsed="false">
      <c r="A269" s="1"/>
      <c r="B269" s="1"/>
      <c r="C269" s="1"/>
      <c r="D269" s="2"/>
      <c r="E269" s="2"/>
      <c r="F269" s="2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</row>
    <row r="270" customFormat="false" ht="15.75" hidden="false" customHeight="true" outlineLevel="0" collapsed="false">
      <c r="A270" s="1"/>
      <c r="B270" s="1"/>
      <c r="C270" s="1"/>
      <c r="D270" s="2"/>
      <c r="E270" s="2"/>
      <c r="F270" s="2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</row>
    <row r="271" customFormat="false" ht="15.75" hidden="false" customHeight="true" outlineLevel="0" collapsed="false">
      <c r="A271" s="1"/>
      <c r="B271" s="1"/>
      <c r="C271" s="1"/>
      <c r="D271" s="2"/>
      <c r="E271" s="2"/>
      <c r="F271" s="2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</row>
    <row r="272" customFormat="false" ht="15.75" hidden="false" customHeight="true" outlineLevel="0" collapsed="false">
      <c r="A272" s="1"/>
      <c r="B272" s="1"/>
      <c r="C272" s="1"/>
      <c r="D272" s="2"/>
      <c r="E272" s="2"/>
      <c r="F272" s="2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</row>
    <row r="273" customFormat="false" ht="15.75" hidden="false" customHeight="true" outlineLevel="0" collapsed="false">
      <c r="A273" s="1"/>
      <c r="B273" s="1"/>
      <c r="C273" s="1"/>
      <c r="D273" s="2"/>
      <c r="E273" s="2"/>
      <c r="F273" s="2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</row>
    <row r="274" customFormat="false" ht="15.75" hidden="false" customHeight="true" outlineLevel="0" collapsed="false">
      <c r="A274" s="1"/>
      <c r="B274" s="1"/>
      <c r="C274" s="1"/>
      <c r="D274" s="2"/>
      <c r="E274" s="2"/>
      <c r="F274" s="2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</row>
    <row r="275" customFormat="false" ht="15.75" hidden="false" customHeight="true" outlineLevel="0" collapsed="false">
      <c r="A275" s="1"/>
      <c r="B275" s="1"/>
      <c r="C275" s="1"/>
      <c r="D275" s="2"/>
      <c r="E275" s="2"/>
      <c r="F275" s="2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</row>
    <row r="276" customFormat="false" ht="15.75" hidden="false" customHeight="true" outlineLevel="0" collapsed="false">
      <c r="A276" s="1"/>
      <c r="B276" s="1"/>
      <c r="C276" s="1"/>
      <c r="D276" s="2"/>
      <c r="E276" s="2"/>
      <c r="F276" s="2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</row>
    <row r="277" customFormat="false" ht="15.75" hidden="false" customHeight="true" outlineLevel="0" collapsed="false">
      <c r="A277" s="1"/>
      <c r="B277" s="1"/>
      <c r="C277" s="1"/>
      <c r="D277" s="2"/>
      <c r="E277" s="2"/>
      <c r="F277" s="2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</row>
    <row r="278" customFormat="false" ht="15.75" hidden="false" customHeight="true" outlineLevel="0" collapsed="false">
      <c r="A278" s="1"/>
      <c r="B278" s="1"/>
      <c r="C278" s="1"/>
      <c r="D278" s="2"/>
      <c r="E278" s="2"/>
      <c r="F278" s="2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</row>
    <row r="279" customFormat="false" ht="15.75" hidden="false" customHeight="true" outlineLevel="0" collapsed="false">
      <c r="A279" s="1"/>
      <c r="B279" s="1"/>
      <c r="C279" s="1"/>
      <c r="D279" s="2"/>
      <c r="E279" s="2"/>
      <c r="F279" s="2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</row>
    <row r="280" customFormat="false" ht="15.75" hidden="false" customHeight="true" outlineLevel="0" collapsed="false">
      <c r="A280" s="1"/>
      <c r="B280" s="1"/>
      <c r="C280" s="1"/>
      <c r="D280" s="2"/>
      <c r="E280" s="2"/>
      <c r="F280" s="2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</row>
    <row r="281" customFormat="false" ht="15.75" hidden="false" customHeight="true" outlineLevel="0" collapsed="false">
      <c r="A281" s="1"/>
      <c r="B281" s="1"/>
      <c r="C281" s="1"/>
      <c r="D281" s="2"/>
      <c r="E281" s="2"/>
      <c r="F281" s="2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</row>
    <row r="282" customFormat="false" ht="15.75" hidden="false" customHeight="true" outlineLevel="0" collapsed="false">
      <c r="A282" s="1"/>
      <c r="B282" s="1"/>
      <c r="C282" s="1"/>
      <c r="D282" s="2"/>
      <c r="E282" s="2"/>
      <c r="F282" s="2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</row>
    <row r="283" customFormat="false" ht="15.75" hidden="false" customHeight="true" outlineLevel="0" collapsed="false">
      <c r="A283" s="1"/>
      <c r="B283" s="1"/>
      <c r="C283" s="1"/>
      <c r="D283" s="2"/>
      <c r="E283" s="2"/>
      <c r="F283" s="2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</row>
    <row r="284" customFormat="false" ht="15.75" hidden="false" customHeight="true" outlineLevel="0" collapsed="false">
      <c r="A284" s="1"/>
      <c r="B284" s="1"/>
      <c r="C284" s="1"/>
      <c r="D284" s="2"/>
      <c r="E284" s="2"/>
      <c r="F284" s="2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</row>
    <row r="285" customFormat="false" ht="15.75" hidden="false" customHeight="true" outlineLevel="0" collapsed="false">
      <c r="A285" s="1"/>
      <c r="B285" s="1"/>
      <c r="C285" s="1"/>
      <c r="D285" s="2"/>
      <c r="E285" s="2"/>
      <c r="F285" s="2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</row>
    <row r="286" customFormat="false" ht="15.75" hidden="false" customHeight="true" outlineLevel="0" collapsed="false">
      <c r="A286" s="1"/>
      <c r="B286" s="1"/>
      <c r="C286" s="1"/>
      <c r="D286" s="2"/>
      <c r="E286" s="2"/>
      <c r="F286" s="2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</row>
    <row r="287" customFormat="false" ht="15.75" hidden="false" customHeight="true" outlineLevel="0" collapsed="false">
      <c r="A287" s="1"/>
      <c r="B287" s="1"/>
      <c r="C287" s="1"/>
      <c r="D287" s="2"/>
      <c r="E287" s="2"/>
      <c r="F287" s="2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</row>
    <row r="288" customFormat="false" ht="15.75" hidden="false" customHeight="true" outlineLevel="0" collapsed="false">
      <c r="A288" s="1"/>
      <c r="B288" s="1"/>
      <c r="C288" s="1"/>
      <c r="D288" s="2"/>
      <c r="E288" s="2"/>
      <c r="F288" s="2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</row>
    <row r="289" customFormat="false" ht="15.75" hidden="false" customHeight="true" outlineLevel="0" collapsed="false">
      <c r="A289" s="1"/>
      <c r="B289" s="1"/>
      <c r="C289" s="1"/>
      <c r="D289" s="2"/>
      <c r="E289" s="2"/>
      <c r="F289" s="2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</row>
    <row r="290" customFormat="false" ht="15.75" hidden="false" customHeight="true" outlineLevel="0" collapsed="false">
      <c r="A290" s="1"/>
      <c r="B290" s="1"/>
      <c r="C290" s="1"/>
      <c r="D290" s="2"/>
      <c r="E290" s="2"/>
      <c r="F290" s="2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</row>
    <row r="291" customFormat="false" ht="15.75" hidden="false" customHeight="true" outlineLevel="0" collapsed="false">
      <c r="A291" s="1"/>
      <c r="B291" s="1"/>
      <c r="C291" s="1"/>
      <c r="D291" s="2"/>
      <c r="E291" s="2"/>
      <c r="F291" s="2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</row>
    <row r="292" customFormat="false" ht="15.75" hidden="false" customHeight="true" outlineLevel="0" collapsed="false">
      <c r="A292" s="1"/>
      <c r="B292" s="1"/>
      <c r="C292" s="1"/>
      <c r="D292" s="2"/>
      <c r="E292" s="2"/>
      <c r="F292" s="2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</row>
    <row r="293" customFormat="false" ht="15.75" hidden="false" customHeight="tru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</row>
    <row r="294" customFormat="false" ht="15.75" hidden="false" customHeight="tru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</row>
    <row r="295" customFormat="false" ht="15.75" hidden="false" customHeight="tru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</row>
    <row r="296" customFormat="false" ht="15.75" hidden="false" customHeight="tru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</row>
    <row r="297" customFormat="false" ht="15.75" hidden="false" customHeight="tru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</row>
    <row r="298" customFormat="false" ht="15.75" hidden="false" customHeight="tru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</row>
    <row r="299" customFormat="false" ht="15.75" hidden="false" customHeight="tru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</row>
    <row r="300" customFormat="false" ht="15.75" hidden="false" customHeight="tru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</row>
    <row r="301" customFormat="false" ht="15.75" hidden="false" customHeight="tru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</row>
    <row r="302" customFormat="false" ht="15.75" hidden="false" customHeight="tru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</row>
    <row r="303" customFormat="false" ht="15.75" hidden="false" customHeight="tru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</row>
    <row r="304" customFormat="false" ht="15.75" hidden="false" customHeight="tru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</row>
    <row r="305" customFormat="false" ht="15.75" hidden="false" customHeight="tru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</row>
    <row r="306" customFormat="false" ht="15.75" hidden="false" customHeight="tru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</row>
    <row r="307" customFormat="false" ht="15.75" hidden="false" customHeight="tru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</row>
    <row r="308" customFormat="false" ht="15.75" hidden="false" customHeight="tru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</row>
    <row r="309" customFormat="false" ht="15.75" hidden="false" customHeight="tru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</row>
    <row r="310" customFormat="false" ht="15.75" hidden="false" customHeight="tru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</row>
    <row r="311" customFormat="false" ht="15.75" hidden="false" customHeight="tru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</row>
    <row r="312" customFormat="false" ht="15.75" hidden="false" customHeight="tru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</row>
    <row r="313" customFormat="false" ht="15.75" hidden="false" customHeight="tru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</row>
    <row r="314" customFormat="false" ht="15.75" hidden="false" customHeight="tru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</row>
    <row r="315" customFormat="false" ht="15.75" hidden="false" customHeight="tru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</row>
    <row r="316" customFormat="false" ht="15.75" hidden="false" customHeight="tru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</row>
    <row r="317" customFormat="false" ht="15.75" hidden="false" customHeight="tru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</row>
    <row r="318" customFormat="false" ht="15.75" hidden="false" customHeight="tru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</row>
    <row r="319" customFormat="false" ht="15.75" hidden="false" customHeight="tru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</row>
    <row r="320" customFormat="false" ht="15.75" hidden="false" customHeight="tru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</row>
    <row r="321" customFormat="false" ht="15.75" hidden="false" customHeight="tru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</row>
    <row r="322" customFormat="false" ht="15.75" hidden="false" customHeight="tru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</row>
    <row r="323" customFormat="false" ht="15.75" hidden="false" customHeight="tru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</row>
    <row r="324" customFormat="false" ht="15.75" hidden="false" customHeight="tru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</row>
    <row r="325" customFormat="false" ht="15.75" hidden="false" customHeight="tru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</row>
    <row r="326" customFormat="false" ht="15.75" hidden="false" customHeight="tru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</row>
    <row r="327" customFormat="false" ht="15.75" hidden="false" customHeight="tru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</row>
    <row r="328" customFormat="false" ht="15.75" hidden="false" customHeight="tru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</row>
    <row r="329" customFormat="false" ht="15.75" hidden="false" customHeight="tru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</row>
    <row r="330" customFormat="false" ht="15.75" hidden="false" customHeight="tru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</row>
    <row r="331" customFormat="false" ht="15.75" hidden="false" customHeight="tru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</row>
    <row r="332" customFormat="false" ht="15.75" hidden="false" customHeight="tru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</row>
    <row r="333" customFormat="false" ht="15.75" hidden="false" customHeight="tru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</row>
    <row r="334" customFormat="false" ht="15.75" hidden="false" customHeight="tru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</row>
    <row r="335" customFormat="false" ht="15.75" hidden="false" customHeight="tru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</row>
    <row r="336" customFormat="false" ht="15.75" hidden="false" customHeight="tru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</row>
    <row r="337" customFormat="false" ht="15.75" hidden="false" customHeight="tru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</row>
    <row r="338" customFormat="false" ht="15.75" hidden="false" customHeight="tru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</row>
    <row r="339" customFormat="false" ht="15.75" hidden="false" customHeight="tru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</row>
    <row r="340" customFormat="false" ht="15.75" hidden="false" customHeight="tru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</row>
    <row r="341" customFormat="false" ht="15.75" hidden="false" customHeight="tru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</row>
    <row r="342" customFormat="false" ht="15.75" hidden="false" customHeight="tru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</row>
    <row r="343" customFormat="false" ht="15.75" hidden="false" customHeight="tru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</row>
    <row r="344" customFormat="false" ht="15.75" hidden="false" customHeight="tru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</row>
    <row r="345" customFormat="false" ht="15.75" hidden="false" customHeight="tru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</row>
    <row r="346" customFormat="false" ht="15.75" hidden="false" customHeight="tru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</row>
    <row r="347" customFormat="false" ht="15.75" hidden="false" customHeight="tru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</row>
    <row r="348" customFormat="false" ht="15.75" hidden="false" customHeight="tru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</row>
    <row r="349" customFormat="false" ht="15.75" hidden="false" customHeight="tru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</row>
    <row r="350" customFormat="false" ht="15.75" hidden="false" customHeight="tru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</row>
    <row r="351" customFormat="false" ht="15.75" hidden="false" customHeight="tru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</row>
    <row r="352" customFormat="false" ht="15.75" hidden="false" customHeight="tru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</row>
    <row r="353" customFormat="false" ht="15.75" hidden="false" customHeight="tru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</row>
    <row r="354" customFormat="false" ht="15.75" hidden="false" customHeight="tru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</row>
    <row r="355" customFormat="false" ht="15.75" hidden="false" customHeight="tru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</row>
    <row r="356" customFormat="false" ht="15.75" hidden="false" customHeight="tru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</row>
    <row r="357" customFormat="false" ht="15.75" hidden="false" customHeight="tru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</row>
    <row r="358" customFormat="false" ht="15.75" hidden="false" customHeight="tru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</row>
    <row r="359" customFormat="false" ht="15.75" hidden="false" customHeight="tru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</row>
    <row r="360" customFormat="false" ht="15.75" hidden="false" customHeight="tru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</row>
    <row r="361" customFormat="false" ht="15.75" hidden="false" customHeight="tru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</row>
    <row r="362" customFormat="false" ht="15.75" hidden="false" customHeight="tru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</row>
    <row r="363" customFormat="false" ht="15.75" hidden="false" customHeight="tru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</row>
    <row r="364" customFormat="false" ht="15.75" hidden="false" customHeight="tru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</row>
    <row r="365" customFormat="false" ht="15.75" hidden="false" customHeight="tru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</row>
    <row r="366" customFormat="false" ht="15.75" hidden="false" customHeight="tru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</row>
    <row r="367" customFormat="false" ht="15.75" hidden="false" customHeight="tru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</row>
    <row r="368" customFormat="false" ht="15.75" hidden="false" customHeight="tru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</row>
    <row r="369" customFormat="false" ht="15.75" hidden="false" customHeight="tru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</row>
    <row r="370" customFormat="false" ht="15.75" hidden="false" customHeight="tru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</row>
    <row r="371" customFormat="false" ht="15.75" hidden="false" customHeight="tru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</row>
    <row r="372" customFormat="false" ht="15.75" hidden="false" customHeight="tru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</row>
    <row r="373" customFormat="false" ht="15.75" hidden="false" customHeight="tru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</row>
    <row r="374" customFormat="false" ht="15.75" hidden="false" customHeight="tru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</row>
    <row r="375" customFormat="false" ht="15.75" hidden="false" customHeight="tru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</row>
    <row r="376" customFormat="false" ht="15.75" hidden="false" customHeight="tru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</row>
    <row r="377" customFormat="false" ht="15.75" hidden="false" customHeight="tru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</row>
    <row r="378" customFormat="false" ht="15.75" hidden="false" customHeight="tru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</row>
    <row r="379" customFormat="false" ht="15.75" hidden="false" customHeight="tru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</row>
    <row r="380" customFormat="false" ht="15.75" hidden="false" customHeight="tru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</row>
    <row r="381" customFormat="false" ht="15.75" hidden="false" customHeight="tru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</row>
    <row r="382" customFormat="false" ht="15.75" hidden="false" customHeight="tru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</row>
    <row r="383" customFormat="false" ht="15.75" hidden="false" customHeight="tru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</row>
    <row r="384" customFormat="false" ht="15.75" hidden="false" customHeight="tru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</row>
    <row r="385" customFormat="false" ht="15.75" hidden="false" customHeight="tru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</row>
    <row r="386" customFormat="false" ht="15.75" hidden="false" customHeight="tru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</row>
    <row r="387" customFormat="false" ht="15.75" hidden="false" customHeight="tru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</row>
    <row r="388" customFormat="false" ht="15.75" hidden="false" customHeight="tru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</row>
    <row r="389" customFormat="false" ht="15.75" hidden="false" customHeight="tru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</row>
    <row r="390" customFormat="false" ht="15.75" hidden="false" customHeight="tru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</row>
    <row r="391" customFormat="false" ht="15.75" hidden="false" customHeight="tru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</row>
    <row r="392" customFormat="false" ht="15.75" hidden="false" customHeight="tru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</row>
    <row r="393" customFormat="false" ht="15.75" hidden="false" customHeight="tru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</row>
    <row r="394" customFormat="false" ht="15.75" hidden="false" customHeight="tru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</row>
    <row r="395" customFormat="false" ht="15.75" hidden="false" customHeight="tru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</row>
    <row r="396" customFormat="false" ht="15.75" hidden="false" customHeight="tru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</row>
    <row r="397" customFormat="false" ht="15.75" hidden="false" customHeight="tru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</row>
    <row r="398" customFormat="false" ht="15.75" hidden="false" customHeight="tru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</row>
    <row r="399" customFormat="false" ht="15.75" hidden="false" customHeight="tru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</row>
    <row r="400" customFormat="false" ht="15.75" hidden="false" customHeight="tru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</row>
    <row r="401" customFormat="false" ht="15.75" hidden="false" customHeight="tru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</row>
    <row r="402" customFormat="false" ht="15.75" hidden="false" customHeight="tru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</row>
    <row r="403" customFormat="false" ht="15.75" hidden="false" customHeight="tru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</row>
    <row r="404" customFormat="false" ht="15.75" hidden="false" customHeight="tru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</row>
    <row r="405" customFormat="false" ht="15.75" hidden="false" customHeight="tru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</row>
    <row r="406" customFormat="false" ht="15.75" hidden="false" customHeight="tru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</row>
    <row r="407" customFormat="false" ht="15.75" hidden="false" customHeight="tru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</row>
    <row r="408" customFormat="false" ht="15.75" hidden="false" customHeight="tru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</row>
    <row r="409" customFormat="false" ht="15.75" hidden="false" customHeight="tru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</row>
    <row r="410" customFormat="false" ht="15.75" hidden="false" customHeight="tru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</row>
    <row r="411" customFormat="false" ht="15.75" hidden="false" customHeight="tru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</row>
    <row r="412" customFormat="false" ht="15.75" hidden="false" customHeight="tru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</row>
    <row r="413" customFormat="false" ht="15.75" hidden="false" customHeight="tru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</row>
    <row r="414" customFormat="false" ht="15.75" hidden="false" customHeight="tru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</row>
    <row r="415" customFormat="false" ht="15.75" hidden="false" customHeight="tru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</row>
    <row r="416" customFormat="false" ht="15.75" hidden="false" customHeight="tru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</row>
    <row r="417" customFormat="false" ht="15.75" hidden="false" customHeight="tru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</row>
    <row r="418" customFormat="false" ht="15.75" hidden="false" customHeight="tru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</row>
    <row r="419" customFormat="false" ht="15.75" hidden="false" customHeight="tru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</row>
    <row r="420" customFormat="false" ht="15.75" hidden="false" customHeight="tru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</row>
    <row r="421" customFormat="false" ht="15.75" hidden="false" customHeight="tru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</row>
    <row r="422" customFormat="false" ht="15.75" hidden="false" customHeight="tru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</row>
    <row r="423" customFormat="false" ht="15.75" hidden="false" customHeight="tru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</row>
    <row r="424" customFormat="false" ht="15.75" hidden="false" customHeight="tru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</row>
    <row r="425" customFormat="false" ht="15.75" hidden="false" customHeight="tru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</row>
    <row r="426" customFormat="false" ht="15.75" hidden="false" customHeight="tru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</row>
    <row r="427" customFormat="false" ht="15.75" hidden="false" customHeight="tru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</row>
    <row r="428" customFormat="false" ht="15.75" hidden="false" customHeight="tru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</row>
    <row r="429" customFormat="false" ht="15.75" hidden="false" customHeight="tru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</row>
    <row r="430" customFormat="false" ht="15.75" hidden="false" customHeight="tru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</row>
    <row r="431" customFormat="false" ht="15.75" hidden="false" customHeight="tru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</row>
    <row r="432" customFormat="false" ht="15.75" hidden="false" customHeight="tru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</row>
    <row r="433" customFormat="false" ht="15.75" hidden="false" customHeight="tru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</row>
    <row r="434" customFormat="false" ht="15.75" hidden="false" customHeight="tru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</row>
    <row r="435" customFormat="false" ht="15.75" hidden="false" customHeight="tru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</row>
    <row r="436" customFormat="false" ht="15.75" hidden="false" customHeight="tru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</row>
    <row r="437" customFormat="false" ht="15.75" hidden="false" customHeight="tru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</row>
    <row r="438" customFormat="false" ht="15.75" hidden="false" customHeight="tru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</row>
    <row r="439" customFormat="false" ht="15.75" hidden="false" customHeight="tru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</row>
    <row r="440" customFormat="false" ht="15.75" hidden="false" customHeight="tru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</row>
    <row r="441" customFormat="false" ht="15.75" hidden="false" customHeight="tru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</row>
    <row r="442" customFormat="false" ht="15.75" hidden="false" customHeight="tru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</row>
    <row r="443" customFormat="false" ht="15.75" hidden="false" customHeight="tru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</row>
    <row r="444" customFormat="false" ht="15.75" hidden="false" customHeight="tru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</row>
    <row r="445" customFormat="false" ht="15.75" hidden="false" customHeight="tru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</row>
    <row r="446" customFormat="false" ht="15.75" hidden="false" customHeight="tru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</row>
    <row r="447" customFormat="false" ht="15.75" hidden="false" customHeight="tru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</row>
    <row r="448" customFormat="false" ht="15.75" hidden="false" customHeight="tru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</row>
    <row r="449" customFormat="false" ht="15.75" hidden="false" customHeight="tru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</row>
    <row r="450" customFormat="false" ht="15.75" hidden="false" customHeight="tru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</row>
    <row r="451" customFormat="false" ht="15.75" hidden="false" customHeight="tru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</row>
    <row r="452" customFormat="false" ht="15.75" hidden="false" customHeight="tru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</row>
    <row r="453" customFormat="false" ht="15.75" hidden="false" customHeight="tru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</row>
    <row r="454" customFormat="false" ht="15.75" hidden="false" customHeight="tru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</row>
    <row r="455" customFormat="false" ht="15.75" hidden="false" customHeight="tru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</row>
    <row r="456" customFormat="false" ht="15.75" hidden="false" customHeight="tru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</row>
    <row r="457" customFormat="false" ht="15.75" hidden="false" customHeight="tru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</row>
    <row r="458" customFormat="false" ht="15.75" hidden="false" customHeight="tru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</row>
    <row r="459" customFormat="false" ht="15.75" hidden="false" customHeight="tru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</row>
    <row r="460" customFormat="false" ht="15.75" hidden="false" customHeight="tru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</row>
    <row r="461" customFormat="false" ht="15.75" hidden="false" customHeight="tru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</row>
    <row r="462" customFormat="false" ht="15.75" hidden="false" customHeight="tru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</row>
    <row r="463" customFormat="false" ht="15.75" hidden="false" customHeight="tru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</row>
    <row r="464" customFormat="false" ht="15.75" hidden="false" customHeight="tru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</row>
    <row r="465" customFormat="false" ht="15.75" hidden="false" customHeight="tru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</row>
    <row r="466" customFormat="false" ht="15.75" hidden="false" customHeight="tru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</row>
    <row r="467" customFormat="false" ht="15.75" hidden="false" customHeight="tru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</row>
    <row r="468" customFormat="false" ht="15.75" hidden="false" customHeight="tru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</row>
    <row r="469" customFormat="false" ht="15.75" hidden="false" customHeight="tru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</row>
    <row r="470" customFormat="false" ht="15.75" hidden="false" customHeight="tru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</row>
    <row r="471" customFormat="false" ht="15.75" hidden="false" customHeight="tru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</row>
    <row r="472" customFormat="false" ht="15.75" hidden="false" customHeight="tru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</row>
    <row r="473" customFormat="false" ht="15.75" hidden="false" customHeight="tru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</row>
    <row r="474" customFormat="false" ht="15.75" hidden="false" customHeight="tru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</row>
    <row r="475" customFormat="false" ht="15.75" hidden="false" customHeight="tru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</row>
    <row r="476" customFormat="false" ht="15.75" hidden="false" customHeight="tru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</row>
    <row r="477" customFormat="false" ht="15.75" hidden="false" customHeight="tru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</row>
    <row r="478" customFormat="false" ht="15.75" hidden="false" customHeight="tru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</row>
    <row r="479" customFormat="false" ht="15.75" hidden="false" customHeight="tru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</row>
    <row r="480" customFormat="false" ht="15.75" hidden="false" customHeight="tru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</row>
    <row r="481" customFormat="false" ht="15.75" hidden="false" customHeight="tru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</row>
    <row r="482" customFormat="false" ht="15.75" hidden="false" customHeight="tru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</row>
    <row r="483" customFormat="false" ht="15.75" hidden="false" customHeight="tru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</row>
    <row r="484" customFormat="false" ht="15.75" hidden="false" customHeight="tru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</row>
    <row r="485" customFormat="false" ht="15.75" hidden="false" customHeight="tru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</row>
    <row r="486" customFormat="false" ht="15.75" hidden="false" customHeight="tru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</row>
    <row r="487" customFormat="false" ht="15.75" hidden="false" customHeight="tru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</row>
    <row r="488" customFormat="false" ht="15.75" hidden="false" customHeight="tru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</row>
    <row r="489" customFormat="false" ht="15.75" hidden="false" customHeight="tru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</row>
    <row r="490" customFormat="false" ht="15.75" hidden="false" customHeight="tru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</row>
    <row r="491" customFormat="false" ht="15.75" hidden="false" customHeight="tru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</row>
    <row r="492" customFormat="false" ht="15.75" hidden="false" customHeight="tru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</row>
    <row r="493" customFormat="false" ht="15.75" hidden="false" customHeight="tru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</row>
    <row r="494" customFormat="false" ht="15.75" hidden="false" customHeight="tru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</row>
    <row r="495" customFormat="false" ht="15.75" hidden="false" customHeight="tru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</row>
    <row r="496" customFormat="false" ht="15.75" hidden="false" customHeight="tru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</row>
    <row r="497" customFormat="false" ht="15.75" hidden="false" customHeight="tru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</row>
    <row r="498" customFormat="false" ht="15.75" hidden="false" customHeight="tru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</row>
    <row r="499" customFormat="false" ht="15.75" hidden="false" customHeight="tru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</row>
    <row r="500" customFormat="false" ht="15.75" hidden="false" customHeight="tru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</row>
    <row r="501" customFormat="false" ht="15.75" hidden="false" customHeight="tru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</row>
    <row r="502" customFormat="false" ht="15.75" hidden="false" customHeight="tru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</row>
    <row r="503" customFormat="false" ht="15.75" hidden="false" customHeight="tru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</row>
    <row r="504" customFormat="false" ht="15.75" hidden="false" customHeight="tru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</row>
    <row r="505" customFormat="false" ht="15.75" hidden="false" customHeight="tru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</row>
    <row r="506" customFormat="false" ht="15.75" hidden="false" customHeight="tru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</row>
    <row r="507" customFormat="false" ht="15.75" hidden="false" customHeight="tru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</row>
    <row r="508" customFormat="false" ht="15.75" hidden="false" customHeight="tru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</row>
    <row r="509" customFormat="false" ht="15.75" hidden="false" customHeight="tru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</row>
    <row r="510" customFormat="false" ht="15.75" hidden="false" customHeight="tru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</row>
    <row r="511" customFormat="false" ht="15.75" hidden="false" customHeight="tru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</row>
    <row r="512" customFormat="false" ht="15.75" hidden="false" customHeight="tru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</row>
    <row r="513" customFormat="false" ht="15.75" hidden="false" customHeight="tru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</row>
    <row r="514" customFormat="false" ht="15.75" hidden="false" customHeight="tru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</row>
    <row r="515" customFormat="false" ht="15.75" hidden="false" customHeight="tru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</row>
    <row r="516" customFormat="false" ht="15.75" hidden="false" customHeight="tru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</row>
    <row r="517" customFormat="false" ht="15.75" hidden="false" customHeight="tru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</row>
    <row r="518" customFormat="false" ht="15.75" hidden="false" customHeight="tru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</row>
    <row r="519" customFormat="false" ht="15.75" hidden="false" customHeight="tru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</row>
    <row r="520" customFormat="false" ht="15.75" hidden="false" customHeight="tru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</row>
    <row r="521" customFormat="false" ht="15.75" hidden="false" customHeight="tru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</row>
    <row r="522" customFormat="false" ht="15.75" hidden="false" customHeight="tru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</row>
    <row r="523" customFormat="false" ht="15.75" hidden="false" customHeight="tru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</row>
    <row r="524" customFormat="false" ht="15.75" hidden="false" customHeight="tru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</row>
    <row r="525" customFormat="false" ht="15.75" hidden="false" customHeight="tru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</row>
    <row r="526" customFormat="false" ht="15.75" hidden="false" customHeight="tru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</row>
    <row r="527" customFormat="false" ht="15.75" hidden="false" customHeight="tru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</row>
    <row r="528" customFormat="false" ht="15.75" hidden="false" customHeight="tru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</row>
    <row r="529" customFormat="false" ht="15.75" hidden="false" customHeight="tru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</row>
    <row r="530" customFormat="false" ht="15.75" hidden="false" customHeight="tru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</row>
    <row r="531" customFormat="false" ht="15.75" hidden="false" customHeight="tru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</row>
    <row r="532" customFormat="false" ht="15.75" hidden="false" customHeight="tru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</row>
    <row r="533" customFormat="false" ht="15.75" hidden="false" customHeight="tru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</row>
    <row r="534" customFormat="false" ht="15.75" hidden="false" customHeight="tru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</row>
    <row r="535" customFormat="false" ht="15.75" hidden="false" customHeight="tru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</row>
    <row r="536" customFormat="false" ht="15.75" hidden="false" customHeight="tru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</row>
    <row r="537" customFormat="false" ht="15.75" hidden="false" customHeight="tru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</row>
    <row r="538" customFormat="false" ht="15.75" hidden="false" customHeight="tru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</row>
    <row r="539" customFormat="false" ht="15.75" hidden="false" customHeight="tru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</row>
    <row r="540" customFormat="false" ht="15.75" hidden="false" customHeight="tru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</row>
    <row r="541" customFormat="false" ht="15.75" hidden="false" customHeight="tru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</row>
    <row r="542" customFormat="false" ht="15.75" hidden="false" customHeight="tru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</row>
    <row r="543" customFormat="false" ht="15.75" hidden="false" customHeight="tru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</row>
    <row r="544" customFormat="false" ht="15.75" hidden="false" customHeight="tru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</row>
    <row r="545" customFormat="false" ht="15.75" hidden="false" customHeight="tru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</row>
    <row r="546" customFormat="false" ht="15.75" hidden="false" customHeight="tru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</row>
    <row r="547" customFormat="false" ht="15.75" hidden="false" customHeight="tru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</row>
    <row r="548" customFormat="false" ht="15.75" hidden="false" customHeight="tru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</row>
    <row r="549" customFormat="false" ht="15.75" hidden="false" customHeight="tru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</row>
    <row r="550" customFormat="false" ht="15.75" hidden="false" customHeight="tru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</row>
    <row r="551" customFormat="false" ht="15.75" hidden="false" customHeight="tru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</row>
    <row r="552" customFormat="false" ht="15.75" hidden="false" customHeight="tru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</row>
    <row r="553" customFormat="false" ht="15.75" hidden="false" customHeight="tru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</row>
    <row r="554" customFormat="false" ht="15.75" hidden="false" customHeight="tru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</row>
    <row r="555" customFormat="false" ht="15.75" hidden="false" customHeight="tru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</row>
    <row r="556" customFormat="false" ht="15.75" hidden="false" customHeight="tru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</row>
    <row r="557" customFormat="false" ht="15.75" hidden="false" customHeight="tru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</row>
    <row r="558" customFormat="false" ht="15.75" hidden="false" customHeight="tru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</row>
    <row r="559" customFormat="false" ht="15.75" hidden="false" customHeight="tru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</row>
    <row r="560" customFormat="false" ht="15.75" hidden="false" customHeight="tru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</row>
    <row r="561" customFormat="false" ht="15.75" hidden="false" customHeight="tru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</row>
    <row r="562" customFormat="false" ht="15.75" hidden="false" customHeight="tru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</row>
    <row r="563" customFormat="false" ht="15.75" hidden="false" customHeight="tru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</row>
    <row r="564" customFormat="false" ht="15.75" hidden="false" customHeight="tru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</row>
    <row r="565" customFormat="false" ht="15.75" hidden="false" customHeight="tru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</row>
    <row r="566" customFormat="false" ht="15.75" hidden="false" customHeight="tru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</row>
    <row r="567" customFormat="false" ht="15.75" hidden="false" customHeight="tru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</row>
    <row r="568" customFormat="false" ht="15.75" hidden="false" customHeight="tru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</row>
    <row r="569" customFormat="false" ht="15.75" hidden="false" customHeight="tru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</row>
    <row r="570" customFormat="false" ht="15.75" hidden="false" customHeight="tru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</row>
    <row r="571" customFormat="false" ht="15.75" hidden="false" customHeight="tru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</row>
    <row r="572" customFormat="false" ht="15.75" hidden="false" customHeight="tru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</row>
    <row r="573" customFormat="false" ht="15.75" hidden="false" customHeight="tru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</row>
    <row r="574" customFormat="false" ht="15.75" hidden="false" customHeight="tru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</row>
    <row r="575" customFormat="false" ht="15.75" hidden="false" customHeight="tru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</row>
    <row r="576" customFormat="false" ht="15.75" hidden="false" customHeight="tru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</row>
    <row r="577" customFormat="false" ht="15.75" hidden="false" customHeight="tru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</row>
    <row r="578" customFormat="false" ht="15.75" hidden="false" customHeight="tru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</row>
    <row r="579" customFormat="false" ht="15.75" hidden="false" customHeight="tru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</row>
    <row r="580" customFormat="false" ht="15.75" hidden="false" customHeight="tru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</row>
    <row r="581" customFormat="false" ht="15.75" hidden="false" customHeight="tru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</row>
    <row r="582" customFormat="false" ht="15.75" hidden="false" customHeight="tru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</row>
    <row r="583" customFormat="false" ht="15.75" hidden="false" customHeight="tru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</row>
    <row r="584" customFormat="false" ht="15.75" hidden="false" customHeight="tru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</row>
    <row r="585" customFormat="false" ht="15.75" hidden="false" customHeight="tru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</row>
    <row r="586" customFormat="false" ht="15.75" hidden="false" customHeight="tru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</row>
    <row r="587" customFormat="false" ht="15.75" hidden="false" customHeight="tru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</row>
    <row r="588" customFormat="false" ht="15.75" hidden="false" customHeight="tru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</row>
    <row r="589" customFormat="false" ht="15.75" hidden="false" customHeight="tru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</row>
    <row r="590" customFormat="false" ht="15.75" hidden="false" customHeight="tru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</row>
    <row r="591" customFormat="false" ht="15.75" hidden="false" customHeight="tru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</row>
    <row r="592" customFormat="false" ht="15.75" hidden="false" customHeight="tru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</row>
    <row r="593" customFormat="false" ht="15.75" hidden="false" customHeight="tru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</row>
    <row r="594" customFormat="false" ht="15.75" hidden="false" customHeight="tru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</row>
    <row r="595" customFormat="false" ht="15.75" hidden="false" customHeight="tru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</row>
    <row r="596" customFormat="false" ht="15.75" hidden="false" customHeight="tru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</row>
    <row r="597" customFormat="false" ht="15.75" hidden="false" customHeight="tru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</row>
    <row r="598" customFormat="false" ht="15.75" hidden="false" customHeight="tru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</row>
    <row r="599" customFormat="false" ht="15.75" hidden="false" customHeight="tru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</row>
    <row r="600" customFormat="false" ht="15.75" hidden="false" customHeight="tru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</row>
    <row r="601" customFormat="false" ht="15.75" hidden="false" customHeight="tru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</row>
    <row r="602" customFormat="false" ht="15.75" hidden="false" customHeight="tru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</row>
    <row r="603" customFormat="false" ht="15.75" hidden="false" customHeight="tru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</row>
    <row r="604" customFormat="false" ht="15.75" hidden="false" customHeight="tru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</row>
    <row r="605" customFormat="false" ht="15.75" hidden="false" customHeight="tru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</row>
    <row r="606" customFormat="false" ht="15.75" hidden="false" customHeight="tru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</row>
    <row r="607" customFormat="false" ht="15.75" hidden="false" customHeight="tru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</row>
    <row r="608" customFormat="false" ht="15.75" hidden="false" customHeight="tru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</row>
    <row r="609" customFormat="false" ht="15.75" hidden="false" customHeight="tru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</row>
    <row r="610" customFormat="false" ht="15.75" hidden="false" customHeight="tru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</row>
    <row r="611" customFormat="false" ht="15.75" hidden="false" customHeight="tru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</row>
    <row r="612" customFormat="false" ht="15.75" hidden="false" customHeight="tru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</row>
    <row r="613" customFormat="false" ht="15.75" hidden="false" customHeight="tru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</row>
    <row r="614" customFormat="false" ht="15.75" hidden="false" customHeight="tru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</row>
    <row r="615" customFormat="false" ht="15.75" hidden="false" customHeight="tru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</row>
    <row r="616" customFormat="false" ht="15.75" hidden="false" customHeight="tru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</row>
    <row r="617" customFormat="false" ht="15.75" hidden="false" customHeight="tru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</row>
    <row r="618" customFormat="false" ht="15.75" hidden="false" customHeight="tru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</row>
    <row r="619" customFormat="false" ht="15.75" hidden="false" customHeight="tru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</row>
    <row r="620" customFormat="false" ht="15.75" hidden="false" customHeight="tru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</row>
    <row r="621" customFormat="false" ht="15.75" hidden="false" customHeight="tru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</row>
    <row r="622" customFormat="false" ht="15.75" hidden="false" customHeight="tru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</row>
    <row r="623" customFormat="false" ht="15.75" hidden="false" customHeight="tru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</row>
    <row r="624" customFormat="false" ht="15.75" hidden="false" customHeight="tru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</row>
    <row r="625" customFormat="false" ht="15.75" hidden="false" customHeight="tru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</row>
    <row r="626" customFormat="false" ht="15.75" hidden="false" customHeight="tru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</row>
    <row r="627" customFormat="false" ht="15.75" hidden="false" customHeight="tru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</row>
    <row r="628" customFormat="false" ht="15.75" hidden="false" customHeight="tru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</row>
    <row r="629" customFormat="false" ht="15.75" hidden="false" customHeight="tru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</row>
    <row r="630" customFormat="false" ht="15.75" hidden="false" customHeight="tru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</row>
    <row r="631" customFormat="false" ht="15.75" hidden="false" customHeight="tru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</row>
    <row r="632" customFormat="false" ht="15.75" hidden="false" customHeight="tru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</row>
    <row r="633" customFormat="false" ht="15.75" hidden="false" customHeight="tru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</row>
    <row r="634" customFormat="false" ht="15.75" hidden="false" customHeight="tru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</row>
    <row r="635" customFormat="false" ht="15.75" hidden="false" customHeight="tru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</row>
    <row r="636" customFormat="false" ht="15.75" hidden="false" customHeight="tru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</row>
    <row r="637" customFormat="false" ht="15.75" hidden="false" customHeight="tru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</row>
    <row r="638" customFormat="false" ht="15.75" hidden="false" customHeight="tru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</row>
    <row r="639" customFormat="false" ht="15.75" hidden="false" customHeight="tru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</row>
    <row r="640" customFormat="false" ht="15.75" hidden="false" customHeight="tru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</row>
    <row r="641" customFormat="false" ht="15.75" hidden="false" customHeight="tru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</row>
    <row r="642" customFormat="false" ht="15.75" hidden="false" customHeight="tru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</row>
    <row r="643" customFormat="false" ht="15.75" hidden="false" customHeight="tru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</row>
    <row r="644" customFormat="false" ht="15.75" hidden="false" customHeight="tru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</row>
    <row r="645" customFormat="false" ht="15.75" hidden="false" customHeight="tru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</row>
    <row r="646" customFormat="false" ht="15.75" hidden="false" customHeight="tru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</row>
    <row r="647" customFormat="false" ht="15.75" hidden="false" customHeight="tru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</row>
    <row r="648" customFormat="false" ht="15.75" hidden="false" customHeight="tru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</row>
    <row r="649" customFormat="false" ht="15.75" hidden="false" customHeight="tru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</row>
    <row r="650" customFormat="false" ht="15.75" hidden="false" customHeight="tru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</row>
    <row r="651" customFormat="false" ht="15.75" hidden="false" customHeight="tru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</row>
    <row r="652" customFormat="false" ht="15.75" hidden="false" customHeight="tru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</row>
    <row r="653" customFormat="false" ht="15.75" hidden="false" customHeight="tru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</row>
    <row r="654" customFormat="false" ht="15.75" hidden="false" customHeight="tru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</row>
    <row r="655" customFormat="false" ht="15.75" hidden="false" customHeight="tru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</row>
    <row r="656" customFormat="false" ht="15.75" hidden="false" customHeight="tru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</row>
    <row r="657" customFormat="false" ht="15.75" hidden="false" customHeight="tru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</row>
    <row r="658" customFormat="false" ht="15.75" hidden="false" customHeight="tru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</row>
    <row r="659" customFormat="false" ht="15.75" hidden="false" customHeight="tru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</row>
    <row r="660" customFormat="false" ht="15.75" hidden="false" customHeight="tru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</row>
    <row r="661" customFormat="false" ht="15.75" hidden="false" customHeight="tru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</row>
    <row r="662" customFormat="false" ht="15.75" hidden="false" customHeight="tru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</row>
    <row r="663" customFormat="false" ht="15.75" hidden="false" customHeight="tru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</row>
    <row r="664" customFormat="false" ht="15.75" hidden="false" customHeight="tru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</row>
    <row r="665" customFormat="false" ht="15.75" hidden="false" customHeight="tru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</row>
    <row r="666" customFormat="false" ht="15.75" hidden="false" customHeight="tru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</row>
    <row r="667" customFormat="false" ht="15.75" hidden="false" customHeight="tru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</row>
    <row r="668" customFormat="false" ht="15.75" hidden="false" customHeight="tru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</row>
    <row r="669" customFormat="false" ht="15.75" hidden="false" customHeight="tru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</row>
    <row r="670" customFormat="false" ht="15.75" hidden="false" customHeight="tru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</row>
    <row r="671" customFormat="false" ht="15.75" hidden="false" customHeight="tru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</row>
    <row r="672" customFormat="false" ht="15.75" hidden="false" customHeight="tru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</row>
    <row r="673" customFormat="false" ht="15.75" hidden="false" customHeight="tru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</row>
    <row r="674" customFormat="false" ht="15.75" hidden="false" customHeight="tru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</row>
    <row r="675" customFormat="false" ht="15.75" hidden="false" customHeight="tru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</row>
    <row r="676" customFormat="false" ht="15.75" hidden="false" customHeight="tru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</row>
    <row r="677" customFormat="false" ht="15.75" hidden="false" customHeight="tru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</row>
    <row r="678" customFormat="false" ht="15.75" hidden="false" customHeight="tru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</row>
    <row r="679" customFormat="false" ht="15.75" hidden="false" customHeight="tru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</row>
    <row r="680" customFormat="false" ht="15.75" hidden="false" customHeight="tru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</row>
    <row r="681" customFormat="false" ht="15.75" hidden="false" customHeight="tru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</row>
    <row r="682" customFormat="false" ht="15.75" hidden="false" customHeight="tru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</row>
    <row r="683" customFormat="false" ht="15.75" hidden="false" customHeight="tru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</row>
    <row r="684" customFormat="false" ht="15.75" hidden="false" customHeight="tru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</row>
    <row r="685" customFormat="false" ht="15.75" hidden="false" customHeight="tru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</row>
    <row r="686" customFormat="false" ht="15.75" hidden="false" customHeight="tru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</row>
    <row r="687" customFormat="false" ht="15.75" hidden="false" customHeight="tru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</row>
    <row r="688" customFormat="false" ht="15.75" hidden="false" customHeight="tru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</row>
    <row r="689" customFormat="false" ht="15.75" hidden="false" customHeight="tru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</row>
    <row r="690" customFormat="false" ht="15.75" hidden="false" customHeight="tru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</row>
    <row r="691" customFormat="false" ht="15.75" hidden="false" customHeight="tru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</row>
    <row r="692" customFormat="false" ht="15.75" hidden="false" customHeight="tru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</row>
    <row r="693" customFormat="false" ht="15.75" hidden="false" customHeight="tru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</row>
    <row r="694" customFormat="false" ht="15.75" hidden="false" customHeight="tru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</row>
    <row r="695" customFormat="false" ht="15.75" hidden="false" customHeight="tru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</row>
    <row r="696" customFormat="false" ht="15.75" hidden="false" customHeight="tru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</row>
    <row r="697" customFormat="false" ht="15.75" hidden="false" customHeight="tru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</row>
    <row r="698" customFormat="false" ht="15.75" hidden="false" customHeight="tru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</row>
    <row r="699" customFormat="false" ht="15.75" hidden="false" customHeight="tru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</row>
    <row r="700" customFormat="false" ht="15.75" hidden="false" customHeight="tru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</row>
    <row r="701" customFormat="false" ht="15.75" hidden="false" customHeight="tru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</row>
    <row r="702" customFormat="false" ht="15.75" hidden="false" customHeight="tru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</row>
    <row r="703" customFormat="false" ht="15.75" hidden="false" customHeight="tru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</row>
    <row r="704" customFormat="false" ht="15.75" hidden="false" customHeight="tru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</row>
    <row r="705" customFormat="false" ht="15.75" hidden="false" customHeight="tru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</row>
    <row r="706" customFormat="false" ht="15.75" hidden="false" customHeight="tru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</row>
    <row r="707" customFormat="false" ht="15.75" hidden="false" customHeight="tru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</row>
    <row r="708" customFormat="false" ht="15.75" hidden="false" customHeight="tru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</row>
    <row r="709" customFormat="false" ht="15.75" hidden="false" customHeight="tru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</row>
    <row r="710" customFormat="false" ht="15.75" hidden="false" customHeight="tru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</row>
    <row r="711" customFormat="false" ht="15.75" hidden="false" customHeight="tru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</row>
    <row r="712" customFormat="false" ht="15.75" hidden="false" customHeight="tru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</row>
    <row r="713" customFormat="false" ht="15.75" hidden="false" customHeight="tru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</row>
    <row r="714" customFormat="false" ht="15.75" hidden="false" customHeight="tru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</row>
    <row r="715" customFormat="false" ht="15.75" hidden="false" customHeight="tru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</row>
    <row r="716" customFormat="false" ht="15.75" hidden="false" customHeight="tru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</row>
    <row r="717" customFormat="false" ht="15.75" hidden="false" customHeight="tru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</row>
    <row r="718" customFormat="false" ht="15.75" hidden="false" customHeight="tru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</row>
    <row r="719" customFormat="false" ht="15.75" hidden="false" customHeight="tru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</row>
    <row r="720" customFormat="false" ht="15.75" hidden="false" customHeight="tru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</row>
    <row r="721" customFormat="false" ht="15.75" hidden="false" customHeight="tru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</row>
    <row r="722" customFormat="false" ht="15.75" hidden="false" customHeight="tru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</row>
    <row r="723" customFormat="false" ht="15.75" hidden="false" customHeight="tru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</row>
    <row r="724" customFormat="false" ht="15.75" hidden="false" customHeight="tru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</row>
    <row r="725" customFormat="false" ht="15.75" hidden="false" customHeight="tru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</row>
    <row r="726" customFormat="false" ht="15.75" hidden="false" customHeight="tru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</row>
    <row r="727" customFormat="false" ht="15.75" hidden="false" customHeight="tru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</row>
    <row r="728" customFormat="false" ht="15.75" hidden="false" customHeight="tru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</row>
    <row r="729" customFormat="false" ht="15.75" hidden="false" customHeight="tru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</row>
    <row r="730" customFormat="false" ht="15.75" hidden="false" customHeight="tru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</row>
    <row r="731" customFormat="false" ht="15.75" hidden="false" customHeight="tru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</row>
    <row r="732" customFormat="false" ht="15.75" hidden="false" customHeight="tru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</row>
    <row r="733" customFormat="false" ht="15.75" hidden="false" customHeight="tru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</row>
    <row r="734" customFormat="false" ht="15.75" hidden="false" customHeight="tru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</row>
    <row r="735" customFormat="false" ht="15.75" hidden="false" customHeight="tru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</row>
    <row r="736" customFormat="false" ht="15.75" hidden="false" customHeight="tru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</row>
    <row r="737" customFormat="false" ht="15.75" hidden="false" customHeight="tru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</row>
    <row r="738" customFormat="false" ht="15.75" hidden="false" customHeight="tru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</row>
    <row r="739" customFormat="false" ht="15.75" hidden="false" customHeight="tru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</row>
    <row r="740" customFormat="false" ht="15.75" hidden="false" customHeight="tru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</row>
    <row r="741" customFormat="false" ht="15.75" hidden="false" customHeight="tru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</row>
    <row r="742" customFormat="false" ht="15.75" hidden="false" customHeight="tru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</row>
    <row r="743" customFormat="false" ht="15.75" hidden="false" customHeight="tru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</row>
    <row r="744" customFormat="false" ht="15.75" hidden="false" customHeight="tru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</row>
    <row r="745" customFormat="false" ht="15.75" hidden="false" customHeight="tru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</row>
    <row r="746" customFormat="false" ht="15.75" hidden="false" customHeight="tru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</row>
    <row r="747" customFormat="false" ht="15.75" hidden="false" customHeight="tru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</row>
    <row r="748" customFormat="false" ht="15.75" hidden="false" customHeight="tru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</row>
    <row r="749" customFormat="false" ht="15.75" hidden="false" customHeight="tru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</row>
    <row r="750" customFormat="false" ht="15.75" hidden="false" customHeight="tru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</row>
    <row r="751" customFormat="false" ht="15.75" hidden="false" customHeight="tru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</row>
    <row r="752" customFormat="false" ht="15.75" hidden="false" customHeight="tru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</row>
    <row r="753" customFormat="false" ht="15.75" hidden="false" customHeight="tru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</row>
    <row r="754" customFormat="false" ht="15.75" hidden="false" customHeight="tru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</row>
    <row r="755" customFormat="false" ht="15.75" hidden="false" customHeight="tru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</row>
    <row r="756" customFormat="false" ht="15.75" hidden="false" customHeight="tru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</row>
    <row r="757" customFormat="false" ht="15.75" hidden="false" customHeight="tru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</row>
    <row r="758" customFormat="false" ht="15.75" hidden="false" customHeight="tru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</row>
    <row r="759" customFormat="false" ht="15.75" hidden="false" customHeight="tru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</row>
    <row r="760" customFormat="false" ht="15.75" hidden="false" customHeight="tru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</row>
    <row r="761" customFormat="false" ht="15.75" hidden="false" customHeight="tru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</row>
    <row r="762" customFormat="false" ht="15.75" hidden="false" customHeight="tru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</row>
    <row r="763" customFormat="false" ht="15.75" hidden="false" customHeight="tru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</row>
    <row r="764" customFormat="false" ht="15.75" hidden="false" customHeight="tru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</row>
    <row r="765" customFormat="false" ht="15.75" hidden="false" customHeight="tru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</row>
    <row r="766" customFormat="false" ht="15.75" hidden="false" customHeight="tru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</row>
    <row r="767" customFormat="false" ht="15.75" hidden="false" customHeight="tru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</row>
    <row r="768" customFormat="false" ht="15.75" hidden="false" customHeight="tru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</row>
    <row r="769" customFormat="false" ht="15.75" hidden="false" customHeight="tru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</row>
    <row r="770" customFormat="false" ht="15.75" hidden="false" customHeight="tru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</row>
    <row r="771" customFormat="false" ht="15.75" hidden="false" customHeight="tru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</row>
    <row r="772" customFormat="false" ht="15.75" hidden="false" customHeight="tru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</row>
    <row r="773" customFormat="false" ht="15.75" hidden="false" customHeight="tru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</row>
    <row r="774" customFormat="false" ht="15.75" hidden="false" customHeight="tru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</row>
    <row r="775" customFormat="false" ht="15.75" hidden="false" customHeight="tru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</row>
    <row r="776" customFormat="false" ht="15.75" hidden="false" customHeight="tru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</row>
    <row r="777" customFormat="false" ht="15.75" hidden="false" customHeight="tru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</row>
    <row r="778" customFormat="false" ht="15.75" hidden="false" customHeight="tru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</row>
    <row r="779" customFormat="false" ht="15.75" hidden="false" customHeight="tru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</row>
    <row r="780" customFormat="false" ht="15.75" hidden="false" customHeight="tru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</row>
    <row r="781" customFormat="false" ht="15.75" hidden="false" customHeight="tru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</row>
    <row r="782" customFormat="false" ht="15.75" hidden="false" customHeight="tru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</row>
    <row r="783" customFormat="false" ht="15.75" hidden="false" customHeight="tru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</row>
    <row r="784" customFormat="false" ht="15.75" hidden="false" customHeight="tru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</row>
    <row r="785" customFormat="false" ht="15.75" hidden="false" customHeight="tru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</row>
    <row r="786" customFormat="false" ht="15.75" hidden="false" customHeight="tru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</row>
    <row r="787" customFormat="false" ht="15.75" hidden="false" customHeight="tru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</row>
    <row r="788" customFormat="false" ht="15.75" hidden="false" customHeight="tru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</row>
    <row r="789" customFormat="false" ht="15.75" hidden="false" customHeight="tru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</row>
    <row r="790" customFormat="false" ht="15.75" hidden="false" customHeight="tru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</row>
    <row r="791" customFormat="false" ht="15.75" hidden="false" customHeight="tru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</row>
    <row r="792" customFormat="false" ht="15.75" hidden="false" customHeight="tru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</row>
    <row r="793" customFormat="false" ht="15.75" hidden="false" customHeight="tru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</row>
    <row r="794" customFormat="false" ht="15.75" hidden="false" customHeight="tru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</row>
    <row r="795" customFormat="false" ht="15.75" hidden="false" customHeight="tru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</row>
    <row r="796" customFormat="false" ht="15.75" hidden="false" customHeight="tru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</row>
    <row r="797" customFormat="false" ht="15.75" hidden="false" customHeight="tru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</row>
    <row r="798" customFormat="false" ht="15.75" hidden="false" customHeight="tru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</row>
    <row r="799" customFormat="false" ht="15.75" hidden="false" customHeight="tru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</row>
    <row r="800" customFormat="false" ht="15.75" hidden="false" customHeight="tru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</row>
    <row r="801" customFormat="false" ht="15.75" hidden="false" customHeight="tru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</row>
    <row r="802" customFormat="false" ht="15.75" hidden="false" customHeight="tru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</row>
    <row r="803" customFormat="false" ht="15.75" hidden="false" customHeight="tru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</row>
    <row r="804" customFormat="false" ht="15.75" hidden="false" customHeight="tru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</row>
    <row r="805" customFormat="false" ht="15.75" hidden="false" customHeight="tru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</row>
    <row r="806" customFormat="false" ht="15.75" hidden="false" customHeight="tru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</row>
    <row r="807" customFormat="false" ht="15.75" hidden="false" customHeight="tru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</row>
    <row r="808" customFormat="false" ht="15.75" hidden="false" customHeight="tru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</row>
    <row r="809" customFormat="false" ht="15.75" hidden="false" customHeight="tru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</row>
    <row r="810" customFormat="false" ht="15.75" hidden="false" customHeight="tru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</row>
    <row r="811" customFormat="false" ht="15.75" hidden="false" customHeight="tru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</row>
    <row r="812" customFormat="false" ht="15.75" hidden="false" customHeight="tru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</row>
    <row r="813" customFormat="false" ht="15.75" hidden="false" customHeight="tru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</row>
    <row r="814" customFormat="false" ht="15.75" hidden="false" customHeight="tru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</row>
    <row r="815" customFormat="false" ht="15.75" hidden="false" customHeight="tru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</row>
    <row r="816" customFormat="false" ht="15.75" hidden="false" customHeight="tru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</row>
    <row r="817" customFormat="false" ht="15.75" hidden="false" customHeight="tru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</row>
    <row r="818" customFormat="false" ht="15.75" hidden="false" customHeight="tru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</row>
    <row r="819" customFormat="false" ht="15.75" hidden="false" customHeight="tru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</row>
    <row r="820" customFormat="false" ht="15.75" hidden="false" customHeight="tru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</row>
    <row r="821" customFormat="false" ht="15.75" hidden="false" customHeight="tru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</row>
    <row r="822" customFormat="false" ht="15.75" hidden="false" customHeight="tru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</row>
    <row r="823" customFormat="false" ht="15.75" hidden="false" customHeight="tru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</row>
    <row r="824" customFormat="false" ht="15.75" hidden="false" customHeight="tru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</row>
    <row r="825" customFormat="false" ht="15.75" hidden="false" customHeight="tru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</row>
    <row r="826" customFormat="false" ht="15.75" hidden="false" customHeight="tru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</row>
    <row r="827" customFormat="false" ht="15.75" hidden="false" customHeight="tru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</row>
    <row r="828" customFormat="false" ht="15.75" hidden="false" customHeight="tru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</row>
    <row r="829" customFormat="false" ht="15.75" hidden="false" customHeight="tru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</row>
    <row r="830" customFormat="false" ht="15.75" hidden="false" customHeight="tru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</row>
    <row r="831" customFormat="false" ht="15.75" hidden="false" customHeight="tru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</row>
    <row r="832" customFormat="false" ht="15.75" hidden="false" customHeight="tru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</row>
    <row r="833" customFormat="false" ht="15.75" hidden="false" customHeight="tru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</row>
    <row r="834" customFormat="false" ht="15.75" hidden="false" customHeight="tru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</row>
    <row r="835" customFormat="false" ht="15.75" hidden="false" customHeight="tru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</row>
    <row r="836" customFormat="false" ht="15.75" hidden="false" customHeight="tru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</row>
    <row r="837" customFormat="false" ht="15.75" hidden="false" customHeight="tru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</row>
    <row r="838" customFormat="false" ht="15.75" hidden="false" customHeight="tru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</row>
    <row r="839" customFormat="false" ht="15.75" hidden="false" customHeight="tru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</row>
    <row r="840" customFormat="false" ht="15.75" hidden="false" customHeight="tru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</row>
    <row r="841" customFormat="false" ht="15.75" hidden="false" customHeight="tru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</row>
    <row r="842" customFormat="false" ht="15.75" hidden="false" customHeight="tru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</row>
    <row r="843" customFormat="false" ht="15.75" hidden="false" customHeight="tru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</row>
    <row r="844" customFormat="false" ht="15.75" hidden="false" customHeight="tru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</row>
    <row r="845" customFormat="false" ht="15.75" hidden="false" customHeight="tru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</row>
    <row r="846" customFormat="false" ht="15.75" hidden="false" customHeight="tru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</row>
    <row r="847" customFormat="false" ht="15.75" hidden="false" customHeight="tru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</row>
    <row r="848" customFormat="false" ht="15.75" hidden="false" customHeight="tru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</row>
    <row r="849" customFormat="false" ht="15.75" hidden="false" customHeight="tru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</row>
    <row r="850" customFormat="false" ht="15.75" hidden="false" customHeight="tru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</row>
    <row r="851" customFormat="false" ht="15.75" hidden="false" customHeight="tru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</row>
    <row r="852" customFormat="false" ht="15.75" hidden="false" customHeight="tru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</row>
    <row r="853" customFormat="false" ht="15.75" hidden="false" customHeight="tru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</row>
    <row r="854" customFormat="false" ht="15.75" hidden="false" customHeight="tru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</row>
    <row r="855" customFormat="false" ht="15.75" hidden="false" customHeight="tru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</row>
    <row r="856" customFormat="false" ht="15.75" hidden="false" customHeight="tru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</row>
    <row r="857" customFormat="false" ht="15.75" hidden="false" customHeight="tru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</row>
    <row r="858" customFormat="false" ht="15.75" hidden="false" customHeight="tru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</row>
    <row r="859" customFormat="false" ht="15.75" hidden="false" customHeight="tru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</row>
    <row r="860" customFormat="false" ht="15.75" hidden="false" customHeight="tru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</row>
    <row r="861" customFormat="false" ht="15.75" hidden="false" customHeight="tru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</row>
    <row r="862" customFormat="false" ht="15.75" hidden="false" customHeight="tru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</row>
    <row r="863" customFormat="false" ht="15.75" hidden="false" customHeight="tru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</row>
    <row r="864" customFormat="false" ht="15.75" hidden="false" customHeight="tru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</row>
    <row r="865" customFormat="false" ht="15.75" hidden="false" customHeight="tru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</row>
    <row r="866" customFormat="false" ht="15.75" hidden="false" customHeight="tru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</row>
    <row r="867" customFormat="false" ht="15.75" hidden="false" customHeight="tru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</row>
    <row r="868" customFormat="false" ht="15.75" hidden="false" customHeight="tru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</row>
    <row r="869" customFormat="false" ht="15.75" hidden="false" customHeight="tru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</row>
    <row r="870" customFormat="false" ht="15.75" hidden="false" customHeight="tru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</row>
    <row r="871" customFormat="false" ht="15.75" hidden="false" customHeight="tru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</row>
    <row r="872" customFormat="false" ht="15.75" hidden="false" customHeight="tru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</row>
    <row r="873" customFormat="false" ht="15.75" hidden="false" customHeight="tru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</row>
    <row r="874" customFormat="false" ht="15.75" hidden="false" customHeight="tru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</row>
    <row r="875" customFormat="false" ht="15.75" hidden="false" customHeight="tru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</row>
    <row r="876" customFormat="false" ht="15.75" hidden="false" customHeight="tru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</row>
    <row r="877" customFormat="false" ht="15.75" hidden="false" customHeight="tru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</row>
    <row r="878" customFormat="false" ht="15.75" hidden="false" customHeight="tru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</row>
    <row r="879" customFormat="false" ht="15.75" hidden="false" customHeight="tru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</row>
    <row r="880" customFormat="false" ht="15.75" hidden="false" customHeight="tru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</row>
    <row r="881" customFormat="false" ht="15.75" hidden="false" customHeight="tru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</row>
    <row r="882" customFormat="false" ht="15.75" hidden="false" customHeight="tru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</row>
    <row r="883" customFormat="false" ht="15.75" hidden="false" customHeight="tru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</row>
    <row r="884" customFormat="false" ht="15.75" hidden="false" customHeight="tru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</row>
    <row r="885" customFormat="false" ht="15.75" hidden="false" customHeight="tru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</row>
    <row r="886" customFormat="false" ht="15.75" hidden="false" customHeight="tru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</row>
    <row r="887" customFormat="false" ht="15.75" hidden="false" customHeight="tru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</row>
    <row r="888" customFormat="false" ht="15.75" hidden="false" customHeight="tru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</row>
    <row r="889" customFormat="false" ht="15.75" hidden="false" customHeight="tru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</row>
    <row r="890" customFormat="false" ht="15.75" hidden="false" customHeight="tru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</row>
    <row r="891" customFormat="false" ht="15.75" hidden="false" customHeight="tru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</row>
    <row r="892" customFormat="false" ht="15.75" hidden="false" customHeight="tru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</row>
    <row r="893" customFormat="false" ht="15.75" hidden="false" customHeight="tru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</row>
    <row r="894" customFormat="false" ht="15.75" hidden="false" customHeight="tru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</row>
    <row r="895" customFormat="false" ht="15.75" hidden="false" customHeight="tru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</row>
    <row r="896" customFormat="false" ht="15.75" hidden="false" customHeight="tru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</row>
    <row r="897" customFormat="false" ht="15.75" hidden="false" customHeight="tru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</row>
    <row r="898" customFormat="false" ht="15.75" hidden="false" customHeight="tru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</row>
    <row r="899" customFormat="false" ht="15.75" hidden="false" customHeight="tru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</row>
    <row r="900" customFormat="false" ht="15.75" hidden="false" customHeight="tru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</row>
    <row r="901" customFormat="false" ht="15.75" hidden="false" customHeight="tru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</row>
    <row r="902" customFormat="false" ht="15.75" hidden="false" customHeight="tru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</row>
    <row r="903" customFormat="false" ht="15.75" hidden="false" customHeight="tru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</row>
    <row r="904" customFormat="false" ht="15.75" hidden="false" customHeight="tru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</row>
    <row r="905" customFormat="false" ht="15.75" hidden="false" customHeight="tru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</row>
    <row r="906" customFormat="false" ht="15.75" hidden="false" customHeight="tru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</row>
    <row r="907" customFormat="false" ht="15.75" hidden="false" customHeight="tru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</row>
    <row r="908" customFormat="false" ht="15.75" hidden="false" customHeight="tru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</row>
    <row r="909" customFormat="false" ht="15.75" hidden="false" customHeight="tru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</row>
    <row r="910" customFormat="false" ht="15.75" hidden="false" customHeight="tru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</row>
    <row r="911" customFormat="false" ht="15.75" hidden="false" customHeight="tru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</row>
    <row r="912" customFormat="false" ht="15.75" hidden="false" customHeight="tru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</row>
    <row r="913" customFormat="false" ht="15.75" hidden="false" customHeight="tru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</row>
    <row r="914" customFormat="false" ht="15.75" hidden="false" customHeight="tru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</row>
    <row r="915" customFormat="false" ht="15.75" hidden="false" customHeight="tru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</row>
    <row r="916" customFormat="false" ht="15.75" hidden="false" customHeight="tru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</row>
    <row r="917" customFormat="false" ht="15.75" hidden="false" customHeight="tru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</row>
    <row r="918" customFormat="false" ht="15.75" hidden="false" customHeight="tru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</row>
    <row r="919" customFormat="false" ht="15.75" hidden="false" customHeight="tru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</row>
    <row r="920" customFormat="false" ht="15.75" hidden="false" customHeight="tru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</row>
    <row r="921" customFormat="false" ht="15.75" hidden="false" customHeight="tru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</row>
    <row r="922" customFormat="false" ht="15.75" hidden="false" customHeight="tru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</row>
    <row r="923" customFormat="false" ht="15.75" hidden="false" customHeight="tru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</row>
    <row r="924" customFormat="false" ht="15.75" hidden="false" customHeight="tru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</row>
    <row r="925" customFormat="false" ht="15.75" hidden="false" customHeight="tru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</row>
    <row r="926" customFormat="false" ht="15.75" hidden="false" customHeight="tru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</row>
    <row r="927" customFormat="false" ht="15.75" hidden="false" customHeight="tru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</row>
    <row r="928" customFormat="false" ht="15.75" hidden="false" customHeight="tru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</row>
    <row r="929" customFormat="false" ht="15.75" hidden="false" customHeight="tru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</row>
    <row r="930" customFormat="false" ht="15.75" hidden="false" customHeight="tru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</row>
    <row r="931" customFormat="false" ht="15.75" hidden="false" customHeight="tru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</row>
    <row r="932" customFormat="false" ht="15.75" hidden="false" customHeight="tru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</row>
    <row r="933" customFormat="false" ht="15.75" hidden="false" customHeight="tru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</row>
    <row r="934" customFormat="false" ht="15.75" hidden="false" customHeight="tru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</row>
    <row r="935" customFormat="false" ht="15.75" hidden="false" customHeight="tru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</row>
    <row r="936" customFormat="false" ht="15.75" hidden="false" customHeight="tru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</row>
    <row r="937" customFormat="false" ht="15.75" hidden="false" customHeight="tru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</row>
    <row r="938" customFormat="false" ht="15.75" hidden="false" customHeight="tru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</row>
    <row r="939" customFormat="false" ht="15.75" hidden="false" customHeight="tru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</row>
    <row r="940" customFormat="false" ht="15.75" hidden="false" customHeight="tru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</row>
    <row r="941" customFormat="false" ht="15.75" hidden="false" customHeight="tru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</row>
    <row r="942" customFormat="false" ht="15.75" hidden="false" customHeight="tru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</row>
    <row r="943" customFormat="false" ht="15.75" hidden="false" customHeight="tru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</row>
    <row r="944" customFormat="false" ht="15.75" hidden="false" customHeight="tru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</row>
    <row r="945" customFormat="false" ht="15.75" hidden="false" customHeight="tru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</row>
    <row r="946" customFormat="false" ht="15.75" hidden="false" customHeight="tru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</row>
    <row r="947" customFormat="false" ht="15.75" hidden="false" customHeight="tru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</row>
    <row r="948" customFormat="false" ht="15.75" hidden="false" customHeight="tru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</row>
    <row r="949" customFormat="false" ht="15.75" hidden="false" customHeight="tru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</row>
    <row r="950" customFormat="false" ht="15.75" hidden="false" customHeight="tru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</row>
    <row r="951" customFormat="false" ht="15.75" hidden="false" customHeight="tru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</row>
    <row r="952" customFormat="false" ht="15.75" hidden="false" customHeight="tru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</row>
    <row r="953" customFormat="false" ht="15.75" hidden="false" customHeight="tru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</row>
    <row r="954" customFormat="false" ht="15.75" hidden="false" customHeight="tru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</row>
    <row r="955" customFormat="false" ht="15.75" hidden="false" customHeight="tru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</row>
    <row r="956" customFormat="false" ht="15.75" hidden="false" customHeight="tru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</row>
    <row r="957" customFormat="false" ht="15.75" hidden="false" customHeight="tru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</row>
    <row r="958" customFormat="false" ht="15.75" hidden="false" customHeight="tru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</row>
    <row r="959" customFormat="false" ht="15.75" hidden="false" customHeight="tru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</row>
    <row r="960" customFormat="false" ht="15.75" hidden="false" customHeight="tru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</row>
    <row r="961" customFormat="false" ht="15.75" hidden="false" customHeight="tru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</row>
    <row r="962" customFormat="false" ht="15.75" hidden="false" customHeight="tru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</row>
    <row r="963" customFormat="false" ht="15.75" hidden="false" customHeight="tru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</row>
    <row r="964" customFormat="false" ht="15.75" hidden="false" customHeight="tru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</row>
    <row r="965" customFormat="false" ht="15.75" hidden="false" customHeight="tru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</row>
    <row r="966" customFormat="false" ht="15.75" hidden="false" customHeight="tru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</row>
    <row r="967" customFormat="false" ht="15.75" hidden="false" customHeight="tru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</row>
    <row r="968" customFormat="false" ht="15.75" hidden="false" customHeight="tru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</row>
    <row r="969" customFormat="false" ht="15.75" hidden="false" customHeight="tru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</row>
    <row r="970" customFormat="false" ht="15.75" hidden="false" customHeight="tru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</row>
    <row r="971" customFormat="false" ht="15.75" hidden="false" customHeight="tru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</row>
    <row r="972" customFormat="false" ht="15.75" hidden="false" customHeight="tru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</row>
    <row r="973" customFormat="false" ht="15.75" hidden="false" customHeight="tru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</row>
    <row r="974" customFormat="false" ht="15.75" hidden="false" customHeight="tru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</row>
    <row r="975" customFormat="false" ht="15.75" hidden="false" customHeight="tru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</row>
    <row r="976" customFormat="false" ht="15.75" hidden="false" customHeight="tru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</row>
    <row r="977" customFormat="false" ht="15.75" hidden="false" customHeight="tru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</row>
    <row r="978" customFormat="false" ht="15.75" hidden="false" customHeight="tru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</row>
    <row r="979" customFormat="false" ht="15.75" hidden="false" customHeight="tru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</row>
    <row r="980" customFormat="false" ht="15.75" hidden="false" customHeight="tru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</row>
    <row r="981" customFormat="false" ht="15.75" hidden="false" customHeight="tru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</row>
    <row r="982" customFormat="false" ht="15.75" hidden="false" customHeight="tru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</row>
    <row r="983" customFormat="false" ht="15.75" hidden="false" customHeight="tru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</row>
    <row r="984" customFormat="false" ht="15.75" hidden="false" customHeight="tru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</row>
    <row r="985" customFormat="false" ht="15.75" hidden="false" customHeight="tru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</row>
    <row r="986" customFormat="false" ht="15.75" hidden="false" customHeight="tru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</row>
    <row r="987" customFormat="false" ht="15.75" hidden="false" customHeight="tru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</row>
    <row r="988" customFormat="false" ht="15.75" hidden="false" customHeight="tru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</row>
    <row r="989" customFormat="false" ht="15.75" hidden="false" customHeight="tru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</row>
    <row r="990" customFormat="false" ht="15.75" hidden="false" customHeight="tru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</row>
    <row r="991" customFormat="false" ht="15.75" hidden="false" customHeight="tru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</row>
    <row r="992" customFormat="false" ht="15.75" hidden="false" customHeight="tru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</row>
    <row r="993" customFormat="false" ht="15.75" hidden="false" customHeight="tru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</row>
    <row r="994" customFormat="false" ht="15.75" hidden="false" customHeight="tru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</row>
    <row r="995" customFormat="false" ht="15.75" hidden="false" customHeight="tru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</row>
    <row r="996" customFormat="false" ht="15.75" hidden="false" customHeight="tru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</row>
    <row r="997" customFormat="false" ht="15.75" hidden="false" customHeight="tru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</row>
    <row r="998" customFormat="false" ht="15.75" hidden="false" customHeight="tru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</row>
    <row r="999" customFormat="false" ht="15.75" hidden="false" customHeight="tru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</row>
    <row r="1000" customFormat="false" ht="15.75" hidden="false" customHeight="tru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</row>
    <row r="1001" customFormat="false" ht="15.75" hidden="false" customHeight="true" outlineLevel="0" collapsed="false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</row>
    <row r="1002" customFormat="false" ht="15.75" hidden="false" customHeight="true" outlineLevel="0" collapsed="false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</row>
    <row r="1003" customFormat="false" ht="15.75" hidden="false" customHeight="true" outlineLevel="0" collapsed="false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</row>
    <row r="1004" customFormat="false" ht="15.75" hidden="false" customHeight="true" outlineLevel="0" collapsed="false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</row>
    <row r="1005" customFormat="false" ht="15.75" hidden="false" customHeight="true" outlineLevel="0" collapsed="false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</row>
    <row r="1006" customFormat="false" ht="15.75" hidden="false" customHeight="true" outlineLevel="0" collapsed="false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</row>
    <row r="1007" customFormat="false" ht="15.75" hidden="false" customHeight="true" outlineLevel="0" collapsed="false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</row>
    <row r="1008" customFormat="false" ht="15.75" hidden="false" customHeight="true" outlineLevel="0" collapsed="false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</row>
    <row r="1009" customFormat="false" ht="15.75" hidden="false" customHeight="true" outlineLevel="0" collapsed="false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</row>
    <row r="1010" customFormat="false" ht="15.75" hidden="false" customHeight="true" outlineLevel="0" collapsed="false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</row>
    <row r="1011" customFormat="false" ht="15.75" hidden="false" customHeight="true" outlineLevel="0" collapsed="false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</row>
    <row r="1012" customFormat="false" ht="15.75" hidden="false" customHeight="true" outlineLevel="0" collapsed="false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</row>
    <row r="1013" customFormat="false" ht="15.75" hidden="false" customHeight="true" outlineLevel="0" collapsed="false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</row>
    <row r="1014" customFormat="false" ht="15.75" hidden="false" customHeight="true" outlineLevel="0" collapsed="false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</row>
    <row r="1015" customFormat="false" ht="15.75" hidden="false" customHeight="true" outlineLevel="0" collapsed="false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</row>
  </sheetData>
  <mergeCells count="26">
    <mergeCell ref="C4:F4"/>
    <mergeCell ref="D6:F6"/>
    <mergeCell ref="C8:F8"/>
    <mergeCell ref="I9:K9"/>
    <mergeCell ref="C19:F19"/>
    <mergeCell ref="C20:F20"/>
    <mergeCell ref="C26:F26"/>
    <mergeCell ref="C31:F31"/>
    <mergeCell ref="C35:F35"/>
    <mergeCell ref="C39:F39"/>
    <mergeCell ref="C44:F44"/>
    <mergeCell ref="C52:F52"/>
    <mergeCell ref="D54:E54"/>
    <mergeCell ref="D55:E55"/>
    <mergeCell ref="D56:E56"/>
    <mergeCell ref="D57:E57"/>
    <mergeCell ref="D58:E58"/>
    <mergeCell ref="D59:E59"/>
    <mergeCell ref="D60:E60"/>
    <mergeCell ref="D61:E61"/>
    <mergeCell ref="C64:F64"/>
    <mergeCell ref="I65:J65"/>
    <mergeCell ref="I66:J66"/>
    <mergeCell ref="C75:F75"/>
    <mergeCell ref="C76:F76"/>
    <mergeCell ref="I76:J7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2"/>
  <legacyDrawing r:id="rId3"/>
  <extLst>
    <ext xmlns:x14="http://schemas.microsoft.com/office/spreadsheetml/2009/9/main" uri="{05C60535-1F16-4fd2-B633-F4F36F0B64E0}">
      <x14:sparklineGroups xmlns:xm="http://schemas.microsoft.com/office/excel/2006/main">
        <x14:sparklineGroup xr2:uid="{00000000-0003-0000-0100-000000000000}" displayEmptyCellsAs="gap">
          <x14:colorSeries rgb="FF376092"/>
          <x14:sparklines>
            <x14:sparkline>
              <xm:f>Flujos!N6:N25</xm:f>
              <xm:sqref>N4</xm:sqref>
            </x14:sparkline>
          </x14:sparklines>
        </x14:sparklineGroup>
        <x14:sparklineGroup xr2:uid="{00000000-0003-0000-0100-000001000000}" displayEmptyCellsAs="gap">
          <x14:colorSeries rgb="FF376092"/>
          <x14:sparklines>
            <x14:sparkline>
              <xm:f>Flujos!O6:O25</xm:f>
              <xm:sqref>O4</xm:sqref>
            </x14:sparkline>
          </x14:sparklines>
        </x14:sparklineGroup>
        <x14:sparklineGroup xr2:uid="{00000000-0003-0000-0100-000002000000}" displayEmptyCellsAs="gap">
          <x14:colorSeries rgb="FF376092"/>
          <x14:sparklines>
            <x14:sparkline>
              <xm:f>Flujos!P6:P25</xm:f>
              <xm:sqref>P4</xm:sqref>
            </x14:sparkline>
          </x14:sparklines>
        </x14:sparklineGroup>
        <x14:sparklineGroup xr2:uid="{00000000-0003-0000-0100-000003000000}" displayEmptyCellsAs="gap">
          <x14:colorSeries rgb="FF376092"/>
          <x14:sparklines>
            <x14:sparkline>
              <xm:f>Flujos!Q6:Q25</xm:f>
              <xm:sqref>Q4</xm:sqref>
            </x14:sparkline>
          </x14:sparklines>
        </x14:sparklineGroup>
        <x14:sparklineGroup xr2:uid="{00000000-0003-0000-0100-000004000000}" displayEmptyCellsAs="gap">
          <x14:colorSeries rgb="FF376092"/>
          <x14:sparklines>
            <x14:sparkline>
              <xm:f>Flujos!R6:R25</xm:f>
              <xm:sqref>R4</xm:sqref>
            </x14:sparkline>
          </x14:sparklines>
        </x14:sparklineGroup>
        <x14:sparklineGroup xr2:uid="{00000000-0003-0000-0100-000005000000}" displayEmptyCellsAs="gap">
          <x14:colorSeries rgb="FF376092"/>
          <x14:sparklines>
            <x14:sparkline>
              <xm:f>Flujos!S6:S25</xm:f>
              <xm:sqref>S4</xm:sqref>
            </x14:sparkline>
          </x14:sparklines>
        </x14:sparklineGroup>
        <x14:sparklineGroup xr2:uid="{00000000-0003-0000-0100-000006000000}" displayEmptyCellsAs="gap">
          <x14:colorSeries rgb="FF376092"/>
          <x14:sparklines>
            <x14:sparkline>
              <xm:f>Flujos!T6:T25</xm:f>
              <xm:sqref>T4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B3" colorId="64" zoomScale="110" zoomScaleNormal="110" zoomScalePageLayoutView="100" workbookViewId="0">
      <selection pane="topLeft" activeCell="G38" activeCellId="0" sqref="G38"/>
    </sheetView>
  </sheetViews>
  <sheetFormatPr defaultColWidth="14.5078125" defaultRowHeight="15" customHeight="true" zeroHeight="false" outlineLevelRow="0" outlineLevelCol="0"/>
  <cols>
    <col collapsed="false" customWidth="true" hidden="false" outlineLevel="0" max="1" min="1" style="0" width="25.16"/>
    <col collapsed="false" customWidth="true" hidden="false" outlineLevel="0" max="2" min="2" style="0" width="23.5"/>
    <col collapsed="false" customWidth="true" hidden="false" outlineLevel="0" max="4" min="3" style="0" width="10.66"/>
    <col collapsed="false" customWidth="true" hidden="false" outlineLevel="0" max="5" min="5" style="0" width="12.16"/>
    <col collapsed="false" customWidth="true" hidden="false" outlineLevel="0" max="6" min="6" style="0" width="10.66"/>
    <col collapsed="false" customWidth="true" hidden="false" outlineLevel="0" max="7" min="7" style="0" width="27.34"/>
    <col collapsed="false" customWidth="true" hidden="false" outlineLevel="0" max="8" min="8" style="0" width="10.66"/>
    <col collapsed="false" customWidth="true" hidden="false" outlineLevel="0" max="9" min="9" style="0" width="13.5"/>
    <col collapsed="false" customWidth="true" hidden="false" outlineLevel="0" max="10" min="10" style="0" width="11.67"/>
    <col collapsed="false" customWidth="true" hidden="false" outlineLevel="0" max="11" min="11" style="0" width="10.66"/>
    <col collapsed="false" customWidth="true" hidden="false" outlineLevel="0" max="12" min="12" style="0" width="15.33"/>
    <col collapsed="false" customWidth="true" hidden="false" outlineLevel="0" max="15" min="13" style="0" width="10.66"/>
    <col collapsed="false" customWidth="true" hidden="false" outlineLevel="0" max="16" min="16" style="0" width="12.16"/>
    <col collapsed="false" customWidth="true" hidden="false" outlineLevel="0" max="17" min="17" style="0" width="12.67"/>
    <col collapsed="false" customWidth="true" hidden="false" outlineLevel="0" max="18" min="18" style="0" width="11.67"/>
    <col collapsed="false" customWidth="true" hidden="false" outlineLevel="0" max="20" min="19" style="0" width="10.66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9.5" hidden="false" customHeight="true" outlineLevel="0" collapsed="false">
      <c r="A2" s="1"/>
      <c r="B2" s="92" t="s">
        <v>62</v>
      </c>
      <c r="C2" s="92"/>
      <c r="D2" s="92"/>
      <c r="E2" s="92"/>
      <c r="F2" s="1"/>
      <c r="G2" s="92" t="s">
        <v>63</v>
      </c>
      <c r="H2" s="92"/>
      <c r="I2" s="92"/>
      <c r="J2" s="92"/>
      <c r="K2" s="1"/>
      <c r="L2" s="93" t="s">
        <v>64</v>
      </c>
      <c r="M2" s="93"/>
      <c r="N2" s="93"/>
      <c r="O2" s="1"/>
      <c r="P2" s="94" t="s">
        <v>65</v>
      </c>
      <c r="Q2" s="95" t="s">
        <v>66</v>
      </c>
      <c r="R2" s="95" t="s">
        <v>67</v>
      </c>
      <c r="S2" s="1"/>
      <c r="T2" s="96" t="s">
        <v>68</v>
      </c>
      <c r="U2" s="1"/>
      <c r="V2" s="1"/>
      <c r="W2" s="1"/>
      <c r="X2" s="1"/>
      <c r="Y2" s="1"/>
      <c r="Z2" s="1"/>
    </row>
    <row r="3" customFormat="false" ht="17.35" hidden="false" customHeight="false" outlineLevel="0" collapsed="false">
      <c r="A3" s="1"/>
      <c r="B3" s="97" t="s">
        <v>69</v>
      </c>
      <c r="C3" s="97" t="s">
        <v>70</v>
      </c>
      <c r="D3" s="97" t="s">
        <v>71</v>
      </c>
      <c r="E3" s="97" t="s">
        <v>72</v>
      </c>
      <c r="F3" s="1"/>
      <c r="G3" s="97" t="s">
        <v>69</v>
      </c>
      <c r="H3" s="97" t="s">
        <v>70</v>
      </c>
      <c r="I3" s="97" t="s">
        <v>71</v>
      </c>
      <c r="J3" s="97" t="s">
        <v>72</v>
      </c>
      <c r="K3" s="1"/>
      <c r="L3" s="98" t="s">
        <v>73</v>
      </c>
      <c r="M3" s="98" t="s">
        <v>74</v>
      </c>
      <c r="N3" s="98" t="s">
        <v>74</v>
      </c>
      <c r="O3" s="1"/>
      <c r="P3" s="99"/>
      <c r="Q3" s="99"/>
      <c r="R3" s="99"/>
      <c r="S3" s="1"/>
      <c r="T3" s="100"/>
      <c r="U3" s="1"/>
      <c r="V3" s="1"/>
      <c r="W3" s="1"/>
      <c r="X3" s="1"/>
      <c r="Y3" s="1"/>
      <c r="Z3" s="1"/>
    </row>
    <row r="4" customFormat="false" ht="19.7" hidden="false" customHeight="false" outlineLevel="0" collapsed="false">
      <c r="A4" s="1"/>
      <c r="B4" s="101" t="s">
        <v>75</v>
      </c>
      <c r="C4" s="102" t="n">
        <f aca="false">Utilidad!A1</f>
        <v>0</v>
      </c>
      <c r="D4" s="103" t="n">
        <f aca="false">IF(Utilidad!C1&gt;1,Utilidad!C1/100,Utilidad!C1)</f>
        <v>0</v>
      </c>
      <c r="E4" s="103" t="n">
        <f aca="false">IF(Utilidad!E1&gt;1,Utilidad!E1/100,Utilidad!E1)</f>
        <v>0</v>
      </c>
      <c r="F4" s="1"/>
      <c r="G4" s="101" t="s">
        <v>75</v>
      </c>
      <c r="H4" s="102" t="n">
        <f aca="false">Utilidad!B1</f>
        <v>0</v>
      </c>
      <c r="I4" s="103" t="n">
        <f aca="false">IF(Utilidad!D1&gt;1,Utilidad!D1/100,Utilidad!D1)</f>
        <v>0</v>
      </c>
      <c r="J4" s="103" t="n">
        <f aca="false">IF(Utilidad!F1&gt;1,Utilidad!F1/100,Utilidad!F1)</f>
        <v>0</v>
      </c>
      <c r="K4" s="1"/>
      <c r="L4" s="104" t="n">
        <f aca="false">+IF(C4&lt;&gt;0,(HI4-C4)/C4,ABS(H4-C4))</f>
        <v>0</v>
      </c>
      <c r="M4" s="104" t="n">
        <f aca="false">+IF(D4&lt;&gt;0,(I4-D4)/D4,0)</f>
        <v>0</v>
      </c>
      <c r="N4" s="104" t="n">
        <f aca="false">+IF(E4&lt;&gt;0,(J4-E4)/E4,0)</f>
        <v>0</v>
      </c>
      <c r="O4" s="1"/>
      <c r="P4" s="103" t="n">
        <f aca="false">+IF(L4&lt;&gt;"",ABS(L4),0)</f>
        <v>0</v>
      </c>
      <c r="Q4" s="103" t="n">
        <f aca="false">+IF(L4&lt;&gt;"",ABS(L4),0)</f>
        <v>0</v>
      </c>
      <c r="R4" s="103" t="n">
        <f aca="false">+IF(M4&lt;&gt;"",ABS(M4),0)</f>
        <v>0</v>
      </c>
      <c r="S4" s="1"/>
      <c r="T4" s="105" t="str">
        <f aca="false">IF(J4&lt;=I4,"SI","NO")</f>
        <v>SI</v>
      </c>
      <c r="U4" s="1"/>
      <c r="V4" s="1"/>
      <c r="W4" s="1"/>
      <c r="X4" s="1"/>
      <c r="Y4" s="1"/>
      <c r="Z4" s="1"/>
    </row>
    <row r="5" customFormat="false" ht="19.7" hidden="false" customHeight="false" outlineLevel="0" collapsed="false">
      <c r="A5" s="1"/>
      <c r="B5" s="101" t="s">
        <v>76</v>
      </c>
      <c r="C5" s="102" t="n">
        <f aca="false">Utilidad!A2</f>
        <v>0</v>
      </c>
      <c r="D5" s="103" t="n">
        <f aca="false">IF(Utilidad!C2&gt;1,Utilidad!C2/100,Utilidad!C2)</f>
        <v>0</v>
      </c>
      <c r="E5" s="103" t="n">
        <f aca="false">IF(Utilidad!E2&gt;1,Utilidad!E2/100,Utilidad!E2)</f>
        <v>0</v>
      </c>
      <c r="F5" s="1"/>
      <c r="G5" s="101" t="s">
        <v>76</v>
      </c>
      <c r="H5" s="102" t="n">
        <f aca="false">Utilidad!B2</f>
        <v>0</v>
      </c>
      <c r="I5" s="103" t="n">
        <f aca="false">IF(Utilidad!D2&gt;1,Utilidad!D2/100,Utilidad!D2)</f>
        <v>0</v>
      </c>
      <c r="J5" s="103" t="n">
        <f aca="false">IF(Utilidad!F2&gt;1,Utilidad!F2/100,Utilidad!F2)</f>
        <v>0</v>
      </c>
      <c r="K5" s="1"/>
      <c r="L5" s="104" t="n">
        <f aca="false">+IF(C5&lt;&gt;0,(H5-C5)/C5,ABS(H5-C5))</f>
        <v>0</v>
      </c>
      <c r="M5" s="104" t="n">
        <f aca="false">+IF(D5&lt;&gt;0,(I5-D5)/D5,0)</f>
        <v>0</v>
      </c>
      <c r="N5" s="104" t="n">
        <f aca="false">+IF(E5&lt;&gt;0,(J5-E5)/E5,0)</f>
        <v>0</v>
      </c>
      <c r="O5" s="1"/>
      <c r="P5" s="103" t="n">
        <f aca="false">+IF(L5&lt;&gt;"",ABS(L5),0)</f>
        <v>0</v>
      </c>
      <c r="Q5" s="103" t="n">
        <f aca="false">+IF(L5&lt;&gt;"",ABS(L5),0)</f>
        <v>0</v>
      </c>
      <c r="R5" s="103" t="n">
        <f aca="false">+IF(M5&lt;&gt;"",ABS(M5),0)</f>
        <v>0</v>
      </c>
      <c r="S5" s="1"/>
      <c r="T5" s="105" t="str">
        <f aca="false">IF(J5&lt;=I5,"SI","NO")</f>
        <v>SI</v>
      </c>
      <c r="U5" s="1"/>
      <c r="V5" s="1"/>
      <c r="W5" s="1"/>
      <c r="X5" s="1"/>
      <c r="Y5" s="1"/>
      <c r="Z5" s="1"/>
    </row>
    <row r="6" customFormat="false" ht="19.7" hidden="false" customHeight="false" outlineLevel="0" collapsed="false">
      <c r="A6" s="1"/>
      <c r="B6" s="101" t="s">
        <v>77</v>
      </c>
      <c r="C6" s="102" t="n">
        <f aca="false">Utilidad!A3</f>
        <v>40595</v>
      </c>
      <c r="D6" s="103" t="n">
        <f aca="false">IF(Utilidad!C3&gt;1,Utilidad!C3/100,Utilidad!C3)</f>
        <v>0.5153</v>
      </c>
      <c r="E6" s="103" t="n">
        <f aca="false">IF(Utilidad!E3&gt;1,Utilidad!E3/100,Utilidad!E3)</f>
        <v>0.4944</v>
      </c>
      <c r="F6" s="37" t="n">
        <f aca="false">C6+C5</f>
        <v>40595</v>
      </c>
      <c r="G6" s="101" t="s">
        <v>77</v>
      </c>
      <c r="H6" s="102" t="n">
        <f aca="false">Utilidad!B3</f>
        <v>36777.591411</v>
      </c>
      <c r="I6" s="103" t="n">
        <f aca="false">IF(Utilidad!D3&gt;1,Utilidad!D3/100,Utilidad!D3)</f>
        <v>0.52832609075</v>
      </c>
      <c r="J6" s="103" t="n">
        <f aca="false">IF(Utilidad!F3&gt;1,Utilidad!F3/100,Utilidad!F3)</f>
        <v>0.49928316254</v>
      </c>
      <c r="K6" s="37" t="n">
        <f aca="false">H6+H5</f>
        <v>36777.591411</v>
      </c>
      <c r="L6" s="104" t="n">
        <f aca="false">+IF(C6&lt;&gt;0,(H6-C6)/C6,ABS(H6-C6))</f>
        <v>-0.0940364229338588</v>
      </c>
      <c r="M6" s="104" t="n">
        <f aca="false">+IF(D6&lt;&gt;0,(I6-D6)/D6,0)</f>
        <v>0.0252786546671843</v>
      </c>
      <c r="N6" s="104" t="n">
        <f aca="false">+IF(E6&lt;&gt;0,(J6-E6)/E6,0)</f>
        <v>0.00987694688511346</v>
      </c>
      <c r="O6" s="1"/>
      <c r="P6" s="103" t="n">
        <f aca="false">+IF(L6&lt;&gt;"",ABS(L6),0)</f>
        <v>0.0940364229338588</v>
      </c>
      <c r="Q6" s="103" t="n">
        <f aca="false">+IF(L6&lt;&gt;"",ABS(L6),0)</f>
        <v>0.0940364229338588</v>
      </c>
      <c r="R6" s="103" t="n">
        <f aca="false">+IF(M6&lt;&gt;"",ABS(M6),0)</f>
        <v>0.0252786546671843</v>
      </c>
      <c r="S6" s="1"/>
      <c r="T6" s="105" t="str">
        <f aca="false">IF(J6&lt;=I6,"SI","NO")</f>
        <v>SI</v>
      </c>
      <c r="U6" s="1"/>
      <c r="V6" s="1"/>
      <c r="W6" s="1"/>
      <c r="X6" s="1"/>
      <c r="Y6" s="1"/>
      <c r="Z6" s="1"/>
    </row>
    <row r="7" customFormat="false" ht="19.7" hidden="false" customHeight="false" outlineLevel="0" collapsed="false">
      <c r="A7" s="1"/>
      <c r="B7" s="101" t="s">
        <v>78</v>
      </c>
      <c r="C7" s="102" t="n">
        <f aca="false">Utilidad!A4</f>
        <v>11062</v>
      </c>
      <c r="D7" s="103" t="n">
        <f aca="false">IF(Utilidad!C4&gt;1,Utilidad!C4/100,Utilidad!C4)</f>
        <v>0.6028</v>
      </c>
      <c r="E7" s="103" t="n">
        <f aca="false">IF(Utilidad!E4&gt;1,Utilidad!E4/100,Utilidad!E4)</f>
        <v>0.5837</v>
      </c>
      <c r="F7" s="1"/>
      <c r="G7" s="101" t="s">
        <v>78</v>
      </c>
      <c r="H7" s="102" t="n">
        <f aca="false">Utilidad!B4</f>
        <v>11452.675821</v>
      </c>
      <c r="I7" s="103" t="n">
        <f aca="false">IF(Utilidad!D4&gt;1,Utilidad!D4/100,Utilidad!D4)</f>
        <v>0.6006929912</v>
      </c>
      <c r="J7" s="103" t="n">
        <f aca="false">IF(Utilidad!F4&gt;1,Utilidad!F4/100,Utilidad!F4)</f>
        <v>0.572026</v>
      </c>
      <c r="K7" s="1"/>
      <c r="L7" s="104" t="n">
        <f aca="false">+IF(C7&lt;&gt;0,(H7-C7)/C7,ABS(H7-C7))</f>
        <v>0.0353169246971615</v>
      </c>
      <c r="M7" s="104" t="n">
        <f aca="false">+IF(D7&lt;&gt;0,(I7-D7)/D7,0)</f>
        <v>-0.00349536960849375</v>
      </c>
      <c r="N7" s="104" t="n">
        <f aca="false">+IF(E7&lt;&gt;0,(J7-E7)/E7,0)</f>
        <v>-0.0200000000000001</v>
      </c>
      <c r="O7" s="1"/>
      <c r="P7" s="103" t="n">
        <f aca="false">+IF(L7&lt;&gt;"",ABS(L7),0)</f>
        <v>0.0353169246971615</v>
      </c>
      <c r="Q7" s="103" t="n">
        <f aca="false">+IF(L7&lt;&gt;"",ABS(L7),0)</f>
        <v>0.0353169246971615</v>
      </c>
      <c r="R7" s="103" t="n">
        <f aca="false">+IF(M7&lt;&gt;"",ABS(M7),0)</f>
        <v>0.00349536960849375</v>
      </c>
      <c r="S7" s="1"/>
      <c r="T7" s="105" t="str">
        <f aca="false">IF(J7&lt;=I7,"SI","NO")</f>
        <v>SI</v>
      </c>
      <c r="U7" s="1"/>
      <c r="V7" s="1"/>
      <c r="W7" s="1"/>
      <c r="X7" s="1"/>
      <c r="Y7" s="1"/>
      <c r="Z7" s="1"/>
    </row>
    <row r="8" customFormat="false" ht="19.7" hidden="false" customHeight="false" outlineLevel="0" collapsed="false">
      <c r="A8" s="1"/>
      <c r="B8" s="101" t="s">
        <v>79</v>
      </c>
      <c r="C8" s="102" t="n">
        <f aca="false">Utilidad!A5</f>
        <v>745</v>
      </c>
      <c r="D8" s="103" t="n">
        <f aca="false">IF(Utilidad!C5&gt;1,Utilidad!C5/100,Utilidad!C5)</f>
        <v>0.5948</v>
      </c>
      <c r="E8" s="103" t="n">
        <f aca="false">IF(Utilidad!E5&gt;1,Utilidad!E5/100,Utilidad!E5)</f>
        <v>0.5637</v>
      </c>
      <c r="F8" s="1"/>
      <c r="G8" s="101" t="s">
        <v>79</v>
      </c>
      <c r="H8" s="102" t="n">
        <f aca="false">Utilidad!B5</f>
        <v>1134.6758208</v>
      </c>
      <c r="I8" s="103" t="n">
        <f aca="false">IF(Utilidad!D5&gt;1,Utilidad!D5/100,Utilidad!D5)</f>
        <v>0.65428</v>
      </c>
      <c r="J8" s="103" t="n">
        <f aca="false">IF(Utilidad!F5&gt;1,Utilidad!F5/100,Utilidad!F5)</f>
        <v>0.6477372</v>
      </c>
      <c r="K8" s="1"/>
      <c r="L8" s="104" t="n">
        <f aca="false">+IF(C8&lt;&gt;0,(H8-C8)/C8,ABS(H8-C8))</f>
        <v>0.523054793020134</v>
      </c>
      <c r="M8" s="104" t="n">
        <f aca="false">+IF(D8&lt;&gt;0,(I8-D8)/D8,0)</f>
        <v>0.1</v>
      </c>
      <c r="N8" s="104" t="n">
        <f aca="false">+IF(E8&lt;&gt;0,(J8-E8)/E8,0)</f>
        <v>0.14908142629058</v>
      </c>
      <c r="O8" s="1"/>
      <c r="P8" s="103" t="n">
        <f aca="false">+IF(L8&lt;&gt;"",ABS(L8),0)</f>
        <v>0.523054793020134</v>
      </c>
      <c r="Q8" s="103" t="n">
        <f aca="false">+IF(L8&lt;&gt;"",ABS(L8),0)</f>
        <v>0.523054793020134</v>
      </c>
      <c r="R8" s="103" t="n">
        <f aca="false">+IF(M8&lt;&gt;"",ABS(M8),0)</f>
        <v>0.1</v>
      </c>
      <c r="S8" s="1"/>
      <c r="T8" s="105" t="str">
        <f aca="false">IF(J8&lt;=I8,"SI","NO")</f>
        <v>SI</v>
      </c>
      <c r="U8" s="1"/>
      <c r="V8" s="1"/>
      <c r="W8" s="1"/>
      <c r="X8" s="1"/>
      <c r="Y8" s="1"/>
      <c r="Z8" s="1"/>
    </row>
    <row r="9" customFormat="false" ht="19.7" hidden="false" customHeight="false" outlineLevel="0" collapsed="false">
      <c r="A9" s="1"/>
      <c r="B9" s="101" t="s">
        <v>80</v>
      </c>
      <c r="C9" s="102" t="n">
        <f aca="false">Utilidad!A6</f>
        <v>0</v>
      </c>
      <c r="D9" s="103" t="n">
        <f aca="false">IF(Utilidad!C6&gt;1,Utilidad!C6/100,Utilidad!C6)</f>
        <v>0</v>
      </c>
      <c r="E9" s="103" t="n">
        <f aca="false">IF(Utilidad!E6&gt;1,Utilidad!E6/100,Utilidad!E6)</f>
        <v>0</v>
      </c>
      <c r="F9" s="1"/>
      <c r="G9" s="101" t="s">
        <v>80</v>
      </c>
      <c r="H9" s="102" t="n">
        <f aca="false">Utilidad!B6</f>
        <v>0</v>
      </c>
      <c r="I9" s="103" t="n">
        <f aca="false">IF(Utilidad!D6&gt;1,Utilidad!D6/100,Utilidad!D6)</f>
        <v>0</v>
      </c>
      <c r="J9" s="103" t="n">
        <f aca="false">IF(Utilidad!F6&gt;1,Utilidad!F6/100,Utilidad!F6)</f>
        <v>0</v>
      </c>
      <c r="K9" s="1"/>
      <c r="L9" s="104" t="n">
        <f aca="false">+IF(C9&lt;&gt;0,(H9-C9)/C9,ABS(H9-C9))</f>
        <v>0</v>
      </c>
      <c r="M9" s="104" t="n">
        <f aca="false">+IF(D9&lt;&gt;0,(I9-D9)/D9,0)</f>
        <v>0</v>
      </c>
      <c r="N9" s="104" t="n">
        <f aca="false">+IF(E9&lt;&gt;0,(J9-E9)/E9,0)</f>
        <v>0</v>
      </c>
      <c r="O9" s="1"/>
      <c r="P9" s="103" t="n">
        <f aca="false">+IF(L9&lt;&gt;"",ABS(L9),0)</f>
        <v>0</v>
      </c>
      <c r="Q9" s="103" t="n">
        <f aca="false">+IF(L9&lt;&gt;"",ABS(L9),0)</f>
        <v>0</v>
      </c>
      <c r="R9" s="103" t="n">
        <f aca="false">+IF(M9&lt;&gt;"",ABS(M9),0)</f>
        <v>0</v>
      </c>
      <c r="S9" s="1"/>
      <c r="T9" s="105" t="str">
        <f aca="false">IF(J9&lt;=I9,"SI","NO")</f>
        <v>SI</v>
      </c>
      <c r="U9" s="1"/>
      <c r="V9" s="1"/>
      <c r="W9" s="1"/>
      <c r="X9" s="1"/>
      <c r="Y9" s="1"/>
      <c r="Z9" s="1"/>
    </row>
    <row r="10" customFormat="false" ht="19.7" hidden="false" customHeight="false" outlineLevel="0" collapsed="false">
      <c r="A10" s="1"/>
      <c r="B10" s="101" t="s">
        <v>81</v>
      </c>
      <c r="C10" s="102" t="n">
        <f aca="false">Utilidad!A7</f>
        <v>10318</v>
      </c>
      <c r="D10" s="103" t="n">
        <f aca="false">IF(Utilidad!C7&gt;1,Utilidad!C7/100,Utilidad!C7)</f>
        <v>0.5948</v>
      </c>
      <c r="E10" s="103" t="n">
        <f aca="false">IF(Utilidad!E7&gt;1,Utilidad!E7/100,Utilidad!E7)</f>
        <v>0.5637</v>
      </c>
      <c r="F10" s="1"/>
      <c r="G10" s="101" t="s">
        <v>81</v>
      </c>
      <c r="H10" s="102" t="n">
        <f aca="false">Utilidad!B7</f>
        <v>10318</v>
      </c>
      <c r="I10" s="103" t="n">
        <f aca="false">IF(Utilidad!D7&gt;1,Utilidad!D7/100,Utilidad!D7)</f>
        <v>0.5948</v>
      </c>
      <c r="J10" s="103" t="n">
        <f aca="false">IF(Utilidad!F7&gt;1,Utilidad!F7/100,Utilidad!F7)</f>
        <v>0.5637</v>
      </c>
      <c r="K10" s="1"/>
      <c r="L10" s="104" t="n">
        <f aca="false">+IF(C10&lt;&gt;0,(H10-C10)/C10,ABS(H10-C10))</f>
        <v>0</v>
      </c>
      <c r="M10" s="104" t="n">
        <f aca="false">+IF(D10&lt;&gt;0,(I10-D10)/D10,0)</f>
        <v>0</v>
      </c>
      <c r="N10" s="104" t="n">
        <f aca="false">+IF(E10&lt;&gt;0,(J10-E10)/E10,0)</f>
        <v>0</v>
      </c>
      <c r="O10" s="1"/>
      <c r="P10" s="103" t="n">
        <f aca="false">+IF(L10&lt;&gt;"",ABS(L10),0)</f>
        <v>0</v>
      </c>
      <c r="Q10" s="103" t="n">
        <f aca="false">+IF(L10&lt;&gt;"",ABS(L10),0)</f>
        <v>0</v>
      </c>
      <c r="R10" s="103" t="n">
        <f aca="false">+IF(M10&lt;&gt;"",ABS(M10),0)</f>
        <v>0</v>
      </c>
      <c r="S10" s="1"/>
      <c r="T10" s="105" t="str">
        <f aca="false">IF(J10&lt;=I10,"SI","NO")</f>
        <v>SI</v>
      </c>
      <c r="U10" s="1"/>
      <c r="V10" s="1"/>
      <c r="W10" s="1"/>
      <c r="X10" s="1"/>
      <c r="Y10" s="1"/>
      <c r="Z10" s="1"/>
    </row>
    <row r="11" customFormat="false" ht="19.7" hidden="false" customHeight="false" outlineLevel="0" collapsed="false">
      <c r="A11" s="1"/>
      <c r="B11" s="101" t="s">
        <v>82</v>
      </c>
      <c r="C11" s="102" t="n">
        <f aca="false">Utilidad!A8</f>
        <v>7425</v>
      </c>
      <c r="D11" s="103" t="n">
        <f aca="false">IF(Utilidad!C8&gt;1,Utilidad!C8/100,Utilidad!C8)</f>
        <v>0.5861</v>
      </c>
      <c r="E11" s="103" t="n">
        <f aca="false">IF(Utilidad!E8&gt;1,Utilidad!E8/100,Utilidad!E8)</f>
        <v>0.5785</v>
      </c>
      <c r="F11" s="1"/>
      <c r="G11" s="101" t="s">
        <v>82</v>
      </c>
      <c r="H11" s="102" t="n">
        <f aca="false">Utilidad!B8</f>
        <v>7425</v>
      </c>
      <c r="I11" s="103" t="n">
        <f aca="false">IF(Utilidad!D8&gt;1,Utilidad!D8/100,Utilidad!D8)</f>
        <v>0.5951</v>
      </c>
      <c r="J11" s="103" t="n">
        <f aca="false">IF(Utilidad!F8&gt;1,Utilidad!F8/100,Utilidad!F8)</f>
        <v>0.5585</v>
      </c>
      <c r="K11" s="1"/>
      <c r="L11" s="104" t="n">
        <f aca="false">+IF(C11&lt;&gt;0,(H11-C11)/C11,ABS(H11-C11))</f>
        <v>0</v>
      </c>
      <c r="M11" s="104" t="n">
        <f aca="false">+IF(D11&lt;&gt;0,(I11-D11)/D11,0)</f>
        <v>0.0153557413410681</v>
      </c>
      <c r="N11" s="104" t="n">
        <f aca="false">+IF(E11&lt;&gt;0,(J11-E11)/E11,0)</f>
        <v>-0.0345721694036301</v>
      </c>
      <c r="O11" s="1"/>
      <c r="P11" s="103" t="n">
        <f aca="false">+IF(L11&lt;&gt;"",ABS(L11),0)</f>
        <v>0</v>
      </c>
      <c r="Q11" s="103" t="n">
        <f aca="false">+IF(L11&lt;&gt;"",ABS(L11),0)</f>
        <v>0</v>
      </c>
      <c r="R11" s="103" t="n">
        <f aca="false">+IF(M11&lt;&gt;"",ABS(M11),0)</f>
        <v>0.0153557413410681</v>
      </c>
      <c r="S11" s="1"/>
      <c r="T11" s="105" t="str">
        <f aca="false">IF(J11&lt;=I11,"SI","NO")</f>
        <v>SI</v>
      </c>
      <c r="U11" s="1"/>
      <c r="V11" s="1"/>
      <c r="W11" s="1"/>
      <c r="X11" s="1"/>
      <c r="Y11" s="1"/>
      <c r="Z11" s="1"/>
    </row>
    <row r="12" customFormat="false" ht="19.7" hidden="false" customHeight="false" outlineLevel="0" collapsed="false">
      <c r="A12" s="1"/>
      <c r="B12" s="101" t="s">
        <v>83</v>
      </c>
      <c r="C12" s="102" t="n">
        <f aca="false">Utilidad!A9</f>
        <v>0</v>
      </c>
      <c r="D12" s="103" t="n">
        <f aca="false">IF(Utilidad!C9&gt;1,Utilidad!C9/100,Utilidad!C9)</f>
        <v>0.5951</v>
      </c>
      <c r="E12" s="103" t="n">
        <f aca="false">IF(Utilidad!E9&gt;1,Utilidad!E9/100,Utilidad!E9)</f>
        <v>0.5585</v>
      </c>
      <c r="F12" s="1"/>
      <c r="G12" s="101" t="s">
        <v>83</v>
      </c>
      <c r="H12" s="102" t="n">
        <f aca="false">Utilidad!B9</f>
        <v>0</v>
      </c>
      <c r="I12" s="103" t="n">
        <f aca="false">IF(Utilidad!D9&gt;1,Utilidad!D9/100,Utilidad!D9)</f>
        <v>0.59510044082</v>
      </c>
      <c r="J12" s="103" t="n">
        <f aca="false">IF(Utilidad!F9&gt;1,Utilidad!F9/100,Utilidad!F9)</f>
        <v>0.55849949313</v>
      </c>
      <c r="K12" s="1"/>
      <c r="L12" s="104" t="n">
        <f aca="false">+IF(C12&lt;&gt;0,(H12-C12)/C12,ABS(H12-C12))</f>
        <v>0</v>
      </c>
      <c r="M12" s="104" t="n">
        <f aca="false">+IF(D12&lt;&gt;0,(I12-D12)/D12,0)</f>
        <v>7.40749453971257E-007</v>
      </c>
      <c r="N12" s="104" t="n">
        <f aca="false">+IF(E12&lt;&gt;0,(J12-E12)/E12,0)</f>
        <v>-9.07555953396923E-007</v>
      </c>
      <c r="O12" s="1"/>
      <c r="P12" s="103" t="n">
        <f aca="false">+IF(L12&lt;&gt;"",ABS(L12),0)</f>
        <v>0</v>
      </c>
      <c r="Q12" s="103" t="n">
        <f aca="false">+IF(L12&lt;&gt;"",ABS(L12),0)</f>
        <v>0</v>
      </c>
      <c r="R12" s="103" t="n">
        <f aca="false">+IF(M12&lt;&gt;"",ABS(M12),0)</f>
        <v>7.40749453971257E-007</v>
      </c>
      <c r="S12" s="1"/>
      <c r="T12" s="105" t="str">
        <f aca="false">IF(J12&lt;=I12,"SI","NO")</f>
        <v>SI</v>
      </c>
      <c r="U12" s="1"/>
      <c r="V12" s="1"/>
      <c r="W12" s="1"/>
      <c r="X12" s="1"/>
      <c r="Y12" s="1"/>
      <c r="Z12" s="1"/>
    </row>
    <row r="13" customFormat="false" ht="19.7" hidden="false" customHeight="false" outlineLevel="0" collapsed="false">
      <c r="A13" s="1"/>
      <c r="B13" s="101" t="s">
        <v>84</v>
      </c>
      <c r="C13" s="102" t="n">
        <f aca="false">Utilidad!A10</f>
        <v>0</v>
      </c>
      <c r="D13" s="103" t="n">
        <f aca="false">IF(Utilidad!C10&gt;1,Utilidad!C10/100,Utilidad!C10)</f>
        <v>0</v>
      </c>
      <c r="E13" s="103" t="n">
        <f aca="false">IF(Utilidad!E10&gt;1,Utilidad!E10/100,Utilidad!E10)</f>
        <v>0</v>
      </c>
      <c r="F13" s="1"/>
      <c r="G13" s="101" t="s">
        <v>84</v>
      </c>
      <c r="H13" s="102" t="n">
        <f aca="false">Utilidad!B10</f>
        <v>0</v>
      </c>
      <c r="I13" s="103" t="n">
        <f aca="false">IF(Utilidad!D10&gt;1,Utilidad!D10/100,Utilidad!D10)</f>
        <v>0</v>
      </c>
      <c r="J13" s="103" t="n">
        <f aca="false">IF(Utilidad!F10&gt;1,Utilidad!F10/100,Utilidad!F10)</f>
        <v>0</v>
      </c>
      <c r="K13" s="1"/>
      <c r="L13" s="104" t="n">
        <f aca="false">+IF(C13&lt;&gt;0,(H13-C13)/C13,ABS(H13-C13))</f>
        <v>0</v>
      </c>
      <c r="M13" s="104" t="n">
        <f aca="false">+IF(D13&lt;&gt;0,(I13-D13)/D13,0)</f>
        <v>0</v>
      </c>
      <c r="N13" s="104" t="n">
        <f aca="false">+IF(E13&lt;&gt;0,(J13-E13)/E13,0)</f>
        <v>0</v>
      </c>
      <c r="O13" s="1"/>
      <c r="P13" s="103" t="n">
        <f aca="false">+IF(L13&lt;&gt;"",ABS(L13),0)</f>
        <v>0</v>
      </c>
      <c r="Q13" s="103" t="n">
        <f aca="false">+IF(L13&lt;&gt;"",ABS(L13),0)</f>
        <v>0</v>
      </c>
      <c r="R13" s="103" t="n">
        <f aca="false">+IF(M13&lt;&gt;"",ABS(M13),0)</f>
        <v>0</v>
      </c>
      <c r="S13" s="1"/>
      <c r="T13" s="105" t="str">
        <f aca="false">IF(J13&lt;=I13,"SI","NO")</f>
        <v>SI</v>
      </c>
      <c r="U13" s="1"/>
      <c r="V13" s="1"/>
      <c r="W13" s="1"/>
      <c r="X13" s="1"/>
      <c r="Y13" s="1"/>
      <c r="Z13" s="1"/>
    </row>
    <row r="14" customFormat="false" ht="19.7" hidden="false" customHeight="false" outlineLevel="0" collapsed="false">
      <c r="A14" s="1"/>
      <c r="B14" s="101" t="s">
        <v>85</v>
      </c>
      <c r="C14" s="102" t="n">
        <f aca="false">Utilidad!A11</f>
        <v>7425</v>
      </c>
      <c r="D14" s="103" t="n">
        <f aca="false">IF(Utilidad!C11&gt;1,Utilidad!C11/100,Utilidad!C11)</f>
        <v>0.5951</v>
      </c>
      <c r="E14" s="103" t="n">
        <f aca="false">IF(Utilidad!E11&gt;1,Utilidad!E11/100,Utilidad!E11)</f>
        <v>0.5585</v>
      </c>
      <c r="F14" s="1"/>
      <c r="G14" s="101" t="s">
        <v>85</v>
      </c>
      <c r="H14" s="102" t="n">
        <f aca="false">Utilidad!B11</f>
        <v>7425</v>
      </c>
      <c r="I14" s="103" t="n">
        <f aca="false">IF(Utilidad!D11&gt;1,Utilidad!D11/100,Utilidad!D11)</f>
        <v>0.5951</v>
      </c>
      <c r="J14" s="103" t="n">
        <f aca="false">IF(Utilidad!F11&gt;1,Utilidad!F11/100,Utilidad!F11)</f>
        <v>0.5585</v>
      </c>
      <c r="K14" s="1"/>
      <c r="L14" s="104" t="n">
        <f aca="false">+IF(C14&lt;&gt;0,(H14-C14)/C14,ABS(H14-C14))</f>
        <v>0</v>
      </c>
      <c r="M14" s="104" t="n">
        <f aca="false">+IF(D14&lt;&gt;0,(I14-D14)/D14,0)</f>
        <v>0</v>
      </c>
      <c r="N14" s="104" t="n">
        <f aca="false">+IF(E14&lt;&gt;0,(J14-E14)/E14,0)</f>
        <v>0</v>
      </c>
      <c r="O14" s="1"/>
      <c r="P14" s="103" t="n">
        <f aca="false">+IF(L14&lt;&gt;"",ABS(L14),0)</f>
        <v>0</v>
      </c>
      <c r="Q14" s="103" t="n">
        <f aca="false">+IF(L14&lt;&gt;"",ABS(L14),0)</f>
        <v>0</v>
      </c>
      <c r="R14" s="103" t="n">
        <f aca="false">+IF(M14&lt;&gt;"",ABS(M14),0)</f>
        <v>0</v>
      </c>
      <c r="S14" s="1"/>
      <c r="T14" s="105" t="str">
        <f aca="false">IF(J14&lt;=I14,"SI","NO")</f>
        <v>SI</v>
      </c>
      <c r="U14" s="1"/>
      <c r="V14" s="1"/>
      <c r="W14" s="1"/>
      <c r="X14" s="1"/>
      <c r="Y14" s="1"/>
      <c r="Z14" s="1"/>
    </row>
    <row r="15" customFormat="false" ht="19.7" hidden="false" customHeight="false" outlineLevel="0" collapsed="false">
      <c r="A15" s="1"/>
      <c r="B15" s="101" t="s">
        <v>86</v>
      </c>
      <c r="C15" s="102" t="n">
        <f aca="false">Utilidad!A12</f>
        <v>10631</v>
      </c>
      <c r="D15" s="103" t="n">
        <f aca="false">IF(Utilidad!C12&gt;1,Utilidad!C12/100,Utilidad!C12)</f>
        <v>0.4154</v>
      </c>
      <c r="E15" s="103" t="n">
        <f aca="false">IF(Utilidad!E12&gt;1,Utilidad!E12/100,Utilidad!E12)</f>
        <v>0.4056</v>
      </c>
      <c r="F15" s="1"/>
      <c r="G15" s="101" t="s">
        <v>86</v>
      </c>
      <c r="H15" s="102" t="n">
        <f aca="false">Utilidad!B12</f>
        <v>10638.011689</v>
      </c>
      <c r="I15" s="103" t="n">
        <f aca="false">IF(Utilidad!D12&gt;1,Utilidad!D12/100,Utilidad!D12)</f>
        <v>0.42934585867</v>
      </c>
      <c r="J15" s="103" t="n">
        <f aca="false">IF(Utilidad!F12&gt;1,Utilidad!F12/100,Utilidad!F12)</f>
        <v>0.40050499832</v>
      </c>
      <c r="K15" s="1"/>
      <c r="L15" s="104" t="n">
        <f aca="false">+IF(C15&lt;&gt;0,(H15-C15)/C15,ABS(H15-C15))</f>
        <v>0.00065955121813572</v>
      </c>
      <c r="M15" s="104" t="n">
        <f aca="false">+IF(D15&lt;&gt;0,(I15-D15)/D15,0)</f>
        <v>0.0335721200529611</v>
      </c>
      <c r="N15" s="104" t="n">
        <f aca="false">+IF(E15&lt;&gt;0,(J15-E15)/E15,0)</f>
        <v>-0.0125616412228798</v>
      </c>
      <c r="O15" s="1"/>
      <c r="P15" s="103" t="n">
        <f aca="false">+IF(L15&lt;&gt;"",ABS(L15),0)</f>
        <v>0.00065955121813572</v>
      </c>
      <c r="Q15" s="103" t="n">
        <f aca="false">+IF(L15&lt;&gt;"",ABS(L15),0)</f>
        <v>0.00065955121813572</v>
      </c>
      <c r="R15" s="103" t="n">
        <f aca="false">+IF(M15&lt;&gt;"",ABS(M15),0)</f>
        <v>0.0335721200529611</v>
      </c>
      <c r="S15" s="1"/>
      <c r="T15" s="105" t="str">
        <f aca="false">IF(J15&lt;=I15,"SI","NO")</f>
        <v>SI</v>
      </c>
      <c r="U15" s="1"/>
      <c r="V15" s="1"/>
      <c r="W15" s="1"/>
      <c r="X15" s="1"/>
      <c r="Y15" s="1"/>
      <c r="Z15" s="1"/>
    </row>
    <row r="16" customFormat="false" ht="19.7" hidden="false" customHeight="false" outlineLevel="0" collapsed="false">
      <c r="A16" s="1"/>
      <c r="B16" s="101" t="s">
        <v>87</v>
      </c>
      <c r="C16" s="102" t="n">
        <f aca="false">Utilidad!A13</f>
        <v>604</v>
      </c>
      <c r="D16" s="103" t="n">
        <f aca="false">IF(Utilidad!C13&gt;1,Utilidad!C13/100,Utilidad!C13)</f>
        <v>0.4298</v>
      </c>
      <c r="E16" s="103" t="n">
        <f aca="false">IF(Utilidad!E13&gt;1,Utilidad!E13/100,Utilidad!E13)</f>
        <v>0.4004</v>
      </c>
      <c r="F16" s="1"/>
      <c r="G16" s="101" t="s">
        <v>87</v>
      </c>
      <c r="H16" s="102" t="n">
        <f aca="false">Utilidad!B13</f>
        <v>604.88811585</v>
      </c>
      <c r="I16" s="103" t="n">
        <f aca="false">IF(Utilidad!D13&gt;1,Utilidad!D13/100,Utilidad!D13)</f>
        <v>0.42880155208</v>
      </c>
      <c r="J16" s="103" t="n">
        <f aca="false">IF(Utilidad!F13&gt;1,Utilidad!F13/100,Utilidad!F13)</f>
        <v>0.40061194316</v>
      </c>
      <c r="K16" s="1"/>
      <c r="L16" s="104" t="n">
        <f aca="false">+IF(C16&lt;&gt;0,(H16-C16)/C16,ABS(H16-C16))</f>
        <v>0.00147039048013239</v>
      </c>
      <c r="M16" s="104" t="n">
        <f aca="false">+IF(D16&lt;&gt;0,(I16-D16)/D16,0)</f>
        <v>-0.00232305239646342</v>
      </c>
      <c r="N16" s="104" t="n">
        <f aca="false">+IF(E16&lt;&gt;0,(J16-E16)/E16,0)</f>
        <v>0.000529328571428585</v>
      </c>
      <c r="O16" s="1"/>
      <c r="P16" s="103" t="n">
        <f aca="false">+IF(L16&lt;&gt;"",ABS(L16),0)</f>
        <v>0.00147039048013239</v>
      </c>
      <c r="Q16" s="103" t="n">
        <f aca="false">+IF(L16&lt;&gt;"",ABS(L16),0)</f>
        <v>0.00147039048013239</v>
      </c>
      <c r="R16" s="103" t="n">
        <f aca="false">+IF(M16&lt;&gt;"",ABS(M16),0)</f>
        <v>0.00232305239646342</v>
      </c>
      <c r="S16" s="1"/>
      <c r="T16" s="105" t="str">
        <f aca="false">IF(J16&lt;=I16,"SI","NO")</f>
        <v>SI</v>
      </c>
      <c r="U16" s="1"/>
      <c r="V16" s="1"/>
      <c r="W16" s="1"/>
      <c r="X16" s="1"/>
      <c r="Y16" s="1"/>
      <c r="Z16" s="1"/>
    </row>
    <row r="17" customFormat="false" ht="19.7" hidden="false" customHeight="false" outlineLevel="0" collapsed="false">
      <c r="A17" s="1"/>
      <c r="B17" s="101" t="s">
        <v>88</v>
      </c>
      <c r="C17" s="102" t="n">
        <f aca="false">Utilidad!A14</f>
        <v>1593</v>
      </c>
      <c r="D17" s="103" t="n">
        <f aca="false">IF(Utilidad!C14&gt;1,Utilidad!C14/100,Utilidad!C14)</f>
        <v>0.4298</v>
      </c>
      <c r="E17" s="103" t="n">
        <f aca="false">IF(Utilidad!E14&gt;1,Utilidad!E14/100,Utilidad!E14)</f>
        <v>0.4004</v>
      </c>
      <c r="F17" s="1"/>
      <c r="G17" s="101" t="s">
        <v>88</v>
      </c>
      <c r="H17" s="102" t="n">
        <f aca="false">Utilidad!B14</f>
        <v>1599.1235727</v>
      </c>
      <c r="I17" s="103" t="n">
        <f aca="false">IF(Utilidad!D14&gt;1,Utilidad!D14/100,Utilidad!D14)</f>
        <v>0.42715654362</v>
      </c>
      <c r="J17" s="103" t="n">
        <f aca="false">IF(Utilidad!F14&gt;1,Utilidad!F14/100,Utilidad!F14)</f>
        <v>0.40101828571</v>
      </c>
      <c r="K17" s="1"/>
      <c r="L17" s="104" t="n">
        <f aca="false">+IF(C17&lt;&gt;0,(H17-C17)/C17,ABS(H17-C17))</f>
        <v>0.00384405065913375</v>
      </c>
      <c r="M17" s="104" t="n">
        <f aca="false">+IF(D17&lt;&gt;0,(I17-D17)/D17,0)</f>
        <v>-0.00615043364355506</v>
      </c>
      <c r="N17" s="104" t="n">
        <f aca="false">+IF(E17&lt;&gt;0,(J17-E17)/E17,0)</f>
        <v>0.0015441701048951</v>
      </c>
      <c r="O17" s="1"/>
      <c r="P17" s="103" t="n">
        <f aca="false">+IF(L17&lt;&gt;"",ABS(L17),0)</f>
        <v>0.00384405065913375</v>
      </c>
      <c r="Q17" s="103" t="n">
        <f aca="false">+IF(L17&lt;&gt;"",ABS(L17),0)</f>
        <v>0.00384405065913375</v>
      </c>
      <c r="R17" s="103" t="n">
        <f aca="false">+IF(M17&lt;&gt;"",ABS(M17),0)</f>
        <v>0.00615043364355506</v>
      </c>
      <c r="S17" s="1"/>
      <c r="T17" s="105" t="str">
        <f aca="false">IF(J17&lt;=I17,"SI","NO")</f>
        <v>SI</v>
      </c>
      <c r="U17" s="1"/>
      <c r="V17" s="1"/>
      <c r="W17" s="1"/>
      <c r="X17" s="1"/>
      <c r="Y17" s="1"/>
      <c r="Z17" s="1"/>
    </row>
    <row r="18" customFormat="false" ht="19.7" hidden="false" customHeight="false" outlineLevel="0" collapsed="false">
      <c r="A18" s="1"/>
      <c r="B18" s="101" t="s">
        <v>89</v>
      </c>
      <c r="C18" s="102" t="n">
        <f aca="false">Utilidad!A15</f>
        <v>7255</v>
      </c>
      <c r="D18" s="103" t="n">
        <f aca="false">IF(Utilidad!C15&gt;1,Utilidad!C15/100,Utilidad!C15)</f>
        <v>0.5204</v>
      </c>
      <c r="E18" s="103" t="n">
        <f aca="false">IF(Utilidad!E15&gt;1,Utilidad!E15/100,Utilidad!E15)</f>
        <v>0.4987</v>
      </c>
      <c r="F18" s="1"/>
      <c r="G18" s="101" t="s">
        <v>89</v>
      </c>
      <c r="H18" s="102" t="n">
        <f aca="false">Utilidad!B15</f>
        <v>7261.9039016</v>
      </c>
      <c r="I18" s="103" t="n">
        <f aca="false">IF(Utilidad!D15&gt;1,Utilidad!D15/100,Utilidad!D15)</f>
        <v>0.49092018931</v>
      </c>
      <c r="J18" s="103" t="n">
        <f aca="false">IF(Utilidad!F15&gt;1,Utilidad!F15/100,Utilidad!F15)</f>
        <v>0.46871516196</v>
      </c>
      <c r="K18" s="1"/>
      <c r="L18" s="104" t="n">
        <f aca="false">+IF(C18&lt;&gt;0,(H18-C18)/C18,ABS(H18-C18))</f>
        <v>0.000951606009648477</v>
      </c>
      <c r="M18" s="104" t="n">
        <f aca="false">+IF(D18&lt;&gt;0,(I18-D18)/D18,0)</f>
        <v>-0.0566483679669485</v>
      </c>
      <c r="N18" s="104" t="n">
        <f aca="false">+IF(E18&lt;&gt;0,(J18-E18)/E18,0)</f>
        <v>-0.0601260036895929</v>
      </c>
      <c r="O18" s="1"/>
      <c r="P18" s="103" t="n">
        <f aca="false">+IF(L18&lt;&gt;"",ABS(L18),0)</f>
        <v>0.000951606009648477</v>
      </c>
      <c r="Q18" s="103" t="n">
        <f aca="false">+IF(L18&lt;&gt;"",ABS(L18),0)</f>
        <v>0.000951606009648477</v>
      </c>
      <c r="R18" s="103" t="n">
        <f aca="false">+IF(M18&lt;&gt;"",ABS(M18),0)</f>
        <v>0.0566483679669485</v>
      </c>
      <c r="S18" s="1"/>
      <c r="T18" s="105" t="str">
        <f aca="false">IF(J18&lt;=I18,"SI","NO")</f>
        <v>SI</v>
      </c>
      <c r="U18" s="1"/>
      <c r="V18" s="1"/>
      <c r="W18" s="1"/>
      <c r="X18" s="1"/>
      <c r="Y18" s="1"/>
      <c r="Z18" s="1"/>
    </row>
    <row r="19" customFormat="false" ht="19.7" hidden="false" customHeight="false" outlineLevel="0" collapsed="false">
      <c r="A19" s="1"/>
      <c r="B19" s="101" t="s">
        <v>90</v>
      </c>
      <c r="C19" s="102" t="n">
        <f aca="false">Utilidad!A16</f>
        <v>1705</v>
      </c>
      <c r="D19" s="103" t="n">
        <f aca="false">IF(Utilidad!C16&gt;1,Utilidad!C16/100,Utilidad!C16)</f>
        <v>0.4896</v>
      </c>
      <c r="E19" s="103" t="n">
        <f aca="false">IF(Utilidad!E16&gt;1,Utilidad!E16/100,Utilidad!E16)</f>
        <v>0.4673</v>
      </c>
      <c r="F19" s="1"/>
      <c r="G19" s="101" t="s">
        <v>90</v>
      </c>
      <c r="H19" s="102" t="n">
        <f aca="false">Utilidad!B16</f>
        <v>1711.9039016</v>
      </c>
      <c r="I19" s="103" t="n">
        <f aca="false">IF(Utilidad!D16&gt;1,Utilidad!D16/100,Utilidad!D16)</f>
        <v>0.49520024862</v>
      </c>
      <c r="J19" s="103" t="n">
        <f aca="false">IF(Utilidad!F16&gt;1,Utilidad!F16/100,Utilidad!F16)</f>
        <v>0.47330312068</v>
      </c>
      <c r="K19" s="1"/>
      <c r="L19" s="104" t="n">
        <f aca="false">+IF(C19&lt;&gt;0,(H19-C19)/C19,ABS(H19-C19))</f>
        <v>0.00404920914956007</v>
      </c>
      <c r="M19" s="104" t="n">
        <f aca="false">+IF(D19&lt;&gt;0,(I19-D19)/D19,0)</f>
        <v>0.0114384162990195</v>
      </c>
      <c r="N19" s="104" t="n">
        <f aca="false">+IF(E19&lt;&gt;0,(J19-E19)/E19,0)</f>
        <v>0.012846395634496</v>
      </c>
      <c r="O19" s="1"/>
      <c r="P19" s="103" t="n">
        <f aca="false">+IF(L19&lt;&gt;"",ABS(L19),0)</f>
        <v>0.00404920914956007</v>
      </c>
      <c r="Q19" s="103" t="n">
        <f aca="false">+IF(L19&lt;&gt;"",ABS(L19),0)</f>
        <v>0.00404920914956007</v>
      </c>
      <c r="R19" s="103" t="n">
        <f aca="false">+IF(M19&lt;&gt;"",ABS(M19),0)</f>
        <v>0.0114384162990195</v>
      </c>
      <c r="S19" s="1"/>
      <c r="T19" s="105" t="str">
        <f aca="false">IF(J19&lt;=I19,"SI","NO")</f>
        <v>SI</v>
      </c>
      <c r="U19" s="1"/>
      <c r="V19" s="1"/>
      <c r="W19" s="1"/>
      <c r="X19" s="1"/>
      <c r="Y19" s="1"/>
      <c r="Z19" s="1"/>
    </row>
    <row r="20" customFormat="false" ht="19.7" hidden="false" customHeight="false" outlineLevel="0" collapsed="false">
      <c r="A20" s="1"/>
      <c r="B20" s="101" t="s">
        <v>91</v>
      </c>
      <c r="C20" s="102" t="n">
        <f aca="false">Utilidad!A17</f>
        <v>5550</v>
      </c>
      <c r="D20" s="103" t="n">
        <f aca="false">IF(Utilidad!C17&gt;1,Utilidad!C17/100,Utilidad!C17)</f>
        <v>0.4896</v>
      </c>
      <c r="E20" s="103" t="n">
        <f aca="false">IF(Utilidad!E17&gt;1,Utilidad!E17/100,Utilidad!E17)</f>
        <v>0.4673</v>
      </c>
      <c r="F20" s="1"/>
      <c r="G20" s="101" t="s">
        <v>91</v>
      </c>
      <c r="H20" s="102" t="n">
        <f aca="false">Utilidad!B17</f>
        <v>5550</v>
      </c>
      <c r="I20" s="103" t="n">
        <f aca="false">IF(Utilidad!D17&gt;1,Utilidad!D17/100,Utilidad!D17)</f>
        <v>0.4896</v>
      </c>
      <c r="J20" s="103" t="n">
        <f aca="false">IF(Utilidad!F17&gt;1,Utilidad!F17/100,Utilidad!F17)</f>
        <v>0.4673</v>
      </c>
      <c r="K20" s="1"/>
      <c r="L20" s="104" t="n">
        <f aca="false">+IF(C20&lt;&gt;0,(H20-C20)/C20,ABS(H20-C20))</f>
        <v>0</v>
      </c>
      <c r="M20" s="104" t="n">
        <f aca="false">+IF(D20&lt;&gt;0,(I20-D20)/D20,0)</f>
        <v>0</v>
      </c>
      <c r="N20" s="104" t="n">
        <f aca="false">+IF(E20&lt;&gt;0,(J20-E20)/E20,0)</f>
        <v>0</v>
      </c>
      <c r="O20" s="1"/>
      <c r="P20" s="103" t="n">
        <f aca="false">+IF(L20&lt;&gt;"",ABS(L20),0)</f>
        <v>0</v>
      </c>
      <c r="Q20" s="103" t="n">
        <f aca="false">+IF(L20&lt;&gt;"",ABS(L20),0)</f>
        <v>0</v>
      </c>
      <c r="R20" s="103" t="n">
        <f aca="false">+IF(M20&lt;&gt;"",ABS(M20),0)</f>
        <v>0</v>
      </c>
      <c r="S20" s="1"/>
      <c r="T20" s="105" t="str">
        <f aca="false">IF(J20&lt;=I20,"SI","NO")</f>
        <v>SI</v>
      </c>
      <c r="U20" s="1"/>
      <c r="V20" s="1"/>
      <c r="W20" s="1"/>
      <c r="X20" s="1"/>
      <c r="Y20" s="1"/>
      <c r="Z20" s="1"/>
    </row>
    <row r="21" customFormat="false" ht="15.75" hidden="false" customHeight="true" outlineLevel="0" collapsed="false">
      <c r="A21" s="1"/>
      <c r="B21" s="106" t="s">
        <v>92</v>
      </c>
      <c r="C21" s="102" t="n">
        <f aca="false">Utilidad!A18</f>
        <v>0</v>
      </c>
      <c r="D21" s="103" t="n">
        <f aca="false">IF(Utilidad!C18&gt;1,Utilidad!C18/100,Utilidad!C18)</f>
        <v>0</v>
      </c>
      <c r="E21" s="103" t="n">
        <f aca="false">IF(Utilidad!E18&gt;1,Utilidad!E18/100,Utilidad!E18)</f>
        <v>0</v>
      </c>
      <c r="F21" s="1" t="e">
        <f aca="false">+E21/D21</f>
        <v>#DIV/0!</v>
      </c>
      <c r="G21" s="106" t="s">
        <v>92</v>
      </c>
      <c r="H21" s="102" t="n">
        <f aca="false">Utilidad!B18</f>
        <v>0</v>
      </c>
      <c r="I21" s="103" t="n">
        <f aca="false">IF(Utilidad!D18&gt;1,Utilidad!D18/100,Utilidad!D18)</f>
        <v>0</v>
      </c>
      <c r="J21" s="103" t="n">
        <f aca="false">IF(Utilidad!F18&gt;1,Utilidad!F18/100,Utilidad!F18)</f>
        <v>0</v>
      </c>
      <c r="K21" s="1" t="e">
        <f aca="false">+J21/I21</f>
        <v>#DIV/0!</v>
      </c>
      <c r="L21" s="104" t="n">
        <f aca="false">+IF(C21&lt;&gt;0,(H21-C21)/C21,ABS(H21-C21))</f>
        <v>0</v>
      </c>
      <c r="M21" s="104" t="n">
        <f aca="false">+IF(D21&lt;&gt;0,(I21-D21)/D21,0)</f>
        <v>0</v>
      </c>
      <c r="N21" s="104" t="n">
        <f aca="false">+IF(E21&lt;&gt;0,(J21-E21)/E21,0)</f>
        <v>0</v>
      </c>
      <c r="O21" s="1"/>
      <c r="P21" s="103" t="n">
        <f aca="false">+IF(L21&lt;&gt;"",ABS(L21),0)</f>
        <v>0</v>
      </c>
      <c r="Q21" s="103" t="n">
        <f aca="false">+IF(L21&lt;&gt;"",ABS(L21),0)</f>
        <v>0</v>
      </c>
      <c r="R21" s="103" t="n">
        <f aca="false">+IF(M21&lt;&gt;"",ABS(M21),0)</f>
        <v>0</v>
      </c>
      <c r="S21" s="1"/>
      <c r="T21" s="105" t="str">
        <f aca="false">IF(J21&lt;=I21,"SI","NO")</f>
        <v>SI</v>
      </c>
      <c r="U21" s="1"/>
      <c r="V21" s="1"/>
      <c r="W21" s="1"/>
      <c r="X21" s="1"/>
      <c r="Y21" s="1"/>
      <c r="Z21" s="1"/>
    </row>
    <row r="22" customFormat="false" ht="15.75" hidden="false" customHeight="true" outlineLevel="0" collapsed="false">
      <c r="A22" s="1"/>
      <c r="B22" s="106" t="s">
        <v>10</v>
      </c>
      <c r="C22" s="102" t="n">
        <f aca="false">Utilidad!A19</f>
        <v>67722</v>
      </c>
      <c r="D22" s="103" t="n">
        <f aca="false">IF(Utilidad!C19&gt;1,Utilidad!C19/100,Utilidad!C19)</f>
        <v>0.322</v>
      </c>
      <c r="E22" s="103" t="n">
        <f aca="false">IF(Utilidad!E19&gt;1,Utilidad!E19/100,Utilidad!E19)</f>
        <v>0.2902</v>
      </c>
      <c r="F22" s="1" t="n">
        <f aca="false">+E22/D22</f>
        <v>0.901242236024845</v>
      </c>
      <c r="G22" s="106" t="s">
        <v>10</v>
      </c>
      <c r="H22" s="102" t="n">
        <f aca="false">Utilidad!B19</f>
        <v>79422.600229</v>
      </c>
      <c r="I22" s="103" t="n">
        <f aca="false">IF(Utilidad!D19&gt;1,Utilidad!D19/100,Utilidad!D19)</f>
        <v>0.3542</v>
      </c>
      <c r="J22" s="103" t="n">
        <f aca="false">IF(Utilidad!F19&gt;1,Utilidad!F19/100,Utilidad!F19)</f>
        <v>0.30384766077</v>
      </c>
      <c r="K22" s="1" t="n">
        <f aca="false">+J22/I22</f>
        <v>0.857842068802936</v>
      </c>
      <c r="L22" s="104" t="n">
        <f aca="false">+IF(C22&lt;&gt;0,(H22-C22)/C22,ABS(H22-C22))</f>
        <v>0.172773991155016</v>
      </c>
      <c r="M22" s="104" t="n">
        <f aca="false">+IF(D22&lt;&gt;0,(I22-D22)/D22,0)</f>
        <v>0.1</v>
      </c>
      <c r="N22" s="104" t="n">
        <f aca="false">+IF(E22&lt;&gt;0,(J22-E22)/E22,0)</f>
        <v>0.047028465782219</v>
      </c>
      <c r="O22" s="1"/>
      <c r="P22" s="103" t="n">
        <f aca="false">+IF(L22&lt;&gt;"",ABS(L22),0)</f>
        <v>0.172773991155016</v>
      </c>
      <c r="Q22" s="103" t="n">
        <f aca="false">+IF(L22&lt;&gt;"",ABS(L22),0)</f>
        <v>0.172773991155016</v>
      </c>
      <c r="R22" s="103" t="n">
        <f aca="false">+IF(M22&lt;&gt;"",ABS(M22),0)</f>
        <v>0.1</v>
      </c>
      <c r="S22" s="1"/>
      <c r="T22" s="105" t="str">
        <f aca="false">IF(J22&lt;=I22,"SI","NO")</f>
        <v>SI</v>
      </c>
      <c r="U22" s="1"/>
      <c r="V22" s="1"/>
      <c r="W22" s="1"/>
      <c r="X22" s="1"/>
      <c r="Y22" s="1"/>
      <c r="Z22" s="1"/>
    </row>
    <row r="23" customFormat="false" ht="15.75" hidden="false" customHeight="true" outlineLevel="0" collapsed="false">
      <c r="A23" s="1"/>
      <c r="B23" s="106" t="s">
        <v>15</v>
      </c>
      <c r="C23" s="102" t="n">
        <f aca="false">Utilidad!A20</f>
        <v>0</v>
      </c>
      <c r="D23" s="103" t="n">
        <f aca="false">IF(Utilidad!C20&gt;1,Utilidad!C20/100,Utilidad!C20)</f>
        <v>0</v>
      </c>
      <c r="E23" s="103" t="n">
        <f aca="false">IF(Utilidad!E20&gt;1,Utilidad!E20/100,Utilidad!E20)</f>
        <v>0</v>
      </c>
      <c r="F23" s="1" t="e">
        <f aca="false">+E23/D23</f>
        <v>#DIV/0!</v>
      </c>
      <c r="G23" s="106" t="s">
        <v>15</v>
      </c>
      <c r="H23" s="102" t="n">
        <f aca="false">Utilidad!B20</f>
        <v>0</v>
      </c>
      <c r="I23" s="103" t="n">
        <f aca="false">IF(Utilidad!D20&gt;1,Utilidad!D20/100,Utilidad!D20)</f>
        <v>0</v>
      </c>
      <c r="J23" s="103" t="n">
        <f aca="false">IF(Utilidad!F20&gt;1,Utilidad!F20/100,Utilidad!F20)</f>
        <v>0</v>
      </c>
      <c r="K23" s="1" t="e">
        <f aca="false">+J23/I23</f>
        <v>#DIV/0!</v>
      </c>
      <c r="L23" s="104" t="n">
        <f aca="false">+IF(C23&lt;&gt;0,(H23-C23)/C23,ABS(H23-C23))</f>
        <v>0</v>
      </c>
      <c r="M23" s="104" t="n">
        <f aca="false">+IF(D23&lt;&gt;0,(I23-D23)/D23,0)</f>
        <v>0</v>
      </c>
      <c r="N23" s="104" t="n">
        <f aca="false">+IF(E23&lt;&gt;0,(J23-E23)/E23,0)</f>
        <v>0</v>
      </c>
      <c r="O23" s="1"/>
      <c r="P23" s="103" t="n">
        <f aca="false">+IF(L23&lt;&gt;"",ABS(L23),0)</f>
        <v>0</v>
      </c>
      <c r="Q23" s="103" t="n">
        <f aca="false">+IF(L23&lt;&gt;"",ABS(L23),0)</f>
        <v>0</v>
      </c>
      <c r="R23" s="103" t="n">
        <f aca="false">+IF(M23&lt;&gt;"",ABS(M23),0)</f>
        <v>0</v>
      </c>
      <c r="S23" s="1"/>
      <c r="T23" s="105" t="str">
        <f aca="false">IF(J23&lt;=I23,"SI","NO")</f>
        <v>SI</v>
      </c>
      <c r="U23" s="1"/>
      <c r="V23" s="1"/>
      <c r="W23" s="1"/>
      <c r="X23" s="1"/>
      <c r="Y23" s="1"/>
      <c r="Z23" s="1"/>
    </row>
    <row r="24" customFormat="false" ht="15.75" hidden="false" customHeight="true" outlineLevel="0" collapsed="false">
      <c r="A24" s="1"/>
      <c r="B24" s="106" t="s">
        <v>93</v>
      </c>
      <c r="C24" s="102" t="n">
        <f aca="false">Utilidad!A21</f>
        <v>33325</v>
      </c>
      <c r="D24" s="103" t="n">
        <f aca="false">IF(Utilidad!C21&gt;1,Utilidad!C21/100,Utilidad!C21)</f>
        <v>0.4544</v>
      </c>
      <c r="E24" s="103" t="n">
        <f aca="false">IF(Utilidad!E21&gt;1,Utilidad!E21/100,Utilidad!E21)</f>
        <v>0.3638</v>
      </c>
      <c r="F24" s="37" t="n">
        <f aca="false">C21+C22+C23</f>
        <v>67722</v>
      </c>
      <c r="G24" s="106" t="s">
        <v>93</v>
      </c>
      <c r="H24" s="102" t="n">
        <f aca="false">Utilidad!B21</f>
        <v>34506.647325</v>
      </c>
      <c r="I24" s="103" t="n">
        <f aca="false">IF(Utilidad!D21&gt;1,Utilidad!D21/100,Utilidad!D21)</f>
        <v>0.42791370343</v>
      </c>
      <c r="J24" s="103" t="n">
        <f aca="false">IF(Utilidad!F21&gt;1,Utilidad!F21/100,Utilidad!F21)</f>
        <v>0.40018</v>
      </c>
      <c r="K24" s="37" t="n">
        <f aca="false">H21+H22+H23</f>
        <v>79422.600229</v>
      </c>
      <c r="L24" s="104" t="n">
        <f aca="false">+IF(C24&lt;&gt;0,(H24-C24)/C24,ABS(H24-C24))</f>
        <v>0.0354582843210802</v>
      </c>
      <c r="M24" s="104" t="n">
        <f aca="false">+IF(D24&lt;&gt;0,(I24-D24)/D24,0)</f>
        <v>-0.0582885047755282</v>
      </c>
      <c r="N24" s="104" t="n">
        <f aca="false">+IF(E24&lt;&gt;0,(J24-E24)/E24,0)</f>
        <v>0.0999999999999999</v>
      </c>
      <c r="O24" s="1"/>
      <c r="P24" s="103" t="n">
        <f aca="false">+IF(L24&lt;&gt;"",ABS(L24),0)</f>
        <v>0.0354582843210802</v>
      </c>
      <c r="Q24" s="103" t="n">
        <f aca="false">+IF(L24&lt;&gt;"",ABS(L24),0)</f>
        <v>0.0354582843210802</v>
      </c>
      <c r="R24" s="103" t="n">
        <f aca="false">+IF(M24&lt;&gt;"",ABS(M24),0)</f>
        <v>0.0582885047755282</v>
      </c>
      <c r="S24" s="1"/>
      <c r="T24" s="105" t="str">
        <f aca="false">IF(J24&lt;=I24,"SI","NO")</f>
        <v>SI</v>
      </c>
      <c r="U24" s="1"/>
      <c r="V24" s="1"/>
      <c r="W24" s="1"/>
      <c r="X24" s="1"/>
      <c r="Y24" s="1"/>
      <c r="Z24" s="1"/>
    </row>
    <row r="25" customFormat="false" ht="15.75" hidden="false" customHeight="true" outlineLevel="0" collapsed="false">
      <c r="A25" s="1"/>
      <c r="B25" s="106" t="s">
        <v>94</v>
      </c>
      <c r="C25" s="107" t="n">
        <f aca="false">Utilidad!A22</f>
        <v>586</v>
      </c>
      <c r="D25" s="103" t="n">
        <f aca="false">IF(Utilidad!C22&gt;1,Utilidad!C22/100,Utilidad!C22)</f>
        <v>0.4419</v>
      </c>
      <c r="E25" s="103" t="n">
        <f aca="false">IF(Utilidad!E22&gt;1,Utilidad!E22/100,Utilidad!E22)</f>
        <v>0.4138</v>
      </c>
      <c r="F25" s="1"/>
      <c r="G25" s="106" t="s">
        <v>94</v>
      </c>
      <c r="H25" s="102" t="n">
        <f aca="false">Utilidad!B22</f>
        <v>703.19995276</v>
      </c>
      <c r="I25" s="103" t="n">
        <f aca="false">IF(Utilidad!D22&gt;1,Utilidad!D22/100,Utilidad!D22)</f>
        <v>0.42512097542</v>
      </c>
      <c r="J25" s="103" t="n">
        <f aca="false">IF(Utilidad!F22&gt;1,Utilidad!F22/100,Utilidad!F22)</f>
        <v>0.37242</v>
      </c>
      <c r="K25" s="37" t="n">
        <f aca="false">+F24-K24</f>
        <v>-11700.600229</v>
      </c>
      <c r="L25" s="104" t="n">
        <f aca="false">+IF(C25&lt;&gt;0,(H25-C25)/C25,ABS(H25-C25))</f>
        <v>0.199999919385666</v>
      </c>
      <c r="M25" s="104" t="n">
        <f aca="false">+IF(D25&lt;&gt;0,(I25-D25)/D25,0)</f>
        <v>-0.0379701846119031</v>
      </c>
      <c r="N25" s="104" t="n">
        <f aca="false">+IF(E25&lt;&gt;0,(J25-E25)/E25,0)</f>
        <v>-0.1</v>
      </c>
      <c r="O25" s="1"/>
      <c r="P25" s="103" t="n">
        <f aca="false">+IF(L25&lt;&gt;"",ABS(L25),0)</f>
        <v>0.199999919385666</v>
      </c>
      <c r="Q25" s="103" t="n">
        <f aca="false">+IF(L25&lt;&gt;"",ABS(L25),0)</f>
        <v>0.199999919385666</v>
      </c>
      <c r="R25" s="103" t="n">
        <f aca="false">+IF(M25&lt;&gt;"",ABS(M25),0)</f>
        <v>0.0379701846119031</v>
      </c>
      <c r="S25" s="1"/>
      <c r="T25" s="105" t="str">
        <f aca="false">IF(J25&lt;=I25,"SI","NO")</f>
        <v>SI</v>
      </c>
      <c r="U25" s="1"/>
      <c r="V25" s="1"/>
      <c r="W25" s="1"/>
      <c r="X25" s="1"/>
      <c r="Y25" s="1"/>
      <c r="Z25" s="1"/>
    </row>
    <row r="26" customFormat="false" ht="15.75" hidden="false" customHeight="true" outlineLevel="0" collapsed="false">
      <c r="A26" s="1"/>
      <c r="B26" s="106" t="s">
        <v>95</v>
      </c>
      <c r="C26" s="107" t="n">
        <f aca="false">Utilidad!A23</f>
        <v>32738</v>
      </c>
      <c r="D26" s="103" t="n">
        <f aca="false">IF(Utilidad!C23&gt;1,Utilidad!C23/100,Utilidad!C23)</f>
        <v>0.4419</v>
      </c>
      <c r="E26" s="103" t="n">
        <f aca="false">IF(Utilidad!E23&gt;1,Utilidad!E23/100,Utilidad!E23)</f>
        <v>0.4138</v>
      </c>
      <c r="F26" s="1"/>
      <c r="G26" s="106" t="s">
        <v>95</v>
      </c>
      <c r="H26" s="102" t="n">
        <f aca="false">Utilidad!B23</f>
        <v>32738</v>
      </c>
      <c r="I26" s="103" t="n">
        <f aca="false">IF(Utilidad!D23&gt;1,Utilidad!D23/100,Utilidad!D23)</f>
        <v>0.4419</v>
      </c>
      <c r="J26" s="103" t="n">
        <f aca="false">IF(Utilidad!F23&gt;1,Utilidad!F23/100,Utilidad!F23)</f>
        <v>0.4138</v>
      </c>
      <c r="K26" s="1" t="n">
        <f aca="false">+K25/K24*100</f>
        <v>-14.7320790244383</v>
      </c>
      <c r="L26" s="104" t="n">
        <f aca="false">+IF(C26&lt;&gt;0,(H26-C26)/C26,ABS(H26-C26))</f>
        <v>0</v>
      </c>
      <c r="M26" s="104" t="n">
        <f aca="false">+IF(D26&lt;&gt;0,(I26-D26)/D26,0)</f>
        <v>0</v>
      </c>
      <c r="N26" s="104" t="n">
        <f aca="false">+IF(E26&lt;&gt;0,(J26-E26)/E26,0)</f>
        <v>0</v>
      </c>
      <c r="O26" s="1"/>
      <c r="P26" s="103" t="n">
        <f aca="false">+IF(L26&lt;&gt;"",ABS(L26),0)</f>
        <v>0</v>
      </c>
      <c r="Q26" s="103" t="n">
        <f aca="false">+IF(L26&lt;&gt;"",ABS(L26),0)</f>
        <v>0</v>
      </c>
      <c r="R26" s="103" t="n">
        <f aca="false">+IF(M26&lt;&gt;"",ABS(M26),0)</f>
        <v>0</v>
      </c>
      <c r="S26" s="1"/>
      <c r="T26" s="105" t="str">
        <f aca="false">IF(J26&lt;=I26,"SI","NO")</f>
        <v>SI</v>
      </c>
      <c r="U26" s="1"/>
      <c r="V26" s="1"/>
      <c r="W26" s="1"/>
      <c r="X26" s="1"/>
      <c r="Y26" s="1"/>
      <c r="Z26" s="1"/>
    </row>
    <row r="27" customFormat="false" ht="15.75" hidden="false" customHeight="true" outlineLevel="0" collapsed="false">
      <c r="A27" s="1"/>
      <c r="B27" s="106" t="s">
        <v>96</v>
      </c>
      <c r="C27" s="102" t="n">
        <f aca="false">Utilidad!A24</f>
        <v>17486</v>
      </c>
      <c r="D27" s="103" t="n">
        <f aca="false">IF(Utilidad!C24&gt;1,Utilidad!C24/100,Utilidad!C24)</f>
        <v>0.4548</v>
      </c>
      <c r="E27" s="103" t="n">
        <f aca="false">IF(Utilidad!E24&gt;1,Utilidad!E24/100,Utilidad!E24)</f>
        <v>0.3853</v>
      </c>
      <c r="F27" s="1"/>
      <c r="G27" s="106" t="s">
        <v>96</v>
      </c>
      <c r="H27" s="102" t="n">
        <f aca="false">Utilidad!B24</f>
        <v>17770.28624</v>
      </c>
      <c r="I27" s="103" t="n">
        <f aca="false">IF(Utilidad!D24&gt;1,Utilidad!D24/100,Utilidad!D24)</f>
        <v>0.45355083764</v>
      </c>
      <c r="J27" s="103" t="n">
        <f aca="false">IF(Utilidad!F24&gt;1,Utilidad!F24/100,Utilidad!F24)</f>
        <v>0.42383</v>
      </c>
      <c r="K27" s="1"/>
      <c r="L27" s="104" t="n">
        <f aca="false">+IF(C27&lt;&gt;0,(H27-C27)/C27,ABS(H27-C27))</f>
        <v>0.0162579343474781</v>
      </c>
      <c r="M27" s="104" t="n">
        <f aca="false">+IF(D27&lt;&gt;0,(I27-D27)/D27,0)</f>
        <v>-0.00274661908531223</v>
      </c>
      <c r="N27" s="104" t="n">
        <f aca="false">+IF(E27&lt;&gt;0,(J27-E27)/E27,0)</f>
        <v>0.1</v>
      </c>
      <c r="O27" s="1"/>
      <c r="P27" s="103" t="n">
        <f aca="false">+IF(L27&lt;&gt;"",ABS(L27),0)</f>
        <v>0.0162579343474781</v>
      </c>
      <c r="Q27" s="103" t="n">
        <f aca="false">+IF(L27&lt;&gt;"",ABS(L27),0)</f>
        <v>0.0162579343474781</v>
      </c>
      <c r="R27" s="103" t="n">
        <f aca="false">+IF(M27&lt;&gt;"",ABS(M27),0)</f>
        <v>0.00274661908531223</v>
      </c>
      <c r="S27" s="1"/>
      <c r="T27" s="105" t="str">
        <f aca="false">IF(J27&lt;=I27,"SI","NO")</f>
        <v>SI</v>
      </c>
      <c r="U27" s="1"/>
      <c r="V27" s="1"/>
      <c r="W27" s="1"/>
      <c r="X27" s="1"/>
      <c r="Y27" s="1"/>
      <c r="Z27" s="1"/>
    </row>
    <row r="28" customFormat="false" ht="15.75" hidden="false" customHeight="true" outlineLevel="0" collapsed="false">
      <c r="A28" s="1"/>
      <c r="B28" s="106" t="s">
        <v>97</v>
      </c>
      <c r="C28" s="107" t="n">
        <f aca="false">Utilidad!A25</f>
        <v>1338</v>
      </c>
      <c r="D28" s="103" t="n">
        <f aca="false">IF(Utilidad!C25&gt;1,Utilidad!C25/100,Utilidad!C25)</f>
        <v>0.4578</v>
      </c>
      <c r="E28" s="103" t="n">
        <f aca="false">IF(Utilidad!E25&gt;1,Utilidad!E25/100,Utilidad!E25)</f>
        <v>0.4281</v>
      </c>
      <c r="F28" s="1"/>
      <c r="G28" s="106" t="s">
        <v>97</v>
      </c>
      <c r="H28" s="102" t="n">
        <f aca="false">Utilidad!B25</f>
        <v>1605.599982</v>
      </c>
      <c r="I28" s="103" t="n">
        <f aca="false">IF(Utilidad!D25&gt;1,Utilidad!D25/100,Utilidad!D25)</f>
        <v>0.41552928299</v>
      </c>
      <c r="J28" s="103" t="n">
        <f aca="false">IF(Utilidad!F25&gt;1,Utilidad!F25/100,Utilidad!F25)</f>
        <v>0.38529</v>
      </c>
      <c r="K28" s="1"/>
      <c r="L28" s="104" t="n">
        <f aca="false">+IF(C28&lt;&gt;0,(H28-C28)/C28,ABS(H28-C28))</f>
        <v>0.199999986547085</v>
      </c>
      <c r="M28" s="104" t="n">
        <f aca="false">+IF(D28&lt;&gt;0,(I28-D28)/D28,0)</f>
        <v>-0.0923344626692878</v>
      </c>
      <c r="N28" s="104" t="n">
        <f aca="false">+IF(E28&lt;&gt;0,(J28-E28)/E28,0)</f>
        <v>-0.1</v>
      </c>
      <c r="O28" s="1"/>
      <c r="P28" s="103" t="n">
        <f aca="false">+IF(L28&lt;&gt;"",ABS(L28),0)</f>
        <v>0.199999986547085</v>
      </c>
      <c r="Q28" s="103" t="n">
        <f aca="false">+IF(L28&lt;&gt;"",ABS(L28),0)</f>
        <v>0.199999986547085</v>
      </c>
      <c r="R28" s="103" t="n">
        <f aca="false">+IF(M28&lt;&gt;"",ABS(M28),0)</f>
        <v>0.0923344626692878</v>
      </c>
      <c r="S28" s="1"/>
      <c r="T28" s="105" t="str">
        <f aca="false">IF(J28&lt;=I28,"SI","NO")</f>
        <v>SI</v>
      </c>
      <c r="U28" s="1"/>
      <c r="V28" s="1"/>
      <c r="W28" s="1"/>
      <c r="X28" s="1"/>
      <c r="Y28" s="1"/>
      <c r="Z28" s="1"/>
    </row>
    <row r="29" customFormat="false" ht="15.75" hidden="false" customHeight="true" outlineLevel="0" collapsed="false">
      <c r="A29" s="1"/>
      <c r="B29" s="106" t="s">
        <v>98</v>
      </c>
      <c r="C29" s="107" t="n">
        <f aca="false">Utilidad!A26</f>
        <v>16148</v>
      </c>
      <c r="D29" s="103" t="n">
        <f aca="false">IF(Utilidad!C26&gt;1,Utilidad!C26/100,Utilidad!C26)</f>
        <v>0.4578</v>
      </c>
      <c r="E29" s="103" t="n">
        <f aca="false">IF(Utilidad!E26&gt;1,Utilidad!E26/100,Utilidad!E26)</f>
        <v>0.4281</v>
      </c>
      <c r="F29" s="1"/>
      <c r="G29" s="106" t="s">
        <v>98</v>
      </c>
      <c r="H29" s="102" t="n">
        <f aca="false">Utilidad!B26</f>
        <v>16148</v>
      </c>
      <c r="I29" s="103" t="n">
        <f aca="false">IF(Utilidad!D26&gt;1,Utilidad!D26/100,Utilidad!D26)</f>
        <v>0.4578</v>
      </c>
      <c r="J29" s="103" t="n">
        <f aca="false">IF(Utilidad!F26&gt;1,Utilidad!F26/100,Utilidad!F26)</f>
        <v>0.4281</v>
      </c>
      <c r="K29" s="1"/>
      <c r="L29" s="104" t="n">
        <f aca="false">+IF(C29&lt;&gt;0,(H29-C29)/C29,ABS(H29-C29))</f>
        <v>0</v>
      </c>
      <c r="M29" s="104" t="n">
        <f aca="false">+IF(D29&lt;&gt;0,(I29-D29)/D29,0)</f>
        <v>0</v>
      </c>
      <c r="N29" s="104" t="n">
        <f aca="false">+IF(E29&lt;&gt;0,(J29-E29)/E29,0)</f>
        <v>0</v>
      </c>
      <c r="O29" s="1"/>
      <c r="P29" s="103" t="n">
        <f aca="false">+IF(L29&lt;&gt;"",ABS(L29),0)</f>
        <v>0</v>
      </c>
      <c r="Q29" s="103" t="n">
        <f aca="false">+IF(L29&lt;&gt;"",ABS(L29),0)</f>
        <v>0</v>
      </c>
      <c r="R29" s="103" t="n">
        <f aca="false">+IF(M29&lt;&gt;"",ABS(M29),0)</f>
        <v>0</v>
      </c>
      <c r="S29" s="1"/>
      <c r="T29" s="105" t="str">
        <f aca="false">IF(J29&lt;=I29,"SI","NO")</f>
        <v>SI</v>
      </c>
      <c r="U29" s="1"/>
      <c r="V29" s="1"/>
      <c r="W29" s="1"/>
      <c r="X29" s="1"/>
      <c r="Y29" s="1"/>
      <c r="Z29" s="1"/>
    </row>
    <row r="30" customFormat="false" ht="15.75" hidden="false" customHeight="true" outlineLevel="0" collapsed="false">
      <c r="A30" s="1"/>
      <c r="B30" s="106" t="s">
        <v>99</v>
      </c>
      <c r="C30" s="102" t="n">
        <f aca="false">Utilidad!A27</f>
        <v>23126</v>
      </c>
      <c r="D30" s="103" t="n">
        <f aca="false">IF(Utilidad!C27&gt;1,Utilidad!C27/100,Utilidad!C27)</f>
        <v>0.2169</v>
      </c>
      <c r="E30" s="103" t="n">
        <f aca="false">IF(Utilidad!E27&gt;1,Utilidad!E27/100,Utilidad!E27)</f>
        <v>0.1031</v>
      </c>
      <c r="F30" s="1"/>
      <c r="G30" s="106" t="s">
        <v>99</v>
      </c>
      <c r="H30" s="102" t="n">
        <f aca="false">Utilidad!B27</f>
        <v>27145.666664</v>
      </c>
      <c r="I30" s="103" t="n">
        <f aca="false">IF(Utilidad!D27&gt;1,Utilidad!D27/100,Utilidad!D27)</f>
        <v>0.1954599095</v>
      </c>
      <c r="J30" s="103" t="n">
        <f aca="false">IF(Utilidad!F27&gt;1,Utilidad!F27/100,Utilidad!F27)</f>
        <v>0.10284959282</v>
      </c>
      <c r="K30" s="1"/>
      <c r="L30" s="104" t="n">
        <f aca="false">+IF(C30&lt;&gt;0,(H30-C30)/C30,ABS(H30-C30))</f>
        <v>0.173815906944565</v>
      </c>
      <c r="M30" s="104" t="n">
        <f aca="false">+IF(D30&lt;&gt;0,(I30-D30)/D30,0)</f>
        <v>-0.0988478123559244</v>
      </c>
      <c r="N30" s="104" t="n">
        <f aca="false">+IF(E30&lt;&gt;0,(J30-E30)/E30,0)</f>
        <v>-0.00242877963142589</v>
      </c>
      <c r="O30" s="1"/>
      <c r="P30" s="103" t="n">
        <f aca="false">+IF(L30&lt;&gt;"",ABS(L30),0)</f>
        <v>0.173815906944565</v>
      </c>
      <c r="Q30" s="103" t="n">
        <f aca="false">+IF(L30&lt;&gt;"",ABS(L30),0)</f>
        <v>0.173815906944565</v>
      </c>
      <c r="R30" s="103" t="n">
        <f aca="false">+IF(M30&lt;&gt;"",ABS(M30),0)</f>
        <v>0.0988478123559244</v>
      </c>
      <c r="S30" s="1"/>
      <c r="T30" s="105" t="str">
        <f aca="false">IF(J30&lt;=I30,"SI","NO")</f>
        <v>SI</v>
      </c>
      <c r="U30" s="1"/>
      <c r="V30" s="1"/>
      <c r="W30" s="1"/>
      <c r="X30" s="1"/>
      <c r="Y30" s="1"/>
      <c r="Z30" s="1"/>
    </row>
    <row r="31" customFormat="false" ht="15.75" hidden="false" customHeight="true" outlineLevel="0" collapsed="false">
      <c r="A31" s="1"/>
      <c r="B31" s="106" t="s">
        <v>100</v>
      </c>
      <c r="C31" s="107" t="n">
        <f aca="false">Utilidad!A28</f>
        <v>3740</v>
      </c>
      <c r="D31" s="103" t="n">
        <f aca="false">IF(Utilidad!C28&gt;1,Utilidad!C28/100,Utilidad!C28)</f>
        <v>0.2169</v>
      </c>
      <c r="E31" s="103" t="n">
        <f aca="false">IF(Utilidad!E28&gt;1,Utilidad!E28/100,Utilidad!E28)</f>
        <v>0.1031</v>
      </c>
      <c r="F31" s="1"/>
      <c r="G31" s="106" t="s">
        <v>100</v>
      </c>
      <c r="H31" s="102" t="n">
        <f aca="false">Utilidad!B28</f>
        <v>3882.4666641</v>
      </c>
      <c r="I31" s="103" t="n">
        <f aca="false">IF(Utilidad!D28&gt;1,Utilidad!D28/100,Utilidad!D28)</f>
        <v>0.19695734392</v>
      </c>
      <c r="J31" s="103" t="n">
        <f aca="false">IF(Utilidad!F28&gt;1,Utilidad!F28/100,Utilidad!F28)</f>
        <v>0.10305382177</v>
      </c>
      <c r="K31" s="1"/>
      <c r="L31" s="104" t="n">
        <f aca="false">+IF(C31&lt;&gt;0,(H31-C31)/C31,ABS(H31-C31))</f>
        <v>0.0380926909358289</v>
      </c>
      <c r="M31" s="104" t="n">
        <f aca="false">+IF(D31&lt;&gt;0,(I31-D31)/D31,0)</f>
        <v>-0.0919440114338407</v>
      </c>
      <c r="N31" s="104" t="n">
        <f aca="false">+IF(E31&lt;&gt;0,(J31-E31)/E31,0)</f>
        <v>-0.000447897478176653</v>
      </c>
      <c r="O31" s="1"/>
      <c r="P31" s="103" t="n">
        <f aca="false">+IF(L31&lt;&gt;"",ABS(L31),0)</f>
        <v>0.0380926909358289</v>
      </c>
      <c r="Q31" s="103" t="n">
        <f aca="false">+IF(L31&lt;&gt;"",ABS(L31),0)</f>
        <v>0.0380926909358289</v>
      </c>
      <c r="R31" s="103" t="n">
        <f aca="false">+IF(M31&lt;&gt;"",ABS(M31),0)</f>
        <v>0.0919440114338407</v>
      </c>
      <c r="S31" s="1"/>
      <c r="T31" s="105" t="str">
        <f aca="false">IF(J31&lt;=I31,"SI","NO")</f>
        <v>SI</v>
      </c>
      <c r="U31" s="1"/>
      <c r="V31" s="1"/>
      <c r="W31" s="1"/>
      <c r="X31" s="1"/>
      <c r="Y31" s="1"/>
      <c r="Z31" s="1"/>
    </row>
    <row r="32" customFormat="false" ht="15.75" hidden="false" customHeight="true" outlineLevel="0" collapsed="false">
      <c r="A32" s="1"/>
      <c r="B32" s="106" t="s">
        <v>101</v>
      </c>
      <c r="C32" s="107" t="n">
        <f aca="false">Utilidad!A29</f>
        <v>19386</v>
      </c>
      <c r="D32" s="103" t="n">
        <f aca="false">IF(Utilidad!C29&gt;1,Utilidad!C29/100,Utilidad!C29)</f>
        <v>0.2169</v>
      </c>
      <c r="E32" s="103" t="n">
        <f aca="false">IF(Utilidad!E29&gt;1,Utilidad!E29/100,Utilidad!E29)</f>
        <v>0.1031</v>
      </c>
      <c r="F32" s="1"/>
      <c r="G32" s="106" t="s">
        <v>101</v>
      </c>
      <c r="H32" s="102" t="n">
        <f aca="false">Utilidad!B29</f>
        <v>23263.2</v>
      </c>
      <c r="I32" s="103" t="n">
        <f aca="false">IF(Utilidad!D29&gt;1,Utilidad!D29/100,Utilidad!D29)</f>
        <v>0.19521</v>
      </c>
      <c r="J32" s="103" t="n">
        <f aca="false">IF(Utilidad!F29&gt;1,Utilidad!F29/100,Utilidad!F29)</f>
        <v>0.10281550827</v>
      </c>
      <c r="K32" s="1"/>
      <c r="L32" s="104" t="n">
        <f aca="false">+IF(C32&lt;&gt;0,(H32-C32)/C32,ABS(H32-C32))</f>
        <v>0.2</v>
      </c>
      <c r="M32" s="104" t="n">
        <f aca="false">+IF(D32&lt;&gt;0,(I32-D32)/D32,0)</f>
        <v>-0.1</v>
      </c>
      <c r="N32" s="104" t="n">
        <f aca="false">+IF(E32&lt;&gt;0,(J32-E32)/E32,0)</f>
        <v>-0.0027593766246363</v>
      </c>
      <c r="O32" s="1"/>
      <c r="P32" s="103" t="n">
        <f aca="false">+IF(L32&lt;&gt;"",ABS(L32),0)</f>
        <v>0.2</v>
      </c>
      <c r="Q32" s="103" t="n">
        <f aca="false">+IF(L32&lt;&gt;"",ABS(L32),0)</f>
        <v>0.2</v>
      </c>
      <c r="R32" s="103" t="n">
        <f aca="false">+IF(M32&lt;&gt;"",ABS(M32),0)</f>
        <v>0.1</v>
      </c>
      <c r="S32" s="1"/>
      <c r="T32" s="105" t="str">
        <f aca="false">IF(J32&lt;=I32,"SI","NO")</f>
        <v>SI</v>
      </c>
      <c r="U32" s="1"/>
      <c r="V32" s="1"/>
      <c r="W32" s="1"/>
      <c r="X32" s="1"/>
      <c r="Y32" s="1"/>
      <c r="Z32" s="1"/>
    </row>
    <row r="33" customFormat="false" ht="15.75" hidden="false" customHeight="true" outlineLevel="0" collapsed="false">
      <c r="A33" s="1"/>
      <c r="B33" s="108" t="s">
        <v>102</v>
      </c>
      <c r="C33" s="107" t="n">
        <f aca="false">Utilidad!A30</f>
        <v>8434</v>
      </c>
      <c r="D33" s="103" t="n">
        <f aca="false">IF(Utilidad!C30&gt;1,Utilidad!C30/100,Utilidad!C30)</f>
        <v>0.4298</v>
      </c>
      <c r="E33" s="103" t="n">
        <f aca="false">IF(Utilidad!E30&gt;1,Utilidad!E30/100,Utilidad!E30)</f>
        <v>0.4004</v>
      </c>
      <c r="F33" s="1"/>
      <c r="G33" s="108" t="s">
        <v>102</v>
      </c>
      <c r="H33" s="102" t="n">
        <f aca="false">Utilidad!B30</f>
        <v>8434</v>
      </c>
      <c r="I33" s="103" t="n">
        <f aca="false">IF(Utilidad!D30&gt;1,Utilidad!D30/100,Utilidad!D30)</f>
        <v>0.4298</v>
      </c>
      <c r="J33" s="103" t="n">
        <f aca="false">IF(Utilidad!F30&gt;1,Utilidad!F30/100,Utilidad!F30)</f>
        <v>0.4004</v>
      </c>
      <c r="K33" s="1"/>
      <c r="L33" s="104" t="n">
        <f aca="false">+IF(C33&lt;&gt;0,(H33-C33)/C33,ABS(H33-C33))</f>
        <v>0</v>
      </c>
      <c r="M33" s="104" t="n">
        <f aca="false">+IF(D33&lt;&gt;0,(I33-D33)/D33,0)</f>
        <v>0</v>
      </c>
      <c r="N33" s="104" t="n">
        <f aca="false">+IF(E33&lt;&gt;0,(J33-E33)/E33,0)</f>
        <v>0</v>
      </c>
      <c r="O33" s="1"/>
      <c r="P33" s="103" t="n">
        <f aca="false">+IF(L33&lt;&gt;"",ABS(L33),0)</f>
        <v>0</v>
      </c>
      <c r="Q33" s="103" t="n">
        <f aca="false">+IF(L33&lt;&gt;"",ABS(L33),0)</f>
        <v>0</v>
      </c>
      <c r="R33" s="103" t="n">
        <f aca="false">+IF(M33&lt;&gt;"",ABS(M33),0)</f>
        <v>0</v>
      </c>
      <c r="S33" s="1"/>
      <c r="T33" s="105" t="str">
        <f aca="false">IF(J33&lt;=I33,"SI","NO")</f>
        <v>SI</v>
      </c>
      <c r="U33" s="1"/>
      <c r="V33" s="1"/>
      <c r="W33" s="1"/>
      <c r="X33" s="1"/>
      <c r="Y33" s="1"/>
      <c r="Z33" s="1"/>
    </row>
    <row r="34" customFormat="false" ht="15.75" hidden="false" customHeight="true" outlineLevel="0" collapsed="false">
      <c r="A34" s="1"/>
      <c r="B34" s="109"/>
      <c r="C34" s="110"/>
      <c r="D34" s="111"/>
      <c r="E34" s="111"/>
      <c r="F34" s="1"/>
      <c r="G34" s="109"/>
      <c r="H34" s="110"/>
      <c r="I34" s="111"/>
      <c r="J34" s="111"/>
      <c r="K34" s="1"/>
      <c r="L34" s="112"/>
      <c r="M34" s="112"/>
      <c r="N34" s="112"/>
      <c r="O34" s="1"/>
      <c r="P34" s="111"/>
      <c r="Q34" s="111"/>
      <c r="R34" s="111"/>
      <c r="S34" s="1"/>
      <c r="T34" s="1"/>
      <c r="U34" s="1"/>
      <c r="V34" s="1"/>
      <c r="W34" s="1"/>
      <c r="X34" s="1"/>
      <c r="Y34" s="1"/>
      <c r="Z34" s="1"/>
    </row>
    <row r="35" customFormat="false" ht="15.75" hidden="false" customHeight="true" outlineLevel="0" collapsed="false">
      <c r="A35" s="1"/>
      <c r="B35" s="109"/>
      <c r="C35" s="110"/>
      <c r="D35" s="111"/>
      <c r="E35" s="111"/>
      <c r="F35" s="1"/>
      <c r="G35" s="109"/>
      <c r="H35" s="110"/>
      <c r="I35" s="111"/>
      <c r="J35" s="111"/>
      <c r="K35" s="1"/>
      <c r="L35" s="112"/>
      <c r="M35" s="112"/>
      <c r="N35" s="112"/>
      <c r="O35" s="1"/>
      <c r="P35" s="111"/>
      <c r="Q35" s="111"/>
      <c r="R35" s="111"/>
      <c r="S35" s="1"/>
      <c r="T35" s="1"/>
      <c r="U35" s="1"/>
      <c r="V35" s="1"/>
      <c r="W35" s="1"/>
      <c r="X35" s="1"/>
      <c r="Y35" s="1"/>
      <c r="Z35" s="1"/>
    </row>
    <row r="36" customFormat="false" ht="15.75" hidden="false" customHeight="true" outlineLevel="0" collapsed="false">
      <c r="A36" s="1"/>
      <c r="B36" s="109"/>
      <c r="C36" s="110"/>
      <c r="D36" s="111"/>
      <c r="E36" s="111"/>
      <c r="F36" s="1"/>
      <c r="G36" s="109"/>
      <c r="H36" s="110"/>
      <c r="I36" s="111"/>
      <c r="J36" s="111"/>
      <c r="K36" s="1"/>
      <c r="L36" s="112"/>
      <c r="M36" s="112"/>
      <c r="N36" s="112"/>
      <c r="O36" s="1"/>
      <c r="P36" s="111"/>
      <c r="Q36" s="111"/>
      <c r="R36" s="111"/>
      <c r="S36" s="1"/>
      <c r="T36" s="1"/>
      <c r="U36" s="1"/>
      <c r="V36" s="1"/>
      <c r="W36" s="1"/>
      <c r="X36" s="1"/>
      <c r="Y36" s="1"/>
      <c r="Z36" s="1"/>
    </row>
    <row r="37" customFormat="false" ht="15.75" hidden="false" customHeight="true" outlineLevel="0" collapsed="false">
      <c r="A37" s="1"/>
      <c r="B37" s="113"/>
      <c r="C37" s="110"/>
      <c r="D37" s="111"/>
      <c r="E37" s="111"/>
      <c r="F37" s="1"/>
      <c r="G37" s="113"/>
      <c r="H37" s="110"/>
      <c r="I37" s="111"/>
      <c r="J37" s="111"/>
      <c r="K37" s="1"/>
      <c r="L37" s="112"/>
      <c r="M37" s="112"/>
      <c r="N37" s="112"/>
      <c r="O37" s="1"/>
      <c r="P37" s="111"/>
      <c r="Q37" s="111"/>
      <c r="R37" s="111"/>
      <c r="S37" s="1"/>
      <c r="T37" s="1"/>
      <c r="U37" s="1"/>
      <c r="V37" s="1"/>
      <c r="W37" s="1"/>
      <c r="X37" s="1"/>
      <c r="Y37" s="1"/>
      <c r="Z37" s="1"/>
    </row>
    <row r="38" customFormat="false" ht="15.75" hidden="false" customHeight="true" outlineLevel="0" collapsed="false">
      <c r="A38" s="1"/>
      <c r="B38" s="113"/>
      <c r="C38" s="110"/>
      <c r="D38" s="111"/>
      <c r="E38" s="111"/>
      <c r="F38" s="1"/>
      <c r="G38" s="113"/>
      <c r="H38" s="110"/>
      <c r="I38" s="111"/>
      <c r="J38" s="111"/>
      <c r="K38" s="1"/>
      <c r="L38" s="112"/>
      <c r="M38" s="112"/>
      <c r="N38" s="112"/>
      <c r="O38" s="1"/>
      <c r="P38" s="111"/>
      <c r="Q38" s="111"/>
      <c r="R38" s="111"/>
      <c r="S38" s="1"/>
      <c r="T38" s="1"/>
      <c r="U38" s="1"/>
      <c r="V38" s="1"/>
      <c r="W38" s="1"/>
      <c r="X38" s="1"/>
      <c r="Y38" s="1"/>
      <c r="Z38" s="1"/>
    </row>
    <row r="39" customFormat="false" ht="15.75" hidden="false" customHeight="true" outlineLevel="0" collapsed="false">
      <c r="A39" s="1"/>
      <c r="B39" s="109"/>
      <c r="C39" s="110"/>
      <c r="D39" s="111"/>
      <c r="E39" s="111"/>
      <c r="F39" s="1"/>
      <c r="G39" s="109"/>
      <c r="H39" s="110"/>
      <c r="I39" s="111"/>
      <c r="J39" s="111"/>
      <c r="K39" s="1"/>
      <c r="L39" s="112"/>
      <c r="M39" s="112"/>
      <c r="N39" s="112"/>
      <c r="O39" s="1"/>
      <c r="P39" s="111"/>
      <c r="Q39" s="111"/>
      <c r="R39" s="111"/>
      <c r="S39" s="1"/>
      <c r="T39" s="1"/>
      <c r="U39" s="1"/>
      <c r="V39" s="1"/>
      <c r="W39" s="1"/>
      <c r="X39" s="1"/>
      <c r="Y39" s="1"/>
      <c r="Z39" s="1"/>
    </row>
    <row r="40" customFormat="false" ht="15.75" hidden="false" customHeight="true" outlineLevel="0" collapsed="false">
      <c r="A40" s="1"/>
      <c r="B40" s="109"/>
      <c r="C40" s="110"/>
      <c r="D40" s="111"/>
      <c r="E40" s="111"/>
      <c r="F40" s="1"/>
      <c r="G40" s="109"/>
      <c r="H40" s="110"/>
      <c r="I40" s="111"/>
      <c r="J40" s="111"/>
      <c r="K40" s="1"/>
      <c r="L40" s="112"/>
      <c r="M40" s="112"/>
      <c r="N40" s="112"/>
      <c r="O40" s="1"/>
      <c r="P40" s="111"/>
      <c r="Q40" s="111"/>
      <c r="R40" s="111"/>
      <c r="S40" s="1"/>
      <c r="T40" s="1"/>
      <c r="U40" s="1"/>
      <c r="V40" s="1"/>
      <c r="W40" s="1"/>
      <c r="X40" s="1"/>
      <c r="Y40" s="1"/>
      <c r="Z40" s="1"/>
    </row>
    <row r="41" customFormat="false" ht="15.75" hidden="false" customHeight="true" outlineLevel="0" collapsed="false">
      <c r="A41" s="1"/>
      <c r="B41" s="109"/>
      <c r="C41" s="110"/>
      <c r="D41" s="111"/>
      <c r="E41" s="111"/>
      <c r="F41" s="1"/>
      <c r="G41" s="109"/>
      <c r="H41" s="110"/>
      <c r="I41" s="111"/>
      <c r="J41" s="111"/>
      <c r="K41" s="1"/>
      <c r="L41" s="112"/>
      <c r="M41" s="112"/>
      <c r="N41" s="112"/>
      <c r="O41" s="1"/>
      <c r="P41" s="111"/>
      <c r="Q41" s="111"/>
      <c r="R41" s="111"/>
      <c r="S41" s="1"/>
      <c r="T41" s="1"/>
      <c r="U41" s="1"/>
      <c r="V41" s="1"/>
      <c r="W41" s="1"/>
      <c r="X41" s="1"/>
      <c r="Y41" s="1"/>
      <c r="Z41" s="1"/>
    </row>
    <row r="42" customFormat="false" ht="15.75" hidden="false" customHeight="true" outlineLevel="0" collapsed="false">
      <c r="A42" s="1"/>
      <c r="B42" s="109"/>
      <c r="C42" s="110"/>
      <c r="D42" s="111"/>
      <c r="E42" s="111"/>
      <c r="F42" s="1"/>
      <c r="G42" s="109"/>
      <c r="H42" s="110"/>
      <c r="I42" s="111"/>
      <c r="J42" s="111"/>
      <c r="K42" s="1"/>
      <c r="L42" s="112"/>
      <c r="M42" s="112"/>
      <c r="N42" s="112"/>
      <c r="O42" s="1"/>
      <c r="P42" s="111"/>
      <c r="Q42" s="111"/>
      <c r="R42" s="111"/>
      <c r="S42" s="1"/>
      <c r="T42" s="1"/>
      <c r="U42" s="1"/>
      <c r="V42" s="1"/>
      <c r="W42" s="1"/>
      <c r="X42" s="1"/>
      <c r="Y42" s="1"/>
      <c r="Z42" s="1"/>
    </row>
    <row r="43" customFormat="false" ht="15.75" hidden="false" customHeight="true" outlineLevel="0" collapsed="false">
      <c r="A43" s="1"/>
      <c r="B43" s="109"/>
      <c r="C43" s="110"/>
      <c r="D43" s="111"/>
      <c r="E43" s="111"/>
      <c r="F43" s="1"/>
      <c r="G43" s="109"/>
      <c r="H43" s="110"/>
      <c r="I43" s="111"/>
      <c r="J43" s="111"/>
      <c r="K43" s="1"/>
      <c r="L43" s="112"/>
      <c r="M43" s="112"/>
      <c r="N43" s="112"/>
      <c r="O43" s="1"/>
      <c r="P43" s="111"/>
      <c r="Q43" s="111"/>
      <c r="R43" s="111"/>
      <c r="S43" s="1"/>
      <c r="T43" s="1"/>
      <c r="U43" s="1"/>
      <c r="V43" s="1"/>
      <c r="W43" s="1"/>
      <c r="X43" s="1"/>
      <c r="Y43" s="1"/>
      <c r="Z43" s="1"/>
    </row>
    <row r="44" customFormat="false" ht="15.75" hidden="false" customHeight="true" outlineLevel="0" collapsed="false">
      <c r="A44" s="1"/>
      <c r="B44" s="109"/>
      <c r="C44" s="110"/>
      <c r="D44" s="111"/>
      <c r="E44" s="111"/>
      <c r="F44" s="1"/>
      <c r="G44" s="109"/>
      <c r="H44" s="110"/>
      <c r="I44" s="111"/>
      <c r="J44" s="111"/>
      <c r="K44" s="1"/>
      <c r="L44" s="112"/>
      <c r="M44" s="112"/>
      <c r="N44" s="112"/>
      <c r="O44" s="1"/>
      <c r="P44" s="111"/>
      <c r="Q44" s="111"/>
      <c r="R44" s="111"/>
      <c r="S44" s="1"/>
      <c r="T44" s="1"/>
      <c r="U44" s="1"/>
      <c r="V44" s="1"/>
      <c r="W44" s="1"/>
      <c r="X44" s="1"/>
      <c r="Y44" s="1"/>
      <c r="Z44" s="1"/>
    </row>
    <row r="45" customFormat="false" ht="15.75" hidden="false" customHeight="true" outlineLevel="0" collapsed="false">
      <c r="A45" s="1"/>
      <c r="B45" s="109"/>
      <c r="C45" s="110"/>
      <c r="D45" s="111"/>
      <c r="E45" s="111"/>
      <c r="F45" s="1"/>
      <c r="G45" s="109"/>
      <c r="H45" s="110"/>
      <c r="I45" s="111"/>
      <c r="J45" s="111"/>
      <c r="K45" s="1"/>
      <c r="L45" s="112"/>
      <c r="M45" s="112"/>
      <c r="N45" s="112"/>
      <c r="O45" s="1"/>
      <c r="P45" s="111"/>
      <c r="Q45" s="111"/>
      <c r="R45" s="111"/>
      <c r="S45" s="1"/>
      <c r="T45" s="1"/>
      <c r="U45" s="1"/>
      <c r="V45" s="1"/>
      <c r="W45" s="1"/>
      <c r="X45" s="1"/>
      <c r="Y45" s="1"/>
      <c r="Z45" s="1"/>
    </row>
    <row r="46" customFormat="false" ht="15.75" hidden="false" customHeight="true" outlineLevel="0" collapsed="false">
      <c r="A46" s="1"/>
      <c r="B46" s="109"/>
      <c r="C46" s="110"/>
      <c r="D46" s="111"/>
      <c r="E46" s="111"/>
      <c r="F46" s="1"/>
      <c r="G46" s="109"/>
      <c r="H46" s="110"/>
      <c r="I46" s="111"/>
      <c r="J46" s="111"/>
      <c r="K46" s="1"/>
      <c r="L46" s="112"/>
      <c r="M46" s="112"/>
      <c r="N46" s="112"/>
      <c r="O46" s="1"/>
      <c r="P46" s="111"/>
      <c r="Q46" s="111"/>
      <c r="R46" s="111"/>
      <c r="S46" s="1"/>
      <c r="T46" s="1"/>
      <c r="U46" s="1"/>
      <c r="V46" s="1"/>
      <c r="W46" s="1"/>
      <c r="X46" s="1"/>
      <c r="Y46" s="1"/>
      <c r="Z46" s="1"/>
    </row>
    <row r="47" customFormat="false" ht="15.75" hidden="false" customHeight="true" outlineLevel="0" collapsed="false">
      <c r="A47" s="1"/>
      <c r="B47" s="109"/>
      <c r="C47" s="110"/>
      <c r="D47" s="111"/>
      <c r="E47" s="111"/>
      <c r="F47" s="1"/>
      <c r="G47" s="109"/>
      <c r="H47" s="110"/>
      <c r="I47" s="111"/>
      <c r="J47" s="111"/>
      <c r="K47" s="1"/>
      <c r="L47" s="112"/>
      <c r="M47" s="112"/>
      <c r="N47" s="112"/>
      <c r="O47" s="1"/>
      <c r="P47" s="111"/>
      <c r="Q47" s="111"/>
      <c r="R47" s="111"/>
      <c r="S47" s="1"/>
      <c r="T47" s="1"/>
      <c r="U47" s="1"/>
      <c r="V47" s="1"/>
      <c r="W47" s="1"/>
      <c r="X47" s="1"/>
      <c r="Y47" s="1"/>
      <c r="Z47" s="1"/>
    </row>
    <row r="48" customFormat="false" ht="15.75" hidden="false" customHeight="true" outlineLevel="0" collapsed="false">
      <c r="A48" s="1"/>
      <c r="B48" s="109"/>
      <c r="C48" s="110"/>
      <c r="D48" s="111"/>
      <c r="E48" s="111"/>
      <c r="F48" s="1"/>
      <c r="G48" s="109"/>
      <c r="H48" s="110"/>
      <c r="I48" s="111"/>
      <c r="J48" s="111"/>
      <c r="K48" s="1"/>
      <c r="L48" s="112"/>
      <c r="M48" s="112"/>
      <c r="N48" s="112"/>
      <c r="O48" s="1"/>
      <c r="P48" s="111"/>
      <c r="Q48" s="111"/>
      <c r="R48" s="111"/>
      <c r="S48" s="1"/>
      <c r="T48" s="1"/>
      <c r="U48" s="1"/>
      <c r="V48" s="1"/>
      <c r="W48" s="1"/>
      <c r="X48" s="1"/>
      <c r="Y48" s="1"/>
      <c r="Z48" s="1"/>
    </row>
    <row r="49" customFormat="false" ht="15.75" hidden="false" customHeight="true" outlineLevel="0" collapsed="false">
      <c r="A49" s="1"/>
      <c r="B49" s="109"/>
      <c r="C49" s="110"/>
      <c r="D49" s="111"/>
      <c r="E49" s="111"/>
      <c r="F49" s="1"/>
      <c r="G49" s="109"/>
      <c r="H49" s="110"/>
      <c r="I49" s="111"/>
      <c r="J49" s="111"/>
      <c r="K49" s="1"/>
      <c r="L49" s="112"/>
      <c r="M49" s="112"/>
      <c r="N49" s="112"/>
      <c r="O49" s="1"/>
      <c r="P49" s="111"/>
      <c r="Q49" s="111"/>
      <c r="R49" s="111"/>
      <c r="S49" s="1"/>
      <c r="T49" s="1"/>
      <c r="U49" s="1"/>
      <c r="V49" s="1"/>
      <c r="W49" s="1"/>
      <c r="X49" s="1"/>
      <c r="Y49" s="1"/>
      <c r="Z49" s="1"/>
    </row>
    <row r="50" customFormat="false" ht="15.75" hidden="false" customHeight="true" outlineLevel="0" collapsed="false">
      <c r="A50" s="1"/>
      <c r="B50" s="109"/>
      <c r="C50" s="110"/>
      <c r="D50" s="111"/>
      <c r="E50" s="111"/>
      <c r="F50" s="1"/>
      <c r="G50" s="109"/>
      <c r="H50" s="110"/>
      <c r="I50" s="111"/>
      <c r="J50" s="111"/>
      <c r="K50" s="1"/>
      <c r="L50" s="112"/>
      <c r="M50" s="112"/>
      <c r="N50" s="112"/>
      <c r="O50" s="1"/>
      <c r="P50" s="111"/>
      <c r="Q50" s="111"/>
      <c r="R50" s="111"/>
      <c r="S50" s="1"/>
      <c r="T50" s="1"/>
      <c r="U50" s="1"/>
      <c r="V50" s="1"/>
      <c r="W50" s="1"/>
      <c r="X50" s="1"/>
      <c r="Y50" s="1"/>
      <c r="Z50" s="1"/>
    </row>
    <row r="51" customFormat="false" ht="15.75" hidden="false" customHeight="true" outlineLevel="0" collapsed="false">
      <c r="A51" s="1"/>
      <c r="B51" s="109"/>
      <c r="C51" s="110"/>
      <c r="D51" s="111"/>
      <c r="E51" s="111"/>
      <c r="F51" s="1"/>
      <c r="G51" s="109"/>
      <c r="H51" s="110"/>
      <c r="I51" s="111"/>
      <c r="J51" s="111"/>
      <c r="K51" s="1"/>
      <c r="L51" s="112"/>
      <c r="M51" s="112"/>
      <c r="N51" s="112"/>
      <c r="O51" s="1"/>
      <c r="P51" s="111"/>
      <c r="Q51" s="111"/>
      <c r="R51" s="111"/>
      <c r="S51" s="1"/>
      <c r="T51" s="1"/>
      <c r="U51" s="1"/>
      <c r="V51" s="1"/>
      <c r="W51" s="1"/>
      <c r="X51" s="1"/>
      <c r="Y51" s="1"/>
      <c r="Z51" s="1"/>
    </row>
    <row r="52" customFormat="false" ht="15.75" hidden="false" customHeight="true" outlineLevel="0" collapsed="false">
      <c r="A52" s="1"/>
      <c r="B52" s="109"/>
      <c r="C52" s="110"/>
      <c r="D52" s="111"/>
      <c r="E52" s="111"/>
      <c r="F52" s="1"/>
      <c r="G52" s="109"/>
      <c r="H52" s="110"/>
      <c r="I52" s="111"/>
      <c r="J52" s="111"/>
      <c r="K52" s="1"/>
      <c r="L52" s="112"/>
      <c r="M52" s="112"/>
      <c r="N52" s="112"/>
      <c r="O52" s="1"/>
      <c r="P52" s="111"/>
      <c r="Q52" s="111"/>
      <c r="R52" s="111"/>
      <c r="S52" s="1"/>
      <c r="T52" s="1"/>
      <c r="U52" s="1"/>
      <c r="V52" s="1"/>
      <c r="W52" s="1"/>
      <c r="X52" s="1"/>
      <c r="Y52" s="1"/>
      <c r="Z52" s="1"/>
    </row>
    <row r="53" customFormat="false" ht="15.75" hidden="false" customHeight="true" outlineLevel="0" collapsed="false">
      <c r="A53" s="1"/>
      <c r="B53" s="109"/>
      <c r="C53" s="110"/>
      <c r="D53" s="111"/>
      <c r="E53" s="111"/>
      <c r="F53" s="1"/>
      <c r="G53" s="109"/>
      <c r="H53" s="110"/>
      <c r="I53" s="111"/>
      <c r="J53" s="111"/>
      <c r="K53" s="1"/>
      <c r="L53" s="112"/>
      <c r="M53" s="112"/>
      <c r="N53" s="112"/>
      <c r="O53" s="1"/>
      <c r="P53" s="111"/>
      <c r="Q53" s="111"/>
      <c r="R53" s="111"/>
      <c r="S53" s="1"/>
      <c r="T53" s="1"/>
      <c r="U53" s="1"/>
      <c r="V53" s="1"/>
      <c r="W53" s="1"/>
      <c r="X53" s="1"/>
      <c r="Y53" s="1"/>
      <c r="Z53" s="1"/>
    </row>
    <row r="54" customFormat="false" ht="15.75" hidden="false" customHeight="true" outlineLevel="0" collapsed="false">
      <c r="A54" s="1"/>
      <c r="B54" s="1"/>
      <c r="C54" s="1"/>
      <c r="D54" s="114"/>
      <c r="E54" s="1"/>
      <c r="F54" s="1"/>
      <c r="G54" s="1"/>
      <c r="H54" s="1"/>
      <c r="I54" s="1"/>
      <c r="J54" s="1"/>
      <c r="K54" s="1"/>
      <c r="L54" s="1"/>
      <c r="M54" s="115"/>
      <c r="N54" s="115"/>
      <c r="O54" s="114"/>
      <c r="P54" s="116"/>
      <c r="Q54" s="114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.75" hidden="false" customHeight="true" outlineLevel="0" collapsed="false">
      <c r="A55" s="1"/>
      <c r="B55" s="1"/>
      <c r="C55" s="1"/>
      <c r="D55" s="114"/>
      <c r="E55" s="1"/>
      <c r="F55" s="1"/>
      <c r="G55" s="1"/>
      <c r="H55" s="1"/>
      <c r="I55" s="1"/>
      <c r="J55" s="1"/>
      <c r="K55" s="1"/>
      <c r="L55" s="1"/>
      <c r="M55" s="115"/>
      <c r="N55" s="115"/>
      <c r="O55" s="114"/>
      <c r="P55" s="116"/>
      <c r="Q55" s="114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.75" hidden="false" customHeight="true" outlineLevel="0" collapsed="false">
      <c r="A56" s="1"/>
      <c r="B56" s="1"/>
      <c r="C56" s="1"/>
      <c r="D56" s="114"/>
      <c r="E56" s="1"/>
      <c r="F56" s="1"/>
      <c r="G56" s="1"/>
      <c r="H56" s="1"/>
      <c r="I56" s="1"/>
      <c r="J56" s="1"/>
      <c r="K56" s="1"/>
      <c r="L56" s="1"/>
      <c r="M56" s="115"/>
      <c r="N56" s="115"/>
      <c r="O56" s="114"/>
      <c r="P56" s="117"/>
      <c r="Q56" s="114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.7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.7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.7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.7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.7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.7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.7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.7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.7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.75" hidden="false" customHeight="tru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.75" hidden="false" customHeight="tru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.7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.75" hidden="false" customHeight="tru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.75" hidden="false" customHeight="tru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.75" hidden="false" customHeight="tru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.75" hidden="false" customHeight="tru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.7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.7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5.75" hidden="false" customHeight="tru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5.75" hidden="false" customHeight="tru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5.75" hidden="false" customHeight="tru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5.75" hidden="false" customHeight="tru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5.75" hidden="false" customHeight="tru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5.75" hidden="false" customHeight="tru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5.75" hidden="false" customHeight="tru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5.75" hidden="false" customHeight="tru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5.75" hidden="false" customHeight="tru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5.75" hidden="false" customHeight="tru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5.75" hidden="false" customHeight="tru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5.75" hidden="false" customHeight="tru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5.75" hidden="false" customHeight="tru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5.75" hidden="false" customHeight="tru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5.75" hidden="false" customHeight="tru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5.75" hidden="false" customHeight="tru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5.75" hidden="false" customHeight="tru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5.75" hidden="false" customHeight="tru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5.75" hidden="false" customHeight="tru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5.75" hidden="false" customHeight="tru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5.75" hidden="false" customHeight="tru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5.75" hidden="false" customHeight="tru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5.75" hidden="false" customHeight="tru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5.75" hidden="false" customHeight="tru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5.75" hidden="false" customHeight="tru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5.75" hidden="false" customHeight="tru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5.75" hidden="false" customHeight="tru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5.75" hidden="false" customHeight="tru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5.75" hidden="false" customHeight="tru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5.75" hidden="false" customHeight="tru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5.75" hidden="false" customHeight="tru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5.75" hidden="false" customHeight="tru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5.75" hidden="false" customHeight="tru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5.75" hidden="false" customHeight="tru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5.75" hidden="false" customHeight="tru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5.75" hidden="false" customHeight="tru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5.75" hidden="false" customHeight="tru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5.75" hidden="false" customHeight="tru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5.75" hidden="false" customHeight="tru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5.75" hidden="false" customHeight="tru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5.75" hidden="false" customHeight="tru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5.75" hidden="false" customHeight="tru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5.75" hidden="false" customHeight="tru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5.75" hidden="false" customHeight="tru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5.75" hidden="false" customHeight="tru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5.75" hidden="false" customHeight="tru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5.75" hidden="false" customHeight="tru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5.75" hidden="false" customHeight="tru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5.75" hidden="false" customHeight="tru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5.75" hidden="false" customHeight="tru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5.75" hidden="false" customHeight="tru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5.75" hidden="false" customHeight="tru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5.75" hidden="false" customHeight="tru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5.75" hidden="false" customHeight="tru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5.75" hidden="false" customHeight="tru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5.75" hidden="false" customHeight="tru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5.75" hidden="false" customHeight="tru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5.75" hidden="false" customHeight="tru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5.75" hidden="false" customHeight="tru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5.75" hidden="false" customHeight="tru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5.75" hidden="false" customHeight="tru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5.75" hidden="false" customHeight="tru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5.75" hidden="false" customHeight="tru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5.75" hidden="false" customHeight="tru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5.75" hidden="false" customHeight="tru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5.75" hidden="false" customHeight="tru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5.75" hidden="false" customHeight="tru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5.75" hidden="false" customHeight="tru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5.75" hidden="false" customHeight="tru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5.75" hidden="false" customHeight="tru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5.75" hidden="false" customHeight="tru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5.75" hidden="false" customHeight="tru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5.75" hidden="false" customHeight="tru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5.75" hidden="false" customHeight="tru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5.75" hidden="false" customHeight="tru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5.75" hidden="false" customHeight="tru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5.75" hidden="false" customHeight="tru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5.75" hidden="false" customHeight="tru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5.75" hidden="false" customHeight="tru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5.75" hidden="false" customHeight="tru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5.75" hidden="false" customHeight="tru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5.75" hidden="false" customHeight="tru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5.75" hidden="false" customHeight="tru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5.75" hidden="false" customHeight="tru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5.75" hidden="false" customHeight="tru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5.75" hidden="false" customHeight="tru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5.75" hidden="false" customHeight="tru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5.75" hidden="false" customHeight="tru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5.75" hidden="false" customHeight="tru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5.75" hidden="false" customHeight="tru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5.75" hidden="false" customHeight="tru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5.75" hidden="false" customHeight="tru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5.75" hidden="false" customHeight="tru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5.75" hidden="false" customHeight="tru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5.75" hidden="false" customHeight="tru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5.75" hidden="false" customHeight="tru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5.75" hidden="false" customHeight="tru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5.75" hidden="false" customHeight="tru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5.75" hidden="false" customHeight="tru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5.75" hidden="false" customHeight="tru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5.75" hidden="false" customHeight="tru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5.75" hidden="false" customHeight="tru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5.75" hidden="false" customHeight="tru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5.75" hidden="false" customHeight="tru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5.75" hidden="false" customHeight="tru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5.75" hidden="false" customHeight="tru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5.75" hidden="false" customHeight="tru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5.75" hidden="false" customHeight="tru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5.75" hidden="false" customHeight="tru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5.75" hidden="false" customHeight="tru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5.75" hidden="false" customHeight="tru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5.75" hidden="false" customHeight="tru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5.75" hidden="false" customHeight="tru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5.75" hidden="false" customHeight="tru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5.75" hidden="false" customHeight="tru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5.75" hidden="false" customHeight="tru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5.75" hidden="false" customHeight="tru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5.75" hidden="false" customHeight="tru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5.75" hidden="false" customHeight="tru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5.75" hidden="false" customHeight="tru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5.75" hidden="false" customHeight="tru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5.75" hidden="false" customHeight="tru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5.75" hidden="false" customHeight="tru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5.75" hidden="false" customHeight="tru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5.75" hidden="false" customHeight="tru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5.75" hidden="false" customHeight="tru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5.75" hidden="false" customHeight="tru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5.75" hidden="false" customHeight="tru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5.75" hidden="false" customHeight="tru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5.75" hidden="false" customHeight="tru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5.75" hidden="false" customHeight="tru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5.75" hidden="false" customHeight="tru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5.75" hidden="false" customHeight="tru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5.75" hidden="false" customHeight="tru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5.75" hidden="false" customHeight="tru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5.75" hidden="false" customHeight="tru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5.75" hidden="false" customHeight="tru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5.75" hidden="false" customHeight="tru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customFormat="false" ht="15.75" hidden="false" customHeight="tru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customFormat="false" ht="15.75" hidden="false" customHeight="tru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customFormat="false" ht="15.75" hidden="false" customHeight="tru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customFormat="false" ht="15.75" hidden="false" customHeight="tru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customFormat="false" ht="15.75" hidden="false" customHeight="tru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customFormat="false" ht="15.75" hidden="false" customHeight="tru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customFormat="false" ht="15.75" hidden="false" customHeight="tru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customFormat="false" ht="15.75" hidden="false" customHeight="tru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customFormat="false" ht="15.75" hidden="false" customHeight="tru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customFormat="false" ht="15.75" hidden="false" customHeight="tru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customFormat="false" ht="15.75" hidden="false" customHeight="tru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customFormat="false" ht="15.75" hidden="false" customHeight="tru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customFormat="false" ht="15.75" hidden="false" customHeight="tru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customFormat="false" ht="15.75" hidden="false" customHeight="tru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customFormat="false" ht="15.75" hidden="false" customHeight="tru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customFormat="false" ht="15.75" hidden="false" customHeight="tru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customFormat="false" ht="15.75" hidden="false" customHeight="tru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customFormat="false" ht="15.75" hidden="false" customHeight="tru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customFormat="false" ht="15.75" hidden="false" customHeight="tru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customFormat="false" ht="15.75" hidden="false" customHeight="tru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customFormat="false" ht="15.75" hidden="false" customHeight="tru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customFormat="false" ht="15.75" hidden="false" customHeight="tru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customFormat="false" ht="15.75" hidden="false" customHeight="tru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customFormat="false" ht="15.75" hidden="false" customHeight="tru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customFormat="false" ht="15.75" hidden="false" customHeight="tru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customFormat="false" ht="15.75" hidden="false" customHeight="tru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customFormat="false" ht="15.75" hidden="false" customHeight="tru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customFormat="false" ht="15.75" hidden="false" customHeight="tru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customFormat="false" ht="15.75" hidden="false" customHeight="tru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customFormat="false" ht="15.75" hidden="false" customHeight="tru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customFormat="false" ht="15.75" hidden="false" customHeight="tru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customFormat="false" ht="15.75" hidden="false" customHeight="tru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customFormat="false" ht="15.75" hidden="false" customHeight="tru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customFormat="false" ht="15.75" hidden="false" customHeight="tru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customFormat="false" ht="15.75" hidden="false" customHeight="tru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customFormat="false" ht="15.75" hidden="false" customHeight="tru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customFormat="false" ht="15.75" hidden="false" customHeight="tru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customFormat="false" ht="15.75" hidden="false" customHeight="tru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customFormat="false" ht="15.75" hidden="false" customHeight="tru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customFormat="false" ht="15.75" hidden="false" customHeight="tru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customFormat="false" ht="15.75" hidden="false" customHeight="tru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customFormat="false" ht="15.75" hidden="false" customHeight="tru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customFormat="false" ht="15.75" hidden="false" customHeight="tru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customFormat="false" ht="15.75" hidden="false" customHeight="tru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customFormat="false" ht="15.75" hidden="false" customHeight="tru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customFormat="false" ht="15.75" hidden="false" customHeight="tru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customFormat="false" ht="15.75" hidden="false" customHeight="tru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customFormat="false" ht="15.75" hidden="false" customHeight="tru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customFormat="false" ht="15.75" hidden="false" customHeight="tru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customFormat="false" ht="15.75" hidden="false" customHeight="tru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customFormat="false" ht="15.75" hidden="false" customHeight="tru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customFormat="false" ht="15.75" hidden="false" customHeight="tru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customFormat="false" ht="15.75" hidden="false" customHeight="tru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customFormat="false" ht="15.75" hidden="false" customHeight="tru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customFormat="false" ht="15.75" hidden="false" customHeight="tru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customFormat="false" ht="15.75" hidden="false" customHeight="tru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customFormat="false" ht="15.75" hidden="false" customHeight="tru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customFormat="false" ht="15.75" hidden="false" customHeight="tru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customFormat="false" ht="15.75" hidden="false" customHeight="tru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customFormat="false" ht="15.75" hidden="false" customHeight="tru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customFormat="false" ht="15.75" hidden="false" customHeight="tru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customFormat="false" ht="15.75" hidden="false" customHeight="tru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customFormat="false" ht="15.75" hidden="false" customHeight="tru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customFormat="false" ht="15.75" hidden="false" customHeight="tru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customFormat="false" ht="15.75" hidden="false" customHeight="tru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customFormat="false" ht="15.75" hidden="false" customHeight="tru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customFormat="false" ht="15.75" hidden="false" customHeight="tru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customFormat="false" ht="15.75" hidden="false" customHeight="tru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customFormat="false" ht="15.75" hidden="false" customHeight="tru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customFormat="false" ht="15.75" hidden="false" customHeight="tru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customFormat="false" ht="15.75" hidden="false" customHeight="tru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customFormat="false" ht="15.75" hidden="false" customHeight="tru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customFormat="false" ht="15.75" hidden="false" customHeight="tru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customFormat="false" ht="15.75" hidden="false" customHeight="tru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customFormat="false" ht="15.75" hidden="false" customHeight="tru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customFormat="false" ht="15.75" hidden="false" customHeight="tru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customFormat="false" ht="15.75" hidden="false" customHeight="tru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customFormat="false" ht="15.75" hidden="false" customHeight="tru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customFormat="false" ht="15.75" hidden="false" customHeight="tru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customFormat="false" ht="15.75" hidden="false" customHeight="tru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customFormat="false" ht="15.75" hidden="false" customHeight="tru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customFormat="false" ht="15.75" hidden="false" customHeight="tru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customFormat="false" ht="15.75" hidden="false" customHeight="tru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customFormat="false" ht="15.75" hidden="false" customHeight="tru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customFormat="false" ht="15.75" hidden="false" customHeight="tru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customFormat="false" ht="15.75" hidden="false" customHeight="tru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customFormat="false" ht="15.75" hidden="false" customHeight="tru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customFormat="false" ht="15.75" hidden="false" customHeight="tru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customFormat="false" ht="15.75" hidden="false" customHeight="tru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customFormat="false" ht="15.75" hidden="false" customHeight="tru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customFormat="false" ht="15.75" hidden="false" customHeight="tru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customFormat="false" ht="15.75" hidden="false" customHeight="tru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customFormat="false" ht="15.75" hidden="false" customHeight="tru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customFormat="false" ht="15.75" hidden="false" customHeight="tru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customFormat="false" ht="15.75" hidden="false" customHeight="tru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customFormat="false" ht="15.75" hidden="false" customHeight="tru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customFormat="false" ht="15.75" hidden="false" customHeight="tru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customFormat="false" ht="15.75" hidden="false" customHeight="tru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customFormat="false" ht="15.75" hidden="false" customHeight="tru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customFormat="false" ht="15.75" hidden="false" customHeight="tru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customFormat="false" ht="15.75" hidden="false" customHeight="tru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customFormat="false" ht="15.75" hidden="false" customHeight="tru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customFormat="false" ht="15.75" hidden="false" customHeight="tru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customFormat="false" ht="15.75" hidden="false" customHeight="tru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customFormat="false" ht="15.75" hidden="false" customHeight="tru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customFormat="false" ht="15.75" hidden="false" customHeight="tru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customFormat="false" ht="15.75" hidden="false" customHeight="tru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customFormat="false" ht="15.75" hidden="false" customHeight="tru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customFormat="false" ht="15.75" hidden="false" customHeight="tru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customFormat="false" ht="15.75" hidden="false" customHeight="tru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customFormat="false" ht="15.75" hidden="false" customHeight="tru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customFormat="false" ht="15.75" hidden="false" customHeight="tru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customFormat="false" ht="15.75" hidden="false" customHeight="tru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customFormat="false" ht="15.75" hidden="false" customHeight="tru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customFormat="false" ht="15.75" hidden="false" customHeight="tru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customFormat="false" ht="15.75" hidden="false" customHeight="tru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customFormat="false" ht="15.75" hidden="false" customHeight="tru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customFormat="false" ht="15.75" hidden="false" customHeight="tru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customFormat="false" ht="15.75" hidden="false" customHeight="tru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customFormat="false" ht="15.75" hidden="false" customHeight="tru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customFormat="false" ht="15.75" hidden="false" customHeight="tru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customFormat="false" ht="15.75" hidden="false" customHeight="tru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customFormat="false" ht="15.75" hidden="false" customHeight="tru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customFormat="false" ht="15.75" hidden="false" customHeight="tru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customFormat="false" ht="15.75" hidden="false" customHeight="tru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customFormat="false" ht="15.75" hidden="false" customHeight="tru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customFormat="false" ht="15.75" hidden="false" customHeight="tru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customFormat="false" ht="15.75" hidden="false" customHeight="tru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customFormat="false" ht="15.75" hidden="false" customHeight="tru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customFormat="false" ht="15.75" hidden="false" customHeight="tru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customFormat="false" ht="15.75" hidden="false" customHeight="tru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customFormat="false" ht="15.75" hidden="false" customHeight="tru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customFormat="false" ht="15.75" hidden="false" customHeight="tru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customFormat="false" ht="15.75" hidden="false" customHeight="tru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customFormat="false" ht="15.75" hidden="false" customHeight="tru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customFormat="false" ht="15.75" hidden="false" customHeight="tru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customFormat="false" ht="15.75" hidden="false" customHeight="tru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customFormat="false" ht="15.75" hidden="false" customHeight="tru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customFormat="false" ht="15.75" hidden="false" customHeight="tru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customFormat="false" ht="15.75" hidden="false" customHeight="tru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customFormat="false" ht="15.75" hidden="false" customHeight="tru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customFormat="false" ht="15.75" hidden="false" customHeight="tru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customFormat="false" ht="15.75" hidden="false" customHeight="tru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customFormat="false" ht="15.75" hidden="false" customHeight="tru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customFormat="false" ht="15.75" hidden="false" customHeight="tru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customFormat="false" ht="15.75" hidden="false" customHeight="tru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customFormat="false" ht="15.75" hidden="false" customHeight="tru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customFormat="false" ht="15.75" hidden="false" customHeight="tru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customFormat="false" ht="15.75" hidden="false" customHeight="tru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customFormat="false" ht="15.75" hidden="false" customHeight="tru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customFormat="false" ht="15.75" hidden="false" customHeight="tru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customFormat="false" ht="15.75" hidden="false" customHeight="tru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customFormat="false" ht="15.75" hidden="false" customHeight="tru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customFormat="false" ht="15.75" hidden="false" customHeight="tru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customFormat="false" ht="15.75" hidden="false" customHeight="tru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customFormat="false" ht="15.75" hidden="false" customHeight="tru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customFormat="false" ht="15.75" hidden="false" customHeight="tru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customFormat="false" ht="15.75" hidden="false" customHeight="tru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customFormat="false" ht="15.75" hidden="false" customHeight="tru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customFormat="false" ht="15.75" hidden="false" customHeight="tru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customFormat="false" ht="15.75" hidden="false" customHeight="tru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customFormat="false" ht="15.75" hidden="false" customHeight="tru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customFormat="false" ht="15.75" hidden="false" customHeight="tru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customFormat="false" ht="15.75" hidden="false" customHeight="tru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customFormat="false" ht="15.75" hidden="false" customHeight="tru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customFormat="false" ht="15.75" hidden="false" customHeight="tru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customFormat="false" ht="15.75" hidden="false" customHeight="tru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customFormat="false" ht="15.75" hidden="false" customHeight="tru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customFormat="false" ht="15.75" hidden="false" customHeight="tru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customFormat="false" ht="15.75" hidden="false" customHeight="tru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customFormat="false" ht="15.75" hidden="false" customHeight="tru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customFormat="false" ht="15.75" hidden="false" customHeight="tru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customFormat="false" ht="15.75" hidden="false" customHeight="tru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customFormat="false" ht="15.75" hidden="false" customHeight="tru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customFormat="false" ht="15.75" hidden="false" customHeight="tru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customFormat="false" ht="15.75" hidden="false" customHeight="tru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customFormat="false" ht="15.75" hidden="false" customHeight="tru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customFormat="false" ht="15.75" hidden="false" customHeight="tru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customFormat="false" ht="15.75" hidden="false" customHeight="tru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customFormat="false" ht="15.75" hidden="false" customHeight="tru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customFormat="false" ht="15.75" hidden="false" customHeight="tru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customFormat="false" ht="15.75" hidden="false" customHeight="tru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customFormat="false" ht="15.75" hidden="false" customHeight="tru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customFormat="false" ht="15.75" hidden="false" customHeight="tru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customFormat="false" ht="15.75" hidden="false" customHeight="tru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customFormat="false" ht="15.75" hidden="false" customHeight="tru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customFormat="false" ht="15.75" hidden="false" customHeight="tru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customFormat="false" ht="15.75" hidden="false" customHeight="tru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customFormat="false" ht="15.75" hidden="false" customHeight="tru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customFormat="false" ht="15.75" hidden="false" customHeight="tru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customFormat="false" ht="15.75" hidden="false" customHeight="tru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customFormat="false" ht="15.75" hidden="false" customHeight="tru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customFormat="false" ht="15.75" hidden="false" customHeight="tru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customFormat="false" ht="15.75" hidden="false" customHeight="tru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customFormat="false" ht="15.75" hidden="false" customHeight="tru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customFormat="false" ht="15.75" hidden="false" customHeight="tru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customFormat="false" ht="15.75" hidden="false" customHeight="tru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customFormat="false" ht="15.75" hidden="false" customHeight="tru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customFormat="false" ht="15.75" hidden="false" customHeight="tru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customFormat="false" ht="15.75" hidden="false" customHeight="tru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customFormat="false" ht="15.75" hidden="false" customHeight="tru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customFormat="false" ht="15.75" hidden="false" customHeight="tru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customFormat="false" ht="15.75" hidden="false" customHeight="tru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customFormat="false" ht="15.75" hidden="false" customHeight="tru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customFormat="false" ht="15.75" hidden="false" customHeight="tru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customFormat="false" ht="15.75" hidden="false" customHeight="tru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customFormat="false" ht="15.75" hidden="false" customHeight="tru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customFormat="false" ht="15.75" hidden="false" customHeight="tru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customFormat="false" ht="15.75" hidden="false" customHeight="tru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customFormat="false" ht="15.75" hidden="false" customHeight="tru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customFormat="false" ht="15.75" hidden="false" customHeight="tru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customFormat="false" ht="15.75" hidden="false" customHeight="tru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customFormat="false" ht="15.75" hidden="false" customHeight="tru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customFormat="false" ht="15.75" hidden="false" customHeight="tru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customFormat="false" ht="15.75" hidden="false" customHeight="tru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customFormat="false" ht="15.75" hidden="false" customHeight="tru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customFormat="false" ht="15.75" hidden="false" customHeight="tru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customFormat="false" ht="15.75" hidden="false" customHeight="tru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customFormat="false" ht="15.75" hidden="false" customHeight="tru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customFormat="false" ht="15.75" hidden="false" customHeight="tru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customFormat="false" ht="15.75" hidden="false" customHeight="tru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customFormat="false" ht="15.75" hidden="false" customHeight="tru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customFormat="false" ht="15.75" hidden="false" customHeight="tru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customFormat="false" ht="15.75" hidden="false" customHeight="tru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customFormat="false" ht="15.75" hidden="false" customHeight="tru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customFormat="false" ht="15.75" hidden="false" customHeight="tru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customFormat="false" ht="15.75" hidden="false" customHeight="tru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customFormat="false" ht="15.75" hidden="false" customHeight="tru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customFormat="false" ht="15.75" hidden="false" customHeight="tru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customFormat="false" ht="15.75" hidden="false" customHeight="tru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customFormat="false" ht="15.75" hidden="false" customHeight="tru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customFormat="false" ht="15.75" hidden="false" customHeight="tru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customFormat="false" ht="15.75" hidden="false" customHeight="tru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customFormat="false" ht="15.75" hidden="false" customHeight="tru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customFormat="false" ht="15.75" hidden="false" customHeight="tru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customFormat="false" ht="15.75" hidden="false" customHeight="tru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customFormat="false" ht="15.75" hidden="false" customHeight="tru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customFormat="false" ht="15.75" hidden="false" customHeight="tru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customFormat="false" ht="15.75" hidden="false" customHeight="tru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customFormat="false" ht="15.75" hidden="false" customHeight="tru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customFormat="false" ht="15.75" hidden="false" customHeight="tru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customFormat="false" ht="15.75" hidden="false" customHeight="tru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customFormat="false" ht="15.75" hidden="false" customHeight="tru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customFormat="false" ht="15.75" hidden="false" customHeight="tru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customFormat="false" ht="15.75" hidden="false" customHeight="tru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customFormat="false" ht="15.75" hidden="false" customHeight="tru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customFormat="false" ht="15.75" hidden="false" customHeight="tru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customFormat="false" ht="15.75" hidden="false" customHeight="tru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customFormat="false" ht="15.75" hidden="false" customHeight="tru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customFormat="false" ht="15.75" hidden="false" customHeight="tru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customFormat="false" ht="15.75" hidden="false" customHeight="tru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customFormat="false" ht="15.75" hidden="false" customHeight="tru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customFormat="false" ht="15.75" hidden="false" customHeight="tru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customFormat="false" ht="15.75" hidden="false" customHeight="tru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customFormat="false" ht="15.75" hidden="false" customHeight="tru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customFormat="false" ht="15.75" hidden="false" customHeight="tru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customFormat="false" ht="15.75" hidden="false" customHeight="tru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customFormat="false" ht="15.75" hidden="false" customHeight="tru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customFormat="false" ht="15.75" hidden="false" customHeight="tru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customFormat="false" ht="15.75" hidden="false" customHeight="tru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customFormat="false" ht="15.75" hidden="false" customHeight="tru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customFormat="false" ht="15.75" hidden="false" customHeight="tru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customFormat="false" ht="15.75" hidden="false" customHeight="tru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customFormat="false" ht="15.75" hidden="false" customHeight="tru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customFormat="false" ht="15.75" hidden="false" customHeight="tru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customFormat="false" ht="15.75" hidden="false" customHeight="tru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customFormat="false" ht="15.75" hidden="false" customHeight="tru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customFormat="false" ht="15.75" hidden="false" customHeight="tru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customFormat="false" ht="15.75" hidden="false" customHeight="tru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customFormat="false" ht="15.75" hidden="false" customHeight="tru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customFormat="false" ht="15.75" hidden="false" customHeight="tru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customFormat="false" ht="15.75" hidden="false" customHeight="tru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customFormat="false" ht="15.75" hidden="false" customHeight="tru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customFormat="false" ht="15.75" hidden="false" customHeight="tru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customFormat="false" ht="15.75" hidden="false" customHeight="tru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customFormat="false" ht="15.75" hidden="false" customHeight="tru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customFormat="false" ht="15.75" hidden="false" customHeight="tru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customFormat="false" ht="15.75" hidden="false" customHeight="tru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customFormat="false" ht="15.75" hidden="false" customHeight="tru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customFormat="false" ht="15.75" hidden="false" customHeight="tru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customFormat="false" ht="15.75" hidden="false" customHeight="tru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customFormat="false" ht="15.75" hidden="false" customHeight="tru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customFormat="false" ht="15.75" hidden="false" customHeight="tru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customFormat="false" ht="15.75" hidden="false" customHeight="tru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customFormat="false" ht="15.75" hidden="false" customHeight="tru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customFormat="false" ht="15.75" hidden="false" customHeight="tru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customFormat="false" ht="15.75" hidden="false" customHeight="tru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customFormat="false" ht="15.75" hidden="false" customHeight="tru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customFormat="false" ht="15.75" hidden="false" customHeight="tru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customFormat="false" ht="15.75" hidden="false" customHeight="tru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customFormat="false" ht="15.75" hidden="false" customHeight="tru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customFormat="false" ht="15.75" hidden="false" customHeight="tru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customFormat="false" ht="15.75" hidden="false" customHeight="tru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customFormat="false" ht="15.75" hidden="false" customHeight="tru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customFormat="false" ht="15.75" hidden="false" customHeight="tru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customFormat="false" ht="15.75" hidden="false" customHeight="tru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customFormat="false" ht="15.75" hidden="false" customHeight="tru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customFormat="false" ht="15.75" hidden="false" customHeight="tru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customFormat="false" ht="15.75" hidden="false" customHeight="tru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customFormat="false" ht="15.75" hidden="false" customHeight="tru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customFormat="false" ht="15.75" hidden="false" customHeight="tru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customFormat="false" ht="15.75" hidden="false" customHeight="tru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customFormat="false" ht="15.75" hidden="false" customHeight="tru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customFormat="false" ht="15.75" hidden="false" customHeight="tru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customFormat="false" ht="15.75" hidden="false" customHeight="tru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customFormat="false" ht="15.75" hidden="false" customHeight="tru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customFormat="false" ht="15.75" hidden="false" customHeight="tru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customFormat="false" ht="15.75" hidden="false" customHeight="tru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customFormat="false" ht="15.75" hidden="false" customHeight="tru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customFormat="false" ht="15.75" hidden="false" customHeight="tru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customFormat="false" ht="15.75" hidden="false" customHeight="tru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customFormat="false" ht="15.75" hidden="false" customHeight="tru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customFormat="false" ht="15.75" hidden="false" customHeight="tru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customFormat="false" ht="15.75" hidden="false" customHeight="tru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customFormat="false" ht="15.75" hidden="false" customHeight="tru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customFormat="false" ht="15.75" hidden="false" customHeight="tru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customFormat="false" ht="15.75" hidden="false" customHeight="tru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customFormat="false" ht="15.75" hidden="false" customHeight="tru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customFormat="false" ht="15.75" hidden="false" customHeight="tru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customFormat="false" ht="15.75" hidden="false" customHeight="tru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customFormat="false" ht="15.75" hidden="false" customHeight="tru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customFormat="false" ht="15.75" hidden="false" customHeight="tru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customFormat="false" ht="15.75" hidden="false" customHeight="tru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customFormat="false" ht="15.75" hidden="false" customHeight="tru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customFormat="false" ht="15.75" hidden="false" customHeight="tru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customFormat="false" ht="15.75" hidden="false" customHeight="tru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customFormat="false" ht="15.75" hidden="false" customHeight="tru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customFormat="false" ht="15.75" hidden="false" customHeight="tru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customFormat="false" ht="15.75" hidden="false" customHeight="tru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customFormat="false" ht="15.75" hidden="false" customHeight="tru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customFormat="false" ht="15.75" hidden="false" customHeight="tru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customFormat="false" ht="15.75" hidden="false" customHeight="tru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customFormat="false" ht="15.75" hidden="false" customHeight="tru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customFormat="false" ht="15.75" hidden="false" customHeight="tru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customFormat="false" ht="15.75" hidden="false" customHeight="tru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customFormat="false" ht="15.75" hidden="false" customHeight="tru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customFormat="false" ht="15.75" hidden="false" customHeight="tru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customFormat="false" ht="15.75" hidden="false" customHeight="tru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customFormat="false" ht="15.75" hidden="false" customHeight="tru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customFormat="false" ht="15.75" hidden="false" customHeight="tru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customFormat="false" ht="15.75" hidden="false" customHeight="tru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customFormat="false" ht="15.75" hidden="false" customHeight="tru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customFormat="false" ht="15.75" hidden="false" customHeight="tru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customFormat="false" ht="15.75" hidden="false" customHeight="tru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customFormat="false" ht="15.75" hidden="false" customHeight="tru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customFormat="false" ht="15.75" hidden="false" customHeight="tru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customFormat="false" ht="15.75" hidden="false" customHeight="tru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customFormat="false" ht="15.75" hidden="false" customHeight="tru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customFormat="false" ht="15.75" hidden="false" customHeight="tru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customFormat="false" ht="15.75" hidden="false" customHeight="tru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customFormat="false" ht="15.75" hidden="false" customHeight="tru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customFormat="false" ht="15.75" hidden="false" customHeight="tru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customFormat="false" ht="15.75" hidden="false" customHeight="tru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customFormat="false" ht="15.75" hidden="false" customHeight="tru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customFormat="false" ht="15.75" hidden="false" customHeight="tru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customFormat="false" ht="15.75" hidden="false" customHeight="tru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customFormat="false" ht="15.75" hidden="false" customHeight="tru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customFormat="false" ht="15.75" hidden="false" customHeight="tru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customFormat="false" ht="15.75" hidden="false" customHeight="tru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customFormat="false" ht="15.75" hidden="false" customHeight="tru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customFormat="false" ht="15.75" hidden="false" customHeight="tru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customFormat="false" ht="15.75" hidden="false" customHeight="tru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customFormat="false" ht="15.75" hidden="false" customHeight="tru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customFormat="false" ht="15.75" hidden="false" customHeight="tru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customFormat="false" ht="15.75" hidden="false" customHeight="tru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customFormat="false" ht="15.75" hidden="false" customHeight="tru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customFormat="false" ht="15.75" hidden="false" customHeight="tru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customFormat="false" ht="15.75" hidden="false" customHeight="tru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customFormat="false" ht="15.75" hidden="false" customHeight="tru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customFormat="false" ht="15.75" hidden="false" customHeight="tru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customFormat="false" ht="15.75" hidden="false" customHeight="tru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customFormat="false" ht="15.75" hidden="false" customHeight="tru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customFormat="false" ht="15.75" hidden="false" customHeight="tru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customFormat="false" ht="15.75" hidden="false" customHeight="tru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customFormat="false" ht="15.75" hidden="false" customHeight="tru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customFormat="false" ht="15.75" hidden="false" customHeight="tru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customFormat="false" ht="15.75" hidden="false" customHeight="tru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customFormat="false" ht="15.75" hidden="false" customHeight="tru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customFormat="false" ht="15.75" hidden="false" customHeight="tru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customFormat="false" ht="15.75" hidden="false" customHeight="tru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customFormat="false" ht="15.75" hidden="false" customHeight="tru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customFormat="false" ht="15.75" hidden="false" customHeight="tru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customFormat="false" ht="15.75" hidden="false" customHeight="tru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customFormat="false" ht="15.75" hidden="false" customHeight="tru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customFormat="false" ht="15.75" hidden="false" customHeight="tru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customFormat="false" ht="15.75" hidden="false" customHeight="tru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customFormat="false" ht="15.75" hidden="false" customHeight="tru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customFormat="false" ht="15.75" hidden="false" customHeight="tru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customFormat="false" ht="15.75" hidden="false" customHeight="tru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customFormat="false" ht="15.75" hidden="false" customHeight="tru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customFormat="false" ht="15.75" hidden="false" customHeight="tru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customFormat="false" ht="15.75" hidden="false" customHeight="tru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customFormat="false" ht="15.75" hidden="false" customHeight="tru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customFormat="false" ht="15.75" hidden="false" customHeight="tru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customFormat="false" ht="15.75" hidden="false" customHeight="tru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customFormat="false" ht="15.75" hidden="false" customHeight="tru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customFormat="false" ht="15.75" hidden="false" customHeight="tru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customFormat="false" ht="15.75" hidden="false" customHeight="tru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customFormat="false" ht="15.75" hidden="false" customHeight="tru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customFormat="false" ht="15.75" hidden="false" customHeight="tru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customFormat="false" ht="15.75" hidden="false" customHeight="tru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customFormat="false" ht="15.75" hidden="false" customHeight="tru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customFormat="false" ht="15.75" hidden="false" customHeight="tru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customFormat="false" ht="15.75" hidden="false" customHeight="tru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customFormat="false" ht="15.75" hidden="false" customHeight="tru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customFormat="false" ht="15.75" hidden="false" customHeight="tru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customFormat="false" ht="15.75" hidden="false" customHeight="tru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customFormat="false" ht="15.75" hidden="false" customHeight="tru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customFormat="false" ht="15.75" hidden="false" customHeight="tru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customFormat="false" ht="15.75" hidden="false" customHeight="tru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customFormat="false" ht="15.75" hidden="false" customHeight="tru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customFormat="false" ht="15.75" hidden="false" customHeight="tru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customFormat="false" ht="15.75" hidden="false" customHeight="tru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customFormat="false" ht="15.75" hidden="false" customHeight="tru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customFormat="false" ht="15.75" hidden="false" customHeight="tru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customFormat="false" ht="15.75" hidden="false" customHeight="tru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customFormat="false" ht="15.75" hidden="false" customHeight="tru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customFormat="false" ht="15.75" hidden="false" customHeight="tru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customFormat="false" ht="15.75" hidden="false" customHeight="tru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customFormat="false" ht="15.75" hidden="false" customHeight="tru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customFormat="false" ht="15.75" hidden="false" customHeight="tru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customFormat="false" ht="15.75" hidden="false" customHeight="tru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customFormat="false" ht="15.75" hidden="false" customHeight="tru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customFormat="false" ht="15.75" hidden="false" customHeight="tru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customFormat="false" ht="15.75" hidden="false" customHeight="tru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customFormat="false" ht="15.75" hidden="false" customHeight="tru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customFormat="false" ht="15.75" hidden="false" customHeight="tru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customFormat="false" ht="15.75" hidden="false" customHeight="tru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customFormat="false" ht="15.75" hidden="false" customHeight="tru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customFormat="false" ht="15.75" hidden="false" customHeight="tru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customFormat="false" ht="15.75" hidden="false" customHeight="tru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customFormat="false" ht="15.75" hidden="false" customHeight="tru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customFormat="false" ht="15.75" hidden="false" customHeight="tru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customFormat="false" ht="15.75" hidden="false" customHeight="tru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customFormat="false" ht="15.75" hidden="false" customHeight="tru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customFormat="false" ht="15.75" hidden="false" customHeight="tru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customFormat="false" ht="15.75" hidden="false" customHeight="tru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customFormat="false" ht="15.75" hidden="false" customHeight="tru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customFormat="false" ht="15.75" hidden="false" customHeight="tru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customFormat="false" ht="15.75" hidden="false" customHeight="tru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customFormat="false" ht="15.75" hidden="false" customHeight="tru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customFormat="false" ht="15.75" hidden="false" customHeight="tru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customFormat="false" ht="15.75" hidden="false" customHeight="tru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customFormat="false" ht="15.75" hidden="false" customHeight="tru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customFormat="false" ht="15.75" hidden="false" customHeight="tru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customFormat="false" ht="15.75" hidden="false" customHeight="tru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customFormat="false" ht="15.75" hidden="false" customHeight="tru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customFormat="false" ht="15.75" hidden="false" customHeight="tru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customFormat="false" ht="15.75" hidden="false" customHeight="tru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customFormat="false" ht="15.75" hidden="false" customHeight="tru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customFormat="false" ht="15.75" hidden="false" customHeight="tru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customFormat="false" ht="15.75" hidden="false" customHeight="tru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customFormat="false" ht="15.75" hidden="false" customHeight="tru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customFormat="false" ht="15.75" hidden="false" customHeight="tru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customFormat="false" ht="15.75" hidden="false" customHeight="tru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customFormat="false" ht="15.75" hidden="false" customHeight="tru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customFormat="false" ht="15.75" hidden="false" customHeight="tru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customFormat="false" ht="15.75" hidden="false" customHeight="tru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customFormat="false" ht="15.75" hidden="false" customHeight="tru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customFormat="false" ht="15.75" hidden="false" customHeight="tru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customFormat="false" ht="15.75" hidden="false" customHeight="tru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customFormat="false" ht="15.75" hidden="false" customHeight="tru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customFormat="false" ht="15.75" hidden="false" customHeight="tru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customFormat="false" ht="15.75" hidden="false" customHeight="tru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customFormat="false" ht="15.75" hidden="false" customHeight="tru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customFormat="false" ht="15.75" hidden="false" customHeight="tru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customFormat="false" ht="15.75" hidden="false" customHeight="tru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customFormat="false" ht="15.75" hidden="false" customHeight="tru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customFormat="false" ht="15.75" hidden="false" customHeight="tru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customFormat="false" ht="15.75" hidden="false" customHeight="tru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customFormat="false" ht="15.75" hidden="false" customHeight="tru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customFormat="false" ht="15.75" hidden="false" customHeight="tru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customFormat="false" ht="15.75" hidden="false" customHeight="tru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customFormat="false" ht="15.75" hidden="false" customHeight="tru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customFormat="false" ht="15.75" hidden="false" customHeight="tru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customFormat="false" ht="15.75" hidden="false" customHeight="tru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customFormat="false" ht="15.75" hidden="false" customHeight="tru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customFormat="false" ht="15.75" hidden="false" customHeight="tru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customFormat="false" ht="15.75" hidden="false" customHeight="tru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customFormat="false" ht="15.75" hidden="false" customHeight="tru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customFormat="false" ht="15.75" hidden="false" customHeight="tru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customFormat="false" ht="15.75" hidden="false" customHeight="tru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customFormat="false" ht="15.75" hidden="false" customHeight="tru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customFormat="false" ht="15.75" hidden="false" customHeight="tru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customFormat="false" ht="15.75" hidden="false" customHeight="tru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customFormat="false" ht="15.75" hidden="false" customHeight="tru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customFormat="false" ht="15.75" hidden="false" customHeight="tru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customFormat="false" ht="15.75" hidden="false" customHeight="tru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customFormat="false" ht="15.75" hidden="false" customHeight="tru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customFormat="false" ht="15.75" hidden="false" customHeight="tru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customFormat="false" ht="15.75" hidden="false" customHeight="tru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customFormat="false" ht="15.75" hidden="false" customHeight="tru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customFormat="false" ht="15.75" hidden="false" customHeight="tru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customFormat="false" ht="15.75" hidden="false" customHeight="tru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customFormat="false" ht="15.75" hidden="false" customHeight="tru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customFormat="false" ht="15.75" hidden="false" customHeight="tru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customFormat="false" ht="15.75" hidden="false" customHeight="tru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customFormat="false" ht="15.75" hidden="false" customHeight="tru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customFormat="false" ht="15.75" hidden="false" customHeight="tru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customFormat="false" ht="15.75" hidden="false" customHeight="tru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customFormat="false" ht="15.75" hidden="false" customHeight="tru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customFormat="false" ht="15.75" hidden="false" customHeight="tru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customFormat="false" ht="15.75" hidden="false" customHeight="tru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customFormat="false" ht="15.75" hidden="false" customHeight="tru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customFormat="false" ht="15.75" hidden="false" customHeight="tru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customFormat="false" ht="15.75" hidden="false" customHeight="tru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customFormat="false" ht="15.75" hidden="false" customHeight="tru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customFormat="false" ht="15.75" hidden="false" customHeight="tru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customFormat="false" ht="15.75" hidden="false" customHeight="tru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customFormat="false" ht="15.75" hidden="false" customHeight="tru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customFormat="false" ht="15.75" hidden="false" customHeight="tru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customFormat="false" ht="15.75" hidden="false" customHeight="tru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customFormat="false" ht="15.75" hidden="false" customHeight="tru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customFormat="false" ht="15.75" hidden="false" customHeight="tru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customFormat="false" ht="15.75" hidden="false" customHeight="tru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customFormat="false" ht="15.75" hidden="false" customHeight="tru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customFormat="false" ht="15.75" hidden="false" customHeight="tru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customFormat="false" ht="15.75" hidden="false" customHeight="tru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customFormat="false" ht="15.75" hidden="false" customHeight="tru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customFormat="false" ht="15.75" hidden="false" customHeight="tru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customFormat="false" ht="15.75" hidden="false" customHeight="tru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customFormat="false" ht="15.75" hidden="false" customHeight="tru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customFormat="false" ht="15.75" hidden="false" customHeight="tru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customFormat="false" ht="15.75" hidden="false" customHeight="tru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customFormat="false" ht="15.75" hidden="false" customHeight="tru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customFormat="false" ht="15.75" hidden="false" customHeight="tru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customFormat="false" ht="15.75" hidden="false" customHeight="tru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customFormat="false" ht="15.75" hidden="false" customHeight="tru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customFormat="false" ht="15.75" hidden="false" customHeight="tru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customFormat="false" ht="15.75" hidden="false" customHeight="tru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customFormat="false" ht="15.75" hidden="false" customHeight="tru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customFormat="false" ht="15.75" hidden="false" customHeight="tru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customFormat="false" ht="15.75" hidden="false" customHeight="tru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customFormat="false" ht="15.75" hidden="false" customHeight="tru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customFormat="false" ht="15.75" hidden="false" customHeight="tru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customFormat="false" ht="15.75" hidden="false" customHeight="tru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customFormat="false" ht="15.75" hidden="false" customHeight="tru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customFormat="false" ht="15.75" hidden="false" customHeight="tru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customFormat="false" ht="15.75" hidden="false" customHeight="tru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customFormat="false" ht="15.75" hidden="false" customHeight="tru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customFormat="false" ht="15.75" hidden="false" customHeight="tru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customFormat="false" ht="15.75" hidden="false" customHeight="tru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customFormat="false" ht="15.75" hidden="false" customHeight="tru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customFormat="false" ht="15.75" hidden="false" customHeight="tru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customFormat="false" ht="15.75" hidden="false" customHeight="tru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customFormat="false" ht="15.75" hidden="false" customHeight="tru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customFormat="false" ht="15.75" hidden="false" customHeight="tru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customFormat="false" ht="15.75" hidden="false" customHeight="tru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customFormat="false" ht="15.75" hidden="false" customHeight="tru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customFormat="false" ht="15.75" hidden="false" customHeight="tru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customFormat="false" ht="15.75" hidden="false" customHeight="tru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customFormat="false" ht="15.75" hidden="false" customHeight="tru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customFormat="false" ht="15.75" hidden="false" customHeight="tru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customFormat="false" ht="15.75" hidden="false" customHeight="tru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customFormat="false" ht="15.75" hidden="false" customHeight="tru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customFormat="false" ht="15.75" hidden="false" customHeight="tru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customFormat="false" ht="15.75" hidden="false" customHeight="tru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customFormat="false" ht="15.75" hidden="false" customHeight="tru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customFormat="false" ht="15.75" hidden="false" customHeight="tru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customFormat="false" ht="15.75" hidden="false" customHeight="tru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customFormat="false" ht="15.75" hidden="false" customHeight="tru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customFormat="false" ht="15.75" hidden="false" customHeight="tru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customFormat="false" ht="15.75" hidden="false" customHeight="tru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customFormat="false" ht="15.75" hidden="false" customHeight="tru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customFormat="false" ht="15.75" hidden="false" customHeight="tru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customFormat="false" ht="15.75" hidden="false" customHeight="tru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customFormat="false" ht="15.75" hidden="false" customHeight="tru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customFormat="false" ht="15.75" hidden="false" customHeight="tru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customFormat="false" ht="15.75" hidden="false" customHeight="tru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customFormat="false" ht="15.75" hidden="false" customHeight="tru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customFormat="false" ht="15.75" hidden="false" customHeight="tru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customFormat="false" ht="15.75" hidden="false" customHeight="tru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customFormat="false" ht="15.75" hidden="false" customHeight="tru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customFormat="false" ht="15.75" hidden="false" customHeight="tru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customFormat="false" ht="15.75" hidden="false" customHeight="tru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customFormat="false" ht="15.75" hidden="false" customHeight="tru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customFormat="false" ht="15.75" hidden="false" customHeight="tru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customFormat="false" ht="15.75" hidden="false" customHeight="tru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customFormat="false" ht="15.75" hidden="false" customHeight="tru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customFormat="false" ht="15.75" hidden="false" customHeight="tru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customFormat="false" ht="15.75" hidden="false" customHeight="tru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customFormat="false" ht="15.75" hidden="false" customHeight="tru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customFormat="false" ht="15.75" hidden="false" customHeight="tru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customFormat="false" ht="15.75" hidden="false" customHeight="tru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customFormat="false" ht="15.75" hidden="false" customHeight="tru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customFormat="false" ht="15.75" hidden="false" customHeight="tru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customFormat="false" ht="15.75" hidden="false" customHeight="tru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3">
    <mergeCell ref="B2:E2"/>
    <mergeCell ref="G2:J2"/>
    <mergeCell ref="L2:N2"/>
  </mergeCells>
  <conditionalFormatting sqref="L4:N53 M54:N56">
    <cfRule type="expression" priority="2" aboveAverage="0" equalAverage="0" bottom="0" percent="0" rank="0" text="" dxfId="0">
      <formula>ABS(L4)&gt;=10%</formula>
    </cfRule>
  </conditionalFormatting>
  <conditionalFormatting sqref="T4:T33">
    <cfRule type="containsText" priority="3" operator="containsText" aboveAverage="0" equalAverage="0" bottom="0" percent="0" rank="0" text="NO" dxfId="1">
      <formula>NOT(ISERROR(SEARCH("NO",T4)))</formula>
    </cfRule>
    <cfRule type="containsText" priority="4" operator="containsText" aboveAverage="0" equalAverage="0" bottom="0" percent="0" rank="0" text="SI" dxfId="2">
      <formula>NOT(ISERROR(SEARCH("SI",T4)))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5" activeCellId="0" sqref="E5"/>
    </sheetView>
  </sheetViews>
  <sheetFormatPr defaultColWidth="14.5078125" defaultRowHeight="15" customHeight="true" zeroHeight="false" outlineLevelRow="0" outlineLevelCol="0"/>
  <cols>
    <col collapsed="false" customWidth="true" hidden="false" outlineLevel="0" max="1" min="1" style="0" width="29"/>
    <col collapsed="false" customWidth="true" hidden="false" outlineLevel="0" max="7" min="2" style="0" width="10.66"/>
  </cols>
  <sheetData>
    <row r="1" customFormat="false" ht="15" hidden="false" customHeight="false" outlineLevel="0" collapsed="false">
      <c r="A1" s="118" t="s">
        <v>103</v>
      </c>
      <c r="B1" s="118" t="n">
        <v>8434.31</v>
      </c>
      <c r="C1" s="118" t="n">
        <v>0.4298</v>
      </c>
      <c r="D1" s="118" t="n">
        <v>0.4004</v>
      </c>
      <c r="E1" s="118" t="n">
        <v>0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" hidden="false" customHeight="false" outlineLevel="0" collapsed="false">
      <c r="A2" s="118" t="s">
        <v>104</v>
      </c>
      <c r="B2" s="119" t="n">
        <v>0</v>
      </c>
      <c r="C2" s="120" t="n">
        <v>0</v>
      </c>
      <c r="D2" s="120" t="n">
        <v>0</v>
      </c>
      <c r="E2" s="121" t="n">
        <v>0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5" hidden="false" customHeight="false" outlineLevel="0" collapsed="false">
      <c r="A3" s="118" t="s">
        <v>105</v>
      </c>
      <c r="B3" s="119" t="n">
        <v>0</v>
      </c>
      <c r="C3" s="120" t="n">
        <v>0</v>
      </c>
      <c r="D3" s="120" t="n">
        <v>0</v>
      </c>
      <c r="E3" s="121" t="n">
        <v>0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15" hidden="false" customHeight="false" outlineLevel="0" collapsed="false">
      <c r="A4" s="122" t="s">
        <v>21</v>
      </c>
      <c r="B4" s="122" t="n">
        <v>744.572</v>
      </c>
      <c r="C4" s="0" t="n">
        <v>0</v>
      </c>
      <c r="D4" s="0" t="n">
        <v>0</v>
      </c>
      <c r="E4" s="0" t="n">
        <v>0</v>
      </c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15" hidden="false" customHeight="false" outlineLevel="0" collapsed="false">
      <c r="A5" s="122" t="s">
        <v>23</v>
      </c>
      <c r="B5" s="122" t="n">
        <v>0</v>
      </c>
      <c r="C5" s="0" t="n">
        <v>0</v>
      </c>
      <c r="D5" s="0" t="n">
        <v>0</v>
      </c>
      <c r="E5" s="0" t="n">
        <v>0</v>
      </c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5" hidden="false" customHeight="false" outlineLevel="0" collapsed="false">
      <c r="A6" s="122" t="s">
        <v>106</v>
      </c>
      <c r="B6" s="122" t="n">
        <v>9038.028</v>
      </c>
      <c r="C6" s="0" t="n">
        <v>0</v>
      </c>
      <c r="D6" s="0" t="n">
        <v>0</v>
      </c>
      <c r="E6" s="0" t="n">
        <v>0</v>
      </c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5" hidden="false" customHeight="false" outlineLevel="0" collapsed="false">
      <c r="A7" s="122" t="s">
        <v>107</v>
      </c>
      <c r="B7" s="122" t="n">
        <v>1705</v>
      </c>
      <c r="C7" s="0" t="n">
        <v>0</v>
      </c>
      <c r="D7" s="0" t="n">
        <v>0</v>
      </c>
      <c r="E7" s="0" t="n">
        <v>0</v>
      </c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5" hidden="false" customHeight="false" outlineLevel="0" collapsed="false">
      <c r="A8" s="122" t="s">
        <v>108</v>
      </c>
      <c r="B8" s="122" t="n">
        <v>8203.458</v>
      </c>
      <c r="C8" s="0" t="n">
        <v>0</v>
      </c>
      <c r="D8" s="0" t="n">
        <v>0</v>
      </c>
      <c r="E8" s="0" t="n">
        <v>0</v>
      </c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5" hidden="false" customHeight="false" outlineLevel="0" collapsed="false">
      <c r="A9" s="122" t="s">
        <v>109</v>
      </c>
      <c r="B9" s="122" t="n">
        <v>5764.832</v>
      </c>
      <c r="C9" s="0" t="n">
        <v>0</v>
      </c>
      <c r="D9" s="0" t="n">
        <v>0</v>
      </c>
      <c r="E9" s="0" t="n">
        <v>0</v>
      </c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5" hidden="false" customHeight="false" outlineLevel="0" collapsed="false">
      <c r="A10" s="122" t="s">
        <v>32</v>
      </c>
      <c r="B10" s="122" t="n">
        <v>3739.9208</v>
      </c>
      <c r="C10" s="0" t="n">
        <v>0</v>
      </c>
      <c r="D10" s="0" t="n">
        <v>0</v>
      </c>
      <c r="E10" s="0" t="n">
        <v>0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" hidden="false" customHeight="false" outlineLevel="0" collapsed="false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" hidden="false" customHeight="false" outlineLevel="0" collapsed="false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" hidden="false" customHeight="false" outlineLevel="0" collapsed="false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" hidden="false" customHeight="false" outlineLevel="0" collapsed="false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5" hidden="false" customHeight="fals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5" hidden="false" customHeight="fals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5" hidden="false" customHeight="false" outlineLevel="0" collapsed="false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5" hidden="false" customHeight="fals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5" hidden="false" customHeight="fals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5" hidden="false" customHeight="false" outlineLevel="0" collapsed="false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.75" hidden="false" customHeight="true" outlineLevel="0" collapsed="false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.75" hidden="false" customHeight="tru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.75" hidden="false" customHeight="tru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.75" hidden="false" customHeight="tru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.75" hidden="false" customHeight="tru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.75" hidden="false" customHeight="tru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.75" hidden="false" customHeight="tru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5.75" hidden="false" customHeight="true" outlineLevel="0" collapsed="false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5.75" hidden="false" customHeight="tru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.75" hidden="false" customHeight="tru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.75" hidden="false" customHeight="tru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.75" hidden="false" customHeight="tru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.75" hidden="false" customHeight="tru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.75" hidden="false" customHeight="tru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.7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.75" hidden="false" customHeight="tru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.75" hidden="false" customHeight="tru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.75" hidden="false" customHeight="tru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.75" hidden="false" customHeight="tru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5.75" hidden="false" customHeight="tru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5.75" hidden="false" customHeight="tru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5.75" hidden="false" customHeight="tru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5.75" hidden="false" customHeight="tru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5.75" hidden="false" customHeight="tru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5.75" hidden="false" customHeight="tru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5.75" hidden="false" customHeight="tru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5.75" hidden="false" customHeight="tru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5.75" hidden="false" customHeight="tru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5.75" hidden="false" customHeight="tru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5.7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5.7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5.75" hidden="false" customHeight="tru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5.75" hidden="false" customHeight="tru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5.75" hidden="false" customHeight="tru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.7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.7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.7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.7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.7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.7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.7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.7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.7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.7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.7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.75" hidden="false" customHeight="tru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.75" hidden="false" customHeight="tru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.7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.75" hidden="false" customHeight="tru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.75" hidden="false" customHeight="tru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.75" hidden="false" customHeight="tru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.75" hidden="false" customHeight="tru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.7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.7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5.75" hidden="false" customHeight="tru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5.75" hidden="false" customHeight="tru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5.75" hidden="false" customHeight="tru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5.75" hidden="false" customHeight="tru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5.75" hidden="false" customHeight="tru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5.75" hidden="false" customHeight="tru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5.75" hidden="false" customHeight="tru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5.75" hidden="false" customHeight="tru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5.75" hidden="false" customHeight="tru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5.75" hidden="false" customHeight="tru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5.75" hidden="false" customHeight="tru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5.75" hidden="false" customHeight="tru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5.75" hidden="false" customHeight="tru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5.75" hidden="false" customHeight="tru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5.75" hidden="false" customHeight="tru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5.75" hidden="false" customHeight="tru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5.75" hidden="false" customHeight="tru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5.75" hidden="false" customHeight="tru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5.75" hidden="false" customHeight="tru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5.75" hidden="false" customHeight="tru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5.75" hidden="false" customHeight="tru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5.75" hidden="false" customHeight="tru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5.75" hidden="false" customHeight="tru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5.75" hidden="false" customHeight="tru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5.75" hidden="false" customHeight="tru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5.75" hidden="false" customHeight="tru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5.75" hidden="false" customHeight="tru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5.75" hidden="false" customHeight="tru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5.75" hidden="false" customHeight="tru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5.75" hidden="false" customHeight="tru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5.75" hidden="false" customHeight="tru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5.75" hidden="false" customHeight="tru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5.75" hidden="false" customHeight="tru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5.75" hidden="false" customHeight="tru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5.75" hidden="false" customHeight="tru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5.75" hidden="false" customHeight="tru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5.75" hidden="false" customHeight="tru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5.75" hidden="false" customHeight="tru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5.75" hidden="false" customHeight="tru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5.75" hidden="false" customHeight="tru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5.75" hidden="false" customHeight="tru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5.75" hidden="false" customHeight="tru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5.75" hidden="false" customHeight="tru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5.75" hidden="false" customHeight="tru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5.75" hidden="false" customHeight="tru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5.75" hidden="false" customHeight="tru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5.75" hidden="false" customHeight="tru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5.75" hidden="false" customHeight="tru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5.75" hidden="false" customHeight="tru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5.75" hidden="false" customHeight="tru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5.75" hidden="false" customHeight="tru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5.75" hidden="false" customHeight="tru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5.75" hidden="false" customHeight="tru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5.75" hidden="false" customHeight="tru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5.75" hidden="false" customHeight="tru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5.75" hidden="false" customHeight="tru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5.75" hidden="false" customHeight="tru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5.75" hidden="false" customHeight="tru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5.75" hidden="false" customHeight="tru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5.75" hidden="false" customHeight="tru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5.75" hidden="false" customHeight="tru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5.75" hidden="false" customHeight="tru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5.75" hidden="false" customHeight="tru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5.75" hidden="false" customHeight="tru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5.75" hidden="false" customHeight="tru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5.75" hidden="false" customHeight="tru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5.75" hidden="false" customHeight="tru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5.75" hidden="false" customHeight="tru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5.75" hidden="false" customHeight="tru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5.75" hidden="false" customHeight="tru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5.75" hidden="false" customHeight="tru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5.75" hidden="false" customHeight="tru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5.75" hidden="false" customHeight="tru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5.75" hidden="false" customHeight="tru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5.75" hidden="false" customHeight="tru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5.75" hidden="false" customHeight="tru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5.75" hidden="false" customHeight="tru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5.75" hidden="false" customHeight="tru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5.75" hidden="false" customHeight="tru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5.75" hidden="false" customHeight="tru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5.75" hidden="false" customHeight="tru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5.75" hidden="false" customHeight="tru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5.75" hidden="false" customHeight="tru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5.75" hidden="false" customHeight="tru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5.75" hidden="false" customHeight="tru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5.75" hidden="false" customHeight="tru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5.75" hidden="false" customHeight="tru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5.75" hidden="false" customHeight="tru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5.75" hidden="false" customHeight="tru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5.75" hidden="false" customHeight="tru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5.75" hidden="false" customHeight="tru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5.75" hidden="false" customHeight="tru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5.75" hidden="false" customHeight="tru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5.75" hidden="false" customHeight="tru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5.75" hidden="false" customHeight="tru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5.75" hidden="false" customHeight="tru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5.75" hidden="false" customHeight="tru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5.75" hidden="false" customHeight="tru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5.75" hidden="false" customHeight="tru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5.75" hidden="false" customHeight="tru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5.75" hidden="false" customHeight="tru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5.75" hidden="false" customHeight="tru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5.75" hidden="false" customHeight="tru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5.75" hidden="false" customHeight="tru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5.75" hidden="false" customHeight="tru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5.75" hidden="false" customHeight="tru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5.75" hidden="false" customHeight="tru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5.75" hidden="false" customHeight="tru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5.75" hidden="false" customHeight="tru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5.75" hidden="false" customHeight="tru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5.75" hidden="false" customHeight="tru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5.75" hidden="false" customHeight="tru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5.75" hidden="false" customHeight="tru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5.75" hidden="false" customHeight="tru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5.75" hidden="false" customHeight="tru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5.75" hidden="false" customHeight="tru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5.75" hidden="false" customHeight="tru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5.75" hidden="false" customHeight="tru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5.75" hidden="false" customHeight="tru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5.75" hidden="false" customHeight="tru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5.75" hidden="false" customHeight="tru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5.75" hidden="false" customHeight="tru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5.75" hidden="false" customHeight="tru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5.75" hidden="false" customHeight="tru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5.75" hidden="false" customHeight="tru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5.75" hidden="false" customHeight="tru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5.75" hidden="false" customHeight="tru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5.75" hidden="false" customHeight="tru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5.75" hidden="false" customHeight="tru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5.75" hidden="false" customHeight="tru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5.75" hidden="false" customHeight="tru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5.75" hidden="false" customHeight="tru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5.75" hidden="false" customHeight="tru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5.75" hidden="false" customHeight="tru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5.75" hidden="false" customHeight="tru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5.75" hidden="false" customHeight="tru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5.75" hidden="false" customHeight="tru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5.75" hidden="false" customHeight="tru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customFormat="false" ht="15.75" hidden="false" customHeight="tru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customFormat="false" ht="15.75" hidden="false" customHeight="tru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customFormat="false" ht="15.75" hidden="false" customHeight="tru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customFormat="false" ht="15.75" hidden="false" customHeight="tru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customFormat="false" ht="15.75" hidden="false" customHeight="tru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customFormat="false" ht="15.75" hidden="false" customHeight="tru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customFormat="false" ht="15.75" hidden="false" customHeight="tru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customFormat="false" ht="15.75" hidden="false" customHeight="tru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customFormat="false" ht="15.75" hidden="false" customHeight="tru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customFormat="false" ht="15.75" hidden="false" customHeight="tru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customFormat="false" ht="15.75" hidden="false" customHeight="tru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customFormat="false" ht="15.75" hidden="false" customHeight="tru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customFormat="false" ht="15.75" hidden="false" customHeight="tru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customFormat="false" ht="15.75" hidden="false" customHeight="tru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customFormat="false" ht="15.75" hidden="false" customHeight="tru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customFormat="false" ht="15.75" hidden="false" customHeight="tru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customFormat="false" ht="15.75" hidden="false" customHeight="tru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customFormat="false" ht="15.75" hidden="false" customHeight="tru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customFormat="false" ht="15.75" hidden="false" customHeight="tru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customFormat="false" ht="15.75" hidden="false" customHeight="tru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customFormat="false" ht="15.75" hidden="false" customHeight="tru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customFormat="false" ht="15.75" hidden="false" customHeight="tru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customFormat="false" ht="15.75" hidden="false" customHeight="tru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customFormat="false" ht="15.75" hidden="false" customHeight="tru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customFormat="false" ht="15.75" hidden="false" customHeight="tru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customFormat="false" ht="15.75" hidden="false" customHeight="tru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customFormat="false" ht="15.75" hidden="false" customHeight="tru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customFormat="false" ht="15.75" hidden="false" customHeight="tru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customFormat="false" ht="15.75" hidden="false" customHeight="tru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customFormat="false" ht="15.75" hidden="false" customHeight="tru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customFormat="false" ht="15.75" hidden="false" customHeight="tru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customFormat="false" ht="15.75" hidden="false" customHeight="tru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customFormat="false" ht="15.75" hidden="false" customHeight="tru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customFormat="false" ht="15.75" hidden="false" customHeight="tru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customFormat="false" ht="15.75" hidden="false" customHeight="tru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customFormat="false" ht="15.75" hidden="false" customHeight="tru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customFormat="false" ht="15.75" hidden="false" customHeight="tru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customFormat="false" ht="15.75" hidden="false" customHeight="tru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customFormat="false" ht="15.75" hidden="false" customHeight="tru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customFormat="false" ht="15.75" hidden="false" customHeight="tru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customFormat="false" ht="15.75" hidden="false" customHeight="tru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customFormat="false" ht="15.75" hidden="false" customHeight="tru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customFormat="false" ht="15.75" hidden="false" customHeight="tru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customFormat="false" ht="15.75" hidden="false" customHeight="tru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customFormat="false" ht="15.75" hidden="false" customHeight="tru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customFormat="false" ht="15.75" hidden="false" customHeight="tru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customFormat="false" ht="15.75" hidden="false" customHeight="tru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customFormat="false" ht="15.75" hidden="false" customHeight="tru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customFormat="false" ht="15.75" hidden="false" customHeight="tru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customFormat="false" ht="15.75" hidden="false" customHeight="tru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customFormat="false" ht="15.75" hidden="false" customHeight="tru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customFormat="false" ht="15.75" hidden="false" customHeight="tru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customFormat="false" ht="15.75" hidden="false" customHeight="tru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customFormat="false" ht="15.75" hidden="false" customHeight="tru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customFormat="false" ht="15.75" hidden="false" customHeight="tru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customFormat="false" ht="15.75" hidden="false" customHeight="tru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customFormat="false" ht="15.75" hidden="false" customHeight="tru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customFormat="false" ht="15.75" hidden="false" customHeight="tru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customFormat="false" ht="15.75" hidden="false" customHeight="tru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customFormat="false" ht="15.75" hidden="false" customHeight="tru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customFormat="false" ht="15.75" hidden="false" customHeight="tru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customFormat="false" ht="15.75" hidden="false" customHeight="tru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customFormat="false" ht="15.75" hidden="false" customHeight="tru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customFormat="false" ht="15.75" hidden="false" customHeight="tru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customFormat="false" ht="15.75" hidden="false" customHeight="tru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customFormat="false" ht="15.75" hidden="false" customHeight="tru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customFormat="false" ht="15.75" hidden="false" customHeight="tru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customFormat="false" ht="15.75" hidden="false" customHeight="tru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customFormat="false" ht="15.75" hidden="false" customHeight="tru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customFormat="false" ht="15.75" hidden="false" customHeight="tru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customFormat="false" ht="15.75" hidden="false" customHeight="tru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customFormat="false" ht="15.75" hidden="false" customHeight="tru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customFormat="false" ht="15.75" hidden="false" customHeight="tru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customFormat="false" ht="15.75" hidden="false" customHeight="tru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customFormat="false" ht="15.75" hidden="false" customHeight="tru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customFormat="false" ht="15.75" hidden="false" customHeight="tru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customFormat="false" ht="15.75" hidden="false" customHeight="tru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customFormat="false" ht="15.75" hidden="false" customHeight="tru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customFormat="false" ht="15.75" hidden="false" customHeight="tru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customFormat="false" ht="15.75" hidden="false" customHeight="tru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customFormat="false" ht="15.75" hidden="false" customHeight="tru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customFormat="false" ht="15.75" hidden="false" customHeight="tru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customFormat="false" ht="15.75" hidden="false" customHeight="tru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customFormat="false" ht="15.75" hidden="false" customHeight="tru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customFormat="false" ht="15.75" hidden="false" customHeight="tru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customFormat="false" ht="15.75" hidden="false" customHeight="tru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customFormat="false" ht="15.75" hidden="false" customHeight="tru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customFormat="false" ht="15.75" hidden="false" customHeight="tru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customFormat="false" ht="15.75" hidden="false" customHeight="tru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customFormat="false" ht="15.75" hidden="false" customHeight="tru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customFormat="false" ht="15.75" hidden="false" customHeight="tru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customFormat="false" ht="15.75" hidden="false" customHeight="tru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customFormat="false" ht="15.75" hidden="false" customHeight="tru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customFormat="false" ht="15.75" hidden="false" customHeight="tru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customFormat="false" ht="15.75" hidden="false" customHeight="tru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customFormat="false" ht="15.75" hidden="false" customHeight="tru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customFormat="false" ht="15.75" hidden="false" customHeight="tru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customFormat="false" ht="15.75" hidden="false" customHeight="tru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customFormat="false" ht="15.75" hidden="false" customHeight="tru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customFormat="false" ht="15.75" hidden="false" customHeight="tru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customFormat="false" ht="15.75" hidden="false" customHeight="tru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customFormat="false" ht="15.75" hidden="false" customHeight="tru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customFormat="false" ht="15.75" hidden="false" customHeight="tru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customFormat="false" ht="15.75" hidden="false" customHeight="tru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customFormat="false" ht="15.75" hidden="false" customHeight="tru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customFormat="false" ht="15.75" hidden="false" customHeight="tru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customFormat="false" ht="15.75" hidden="false" customHeight="tru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customFormat="false" ht="15.75" hidden="false" customHeight="tru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customFormat="false" ht="15.75" hidden="false" customHeight="tru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customFormat="false" ht="15.75" hidden="false" customHeight="tru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customFormat="false" ht="15.75" hidden="false" customHeight="tru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customFormat="false" ht="15.75" hidden="false" customHeight="tru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customFormat="false" ht="15.75" hidden="false" customHeight="tru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customFormat="false" ht="15.75" hidden="false" customHeight="tru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customFormat="false" ht="15.75" hidden="false" customHeight="tru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customFormat="false" ht="15.75" hidden="false" customHeight="tru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customFormat="false" ht="15.75" hidden="false" customHeight="tru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customFormat="false" ht="15.75" hidden="false" customHeight="tru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customFormat="false" ht="15.75" hidden="false" customHeight="tru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customFormat="false" ht="15.75" hidden="false" customHeight="tru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customFormat="false" ht="15.75" hidden="false" customHeight="tru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customFormat="false" ht="15.75" hidden="false" customHeight="tru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customFormat="false" ht="15.75" hidden="false" customHeight="tru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customFormat="false" ht="15.75" hidden="false" customHeight="tru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customFormat="false" ht="15.75" hidden="false" customHeight="tru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customFormat="false" ht="15.75" hidden="false" customHeight="tru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customFormat="false" ht="15.75" hidden="false" customHeight="tru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customFormat="false" ht="15.75" hidden="false" customHeight="tru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customFormat="false" ht="15.75" hidden="false" customHeight="tru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customFormat="false" ht="15.75" hidden="false" customHeight="tru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customFormat="false" ht="15.75" hidden="false" customHeight="tru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customFormat="false" ht="15.75" hidden="false" customHeight="tru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customFormat="false" ht="15.75" hidden="false" customHeight="tru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customFormat="false" ht="15.75" hidden="false" customHeight="tru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customFormat="false" ht="15.75" hidden="false" customHeight="tru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customFormat="false" ht="15.75" hidden="false" customHeight="tru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customFormat="false" ht="15.75" hidden="false" customHeight="tru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customFormat="false" ht="15.75" hidden="false" customHeight="tru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customFormat="false" ht="15.75" hidden="false" customHeight="tru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customFormat="false" ht="15.75" hidden="false" customHeight="tru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customFormat="false" ht="15.75" hidden="false" customHeight="tru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customFormat="false" ht="15.75" hidden="false" customHeight="tru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customFormat="false" ht="15.75" hidden="false" customHeight="tru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customFormat="false" ht="15.75" hidden="false" customHeight="tru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customFormat="false" ht="15.75" hidden="false" customHeight="tru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customFormat="false" ht="15.75" hidden="false" customHeight="tru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customFormat="false" ht="15.75" hidden="false" customHeight="tru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customFormat="false" ht="15.75" hidden="false" customHeight="tru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customFormat="false" ht="15.75" hidden="false" customHeight="tru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customFormat="false" ht="15.75" hidden="false" customHeight="tru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customFormat="false" ht="15.75" hidden="false" customHeight="tru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customFormat="false" ht="15.75" hidden="false" customHeight="tru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customFormat="false" ht="15.75" hidden="false" customHeight="tru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customFormat="false" ht="15.75" hidden="false" customHeight="tru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customFormat="false" ht="15.75" hidden="false" customHeight="tru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customFormat="false" ht="15.75" hidden="false" customHeight="tru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customFormat="false" ht="15.75" hidden="false" customHeight="tru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customFormat="false" ht="15.75" hidden="false" customHeight="tru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customFormat="false" ht="15.75" hidden="false" customHeight="tru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customFormat="false" ht="15.75" hidden="false" customHeight="tru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customFormat="false" ht="15.75" hidden="false" customHeight="tru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customFormat="false" ht="15.75" hidden="false" customHeight="tru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customFormat="false" ht="15.75" hidden="false" customHeight="tru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customFormat="false" ht="15.75" hidden="false" customHeight="tru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customFormat="false" ht="15.75" hidden="false" customHeight="tru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customFormat="false" ht="15.75" hidden="false" customHeight="tru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customFormat="false" ht="15.75" hidden="false" customHeight="tru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customFormat="false" ht="15.75" hidden="false" customHeight="tru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customFormat="false" ht="15.75" hidden="false" customHeight="tru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customFormat="false" ht="15.75" hidden="false" customHeight="tru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customFormat="false" ht="15.75" hidden="false" customHeight="tru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customFormat="false" ht="15.75" hidden="false" customHeight="tru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customFormat="false" ht="15.75" hidden="false" customHeight="tru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customFormat="false" ht="15.75" hidden="false" customHeight="tru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customFormat="false" ht="15.75" hidden="false" customHeight="tru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customFormat="false" ht="15.75" hidden="false" customHeight="tru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customFormat="false" ht="15.75" hidden="false" customHeight="tru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customFormat="false" ht="15.75" hidden="false" customHeight="tru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customFormat="false" ht="15.75" hidden="false" customHeight="tru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customFormat="false" ht="15.75" hidden="false" customHeight="tru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customFormat="false" ht="15.75" hidden="false" customHeight="tru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customFormat="false" ht="15.75" hidden="false" customHeight="tru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customFormat="false" ht="15.75" hidden="false" customHeight="tru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customFormat="false" ht="15.75" hidden="false" customHeight="tru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customFormat="false" ht="15.75" hidden="false" customHeight="tru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customFormat="false" ht="15.75" hidden="false" customHeight="tru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customFormat="false" ht="15.75" hidden="false" customHeight="tru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customFormat="false" ht="15.75" hidden="false" customHeight="tru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customFormat="false" ht="15.75" hidden="false" customHeight="tru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customFormat="false" ht="15.75" hidden="false" customHeight="tru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customFormat="false" ht="15.75" hidden="false" customHeight="tru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customFormat="false" ht="15.75" hidden="false" customHeight="tru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customFormat="false" ht="15.75" hidden="false" customHeight="tru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customFormat="false" ht="15.75" hidden="false" customHeight="tru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customFormat="false" ht="15.75" hidden="false" customHeight="tru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customFormat="false" ht="15.75" hidden="false" customHeight="tru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customFormat="false" ht="15.75" hidden="false" customHeight="tru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customFormat="false" ht="15.75" hidden="false" customHeight="tru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customFormat="false" ht="15.75" hidden="false" customHeight="tru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customFormat="false" ht="15.75" hidden="false" customHeight="tru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customFormat="false" ht="15.75" hidden="false" customHeight="tru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customFormat="false" ht="15.75" hidden="false" customHeight="tru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customFormat="false" ht="15.75" hidden="false" customHeight="tru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customFormat="false" ht="15.75" hidden="false" customHeight="tru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customFormat="false" ht="15.75" hidden="false" customHeight="tru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customFormat="false" ht="15.75" hidden="false" customHeight="tru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customFormat="false" ht="15.75" hidden="false" customHeight="tru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customFormat="false" ht="15.75" hidden="false" customHeight="tru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customFormat="false" ht="15.75" hidden="false" customHeight="tru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customFormat="false" ht="15.75" hidden="false" customHeight="tru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customFormat="false" ht="15.75" hidden="false" customHeight="tru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customFormat="false" ht="15.75" hidden="false" customHeight="tru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customFormat="false" ht="15.75" hidden="false" customHeight="tru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customFormat="false" ht="15.75" hidden="false" customHeight="tru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customFormat="false" ht="15.75" hidden="false" customHeight="tru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customFormat="false" ht="15.75" hidden="false" customHeight="tru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customFormat="false" ht="15.75" hidden="false" customHeight="tru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customFormat="false" ht="15.75" hidden="false" customHeight="tru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customFormat="false" ht="15.75" hidden="false" customHeight="tru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customFormat="false" ht="15.75" hidden="false" customHeight="tru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customFormat="false" ht="15.75" hidden="false" customHeight="tru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customFormat="false" ht="15.75" hidden="false" customHeight="tru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customFormat="false" ht="15.75" hidden="false" customHeight="tru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customFormat="false" ht="15.75" hidden="false" customHeight="tru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customFormat="false" ht="15.75" hidden="false" customHeight="tru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customFormat="false" ht="15.75" hidden="false" customHeight="tru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customFormat="false" ht="15.75" hidden="false" customHeight="tru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customFormat="false" ht="15.75" hidden="false" customHeight="tru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customFormat="false" ht="15.75" hidden="false" customHeight="tru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customFormat="false" ht="15.75" hidden="false" customHeight="tru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customFormat="false" ht="15.75" hidden="false" customHeight="tru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customFormat="false" ht="15.75" hidden="false" customHeight="tru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customFormat="false" ht="15.75" hidden="false" customHeight="tru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customFormat="false" ht="15.75" hidden="false" customHeight="tru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customFormat="false" ht="15.75" hidden="false" customHeight="tru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customFormat="false" ht="15.75" hidden="false" customHeight="tru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customFormat="false" ht="15.75" hidden="false" customHeight="tru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customFormat="false" ht="15.75" hidden="false" customHeight="tru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customFormat="false" ht="15.75" hidden="false" customHeight="tru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customFormat="false" ht="15.75" hidden="false" customHeight="tru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customFormat="false" ht="15.75" hidden="false" customHeight="tru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customFormat="false" ht="15.75" hidden="false" customHeight="tru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customFormat="false" ht="15.75" hidden="false" customHeight="tru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customFormat="false" ht="15.75" hidden="false" customHeight="tru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customFormat="false" ht="15.75" hidden="false" customHeight="tru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customFormat="false" ht="15.75" hidden="false" customHeight="tru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customFormat="false" ht="15.75" hidden="false" customHeight="tru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customFormat="false" ht="15.75" hidden="false" customHeight="tru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customFormat="false" ht="15.75" hidden="false" customHeight="tru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customFormat="false" ht="15.75" hidden="false" customHeight="tru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customFormat="false" ht="15.75" hidden="false" customHeight="tru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customFormat="false" ht="15.75" hidden="false" customHeight="tru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customFormat="false" ht="15.75" hidden="false" customHeight="tru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customFormat="false" ht="15.75" hidden="false" customHeight="tru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customFormat="false" ht="15.75" hidden="false" customHeight="tru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customFormat="false" ht="15.75" hidden="false" customHeight="tru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customFormat="false" ht="15.75" hidden="false" customHeight="tru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customFormat="false" ht="15.75" hidden="false" customHeight="tru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customFormat="false" ht="15.75" hidden="false" customHeight="tru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customFormat="false" ht="15.75" hidden="false" customHeight="tru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customFormat="false" ht="15.75" hidden="false" customHeight="tru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customFormat="false" ht="15.75" hidden="false" customHeight="tru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customFormat="false" ht="15.75" hidden="false" customHeight="tru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customFormat="false" ht="15.75" hidden="false" customHeight="tru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customFormat="false" ht="15.75" hidden="false" customHeight="tru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customFormat="false" ht="15.75" hidden="false" customHeight="tru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customFormat="false" ht="15.75" hidden="false" customHeight="tru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customFormat="false" ht="15.75" hidden="false" customHeight="tru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customFormat="false" ht="15.75" hidden="false" customHeight="tru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customFormat="false" ht="15.75" hidden="false" customHeight="tru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customFormat="false" ht="15.75" hidden="false" customHeight="tru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customFormat="false" ht="15.75" hidden="false" customHeight="tru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customFormat="false" ht="15.75" hidden="false" customHeight="tru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customFormat="false" ht="15.75" hidden="false" customHeight="tru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customFormat="false" ht="15.75" hidden="false" customHeight="tru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customFormat="false" ht="15.75" hidden="false" customHeight="tru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customFormat="false" ht="15.75" hidden="false" customHeight="tru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customFormat="false" ht="15.75" hidden="false" customHeight="tru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customFormat="false" ht="15.75" hidden="false" customHeight="tru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customFormat="false" ht="15.75" hidden="false" customHeight="tru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customFormat="false" ht="15.75" hidden="false" customHeight="tru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customFormat="false" ht="15.75" hidden="false" customHeight="tru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customFormat="false" ht="15.75" hidden="false" customHeight="tru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customFormat="false" ht="15.75" hidden="false" customHeight="tru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customFormat="false" ht="15.75" hidden="false" customHeight="tru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customFormat="false" ht="15.75" hidden="false" customHeight="tru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customFormat="false" ht="15.75" hidden="false" customHeight="tru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customFormat="false" ht="15.75" hidden="false" customHeight="tru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customFormat="false" ht="15.75" hidden="false" customHeight="tru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customFormat="false" ht="15.75" hidden="false" customHeight="tru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customFormat="false" ht="15.75" hidden="false" customHeight="tru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customFormat="false" ht="15.75" hidden="false" customHeight="tru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customFormat="false" ht="15.75" hidden="false" customHeight="tru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customFormat="false" ht="15.75" hidden="false" customHeight="tru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customFormat="false" ht="15.75" hidden="false" customHeight="tru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customFormat="false" ht="15.75" hidden="false" customHeight="tru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customFormat="false" ht="15.75" hidden="false" customHeight="tru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customFormat="false" ht="15.75" hidden="false" customHeight="tru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customFormat="false" ht="15.75" hidden="false" customHeight="tru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customFormat="false" ht="15.75" hidden="false" customHeight="tru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customFormat="false" ht="15.75" hidden="false" customHeight="tru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customFormat="false" ht="15.75" hidden="false" customHeight="tru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customFormat="false" ht="15.75" hidden="false" customHeight="tru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customFormat="false" ht="15.75" hidden="false" customHeight="tru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customFormat="false" ht="15.75" hidden="false" customHeight="tru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customFormat="false" ht="15.75" hidden="false" customHeight="tru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customFormat="false" ht="15.75" hidden="false" customHeight="tru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customFormat="false" ht="15.75" hidden="false" customHeight="tru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customFormat="false" ht="15.75" hidden="false" customHeight="tru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customFormat="false" ht="15.75" hidden="false" customHeight="tru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customFormat="false" ht="15.75" hidden="false" customHeight="tru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customFormat="false" ht="15.75" hidden="false" customHeight="tru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customFormat="false" ht="15.75" hidden="false" customHeight="tru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customFormat="false" ht="15.75" hidden="false" customHeight="tru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customFormat="false" ht="15.75" hidden="false" customHeight="tru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customFormat="false" ht="15.75" hidden="false" customHeight="tru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customFormat="false" ht="15.75" hidden="false" customHeight="tru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customFormat="false" ht="15.75" hidden="false" customHeight="tru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customFormat="false" ht="15.75" hidden="false" customHeight="tru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customFormat="false" ht="15.75" hidden="false" customHeight="tru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customFormat="false" ht="15.75" hidden="false" customHeight="tru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customFormat="false" ht="15.75" hidden="false" customHeight="tru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customFormat="false" ht="15.75" hidden="false" customHeight="tru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customFormat="false" ht="15.75" hidden="false" customHeight="tru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customFormat="false" ht="15.75" hidden="false" customHeight="tru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customFormat="false" ht="15.75" hidden="false" customHeight="tru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customFormat="false" ht="15.75" hidden="false" customHeight="tru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customFormat="false" ht="15.75" hidden="false" customHeight="tru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customFormat="false" ht="15.75" hidden="false" customHeight="tru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customFormat="false" ht="15.75" hidden="false" customHeight="tru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customFormat="false" ht="15.75" hidden="false" customHeight="tru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customFormat="false" ht="15.75" hidden="false" customHeight="tru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customFormat="false" ht="15.75" hidden="false" customHeight="tru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customFormat="false" ht="15.75" hidden="false" customHeight="tru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customFormat="false" ht="15.75" hidden="false" customHeight="tru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customFormat="false" ht="15.75" hidden="false" customHeight="tru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customFormat="false" ht="15.75" hidden="false" customHeight="tru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customFormat="false" ht="15.75" hidden="false" customHeight="tru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customFormat="false" ht="15.75" hidden="false" customHeight="tru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customFormat="false" ht="15.75" hidden="false" customHeight="tru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customFormat="false" ht="15.75" hidden="false" customHeight="tru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customFormat="false" ht="15.75" hidden="false" customHeight="tru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customFormat="false" ht="15.75" hidden="false" customHeight="tru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customFormat="false" ht="15.75" hidden="false" customHeight="tru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customFormat="false" ht="15.75" hidden="false" customHeight="tru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customFormat="false" ht="15.75" hidden="false" customHeight="tru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customFormat="false" ht="15.75" hidden="false" customHeight="tru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customFormat="false" ht="15.75" hidden="false" customHeight="tru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customFormat="false" ht="15.75" hidden="false" customHeight="tru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customFormat="false" ht="15.75" hidden="false" customHeight="tru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customFormat="false" ht="15.75" hidden="false" customHeight="tru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customFormat="false" ht="15.75" hidden="false" customHeight="tru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customFormat="false" ht="15.75" hidden="false" customHeight="tru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customFormat="false" ht="15.75" hidden="false" customHeight="tru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customFormat="false" ht="15.75" hidden="false" customHeight="tru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customFormat="false" ht="15.75" hidden="false" customHeight="tru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customFormat="false" ht="15.75" hidden="false" customHeight="tru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customFormat="false" ht="15.75" hidden="false" customHeight="tru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customFormat="false" ht="15.75" hidden="false" customHeight="tru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customFormat="false" ht="15.75" hidden="false" customHeight="tru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customFormat="false" ht="15.75" hidden="false" customHeight="tru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customFormat="false" ht="15.75" hidden="false" customHeight="tru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customFormat="false" ht="15.75" hidden="false" customHeight="tru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customFormat="false" ht="15.75" hidden="false" customHeight="tru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customFormat="false" ht="15.75" hidden="false" customHeight="tru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customFormat="false" ht="15.75" hidden="false" customHeight="tru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customFormat="false" ht="15.75" hidden="false" customHeight="tru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customFormat="false" ht="15.75" hidden="false" customHeight="tru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customFormat="false" ht="15.75" hidden="false" customHeight="tru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customFormat="false" ht="15.75" hidden="false" customHeight="tru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customFormat="false" ht="15.75" hidden="false" customHeight="tru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customFormat="false" ht="15.75" hidden="false" customHeight="tru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customFormat="false" ht="15.75" hidden="false" customHeight="tru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customFormat="false" ht="15.75" hidden="false" customHeight="tru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customFormat="false" ht="15.75" hidden="false" customHeight="tru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customFormat="false" ht="15.75" hidden="false" customHeight="tru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customFormat="false" ht="15.75" hidden="false" customHeight="tru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customFormat="false" ht="15.75" hidden="false" customHeight="tru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customFormat="false" ht="15.75" hidden="false" customHeight="tru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customFormat="false" ht="15.75" hidden="false" customHeight="tru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customFormat="false" ht="15.75" hidden="false" customHeight="tru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customFormat="false" ht="15.75" hidden="false" customHeight="tru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customFormat="false" ht="15.75" hidden="false" customHeight="tru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customFormat="false" ht="15.75" hidden="false" customHeight="tru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customFormat="false" ht="15.75" hidden="false" customHeight="tru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customFormat="false" ht="15.75" hidden="false" customHeight="tru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customFormat="false" ht="15.75" hidden="false" customHeight="tru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customFormat="false" ht="15.75" hidden="false" customHeight="tru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customFormat="false" ht="15.75" hidden="false" customHeight="tru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customFormat="false" ht="15.75" hidden="false" customHeight="tru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customFormat="false" ht="15.75" hidden="false" customHeight="tru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customFormat="false" ht="15.75" hidden="false" customHeight="tru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customFormat="false" ht="15.75" hidden="false" customHeight="tru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customFormat="false" ht="15.75" hidden="false" customHeight="tru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customFormat="false" ht="15.75" hidden="false" customHeight="tru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customFormat="false" ht="15.75" hidden="false" customHeight="tru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customFormat="false" ht="15.75" hidden="false" customHeight="tru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customFormat="false" ht="15.75" hidden="false" customHeight="tru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customFormat="false" ht="15.75" hidden="false" customHeight="tru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customFormat="false" ht="15.75" hidden="false" customHeight="tru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customFormat="false" ht="15.75" hidden="false" customHeight="tru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customFormat="false" ht="15.75" hidden="false" customHeight="tru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customFormat="false" ht="15.75" hidden="false" customHeight="tru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customFormat="false" ht="15.75" hidden="false" customHeight="tru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customFormat="false" ht="15.75" hidden="false" customHeight="tru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customFormat="false" ht="15.75" hidden="false" customHeight="tru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customFormat="false" ht="15.75" hidden="false" customHeight="tru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customFormat="false" ht="15.75" hidden="false" customHeight="tru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customFormat="false" ht="15.75" hidden="false" customHeight="tru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customFormat="false" ht="15.75" hidden="false" customHeight="tru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customFormat="false" ht="15.75" hidden="false" customHeight="tru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customFormat="false" ht="15.75" hidden="false" customHeight="tru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customFormat="false" ht="15.75" hidden="false" customHeight="tru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customFormat="false" ht="15.75" hidden="false" customHeight="tru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customFormat="false" ht="15.75" hidden="false" customHeight="tru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customFormat="false" ht="15.75" hidden="false" customHeight="tru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customFormat="false" ht="15.75" hidden="false" customHeight="tru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customFormat="false" ht="15.75" hidden="false" customHeight="tru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customFormat="false" ht="15.75" hidden="false" customHeight="tru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customFormat="false" ht="15.75" hidden="false" customHeight="tru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customFormat="false" ht="15.75" hidden="false" customHeight="tru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customFormat="false" ht="15.75" hidden="false" customHeight="tru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customFormat="false" ht="15.75" hidden="false" customHeight="tru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customFormat="false" ht="15.75" hidden="false" customHeight="tru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customFormat="false" ht="15.75" hidden="false" customHeight="tru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customFormat="false" ht="15.75" hidden="false" customHeight="tru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customFormat="false" ht="15.75" hidden="false" customHeight="tru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customFormat="false" ht="15.75" hidden="false" customHeight="tru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customFormat="false" ht="15.75" hidden="false" customHeight="tru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customFormat="false" ht="15.75" hidden="false" customHeight="tru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customFormat="false" ht="15.75" hidden="false" customHeight="tru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customFormat="false" ht="15.75" hidden="false" customHeight="tru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customFormat="false" ht="15.75" hidden="false" customHeight="tru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customFormat="false" ht="15.75" hidden="false" customHeight="tru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customFormat="false" ht="15.75" hidden="false" customHeight="tru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customFormat="false" ht="15.75" hidden="false" customHeight="tru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customFormat="false" ht="15.75" hidden="false" customHeight="tru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customFormat="false" ht="15.75" hidden="false" customHeight="tru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customFormat="false" ht="15.75" hidden="false" customHeight="tru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customFormat="false" ht="15.75" hidden="false" customHeight="tru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customFormat="false" ht="15.75" hidden="false" customHeight="tru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customFormat="false" ht="15.75" hidden="false" customHeight="tru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customFormat="false" ht="15.75" hidden="false" customHeight="tru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customFormat="false" ht="15.75" hidden="false" customHeight="tru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customFormat="false" ht="15.75" hidden="false" customHeight="tru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customFormat="false" ht="15.75" hidden="false" customHeight="tru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customFormat="false" ht="15.75" hidden="false" customHeight="tru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customFormat="false" ht="15.75" hidden="false" customHeight="tru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customFormat="false" ht="15.75" hidden="false" customHeight="tru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customFormat="false" ht="15.75" hidden="false" customHeight="tru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customFormat="false" ht="15.75" hidden="false" customHeight="tru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customFormat="false" ht="15.75" hidden="false" customHeight="tru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customFormat="false" ht="15.75" hidden="false" customHeight="tru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customFormat="false" ht="15.75" hidden="false" customHeight="tru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customFormat="false" ht="15.75" hidden="false" customHeight="tru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customFormat="false" ht="15.75" hidden="false" customHeight="tru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customFormat="false" ht="15.75" hidden="false" customHeight="tru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customFormat="false" ht="15.75" hidden="false" customHeight="tru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customFormat="false" ht="15.75" hidden="false" customHeight="tru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customFormat="false" ht="15.75" hidden="false" customHeight="tru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customFormat="false" ht="15.75" hidden="false" customHeight="tru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customFormat="false" ht="15.75" hidden="false" customHeight="tru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customFormat="false" ht="15.75" hidden="false" customHeight="tru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customFormat="false" ht="15.75" hidden="false" customHeight="tru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customFormat="false" ht="15.75" hidden="false" customHeight="tru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customFormat="false" ht="15.75" hidden="false" customHeight="tru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customFormat="false" ht="15.75" hidden="false" customHeight="tru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customFormat="false" ht="15.75" hidden="false" customHeight="tru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customFormat="false" ht="15.75" hidden="false" customHeight="tru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customFormat="false" ht="15.75" hidden="false" customHeight="tru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customFormat="false" ht="15.75" hidden="false" customHeight="tru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customFormat="false" ht="15.75" hidden="false" customHeight="tru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customFormat="false" ht="15.75" hidden="false" customHeight="tru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customFormat="false" ht="15.75" hidden="false" customHeight="tru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customFormat="false" ht="15.75" hidden="false" customHeight="tru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customFormat="false" ht="15.75" hidden="false" customHeight="tru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customFormat="false" ht="15.75" hidden="false" customHeight="tru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customFormat="false" ht="15.75" hidden="false" customHeight="tru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customFormat="false" ht="15.75" hidden="false" customHeight="tru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customFormat="false" ht="15.75" hidden="false" customHeight="tru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customFormat="false" ht="15.75" hidden="false" customHeight="tru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customFormat="false" ht="15.75" hidden="false" customHeight="tru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customFormat="false" ht="15.75" hidden="false" customHeight="tru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customFormat="false" ht="15.75" hidden="false" customHeight="tru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customFormat="false" ht="15.75" hidden="false" customHeight="tru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customFormat="false" ht="15.75" hidden="false" customHeight="tru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customFormat="false" ht="15.75" hidden="false" customHeight="tru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customFormat="false" ht="15.75" hidden="false" customHeight="tru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customFormat="false" ht="15.75" hidden="false" customHeight="tru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customFormat="false" ht="15.75" hidden="false" customHeight="tru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customFormat="false" ht="15.75" hidden="false" customHeight="tru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customFormat="false" ht="15.75" hidden="false" customHeight="tru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customFormat="false" ht="15.75" hidden="false" customHeight="tru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customFormat="false" ht="15.75" hidden="false" customHeight="tru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customFormat="false" ht="15.75" hidden="false" customHeight="tru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customFormat="false" ht="15.75" hidden="false" customHeight="tru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customFormat="false" ht="15.75" hidden="false" customHeight="tru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customFormat="false" ht="15.75" hidden="false" customHeight="tru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customFormat="false" ht="15.75" hidden="false" customHeight="tru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customFormat="false" ht="15.75" hidden="false" customHeight="tru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customFormat="false" ht="15.75" hidden="false" customHeight="tru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customFormat="false" ht="15.75" hidden="false" customHeight="tru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customFormat="false" ht="15.75" hidden="false" customHeight="tru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customFormat="false" ht="15.75" hidden="false" customHeight="tru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customFormat="false" ht="15.75" hidden="false" customHeight="tru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customFormat="false" ht="15.75" hidden="false" customHeight="tru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customFormat="false" ht="15.75" hidden="false" customHeight="tru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customFormat="false" ht="15.75" hidden="false" customHeight="tru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customFormat="false" ht="15.75" hidden="false" customHeight="tru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customFormat="false" ht="15.75" hidden="false" customHeight="tru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customFormat="false" ht="15.75" hidden="false" customHeight="tru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customFormat="false" ht="15.75" hidden="false" customHeight="tru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customFormat="false" ht="15.75" hidden="false" customHeight="tru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customFormat="false" ht="15.75" hidden="false" customHeight="tru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customFormat="false" ht="15.75" hidden="false" customHeight="tru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customFormat="false" ht="15.75" hidden="false" customHeight="tru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customFormat="false" ht="15.75" hidden="false" customHeight="tru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customFormat="false" ht="15.75" hidden="false" customHeight="tru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customFormat="false" ht="15.75" hidden="false" customHeight="tru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customFormat="false" ht="15.75" hidden="false" customHeight="tru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customFormat="false" ht="15.75" hidden="false" customHeight="tru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customFormat="false" ht="15.75" hidden="false" customHeight="tru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customFormat="false" ht="15.75" hidden="false" customHeight="tru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customFormat="false" ht="15.75" hidden="false" customHeight="tru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customFormat="false" ht="15.75" hidden="false" customHeight="tru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customFormat="false" ht="15.75" hidden="false" customHeight="tru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customFormat="false" ht="15.75" hidden="false" customHeight="tru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customFormat="false" ht="15.75" hidden="false" customHeight="tru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customFormat="false" ht="15.75" hidden="false" customHeight="tru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customFormat="false" ht="15.75" hidden="false" customHeight="tru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customFormat="false" ht="15.75" hidden="false" customHeight="tru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customFormat="false" ht="15.75" hidden="false" customHeight="tru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customFormat="false" ht="15.75" hidden="false" customHeight="tru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customFormat="false" ht="15.75" hidden="false" customHeight="tru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customFormat="false" ht="15.75" hidden="false" customHeight="tru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customFormat="false" ht="15.75" hidden="false" customHeight="tru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customFormat="false" ht="15.75" hidden="false" customHeight="tru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customFormat="false" ht="15.75" hidden="false" customHeight="tru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customFormat="false" ht="15.75" hidden="false" customHeight="tru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customFormat="false" ht="15.75" hidden="false" customHeight="tru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customFormat="false" ht="15.75" hidden="false" customHeight="tru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customFormat="false" ht="15.75" hidden="false" customHeight="tru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customFormat="false" ht="15.75" hidden="false" customHeight="tru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customFormat="false" ht="15.75" hidden="false" customHeight="tru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customFormat="false" ht="15.75" hidden="false" customHeight="tru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customFormat="false" ht="15.75" hidden="false" customHeight="tru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customFormat="false" ht="15.75" hidden="false" customHeight="tru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customFormat="false" ht="15.75" hidden="false" customHeight="tru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customFormat="false" ht="15.75" hidden="false" customHeight="tru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customFormat="false" ht="15.75" hidden="false" customHeight="tru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customFormat="false" ht="15.75" hidden="false" customHeight="tru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customFormat="false" ht="15.75" hidden="false" customHeight="tru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customFormat="false" ht="15.75" hidden="false" customHeight="tru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customFormat="false" ht="15.75" hidden="false" customHeight="tru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customFormat="false" ht="15.75" hidden="false" customHeight="tru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customFormat="false" ht="15.75" hidden="false" customHeight="tru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customFormat="false" ht="15.75" hidden="false" customHeight="tru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customFormat="false" ht="15.75" hidden="false" customHeight="tru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customFormat="false" ht="15.75" hidden="false" customHeight="tru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customFormat="false" ht="15.75" hidden="false" customHeight="tru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customFormat="false" ht="15.75" hidden="false" customHeight="tru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customFormat="false" ht="15.75" hidden="false" customHeight="tru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customFormat="false" ht="15.75" hidden="false" customHeight="tru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customFormat="false" ht="15.75" hidden="false" customHeight="tru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customFormat="false" ht="15.75" hidden="false" customHeight="tru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customFormat="false" ht="15.75" hidden="false" customHeight="tru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customFormat="false" ht="15.75" hidden="false" customHeight="tru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customFormat="false" ht="15.75" hidden="false" customHeight="tru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customFormat="false" ht="15.75" hidden="false" customHeight="tru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customFormat="false" ht="15.75" hidden="false" customHeight="tru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customFormat="false" ht="15.75" hidden="false" customHeight="tru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customFormat="false" ht="15.75" hidden="false" customHeight="tru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customFormat="false" ht="15.75" hidden="false" customHeight="tru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customFormat="false" ht="15.75" hidden="false" customHeight="tru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customFormat="false" ht="15.75" hidden="false" customHeight="tru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customFormat="false" ht="15.75" hidden="false" customHeight="tru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customFormat="false" ht="15.75" hidden="false" customHeight="tru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customFormat="false" ht="15.75" hidden="false" customHeight="tru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customFormat="false" ht="15.75" hidden="false" customHeight="tru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customFormat="false" ht="15.75" hidden="false" customHeight="tru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customFormat="false" ht="15.75" hidden="false" customHeight="tru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customFormat="false" ht="15.75" hidden="false" customHeight="tru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customFormat="false" ht="15.75" hidden="false" customHeight="tru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customFormat="false" ht="15.75" hidden="false" customHeight="tru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customFormat="false" ht="15.75" hidden="false" customHeight="tru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customFormat="false" ht="15.75" hidden="false" customHeight="tru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customFormat="false" ht="15.75" hidden="false" customHeight="tru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17" activeCellId="0" sqref="B17"/>
    </sheetView>
  </sheetViews>
  <sheetFormatPr defaultColWidth="14.5078125" defaultRowHeight="15" customHeight="true" zeroHeight="false" outlineLevelRow="0" outlineLevelCol="0"/>
  <cols>
    <col collapsed="false" customWidth="true" hidden="false" outlineLevel="0" max="6" min="1" style="0" width="10.66"/>
  </cols>
  <sheetData>
    <row r="1" customFormat="false" ht="15" hidden="false" customHeight="false" outlineLevel="0" collapsed="false">
      <c r="A1" s="106" t="n">
        <v>0</v>
      </c>
      <c r="B1" s="106" t="n">
        <v>0</v>
      </c>
      <c r="C1" s="106" t="n">
        <v>0</v>
      </c>
      <c r="D1" s="106" t="n">
        <v>0</v>
      </c>
      <c r="E1" s="106" t="n">
        <v>0</v>
      </c>
      <c r="F1" s="106" t="n">
        <v>0</v>
      </c>
      <c r="G1" s="1" t="n">
        <v>0</v>
      </c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" hidden="false" customHeight="false" outlineLevel="0" collapsed="false">
      <c r="A2" s="106" t="n">
        <v>0</v>
      </c>
      <c r="B2" s="106" t="n">
        <v>0</v>
      </c>
      <c r="C2" s="106" t="n">
        <v>0</v>
      </c>
      <c r="D2" s="106" t="n">
        <v>0</v>
      </c>
      <c r="E2" s="106" t="n">
        <v>0</v>
      </c>
      <c r="F2" s="106" t="n">
        <v>0</v>
      </c>
      <c r="G2" s="1" t="n">
        <v>0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5" hidden="false" customHeight="false" outlineLevel="0" collapsed="false">
      <c r="A3" s="106" t="n">
        <v>40595</v>
      </c>
      <c r="B3" s="106" t="n">
        <v>36777.591411</v>
      </c>
      <c r="C3" s="106" t="n">
        <v>51.53</v>
      </c>
      <c r="D3" s="106" t="n">
        <v>52.832609075</v>
      </c>
      <c r="E3" s="106" t="n">
        <v>49.44</v>
      </c>
      <c r="F3" s="106" t="n">
        <v>49.928316254</v>
      </c>
      <c r="G3" s="1" t="n">
        <v>0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15" hidden="false" customHeight="false" outlineLevel="0" collapsed="false">
      <c r="A4" s="106" t="n">
        <v>11062</v>
      </c>
      <c r="B4" s="106" t="n">
        <v>11452.675821</v>
      </c>
      <c r="C4" s="106" t="n">
        <v>60.28</v>
      </c>
      <c r="D4" s="106" t="n">
        <v>60.06929912</v>
      </c>
      <c r="E4" s="106" t="n">
        <v>58.37</v>
      </c>
      <c r="F4" s="106" t="n">
        <v>57.2026</v>
      </c>
      <c r="G4" s="1" t="n">
        <v>0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15" hidden="false" customHeight="false" outlineLevel="0" collapsed="false">
      <c r="A5" s="106" t="n">
        <v>745</v>
      </c>
      <c r="B5" s="106" t="n">
        <v>1134.6758208</v>
      </c>
      <c r="C5" s="106" t="n">
        <v>59.48</v>
      </c>
      <c r="D5" s="106" t="n">
        <v>65.428</v>
      </c>
      <c r="E5" s="106" t="n">
        <v>56.37</v>
      </c>
      <c r="F5" s="106" t="n">
        <v>64.77372</v>
      </c>
      <c r="G5" s="1" t="n">
        <v>0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5" hidden="false" customHeight="false" outlineLevel="0" collapsed="false">
      <c r="A6" s="106" t="n">
        <v>0</v>
      </c>
      <c r="B6" s="106" t="n">
        <v>0</v>
      </c>
      <c r="C6" s="106" t="n">
        <v>0</v>
      </c>
      <c r="D6" s="106" t="n">
        <v>0</v>
      </c>
      <c r="E6" s="106" t="n">
        <v>0</v>
      </c>
      <c r="F6" s="106" t="n">
        <v>0</v>
      </c>
      <c r="G6" s="1" t="n">
        <v>0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5" hidden="false" customHeight="false" outlineLevel="0" collapsed="false">
      <c r="A7" s="106" t="n">
        <v>10318</v>
      </c>
      <c r="B7" s="106" t="n">
        <v>10318</v>
      </c>
      <c r="C7" s="106" t="n">
        <v>59.48</v>
      </c>
      <c r="D7" s="106" t="n">
        <v>59.48</v>
      </c>
      <c r="E7" s="106" t="n">
        <v>56.37</v>
      </c>
      <c r="F7" s="106" t="n">
        <v>56.37</v>
      </c>
      <c r="G7" s="1" t="n">
        <v>0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5" hidden="false" customHeight="false" outlineLevel="0" collapsed="false">
      <c r="A8" s="106" t="n">
        <v>7425</v>
      </c>
      <c r="B8" s="106" t="n">
        <v>7425</v>
      </c>
      <c r="C8" s="106" t="n">
        <v>58.61</v>
      </c>
      <c r="D8" s="106" t="n">
        <v>59.51</v>
      </c>
      <c r="E8" s="106" t="n">
        <v>57.85</v>
      </c>
      <c r="F8" s="106" t="n">
        <v>55.85</v>
      </c>
      <c r="G8" s="1" t="n">
        <v>0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5" hidden="false" customHeight="false" outlineLevel="0" collapsed="false">
      <c r="A9" s="106" t="n">
        <v>0</v>
      </c>
      <c r="B9" s="106" t="n">
        <v>0</v>
      </c>
      <c r="C9" s="106" t="n">
        <v>59.51</v>
      </c>
      <c r="D9" s="106" t="n">
        <v>59.510044082</v>
      </c>
      <c r="E9" s="106" t="n">
        <v>55.85</v>
      </c>
      <c r="F9" s="106" t="n">
        <v>55.849949313</v>
      </c>
      <c r="G9" s="1" t="n">
        <v>0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5" hidden="false" customHeight="false" outlineLevel="0" collapsed="false">
      <c r="A10" s="106" t="n">
        <v>0</v>
      </c>
      <c r="B10" s="106" t="n">
        <v>0</v>
      </c>
      <c r="C10" s="106" t="n">
        <v>0</v>
      </c>
      <c r="D10" s="106" t="n">
        <v>0</v>
      </c>
      <c r="E10" s="106" t="n">
        <v>0</v>
      </c>
      <c r="F10" s="106" t="n">
        <v>0</v>
      </c>
      <c r="G10" s="1" t="n">
        <v>0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" hidden="false" customHeight="false" outlineLevel="0" collapsed="false">
      <c r="A11" s="106" t="n">
        <v>7425</v>
      </c>
      <c r="B11" s="106" t="n">
        <v>7425</v>
      </c>
      <c r="C11" s="106" t="n">
        <v>59.51</v>
      </c>
      <c r="D11" s="106" t="n">
        <v>59.51</v>
      </c>
      <c r="E11" s="106" t="n">
        <v>55.85</v>
      </c>
      <c r="F11" s="106" t="n">
        <v>55.85</v>
      </c>
      <c r="G11" s="1" t="n">
        <v>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" hidden="false" customHeight="false" outlineLevel="0" collapsed="false">
      <c r="A12" s="106" t="n">
        <v>10631</v>
      </c>
      <c r="B12" s="106" t="n">
        <v>10638.011689</v>
      </c>
      <c r="C12" s="106" t="n">
        <v>41.54</v>
      </c>
      <c r="D12" s="106" t="n">
        <v>42.934585867</v>
      </c>
      <c r="E12" s="106" t="n">
        <v>40.56</v>
      </c>
      <c r="F12" s="106" t="n">
        <v>40.050499832</v>
      </c>
      <c r="G12" s="1" t="n">
        <v>0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" hidden="false" customHeight="false" outlineLevel="0" collapsed="false">
      <c r="A13" s="106" t="n">
        <v>604</v>
      </c>
      <c r="B13" s="106" t="n">
        <v>604.88811585</v>
      </c>
      <c r="C13" s="106" t="n">
        <v>42.98</v>
      </c>
      <c r="D13" s="106" t="n">
        <v>42.880155208</v>
      </c>
      <c r="E13" s="106" t="n">
        <v>40.04</v>
      </c>
      <c r="F13" s="106" t="n">
        <v>40.061194316</v>
      </c>
      <c r="G13" s="1" t="n">
        <v>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" hidden="false" customHeight="false" outlineLevel="0" collapsed="false">
      <c r="A14" s="106" t="n">
        <v>1593</v>
      </c>
      <c r="B14" s="106" t="n">
        <v>1599.1235727</v>
      </c>
      <c r="C14" s="106" t="n">
        <v>42.98</v>
      </c>
      <c r="D14" s="106" t="n">
        <v>42.715654362</v>
      </c>
      <c r="E14" s="106" t="n">
        <v>40.04</v>
      </c>
      <c r="F14" s="106" t="n">
        <v>40.101828571</v>
      </c>
      <c r="G14" s="1" t="n">
        <v>0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5" hidden="false" customHeight="false" outlineLevel="0" collapsed="false">
      <c r="A15" s="106" t="n">
        <v>7255</v>
      </c>
      <c r="B15" s="106" t="n">
        <v>7261.9039016</v>
      </c>
      <c r="C15" s="106" t="n">
        <v>52.04</v>
      </c>
      <c r="D15" s="106" t="n">
        <v>49.092018931</v>
      </c>
      <c r="E15" s="106" t="n">
        <v>49.87</v>
      </c>
      <c r="F15" s="106" t="n">
        <v>46.871516196</v>
      </c>
      <c r="G15" s="1" t="n">
        <v>0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5" hidden="false" customHeight="false" outlineLevel="0" collapsed="false">
      <c r="A16" s="106" t="n">
        <v>1705</v>
      </c>
      <c r="B16" s="106" t="n">
        <v>1711.9039016</v>
      </c>
      <c r="C16" s="106" t="n">
        <v>48.96</v>
      </c>
      <c r="D16" s="106" t="n">
        <v>49.520024862</v>
      </c>
      <c r="E16" s="106" t="n">
        <v>46.73</v>
      </c>
      <c r="F16" s="106" t="n">
        <v>47.330312068</v>
      </c>
      <c r="G16" s="1" t="n">
        <v>0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5" hidden="false" customHeight="false" outlineLevel="0" collapsed="false">
      <c r="A17" s="106" t="n">
        <v>5550</v>
      </c>
      <c r="B17" s="106" t="n">
        <v>5550</v>
      </c>
      <c r="C17" s="106" t="n">
        <v>48.96</v>
      </c>
      <c r="D17" s="106" t="n">
        <v>48.96</v>
      </c>
      <c r="E17" s="106" t="n">
        <v>46.73</v>
      </c>
      <c r="F17" s="106" t="n">
        <v>46.73</v>
      </c>
      <c r="G17" s="1" t="n">
        <v>0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5" hidden="false" customHeight="false" outlineLevel="0" collapsed="false">
      <c r="A18" s="123" t="n">
        <v>0</v>
      </c>
      <c r="B18" s="123" t="n">
        <v>0</v>
      </c>
      <c r="C18" s="123" t="n">
        <v>0</v>
      </c>
      <c r="D18" s="123" t="n">
        <v>0</v>
      </c>
      <c r="E18" s="123" t="n">
        <v>0</v>
      </c>
      <c r="F18" s="123" t="n">
        <v>0</v>
      </c>
      <c r="G18" s="1" t="n">
        <v>0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5" hidden="false" customHeight="false" outlineLevel="0" collapsed="false">
      <c r="A19" s="123" t="n">
        <v>67722</v>
      </c>
      <c r="B19" s="123" t="n">
        <v>79422.600229</v>
      </c>
      <c r="C19" s="123" t="n">
        <v>32.2</v>
      </c>
      <c r="D19" s="123" t="n">
        <v>35.42</v>
      </c>
      <c r="E19" s="123" t="n">
        <v>29.02</v>
      </c>
      <c r="F19" s="123" t="n">
        <v>30.384766077</v>
      </c>
      <c r="G19" s="1" t="n">
        <v>0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5" hidden="false" customHeight="false" outlineLevel="0" collapsed="false">
      <c r="A20" s="123" t="n">
        <v>0</v>
      </c>
      <c r="B20" s="123" t="n">
        <v>0</v>
      </c>
      <c r="C20" s="123" t="n">
        <v>0</v>
      </c>
      <c r="D20" s="123" t="n">
        <v>0</v>
      </c>
      <c r="E20" s="123" t="n">
        <v>0</v>
      </c>
      <c r="F20" s="123" t="n">
        <v>0</v>
      </c>
      <c r="G20" s="1" t="n">
        <v>0.01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.75" hidden="false" customHeight="true" outlineLevel="0" collapsed="false">
      <c r="A21" s="123" t="n">
        <v>33325</v>
      </c>
      <c r="B21" s="123" t="n">
        <v>34506.647325</v>
      </c>
      <c r="C21" s="123" t="n">
        <v>45.44</v>
      </c>
      <c r="D21" s="123" t="n">
        <v>42.791370343</v>
      </c>
      <c r="E21" s="123" t="n">
        <v>36.38</v>
      </c>
      <c r="F21" s="123" t="n">
        <v>40.018</v>
      </c>
      <c r="G21" s="1" t="n">
        <v>0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.75" hidden="false" customHeight="true" outlineLevel="0" collapsed="false">
      <c r="A22" s="123" t="n">
        <v>586</v>
      </c>
      <c r="B22" s="123" t="n">
        <v>703.19995276</v>
      </c>
      <c r="C22" s="123" t="n">
        <v>44.19</v>
      </c>
      <c r="D22" s="123" t="n">
        <v>42.512097542</v>
      </c>
      <c r="E22" s="123" t="n">
        <v>41.38</v>
      </c>
      <c r="F22" s="123" t="n">
        <v>37.242</v>
      </c>
      <c r="G22" s="1" t="n">
        <v>0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.75" hidden="false" customHeight="true" outlineLevel="0" collapsed="false">
      <c r="A23" s="123" t="n">
        <v>32738</v>
      </c>
      <c r="B23" s="123" t="n">
        <v>32738</v>
      </c>
      <c r="C23" s="123" t="n">
        <v>44.19</v>
      </c>
      <c r="D23" s="123" t="n">
        <v>44.19</v>
      </c>
      <c r="E23" s="123" t="n">
        <v>41.38</v>
      </c>
      <c r="F23" s="123" t="n">
        <v>41.38</v>
      </c>
      <c r="G23" s="1" t="n">
        <v>0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.75" hidden="false" customHeight="true" outlineLevel="0" collapsed="false">
      <c r="A24" s="123" t="n">
        <v>17486</v>
      </c>
      <c r="B24" s="123" t="n">
        <v>17770.28624</v>
      </c>
      <c r="C24" s="123" t="n">
        <v>45.48</v>
      </c>
      <c r="D24" s="123" t="n">
        <v>45.355083764</v>
      </c>
      <c r="E24" s="123" t="n">
        <v>38.53</v>
      </c>
      <c r="F24" s="123" t="n">
        <v>42.383</v>
      </c>
      <c r="G24" s="1" t="n">
        <v>0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.75" hidden="false" customHeight="true" outlineLevel="0" collapsed="false">
      <c r="A25" s="123" t="n">
        <v>1338</v>
      </c>
      <c r="B25" s="123" t="n">
        <v>1605.599982</v>
      </c>
      <c r="C25" s="123" t="n">
        <v>45.78</v>
      </c>
      <c r="D25" s="123" t="n">
        <v>41.552928299</v>
      </c>
      <c r="E25" s="123" t="n">
        <v>42.81</v>
      </c>
      <c r="F25" s="123" t="n">
        <v>38.529</v>
      </c>
      <c r="G25" s="1" t="n">
        <v>0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.75" hidden="false" customHeight="true" outlineLevel="0" collapsed="false">
      <c r="A26" s="123" t="n">
        <v>16148</v>
      </c>
      <c r="B26" s="123" t="n">
        <v>16148</v>
      </c>
      <c r="C26" s="123" t="n">
        <v>45.78</v>
      </c>
      <c r="D26" s="123" t="n">
        <v>45.78</v>
      </c>
      <c r="E26" s="123" t="n">
        <v>42.81</v>
      </c>
      <c r="F26" s="123" t="n">
        <v>42.81</v>
      </c>
      <c r="G26" s="1" t="n">
        <v>0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.75" hidden="false" customHeight="true" outlineLevel="0" collapsed="false">
      <c r="A27" s="123" t="n">
        <v>23126</v>
      </c>
      <c r="B27" s="123" t="n">
        <v>27145.666664</v>
      </c>
      <c r="C27" s="123" t="n">
        <v>21.69</v>
      </c>
      <c r="D27" s="123" t="n">
        <v>19.54599095</v>
      </c>
      <c r="E27" s="123" t="n">
        <v>10.31</v>
      </c>
      <c r="F27" s="123" t="n">
        <v>10.284959282</v>
      </c>
      <c r="G27" s="1" t="n">
        <v>0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5.75" hidden="false" customHeight="true" outlineLevel="0" collapsed="false">
      <c r="A28" s="123" t="n">
        <v>3740</v>
      </c>
      <c r="B28" s="123" t="n">
        <v>3882.4666641</v>
      </c>
      <c r="C28" s="123" t="n">
        <v>21.69</v>
      </c>
      <c r="D28" s="123" t="n">
        <v>19.695734392</v>
      </c>
      <c r="E28" s="123" t="n">
        <v>10.31</v>
      </c>
      <c r="F28" s="123" t="n">
        <v>10.305382177</v>
      </c>
      <c r="G28" s="1" t="n">
        <v>0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5.75" hidden="false" customHeight="true" outlineLevel="0" collapsed="false">
      <c r="A29" s="1" t="n">
        <v>19386</v>
      </c>
      <c r="B29" s="1" t="n">
        <v>23263.2</v>
      </c>
      <c r="C29" s="1" t="n">
        <v>21.69</v>
      </c>
      <c r="D29" s="1" t="n">
        <v>19.521</v>
      </c>
      <c r="E29" s="1" t="n">
        <v>10.31</v>
      </c>
      <c r="F29" s="1" t="n">
        <v>10.281550827</v>
      </c>
      <c r="G29" s="1" t="n">
        <v>0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.75" hidden="false" customHeight="true" outlineLevel="0" collapsed="false">
      <c r="A30" s="1" t="n">
        <v>8434</v>
      </c>
      <c r="B30" s="1" t="n">
        <v>8434</v>
      </c>
      <c r="C30" s="1" t="n">
        <v>42.98</v>
      </c>
      <c r="D30" s="1" t="n">
        <v>42.98</v>
      </c>
      <c r="E30" s="1" t="n">
        <v>40.04</v>
      </c>
      <c r="F30" s="1" t="n">
        <v>40.04</v>
      </c>
      <c r="G30" s="1" t="n">
        <v>0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.75" hidden="false" customHeight="tru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.75" hidden="false" customHeight="tru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.75" hidden="false" customHeight="tru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.75" hidden="false" customHeight="tru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.7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.75" hidden="false" customHeight="tru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.75" hidden="false" customHeight="tru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.75" hidden="false" customHeight="tru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.75" hidden="false" customHeight="tru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5.75" hidden="false" customHeight="tru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5.75" hidden="false" customHeight="tru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5.75" hidden="false" customHeight="tru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5.75" hidden="false" customHeight="tru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5.75" hidden="false" customHeight="tru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5.75" hidden="false" customHeight="tru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5.75" hidden="false" customHeight="tru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5.75" hidden="false" customHeight="tru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5.75" hidden="false" customHeight="tru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5.75" hidden="false" customHeight="tru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5.7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5.7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5.75" hidden="false" customHeight="tru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5.75" hidden="false" customHeight="tru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5.75" hidden="false" customHeight="tru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.7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.7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.7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.7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.7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.7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.7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.7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.7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.7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.7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.75" hidden="false" customHeight="tru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.75" hidden="false" customHeight="tru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.7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.75" hidden="false" customHeight="tru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.75" hidden="false" customHeight="tru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.75" hidden="false" customHeight="tru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.75" hidden="false" customHeight="tru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.7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.7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5.75" hidden="false" customHeight="tru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5.75" hidden="false" customHeight="tru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5.75" hidden="false" customHeight="tru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5.75" hidden="false" customHeight="tru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5.75" hidden="false" customHeight="tru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5.75" hidden="false" customHeight="tru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5.75" hidden="false" customHeight="tru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5.75" hidden="false" customHeight="tru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5.75" hidden="false" customHeight="tru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5.75" hidden="false" customHeight="tru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5.75" hidden="false" customHeight="tru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5.75" hidden="false" customHeight="tru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5.75" hidden="false" customHeight="tru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5.75" hidden="false" customHeight="tru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5.75" hidden="false" customHeight="tru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5.75" hidden="false" customHeight="tru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5.75" hidden="false" customHeight="tru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5.75" hidden="false" customHeight="tru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5.75" hidden="false" customHeight="tru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5.75" hidden="false" customHeight="tru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5.75" hidden="false" customHeight="tru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5.75" hidden="false" customHeight="tru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5.75" hidden="false" customHeight="tru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5.75" hidden="false" customHeight="tru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5.75" hidden="false" customHeight="tru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5.75" hidden="false" customHeight="tru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5.75" hidden="false" customHeight="tru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5.75" hidden="false" customHeight="tru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5.75" hidden="false" customHeight="tru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5.75" hidden="false" customHeight="tru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5.75" hidden="false" customHeight="tru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5.75" hidden="false" customHeight="tru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5.75" hidden="false" customHeight="tru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5.75" hidden="false" customHeight="tru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5.75" hidden="false" customHeight="tru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5.75" hidden="false" customHeight="tru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5.75" hidden="false" customHeight="tru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5.75" hidden="false" customHeight="tru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5.75" hidden="false" customHeight="tru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5.75" hidden="false" customHeight="tru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5.75" hidden="false" customHeight="tru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5.75" hidden="false" customHeight="tru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5.75" hidden="false" customHeight="tru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5.75" hidden="false" customHeight="tru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5.75" hidden="false" customHeight="tru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5.75" hidden="false" customHeight="tru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5.75" hidden="false" customHeight="tru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5.75" hidden="false" customHeight="tru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5.75" hidden="false" customHeight="tru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5.75" hidden="false" customHeight="tru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5.75" hidden="false" customHeight="tru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5.75" hidden="false" customHeight="tru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5.75" hidden="false" customHeight="tru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5.75" hidden="false" customHeight="tru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5.75" hidden="false" customHeight="tru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5.75" hidden="false" customHeight="tru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5.75" hidden="false" customHeight="tru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5.75" hidden="false" customHeight="tru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5.75" hidden="false" customHeight="tru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5.75" hidden="false" customHeight="tru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5.75" hidden="false" customHeight="tru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5.75" hidden="false" customHeight="tru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5.75" hidden="false" customHeight="tru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5.75" hidden="false" customHeight="tru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5.75" hidden="false" customHeight="tru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5.75" hidden="false" customHeight="tru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5.75" hidden="false" customHeight="tru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5.75" hidden="false" customHeight="tru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5.75" hidden="false" customHeight="tru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5.75" hidden="false" customHeight="tru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5.75" hidden="false" customHeight="tru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5.75" hidden="false" customHeight="tru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5.75" hidden="false" customHeight="tru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5.75" hidden="false" customHeight="tru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5.75" hidden="false" customHeight="tru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5.75" hidden="false" customHeight="tru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5.75" hidden="false" customHeight="tru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5.75" hidden="false" customHeight="tru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5.75" hidden="false" customHeight="tru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5.75" hidden="false" customHeight="tru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5.75" hidden="false" customHeight="tru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5.75" hidden="false" customHeight="tru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5.75" hidden="false" customHeight="tru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5.75" hidden="false" customHeight="tru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5.75" hidden="false" customHeight="tru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5.75" hidden="false" customHeight="tru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5.75" hidden="false" customHeight="tru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5.75" hidden="false" customHeight="tru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5.75" hidden="false" customHeight="tru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5.75" hidden="false" customHeight="tru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5.75" hidden="false" customHeight="tru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5.75" hidden="false" customHeight="tru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5.75" hidden="false" customHeight="tru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5.75" hidden="false" customHeight="tru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5.75" hidden="false" customHeight="tru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5.75" hidden="false" customHeight="tru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5.75" hidden="false" customHeight="tru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5.75" hidden="false" customHeight="tru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5.75" hidden="false" customHeight="tru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5.75" hidden="false" customHeight="tru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5.75" hidden="false" customHeight="tru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5.75" hidden="false" customHeight="tru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5.75" hidden="false" customHeight="tru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5.75" hidden="false" customHeight="tru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5.75" hidden="false" customHeight="tru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5.75" hidden="false" customHeight="tru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5.75" hidden="false" customHeight="tru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5.75" hidden="false" customHeight="tru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5.75" hidden="false" customHeight="tru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5.75" hidden="false" customHeight="tru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5.75" hidden="false" customHeight="tru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5.75" hidden="false" customHeight="tru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5.75" hidden="false" customHeight="tru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5.75" hidden="false" customHeight="tru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5.75" hidden="false" customHeight="tru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5.75" hidden="false" customHeight="tru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5.75" hidden="false" customHeight="tru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5.75" hidden="false" customHeight="tru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5.75" hidden="false" customHeight="tru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5.75" hidden="false" customHeight="tru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5.75" hidden="false" customHeight="tru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5.75" hidden="false" customHeight="tru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5.75" hidden="false" customHeight="tru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5.75" hidden="false" customHeight="tru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5.75" hidden="false" customHeight="tru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5.75" hidden="false" customHeight="tru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5.75" hidden="false" customHeight="tru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5.75" hidden="false" customHeight="tru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5.75" hidden="false" customHeight="tru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5.75" hidden="false" customHeight="tru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5.75" hidden="false" customHeight="tru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5.75" hidden="false" customHeight="tru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5.75" hidden="false" customHeight="tru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5.75" hidden="false" customHeight="tru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5.75" hidden="false" customHeight="tru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5.75" hidden="false" customHeight="tru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5.75" hidden="false" customHeight="tru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5.75" hidden="false" customHeight="tru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customFormat="false" ht="15.75" hidden="false" customHeight="tru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customFormat="false" ht="15.75" hidden="false" customHeight="tru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customFormat="false" ht="15.75" hidden="false" customHeight="tru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customFormat="false" ht="15.75" hidden="false" customHeight="tru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customFormat="false" ht="15.75" hidden="false" customHeight="tru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customFormat="false" ht="15.75" hidden="false" customHeight="tru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customFormat="false" ht="15.75" hidden="false" customHeight="tru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customFormat="false" ht="15.75" hidden="false" customHeight="tru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customFormat="false" ht="15.75" hidden="false" customHeight="tru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customFormat="false" ht="15.75" hidden="false" customHeight="tru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customFormat="false" ht="15.75" hidden="false" customHeight="tru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customFormat="false" ht="15.75" hidden="false" customHeight="tru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customFormat="false" ht="15.75" hidden="false" customHeight="tru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customFormat="false" ht="15.75" hidden="false" customHeight="tru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customFormat="false" ht="15.75" hidden="false" customHeight="tru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customFormat="false" ht="15.75" hidden="false" customHeight="tru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customFormat="false" ht="15.75" hidden="false" customHeight="tru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customFormat="false" ht="15.75" hidden="false" customHeight="tru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customFormat="false" ht="15.75" hidden="false" customHeight="tru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customFormat="false" ht="15.75" hidden="false" customHeight="tru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customFormat="false" ht="15.75" hidden="false" customHeight="tru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customFormat="false" ht="15.75" hidden="false" customHeight="tru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customFormat="false" ht="15.75" hidden="false" customHeight="tru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customFormat="false" ht="15.75" hidden="false" customHeight="tru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customFormat="false" ht="15.75" hidden="false" customHeight="tru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customFormat="false" ht="15.75" hidden="false" customHeight="tru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customFormat="false" ht="15.75" hidden="false" customHeight="tru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customFormat="false" ht="15.75" hidden="false" customHeight="tru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customFormat="false" ht="15.75" hidden="false" customHeight="tru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customFormat="false" ht="15.75" hidden="false" customHeight="tru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customFormat="false" ht="15.75" hidden="false" customHeight="tru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customFormat="false" ht="15.75" hidden="false" customHeight="tru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customFormat="false" ht="15.75" hidden="false" customHeight="tru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customFormat="false" ht="15.75" hidden="false" customHeight="tru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customFormat="false" ht="15.75" hidden="false" customHeight="tru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customFormat="false" ht="15.75" hidden="false" customHeight="tru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customFormat="false" ht="15.75" hidden="false" customHeight="tru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customFormat="false" ht="15.75" hidden="false" customHeight="tru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customFormat="false" ht="15.75" hidden="false" customHeight="tru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customFormat="false" ht="15.75" hidden="false" customHeight="tru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customFormat="false" ht="15.75" hidden="false" customHeight="tru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customFormat="false" ht="15.75" hidden="false" customHeight="tru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customFormat="false" ht="15.75" hidden="false" customHeight="tru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customFormat="false" ht="15.75" hidden="false" customHeight="tru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customFormat="false" ht="15.75" hidden="false" customHeight="tru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customFormat="false" ht="15.75" hidden="false" customHeight="tru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customFormat="false" ht="15.75" hidden="false" customHeight="tru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customFormat="false" ht="15.75" hidden="false" customHeight="tru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customFormat="false" ht="15.75" hidden="false" customHeight="tru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customFormat="false" ht="15.75" hidden="false" customHeight="tru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customFormat="false" ht="15.75" hidden="false" customHeight="tru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customFormat="false" ht="15.75" hidden="false" customHeight="tru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customFormat="false" ht="15.75" hidden="false" customHeight="tru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customFormat="false" ht="15.75" hidden="false" customHeight="tru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customFormat="false" ht="15.75" hidden="false" customHeight="tru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customFormat="false" ht="15.75" hidden="false" customHeight="tru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customFormat="false" ht="15.75" hidden="false" customHeight="tru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customFormat="false" ht="15.75" hidden="false" customHeight="tru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customFormat="false" ht="15.75" hidden="false" customHeight="tru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customFormat="false" ht="15.75" hidden="false" customHeight="tru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customFormat="false" ht="15.75" hidden="false" customHeight="tru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customFormat="false" ht="15.75" hidden="false" customHeight="tru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customFormat="false" ht="15.75" hidden="false" customHeight="tru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customFormat="false" ht="15.75" hidden="false" customHeight="tru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customFormat="false" ht="15.75" hidden="false" customHeight="tru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customFormat="false" ht="15.75" hidden="false" customHeight="tru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customFormat="false" ht="15.75" hidden="false" customHeight="tru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customFormat="false" ht="15.75" hidden="false" customHeight="tru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customFormat="false" ht="15.75" hidden="false" customHeight="tru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customFormat="false" ht="15.75" hidden="false" customHeight="tru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customFormat="false" ht="15.75" hidden="false" customHeight="tru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customFormat="false" ht="15.75" hidden="false" customHeight="tru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customFormat="false" ht="15.75" hidden="false" customHeight="tru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customFormat="false" ht="15.75" hidden="false" customHeight="tru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customFormat="false" ht="15.75" hidden="false" customHeight="tru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customFormat="false" ht="15.75" hidden="false" customHeight="tru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customFormat="false" ht="15.75" hidden="false" customHeight="tru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customFormat="false" ht="15.75" hidden="false" customHeight="tru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customFormat="false" ht="15.75" hidden="false" customHeight="tru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customFormat="false" ht="15.75" hidden="false" customHeight="tru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customFormat="false" ht="15.75" hidden="false" customHeight="tru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customFormat="false" ht="15.75" hidden="false" customHeight="tru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customFormat="false" ht="15.75" hidden="false" customHeight="tru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customFormat="false" ht="15.75" hidden="false" customHeight="tru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customFormat="false" ht="15.75" hidden="false" customHeight="tru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customFormat="false" ht="15.75" hidden="false" customHeight="tru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customFormat="false" ht="15.75" hidden="false" customHeight="tru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customFormat="false" ht="15.75" hidden="false" customHeight="tru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customFormat="false" ht="15.75" hidden="false" customHeight="tru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customFormat="false" ht="15.75" hidden="false" customHeight="tru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customFormat="false" ht="15.75" hidden="false" customHeight="tru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customFormat="false" ht="15.75" hidden="false" customHeight="tru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customFormat="false" ht="15.75" hidden="false" customHeight="tru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customFormat="false" ht="15.75" hidden="false" customHeight="tru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customFormat="false" ht="15.75" hidden="false" customHeight="tru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customFormat="false" ht="15.75" hidden="false" customHeight="tru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customFormat="false" ht="15.75" hidden="false" customHeight="tru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customFormat="false" ht="15.75" hidden="false" customHeight="tru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customFormat="false" ht="15.75" hidden="false" customHeight="tru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customFormat="false" ht="15.75" hidden="false" customHeight="tru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customFormat="false" ht="15.75" hidden="false" customHeight="tru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customFormat="false" ht="15.75" hidden="false" customHeight="tru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customFormat="false" ht="15.75" hidden="false" customHeight="tru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customFormat="false" ht="15.75" hidden="false" customHeight="tru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customFormat="false" ht="15.75" hidden="false" customHeight="tru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customFormat="false" ht="15.75" hidden="false" customHeight="tru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customFormat="false" ht="15.75" hidden="false" customHeight="tru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customFormat="false" ht="15.75" hidden="false" customHeight="tru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customFormat="false" ht="15.75" hidden="false" customHeight="tru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customFormat="false" ht="15.75" hidden="false" customHeight="tru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customFormat="false" ht="15.75" hidden="false" customHeight="tru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customFormat="false" ht="15.75" hidden="false" customHeight="tru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customFormat="false" ht="15.75" hidden="false" customHeight="tru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customFormat="false" ht="15.75" hidden="false" customHeight="tru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customFormat="false" ht="15.75" hidden="false" customHeight="tru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customFormat="false" ht="15.75" hidden="false" customHeight="tru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customFormat="false" ht="15.75" hidden="false" customHeight="tru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customFormat="false" ht="15.75" hidden="false" customHeight="tru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customFormat="false" ht="15.75" hidden="false" customHeight="tru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customFormat="false" ht="15.75" hidden="false" customHeight="tru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customFormat="false" ht="15.75" hidden="false" customHeight="tru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customFormat="false" ht="15.75" hidden="false" customHeight="tru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customFormat="false" ht="15.75" hidden="false" customHeight="tru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customFormat="false" ht="15.75" hidden="false" customHeight="tru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customFormat="false" ht="15.75" hidden="false" customHeight="tru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customFormat="false" ht="15.75" hidden="false" customHeight="tru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customFormat="false" ht="15.75" hidden="false" customHeight="tru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customFormat="false" ht="15.75" hidden="false" customHeight="tru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customFormat="false" ht="15.75" hidden="false" customHeight="tru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customFormat="false" ht="15.75" hidden="false" customHeight="tru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customFormat="false" ht="15.75" hidden="false" customHeight="tru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customFormat="false" ht="15.75" hidden="false" customHeight="tru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customFormat="false" ht="15.75" hidden="false" customHeight="tru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customFormat="false" ht="15.75" hidden="false" customHeight="tru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customFormat="false" ht="15.75" hidden="false" customHeight="tru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customFormat="false" ht="15.75" hidden="false" customHeight="tru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customFormat="false" ht="15.75" hidden="false" customHeight="tru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customFormat="false" ht="15.75" hidden="false" customHeight="tru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customFormat="false" ht="15.75" hidden="false" customHeight="tru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customFormat="false" ht="15.75" hidden="false" customHeight="tru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customFormat="false" ht="15.75" hidden="false" customHeight="tru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customFormat="false" ht="15.75" hidden="false" customHeight="tru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customFormat="false" ht="15.75" hidden="false" customHeight="tru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customFormat="false" ht="15.75" hidden="false" customHeight="tru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customFormat="false" ht="15.75" hidden="false" customHeight="tru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customFormat="false" ht="15.75" hidden="false" customHeight="tru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customFormat="false" ht="15.75" hidden="false" customHeight="tru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customFormat="false" ht="15.75" hidden="false" customHeight="tru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customFormat="false" ht="15.75" hidden="false" customHeight="tru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customFormat="false" ht="15.75" hidden="false" customHeight="tru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customFormat="false" ht="15.75" hidden="false" customHeight="tru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customFormat="false" ht="15.75" hidden="false" customHeight="tru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customFormat="false" ht="15.75" hidden="false" customHeight="tru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customFormat="false" ht="15.75" hidden="false" customHeight="tru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customFormat="false" ht="15.75" hidden="false" customHeight="tru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customFormat="false" ht="15.75" hidden="false" customHeight="tru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customFormat="false" ht="15.75" hidden="false" customHeight="tru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customFormat="false" ht="15.75" hidden="false" customHeight="tru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customFormat="false" ht="15.75" hidden="false" customHeight="tru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customFormat="false" ht="15.75" hidden="false" customHeight="tru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customFormat="false" ht="15.75" hidden="false" customHeight="tru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customFormat="false" ht="15.75" hidden="false" customHeight="tru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customFormat="false" ht="15.75" hidden="false" customHeight="tru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customFormat="false" ht="15.75" hidden="false" customHeight="tru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customFormat="false" ht="15.75" hidden="false" customHeight="tru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customFormat="false" ht="15.75" hidden="false" customHeight="tru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customFormat="false" ht="15.75" hidden="false" customHeight="tru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customFormat="false" ht="15.75" hidden="false" customHeight="tru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customFormat="false" ht="15.75" hidden="false" customHeight="tru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customFormat="false" ht="15.75" hidden="false" customHeight="tru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customFormat="false" ht="15.75" hidden="false" customHeight="tru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customFormat="false" ht="15.75" hidden="false" customHeight="tru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customFormat="false" ht="15.75" hidden="false" customHeight="tru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customFormat="false" ht="15.75" hidden="false" customHeight="tru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customFormat="false" ht="15.75" hidden="false" customHeight="tru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customFormat="false" ht="15.75" hidden="false" customHeight="tru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customFormat="false" ht="15.75" hidden="false" customHeight="tru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customFormat="false" ht="15.75" hidden="false" customHeight="tru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customFormat="false" ht="15.75" hidden="false" customHeight="tru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customFormat="false" ht="15.75" hidden="false" customHeight="tru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customFormat="false" ht="15.75" hidden="false" customHeight="tru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customFormat="false" ht="15.75" hidden="false" customHeight="tru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customFormat="false" ht="15.75" hidden="false" customHeight="tru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customFormat="false" ht="15.75" hidden="false" customHeight="tru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customFormat="false" ht="15.75" hidden="false" customHeight="tru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customFormat="false" ht="15.75" hidden="false" customHeight="tru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customFormat="false" ht="15.75" hidden="false" customHeight="tru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customFormat="false" ht="15.75" hidden="false" customHeight="tru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customFormat="false" ht="15.75" hidden="false" customHeight="tru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customFormat="false" ht="15.75" hidden="false" customHeight="tru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customFormat="false" ht="15.75" hidden="false" customHeight="tru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customFormat="false" ht="15.75" hidden="false" customHeight="tru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customFormat="false" ht="15.75" hidden="false" customHeight="tru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customFormat="false" ht="15.75" hidden="false" customHeight="tru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customFormat="false" ht="15.75" hidden="false" customHeight="tru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customFormat="false" ht="15.75" hidden="false" customHeight="tru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customFormat="false" ht="15.75" hidden="false" customHeight="tru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customFormat="false" ht="15.75" hidden="false" customHeight="tru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customFormat="false" ht="15.75" hidden="false" customHeight="tru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customFormat="false" ht="15.75" hidden="false" customHeight="tru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customFormat="false" ht="15.75" hidden="false" customHeight="tru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customFormat="false" ht="15.75" hidden="false" customHeight="tru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customFormat="false" ht="15.75" hidden="false" customHeight="tru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customFormat="false" ht="15.75" hidden="false" customHeight="tru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customFormat="false" ht="15.75" hidden="false" customHeight="tru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customFormat="false" ht="15.75" hidden="false" customHeight="tru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customFormat="false" ht="15.75" hidden="false" customHeight="tru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customFormat="false" ht="15.75" hidden="false" customHeight="tru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customFormat="false" ht="15.75" hidden="false" customHeight="tru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customFormat="false" ht="15.75" hidden="false" customHeight="tru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customFormat="false" ht="15.75" hidden="false" customHeight="tru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customFormat="false" ht="15.75" hidden="false" customHeight="tru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customFormat="false" ht="15.75" hidden="false" customHeight="tru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customFormat="false" ht="15.75" hidden="false" customHeight="tru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customFormat="false" ht="15.75" hidden="false" customHeight="tru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customFormat="false" ht="15.75" hidden="false" customHeight="tru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customFormat="false" ht="15.75" hidden="false" customHeight="tru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customFormat="false" ht="15.75" hidden="false" customHeight="tru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customFormat="false" ht="15.75" hidden="false" customHeight="tru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customFormat="false" ht="15.75" hidden="false" customHeight="tru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customFormat="false" ht="15.75" hidden="false" customHeight="tru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customFormat="false" ht="15.75" hidden="false" customHeight="tru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customFormat="false" ht="15.75" hidden="false" customHeight="tru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customFormat="false" ht="15.75" hidden="false" customHeight="tru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customFormat="false" ht="15.75" hidden="false" customHeight="tru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customFormat="false" ht="15.75" hidden="false" customHeight="tru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customFormat="false" ht="15.75" hidden="false" customHeight="tru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customFormat="false" ht="15.75" hidden="false" customHeight="tru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customFormat="false" ht="15.75" hidden="false" customHeight="tru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customFormat="false" ht="15.75" hidden="false" customHeight="tru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customFormat="false" ht="15.75" hidden="false" customHeight="tru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customFormat="false" ht="15.75" hidden="false" customHeight="tru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customFormat="false" ht="15.75" hidden="false" customHeight="tru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customFormat="false" ht="15.75" hidden="false" customHeight="tru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customFormat="false" ht="15.75" hidden="false" customHeight="tru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customFormat="false" ht="15.75" hidden="false" customHeight="tru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customFormat="false" ht="15.75" hidden="false" customHeight="tru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customFormat="false" ht="15.75" hidden="false" customHeight="tru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customFormat="false" ht="15.75" hidden="false" customHeight="tru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customFormat="false" ht="15.75" hidden="false" customHeight="tru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customFormat="false" ht="15.75" hidden="false" customHeight="tru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customFormat="false" ht="15.75" hidden="false" customHeight="tru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customFormat="false" ht="15.75" hidden="false" customHeight="tru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customFormat="false" ht="15.75" hidden="false" customHeight="tru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customFormat="false" ht="15.75" hidden="false" customHeight="tru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customFormat="false" ht="15.75" hidden="false" customHeight="tru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customFormat="false" ht="15.75" hidden="false" customHeight="tru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customFormat="false" ht="15.75" hidden="false" customHeight="tru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customFormat="false" ht="15.75" hidden="false" customHeight="tru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customFormat="false" ht="15.75" hidden="false" customHeight="tru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customFormat="false" ht="15.75" hidden="false" customHeight="tru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customFormat="false" ht="15.75" hidden="false" customHeight="tru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customFormat="false" ht="15.75" hidden="false" customHeight="tru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customFormat="false" ht="15.75" hidden="false" customHeight="tru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customFormat="false" ht="15.75" hidden="false" customHeight="tru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customFormat="false" ht="15.75" hidden="false" customHeight="tru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customFormat="false" ht="15.75" hidden="false" customHeight="tru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customFormat="false" ht="15.75" hidden="false" customHeight="tru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customFormat="false" ht="15.75" hidden="false" customHeight="tru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customFormat="false" ht="15.75" hidden="false" customHeight="tru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customFormat="false" ht="15.75" hidden="false" customHeight="tru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customFormat="false" ht="15.75" hidden="false" customHeight="tru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customFormat="false" ht="15.75" hidden="false" customHeight="tru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customFormat="false" ht="15.75" hidden="false" customHeight="tru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customFormat="false" ht="15.75" hidden="false" customHeight="tru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customFormat="false" ht="15.75" hidden="false" customHeight="tru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customFormat="false" ht="15.75" hidden="false" customHeight="tru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customFormat="false" ht="15.75" hidden="false" customHeight="tru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customFormat="false" ht="15.75" hidden="false" customHeight="tru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customFormat="false" ht="15.75" hidden="false" customHeight="tru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customFormat="false" ht="15.75" hidden="false" customHeight="tru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customFormat="false" ht="15.75" hidden="false" customHeight="tru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customFormat="false" ht="15.75" hidden="false" customHeight="tru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customFormat="false" ht="15.75" hidden="false" customHeight="tru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customFormat="false" ht="15.75" hidden="false" customHeight="tru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customFormat="false" ht="15.75" hidden="false" customHeight="tru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customFormat="false" ht="15.75" hidden="false" customHeight="tru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customFormat="false" ht="15.75" hidden="false" customHeight="tru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customFormat="false" ht="15.75" hidden="false" customHeight="tru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customFormat="false" ht="15.75" hidden="false" customHeight="tru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customFormat="false" ht="15.75" hidden="false" customHeight="tru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customFormat="false" ht="15.75" hidden="false" customHeight="tru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customFormat="false" ht="15.75" hidden="false" customHeight="tru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customFormat="false" ht="15.75" hidden="false" customHeight="tru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customFormat="false" ht="15.75" hidden="false" customHeight="tru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customFormat="false" ht="15.75" hidden="false" customHeight="tru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customFormat="false" ht="15.75" hidden="false" customHeight="tru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customFormat="false" ht="15.75" hidden="false" customHeight="tru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customFormat="false" ht="15.75" hidden="false" customHeight="tru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customFormat="false" ht="15.75" hidden="false" customHeight="tru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customFormat="false" ht="15.75" hidden="false" customHeight="tru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customFormat="false" ht="15.75" hidden="false" customHeight="tru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customFormat="false" ht="15.75" hidden="false" customHeight="tru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customFormat="false" ht="15.75" hidden="false" customHeight="tru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customFormat="false" ht="15.75" hidden="false" customHeight="tru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customFormat="false" ht="15.75" hidden="false" customHeight="tru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customFormat="false" ht="15.75" hidden="false" customHeight="tru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customFormat="false" ht="15.75" hidden="false" customHeight="tru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customFormat="false" ht="15.75" hidden="false" customHeight="tru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customFormat="false" ht="15.75" hidden="false" customHeight="tru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customFormat="false" ht="15.75" hidden="false" customHeight="tru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customFormat="false" ht="15.75" hidden="false" customHeight="tru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customFormat="false" ht="15.75" hidden="false" customHeight="tru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customFormat="false" ht="15.75" hidden="false" customHeight="tru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customFormat="false" ht="15.75" hidden="false" customHeight="tru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customFormat="false" ht="15.75" hidden="false" customHeight="tru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customFormat="false" ht="15.75" hidden="false" customHeight="tru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customFormat="false" ht="15.75" hidden="false" customHeight="tru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customFormat="false" ht="15.75" hidden="false" customHeight="tru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customFormat="false" ht="15.75" hidden="false" customHeight="tru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customFormat="false" ht="15.75" hidden="false" customHeight="tru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customFormat="false" ht="15.75" hidden="false" customHeight="tru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customFormat="false" ht="15.75" hidden="false" customHeight="tru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customFormat="false" ht="15.75" hidden="false" customHeight="tru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customFormat="false" ht="15.75" hidden="false" customHeight="tru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customFormat="false" ht="15.75" hidden="false" customHeight="tru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customFormat="false" ht="15.75" hidden="false" customHeight="tru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customFormat="false" ht="15.75" hidden="false" customHeight="tru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customFormat="false" ht="15.75" hidden="false" customHeight="tru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customFormat="false" ht="15.75" hidden="false" customHeight="tru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customFormat="false" ht="15.75" hidden="false" customHeight="tru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customFormat="false" ht="15.75" hidden="false" customHeight="tru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customFormat="false" ht="15.75" hidden="false" customHeight="tru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customFormat="false" ht="15.75" hidden="false" customHeight="tru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customFormat="false" ht="15.75" hidden="false" customHeight="tru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customFormat="false" ht="15.75" hidden="false" customHeight="tru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customFormat="false" ht="15.75" hidden="false" customHeight="tru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customFormat="false" ht="15.75" hidden="false" customHeight="tru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customFormat="false" ht="15.75" hidden="false" customHeight="tru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customFormat="false" ht="15.75" hidden="false" customHeight="tru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customFormat="false" ht="15.75" hidden="false" customHeight="tru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customFormat="false" ht="15.75" hidden="false" customHeight="tru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customFormat="false" ht="15.75" hidden="false" customHeight="tru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customFormat="false" ht="15.75" hidden="false" customHeight="tru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customFormat="false" ht="15.75" hidden="false" customHeight="tru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customFormat="false" ht="15.75" hidden="false" customHeight="tru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customFormat="false" ht="15.75" hidden="false" customHeight="tru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customFormat="false" ht="15.75" hidden="false" customHeight="tru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customFormat="false" ht="15.75" hidden="false" customHeight="tru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customFormat="false" ht="15.75" hidden="false" customHeight="tru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customFormat="false" ht="15.75" hidden="false" customHeight="tru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customFormat="false" ht="15.75" hidden="false" customHeight="tru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customFormat="false" ht="15.75" hidden="false" customHeight="tru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customFormat="false" ht="15.75" hidden="false" customHeight="tru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customFormat="false" ht="15.75" hidden="false" customHeight="tru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customFormat="false" ht="15.75" hidden="false" customHeight="tru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customFormat="false" ht="15.75" hidden="false" customHeight="tru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customFormat="false" ht="15.75" hidden="false" customHeight="tru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customFormat="false" ht="15.75" hidden="false" customHeight="tru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customFormat="false" ht="15.75" hidden="false" customHeight="tru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customFormat="false" ht="15.75" hidden="false" customHeight="tru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customFormat="false" ht="15.75" hidden="false" customHeight="tru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customFormat="false" ht="15.75" hidden="false" customHeight="tru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customFormat="false" ht="15.75" hidden="false" customHeight="tru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customFormat="false" ht="15.75" hidden="false" customHeight="tru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customFormat="false" ht="15.75" hidden="false" customHeight="tru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customFormat="false" ht="15.75" hidden="false" customHeight="tru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customFormat="false" ht="15.75" hidden="false" customHeight="tru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customFormat="false" ht="15.75" hidden="false" customHeight="tru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customFormat="false" ht="15.75" hidden="false" customHeight="tru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customFormat="false" ht="15.75" hidden="false" customHeight="tru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customFormat="false" ht="15.75" hidden="false" customHeight="tru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customFormat="false" ht="15.75" hidden="false" customHeight="tru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customFormat="false" ht="15.75" hidden="false" customHeight="tru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customFormat="false" ht="15.75" hidden="false" customHeight="tru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customFormat="false" ht="15.75" hidden="false" customHeight="tru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customFormat="false" ht="15.75" hidden="false" customHeight="tru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customFormat="false" ht="15.75" hidden="false" customHeight="tru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customFormat="false" ht="15.75" hidden="false" customHeight="tru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customFormat="false" ht="15.75" hidden="false" customHeight="tru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customFormat="false" ht="15.75" hidden="false" customHeight="tru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customFormat="false" ht="15.75" hidden="false" customHeight="tru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customFormat="false" ht="15.75" hidden="false" customHeight="tru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customFormat="false" ht="15.75" hidden="false" customHeight="tru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customFormat="false" ht="15.75" hidden="false" customHeight="tru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customFormat="false" ht="15.75" hidden="false" customHeight="tru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customFormat="false" ht="15.75" hidden="false" customHeight="tru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customFormat="false" ht="15.75" hidden="false" customHeight="tru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customFormat="false" ht="15.75" hidden="false" customHeight="tru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customFormat="false" ht="15.75" hidden="false" customHeight="tru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customFormat="false" ht="15.75" hidden="false" customHeight="tru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customFormat="false" ht="15.75" hidden="false" customHeight="tru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customFormat="false" ht="15.75" hidden="false" customHeight="tru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customFormat="false" ht="15.75" hidden="false" customHeight="tru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customFormat="false" ht="15.75" hidden="false" customHeight="tru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customFormat="false" ht="15.75" hidden="false" customHeight="tru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customFormat="false" ht="15.75" hidden="false" customHeight="tru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customFormat="false" ht="15.75" hidden="false" customHeight="tru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customFormat="false" ht="15.75" hidden="false" customHeight="tru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customFormat="false" ht="15.75" hidden="false" customHeight="tru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customFormat="false" ht="15.75" hidden="false" customHeight="tru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customFormat="false" ht="15.75" hidden="false" customHeight="tru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customFormat="false" ht="15.75" hidden="false" customHeight="tru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customFormat="false" ht="15.75" hidden="false" customHeight="tru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customFormat="false" ht="15.75" hidden="false" customHeight="tru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customFormat="false" ht="15.75" hidden="false" customHeight="tru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customFormat="false" ht="15.75" hidden="false" customHeight="tru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customFormat="false" ht="15.75" hidden="false" customHeight="tru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customFormat="false" ht="15.75" hidden="false" customHeight="tru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customFormat="false" ht="15.75" hidden="false" customHeight="tru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customFormat="false" ht="15.75" hidden="false" customHeight="tru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customFormat="false" ht="15.75" hidden="false" customHeight="tru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customFormat="false" ht="15.75" hidden="false" customHeight="tru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customFormat="false" ht="15.75" hidden="false" customHeight="tru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customFormat="false" ht="15.75" hidden="false" customHeight="tru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customFormat="false" ht="15.75" hidden="false" customHeight="tru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customFormat="false" ht="15.75" hidden="false" customHeight="tru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customFormat="false" ht="15.75" hidden="false" customHeight="tru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customFormat="false" ht="15.75" hidden="false" customHeight="tru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customFormat="false" ht="15.75" hidden="false" customHeight="tru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customFormat="false" ht="15.75" hidden="false" customHeight="tru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customFormat="false" ht="15.75" hidden="false" customHeight="tru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customFormat="false" ht="15.75" hidden="false" customHeight="tru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customFormat="false" ht="15.75" hidden="false" customHeight="tru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customFormat="false" ht="15.75" hidden="false" customHeight="tru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customFormat="false" ht="15.75" hidden="false" customHeight="tru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customFormat="false" ht="15.75" hidden="false" customHeight="tru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customFormat="false" ht="15.75" hidden="false" customHeight="tru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customFormat="false" ht="15.75" hidden="false" customHeight="tru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customFormat="false" ht="15.75" hidden="false" customHeight="tru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customFormat="false" ht="15.75" hidden="false" customHeight="tru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customFormat="false" ht="15.75" hidden="false" customHeight="tru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customFormat="false" ht="15.75" hidden="false" customHeight="tru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customFormat="false" ht="15.75" hidden="false" customHeight="tru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customFormat="false" ht="15.75" hidden="false" customHeight="tru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customFormat="false" ht="15.75" hidden="false" customHeight="tru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customFormat="false" ht="15.75" hidden="false" customHeight="tru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customFormat="false" ht="15.75" hidden="false" customHeight="tru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customFormat="false" ht="15.75" hidden="false" customHeight="tru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customFormat="false" ht="15.75" hidden="false" customHeight="tru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customFormat="false" ht="15.75" hidden="false" customHeight="tru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customFormat="false" ht="15.75" hidden="false" customHeight="tru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customFormat="false" ht="15.75" hidden="false" customHeight="tru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customFormat="false" ht="15.75" hidden="false" customHeight="tru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customFormat="false" ht="15.75" hidden="false" customHeight="tru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customFormat="false" ht="15.75" hidden="false" customHeight="tru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customFormat="false" ht="15.75" hidden="false" customHeight="tru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customFormat="false" ht="15.75" hidden="false" customHeight="tru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customFormat="false" ht="15.75" hidden="false" customHeight="tru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customFormat="false" ht="15.75" hidden="false" customHeight="tru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customFormat="false" ht="15.75" hidden="false" customHeight="tru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customFormat="false" ht="15.75" hidden="false" customHeight="tru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customFormat="false" ht="15.75" hidden="false" customHeight="tru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customFormat="false" ht="15.75" hidden="false" customHeight="tru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customFormat="false" ht="15.75" hidden="false" customHeight="tru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customFormat="false" ht="15.75" hidden="false" customHeight="tru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customFormat="false" ht="15.75" hidden="false" customHeight="tru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customFormat="false" ht="15.75" hidden="false" customHeight="tru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customFormat="false" ht="15.75" hidden="false" customHeight="tru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customFormat="false" ht="15.75" hidden="false" customHeight="tru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customFormat="false" ht="15.75" hidden="false" customHeight="tru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customFormat="false" ht="15.75" hidden="false" customHeight="tru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customFormat="false" ht="15.75" hidden="false" customHeight="tru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customFormat="false" ht="15.75" hidden="false" customHeight="tru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customFormat="false" ht="15.75" hidden="false" customHeight="tru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customFormat="false" ht="15.75" hidden="false" customHeight="tru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customFormat="false" ht="15.75" hidden="false" customHeight="tru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customFormat="false" ht="15.75" hidden="false" customHeight="tru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customFormat="false" ht="15.75" hidden="false" customHeight="tru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customFormat="false" ht="15.75" hidden="false" customHeight="tru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customFormat="false" ht="15.75" hidden="false" customHeight="tru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customFormat="false" ht="15.75" hidden="false" customHeight="tru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customFormat="false" ht="15.75" hidden="false" customHeight="tru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customFormat="false" ht="15.75" hidden="false" customHeight="tru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customFormat="false" ht="15.75" hidden="false" customHeight="tru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customFormat="false" ht="15.75" hidden="false" customHeight="tru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customFormat="false" ht="15.75" hidden="false" customHeight="tru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customFormat="false" ht="15.75" hidden="false" customHeight="tru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customFormat="false" ht="15.75" hidden="false" customHeight="tru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customFormat="false" ht="15.75" hidden="false" customHeight="tru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customFormat="false" ht="15.75" hidden="false" customHeight="tru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customFormat="false" ht="15.75" hidden="false" customHeight="tru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customFormat="false" ht="15.75" hidden="false" customHeight="tru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customFormat="false" ht="15.75" hidden="false" customHeight="tru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customFormat="false" ht="15.75" hidden="false" customHeight="tru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customFormat="false" ht="15.75" hidden="false" customHeight="tru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customFormat="false" ht="15.75" hidden="false" customHeight="tru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customFormat="false" ht="15.75" hidden="false" customHeight="tru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customFormat="false" ht="15.75" hidden="false" customHeight="tru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customFormat="false" ht="15.75" hidden="false" customHeight="tru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customFormat="false" ht="15.75" hidden="false" customHeight="tru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customFormat="false" ht="15.75" hidden="false" customHeight="tru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customFormat="false" ht="15.75" hidden="false" customHeight="tru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customFormat="false" ht="15.75" hidden="false" customHeight="tru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customFormat="false" ht="15.75" hidden="false" customHeight="tru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customFormat="false" ht="15.75" hidden="false" customHeight="tru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customFormat="false" ht="15.75" hidden="false" customHeight="tru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customFormat="false" ht="15.75" hidden="false" customHeight="tru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customFormat="false" ht="15.75" hidden="false" customHeight="tru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customFormat="false" ht="15.75" hidden="false" customHeight="tru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customFormat="false" ht="15.75" hidden="false" customHeight="tru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customFormat="false" ht="15.75" hidden="false" customHeight="tru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customFormat="false" ht="15.75" hidden="false" customHeight="tru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customFormat="false" ht="15.75" hidden="false" customHeight="tru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customFormat="false" ht="15.75" hidden="false" customHeight="tru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customFormat="false" ht="15.75" hidden="false" customHeight="tru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customFormat="false" ht="15.75" hidden="false" customHeight="tru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customFormat="false" ht="15.75" hidden="false" customHeight="tru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customFormat="false" ht="15.75" hidden="false" customHeight="tru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customFormat="false" ht="15.75" hidden="false" customHeight="tru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customFormat="false" ht="15.75" hidden="false" customHeight="tru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customFormat="false" ht="15.75" hidden="false" customHeight="tru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customFormat="false" ht="15.75" hidden="false" customHeight="tru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customFormat="false" ht="15.75" hidden="false" customHeight="tru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customFormat="false" ht="15.75" hidden="false" customHeight="tru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customFormat="false" ht="15.75" hidden="false" customHeight="tru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customFormat="false" ht="15.75" hidden="false" customHeight="tru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customFormat="false" ht="15.75" hidden="false" customHeight="tru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customFormat="false" ht="15.75" hidden="false" customHeight="tru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customFormat="false" ht="15.75" hidden="false" customHeight="tru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customFormat="false" ht="15.75" hidden="false" customHeight="tru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customFormat="false" ht="15.75" hidden="false" customHeight="tru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customFormat="false" ht="15.75" hidden="false" customHeight="tru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customFormat="false" ht="15.75" hidden="false" customHeight="tru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customFormat="false" ht="15.75" hidden="false" customHeight="tru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customFormat="false" ht="15.75" hidden="false" customHeight="tru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customFormat="false" ht="15.75" hidden="false" customHeight="tru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customFormat="false" ht="15.75" hidden="false" customHeight="tru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customFormat="false" ht="15.75" hidden="false" customHeight="tru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customFormat="false" ht="15.75" hidden="false" customHeight="tru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customFormat="false" ht="15.75" hidden="false" customHeight="tru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customFormat="false" ht="15.75" hidden="false" customHeight="tru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customFormat="false" ht="15.75" hidden="false" customHeight="tru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customFormat="false" ht="15.75" hidden="false" customHeight="tru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customFormat="false" ht="15.75" hidden="false" customHeight="tru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customFormat="false" ht="15.75" hidden="false" customHeight="tru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customFormat="false" ht="15.75" hidden="false" customHeight="tru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customFormat="false" ht="15.75" hidden="false" customHeight="tru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customFormat="false" ht="15.75" hidden="false" customHeight="tru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customFormat="false" ht="15.75" hidden="false" customHeight="tru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customFormat="false" ht="15.75" hidden="false" customHeight="tru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customFormat="false" ht="15.75" hidden="false" customHeight="tru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customFormat="false" ht="15.75" hidden="false" customHeight="tru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customFormat="false" ht="15.75" hidden="false" customHeight="tru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customFormat="false" ht="15.75" hidden="false" customHeight="tru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customFormat="false" ht="15.75" hidden="false" customHeight="tru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customFormat="false" ht="15.75" hidden="false" customHeight="tru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customFormat="false" ht="15.75" hidden="false" customHeight="tru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customFormat="false" ht="15.75" hidden="false" customHeight="tru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customFormat="false" ht="15.75" hidden="false" customHeight="tru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customFormat="false" ht="15.75" hidden="false" customHeight="tru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customFormat="false" ht="15.75" hidden="false" customHeight="tru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customFormat="false" ht="15.75" hidden="false" customHeight="tru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customFormat="false" ht="15.75" hidden="false" customHeight="tru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customFormat="false" ht="15.75" hidden="false" customHeight="tru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customFormat="false" ht="15.75" hidden="false" customHeight="tru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customFormat="false" ht="15.75" hidden="false" customHeight="tru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customFormat="false" ht="15.75" hidden="false" customHeight="tru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customFormat="false" ht="15.75" hidden="false" customHeight="tru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customFormat="false" ht="15.75" hidden="false" customHeight="tru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customFormat="false" ht="15.75" hidden="false" customHeight="tru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customFormat="false" ht="15.75" hidden="false" customHeight="tru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customFormat="false" ht="15.75" hidden="false" customHeight="tru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customFormat="false" ht="15.75" hidden="false" customHeight="tru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customFormat="false" ht="15.75" hidden="false" customHeight="tru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customFormat="false" ht="15.75" hidden="false" customHeight="tru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customFormat="false" ht="15.75" hidden="false" customHeight="tru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customFormat="false" ht="15.75" hidden="false" customHeight="tru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customFormat="false" ht="15.75" hidden="false" customHeight="tru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customFormat="false" ht="15.75" hidden="false" customHeight="tru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customFormat="false" ht="15.75" hidden="false" customHeight="tru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customFormat="false" ht="15.75" hidden="false" customHeight="tru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customFormat="false" ht="15.75" hidden="false" customHeight="tru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customFormat="false" ht="15.75" hidden="false" customHeight="tru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customFormat="false" ht="15.75" hidden="false" customHeight="tru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customFormat="false" ht="15.75" hidden="false" customHeight="tru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customFormat="false" ht="15.75" hidden="false" customHeight="tru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customFormat="false" ht="15.75" hidden="false" customHeight="tru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customFormat="false" ht="15.75" hidden="false" customHeight="tru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customFormat="false" ht="15.75" hidden="false" customHeight="tru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customFormat="false" ht="15.75" hidden="false" customHeight="tru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customFormat="false" ht="15.75" hidden="false" customHeight="tru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customFormat="false" ht="15.75" hidden="false" customHeight="tru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customFormat="false" ht="15.75" hidden="false" customHeight="tru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customFormat="false" ht="15.75" hidden="false" customHeight="tru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customFormat="false" ht="15.75" hidden="false" customHeight="tru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customFormat="false" ht="15.75" hidden="false" customHeight="tru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customFormat="false" ht="15.75" hidden="false" customHeight="tru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customFormat="false" ht="15.75" hidden="false" customHeight="tru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customFormat="false" ht="15.75" hidden="false" customHeight="tru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customFormat="false" ht="15.75" hidden="false" customHeight="tru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customFormat="false" ht="15.75" hidden="false" customHeight="tru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customFormat="false" ht="15.75" hidden="false" customHeight="tru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customFormat="false" ht="15.75" hidden="false" customHeight="tru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customFormat="false" ht="15.75" hidden="false" customHeight="tru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customFormat="false" ht="15.75" hidden="false" customHeight="tru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customFormat="false" ht="15.75" hidden="false" customHeight="tru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fals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4.5078125" defaultRowHeight="15" customHeight="true" zeroHeight="false" outlineLevelRow="0" outlineLevelCol="0"/>
  <cols>
    <col collapsed="false" customWidth="true" hidden="false" outlineLevel="0" max="1" min="1" style="0" width="17.16"/>
    <col collapsed="false" customWidth="true" hidden="false" outlineLevel="0" max="2" min="2" style="0" width="8.16"/>
    <col collapsed="false" customWidth="true" hidden="false" outlineLevel="0" max="3" min="3" style="0" width="35.33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3.34"/>
    <col collapsed="false" customWidth="true" hidden="false" outlineLevel="0" max="7" min="7" style="0" width="19.67"/>
    <col collapsed="false" customWidth="true" hidden="false" outlineLevel="0" max="8" min="8" style="0" width="20.66"/>
    <col collapsed="false" customWidth="true" hidden="false" outlineLevel="0" max="9" min="9" style="0" width="14.67"/>
    <col collapsed="false" customWidth="true" hidden="false" outlineLevel="0" max="10" min="10" style="0" width="9.16"/>
    <col collapsed="false" customWidth="true" hidden="false" outlineLevel="0" max="11" min="11" style="0" width="30.67"/>
    <col collapsed="false" customWidth="true" hidden="false" outlineLevel="0" max="13" min="13" style="0" width="20.66"/>
    <col collapsed="false" customWidth="true" hidden="false" outlineLevel="0" max="18" min="18" style="0" width="11.5"/>
  </cols>
  <sheetData>
    <row r="1" customFormat="false" ht="15" hidden="false" customHeight="false" outlineLevel="0" collapsed="false">
      <c r="A1" s="1"/>
      <c r="B1" s="1"/>
      <c r="C1" s="1"/>
      <c r="D1" s="37"/>
      <c r="E1" s="1"/>
      <c r="F1" s="37"/>
      <c r="G1" s="1"/>
      <c r="H1" s="1"/>
      <c r="I1" s="1"/>
      <c r="J1" s="1"/>
      <c r="K1" s="1"/>
      <c r="M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" hidden="false" customHeight="true" outlineLevel="0" collapsed="false">
      <c r="A2" s="1"/>
      <c r="B2" s="1"/>
      <c r="C2" s="124" t="s">
        <v>110</v>
      </c>
      <c r="D2" s="37"/>
      <c r="E2" s="1"/>
      <c r="F2" s="37"/>
      <c r="G2" s="125"/>
      <c r="H2" s="126" t="s">
        <v>111</v>
      </c>
      <c r="I2" s="126"/>
      <c r="J2" s="126"/>
      <c r="K2" s="126"/>
      <c r="L2" s="126"/>
      <c r="M2" s="1"/>
      <c r="R2" s="1"/>
      <c r="S2" s="1"/>
      <c r="T2" s="1"/>
      <c r="U2" s="1"/>
      <c r="V2" s="1"/>
      <c r="W2" s="1"/>
      <c r="X2" s="1"/>
      <c r="Y2" s="1"/>
      <c r="Z2" s="1"/>
    </row>
    <row r="3" customFormat="false" ht="15" hidden="false" customHeight="false" outlineLevel="0" collapsed="false">
      <c r="A3" s="127" t="s">
        <v>112</v>
      </c>
      <c r="B3" s="128" t="n">
        <f aca="false">+D5+D6-D7-D8-D9-D10</f>
        <v>-220.655999999995</v>
      </c>
      <c r="C3" s="129"/>
      <c r="D3" s="130" t="s">
        <v>4</v>
      </c>
      <c r="E3" s="131" t="s">
        <v>5</v>
      </c>
      <c r="F3" s="131" t="s">
        <v>113</v>
      </c>
      <c r="G3" s="1"/>
      <c r="H3" s="132" t="s">
        <v>114</v>
      </c>
      <c r="I3" s="132"/>
      <c r="J3" s="1"/>
      <c r="K3" s="132" t="s">
        <v>115</v>
      </c>
      <c r="L3" s="132"/>
      <c r="M3" s="1"/>
      <c r="R3" s="1"/>
      <c r="S3" s="1"/>
      <c r="T3" s="1"/>
      <c r="U3" s="1"/>
      <c r="V3" s="1"/>
      <c r="W3" s="1"/>
      <c r="X3" s="1"/>
      <c r="Y3" s="1"/>
      <c r="Z3" s="1"/>
    </row>
    <row r="4" customFormat="false" ht="22.5" hidden="false" customHeight="true" outlineLevel="0" collapsed="false">
      <c r="A4" s="1"/>
      <c r="B4" s="133" t="s">
        <v>116</v>
      </c>
      <c r="C4" s="134" t="s">
        <v>117</v>
      </c>
      <c r="D4" s="135" t="n">
        <v>0</v>
      </c>
      <c r="E4" s="136"/>
      <c r="F4" s="136"/>
      <c r="G4" s="37" t="n">
        <f aca="false">+I4-L4</f>
        <v>-2867</v>
      </c>
      <c r="H4" s="137" t="s">
        <v>21</v>
      </c>
      <c r="I4" s="138" t="n">
        <v>0</v>
      </c>
      <c r="J4" s="1"/>
      <c r="K4" s="139" t="s">
        <v>21</v>
      </c>
      <c r="L4" s="138" t="n">
        <f aca="false">356+518+1509+484</f>
        <v>2867</v>
      </c>
      <c r="M4" s="1"/>
      <c r="R4" s="1"/>
      <c r="S4" s="1"/>
      <c r="T4" s="1"/>
      <c r="U4" s="1"/>
      <c r="V4" s="1"/>
      <c r="W4" s="1"/>
      <c r="X4" s="1"/>
      <c r="Y4" s="1"/>
      <c r="Z4" s="1"/>
    </row>
    <row r="5" customFormat="false" ht="15" hidden="false" customHeight="false" outlineLevel="0" collapsed="false">
      <c r="A5" s="1"/>
      <c r="B5" s="133"/>
      <c r="C5" s="140" t="s">
        <v>118</v>
      </c>
      <c r="D5" s="26" t="n">
        <v>68993</v>
      </c>
      <c r="E5" s="141" t="n">
        <v>0.535265699418782</v>
      </c>
      <c r="F5" s="141" t="n">
        <v>0.488526582406911</v>
      </c>
      <c r="G5" s="37" t="n">
        <f aca="false">+I5-L5</f>
        <v>-212</v>
      </c>
      <c r="H5" s="142" t="s">
        <v>23</v>
      </c>
      <c r="I5" s="143" t="n">
        <v>226</v>
      </c>
      <c r="J5" s="1"/>
      <c r="K5" s="144" t="s">
        <v>23</v>
      </c>
      <c r="L5" s="143" t="n">
        <v>438</v>
      </c>
      <c r="M5" s="1"/>
      <c r="R5" s="1"/>
      <c r="S5" s="1"/>
      <c r="T5" s="1"/>
      <c r="U5" s="1"/>
      <c r="V5" s="1"/>
      <c r="W5" s="1"/>
      <c r="X5" s="1"/>
      <c r="Y5" s="1"/>
      <c r="Z5" s="1"/>
    </row>
    <row r="6" customFormat="false" ht="15" hidden="false" customHeight="false" outlineLevel="0" collapsed="false">
      <c r="A6" s="1"/>
      <c r="B6" s="133"/>
      <c r="C6" s="140" t="s">
        <v>119</v>
      </c>
      <c r="D6" s="26" t="n">
        <v>10719.6</v>
      </c>
      <c r="E6" s="141" t="n">
        <v>0.552907106608456</v>
      </c>
      <c r="F6" s="141" t="n">
        <v>0.503180769804843</v>
      </c>
      <c r="G6" s="37" t="n">
        <f aca="false">+I6-L6</f>
        <v>478</v>
      </c>
      <c r="H6" s="142" t="s">
        <v>106</v>
      </c>
      <c r="I6" s="143" t="n">
        <f aca="false">1280+146+130</f>
        <v>1556</v>
      </c>
      <c r="J6" s="1"/>
      <c r="K6" s="144" t="s">
        <v>106</v>
      </c>
      <c r="L6" s="143" t="n">
        <f aca="false">1028+50</f>
        <v>1078</v>
      </c>
      <c r="M6" s="1"/>
      <c r="N6" s="37"/>
      <c r="R6" s="1"/>
      <c r="S6" s="1"/>
      <c r="T6" s="1"/>
      <c r="U6" s="1"/>
      <c r="V6" s="1"/>
      <c r="W6" s="1"/>
      <c r="X6" s="1"/>
      <c r="Y6" s="1"/>
      <c r="Z6" s="1"/>
    </row>
    <row r="7" customFormat="false" ht="15" hidden="false" customHeight="false" outlineLevel="0" collapsed="false">
      <c r="A7" s="1" t="n">
        <f aca="false">+D7/$D$5*100</f>
        <v>32.8542779702289</v>
      </c>
      <c r="B7" s="133"/>
      <c r="C7" s="145" t="s">
        <v>120</v>
      </c>
      <c r="D7" s="146" t="n">
        <v>22667.152</v>
      </c>
      <c r="E7" s="141" t="n">
        <v>0.605889534883721</v>
      </c>
      <c r="F7" s="141" t="n">
        <v>0.592211590697674</v>
      </c>
      <c r="G7" s="37" t="n">
        <f aca="false">+I7-L7</f>
        <v>-528</v>
      </c>
      <c r="H7" s="142" t="s">
        <v>107</v>
      </c>
      <c r="I7" s="143" t="n">
        <f aca="false">84+114+184</f>
        <v>382</v>
      </c>
      <c r="J7" s="1"/>
      <c r="K7" s="144" t="s">
        <v>107</v>
      </c>
      <c r="L7" s="143" t="n">
        <f aca="false">288+622</f>
        <v>910</v>
      </c>
      <c r="M7" s="1"/>
      <c r="R7" s="1"/>
      <c r="S7" s="1"/>
      <c r="T7" s="1"/>
      <c r="U7" s="1"/>
      <c r="V7" s="1"/>
      <c r="W7" s="1"/>
      <c r="X7" s="1"/>
      <c r="Y7" s="1"/>
      <c r="Z7" s="1"/>
    </row>
    <row r="8" customFormat="false" ht="15" hidden="false" customHeight="false" outlineLevel="0" collapsed="false">
      <c r="A8" s="1" t="n">
        <f aca="false">+D8/$D$5*100</f>
        <v>26.5448726682417</v>
      </c>
      <c r="B8" s="133"/>
      <c r="C8" s="145" t="s">
        <v>121</v>
      </c>
      <c r="D8" s="146" t="n">
        <v>18314.104</v>
      </c>
      <c r="E8" s="141" t="n">
        <v>0.602155555555556</v>
      </c>
      <c r="F8" s="141" t="n">
        <v>0.58622512</v>
      </c>
      <c r="G8" s="37" t="n">
        <f aca="false">+I8-L8</f>
        <v>80</v>
      </c>
      <c r="H8" s="147" t="s">
        <v>108</v>
      </c>
      <c r="I8" s="148" t="n">
        <v>250</v>
      </c>
      <c r="J8" s="1"/>
      <c r="K8" s="149" t="s">
        <v>108</v>
      </c>
      <c r="L8" s="148" t="n">
        <v>170</v>
      </c>
      <c r="M8" s="37"/>
      <c r="R8" s="1"/>
      <c r="S8" s="1"/>
      <c r="T8" s="1"/>
      <c r="U8" s="1"/>
      <c r="V8" s="1"/>
      <c r="W8" s="1"/>
      <c r="X8" s="1"/>
      <c r="Y8" s="1"/>
      <c r="Z8" s="1"/>
    </row>
    <row r="9" customFormat="false" ht="15" hidden="false" customHeight="false" outlineLevel="0" collapsed="false">
      <c r="A9" s="1" t="n">
        <f aca="false">+D9/$D$5*100</f>
        <v>19.0396127143333</v>
      </c>
      <c r="B9" s="133"/>
      <c r="C9" s="145" t="s">
        <v>122</v>
      </c>
      <c r="D9" s="26" t="n">
        <f aca="false">21136-8000</f>
        <v>13136</v>
      </c>
      <c r="E9" s="141" t="n">
        <v>0.357813953488372</v>
      </c>
      <c r="F9" s="141" t="n">
        <v>0.321851323255814</v>
      </c>
      <c r="G9" s="37" t="n">
        <f aca="false">+I9-L9</f>
        <v>-1067</v>
      </c>
      <c r="H9" s="147" t="s">
        <v>109</v>
      </c>
      <c r="I9" s="148" t="n">
        <v>0</v>
      </c>
      <c r="J9" s="1"/>
      <c r="K9" s="149" t="s">
        <v>109</v>
      </c>
      <c r="L9" s="148" t="n">
        <f aca="false">847+220</f>
        <v>1067</v>
      </c>
      <c r="M9" s="37"/>
      <c r="R9" s="1"/>
      <c r="S9" s="1"/>
      <c r="T9" s="1"/>
      <c r="U9" s="1"/>
      <c r="V9" s="1"/>
      <c r="W9" s="1"/>
      <c r="X9" s="1"/>
      <c r="Y9" s="1"/>
      <c r="Z9" s="1"/>
    </row>
    <row r="10" customFormat="false" ht="15" hidden="false" customHeight="false" outlineLevel="0" collapsed="false">
      <c r="A10" s="1" t="n">
        <f aca="false">+D10/$D$5*100</f>
        <v>37.4182888119085</v>
      </c>
      <c r="B10" s="133"/>
      <c r="C10" s="145" t="s">
        <v>123</v>
      </c>
      <c r="D10" s="26" t="n">
        <f aca="false">17816+8000</f>
        <v>25816</v>
      </c>
      <c r="E10" s="141" t="n">
        <v>0.544313333333333</v>
      </c>
      <c r="F10" s="141" t="n">
        <v>0.522271713333333</v>
      </c>
      <c r="G10" s="37" t="n">
        <f aca="false">+I10-L10</f>
        <v>-176</v>
      </c>
      <c r="H10" s="147" t="s">
        <v>32</v>
      </c>
      <c r="I10" s="148" t="n">
        <v>0</v>
      </c>
      <c r="J10" s="1"/>
      <c r="K10" s="149" t="s">
        <v>32</v>
      </c>
      <c r="L10" s="148" t="n">
        <v>176</v>
      </c>
      <c r="M10" s="37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" hidden="false" customHeight="false" outlineLevel="0" collapsed="false">
      <c r="A11" s="1"/>
      <c r="B11" s="133"/>
      <c r="C11" s="150" t="s">
        <v>80</v>
      </c>
      <c r="D11" s="26"/>
      <c r="E11" s="141"/>
      <c r="F11" s="151"/>
      <c r="G11" s="37" t="n">
        <f aca="false">+I11-L11</f>
        <v>-1162</v>
      </c>
      <c r="H11" s="152" t="s">
        <v>124</v>
      </c>
      <c r="I11" s="153" t="n">
        <f aca="false">1971+1106</f>
        <v>3077</v>
      </c>
      <c r="J11" s="1"/>
      <c r="K11" s="152" t="s">
        <v>124</v>
      </c>
      <c r="L11" s="153" t="n">
        <v>4239</v>
      </c>
      <c r="M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" hidden="false" customHeight="false" outlineLevel="0" collapsed="false">
      <c r="A12" s="1"/>
      <c r="B12" s="133"/>
      <c r="C12" s="150" t="s">
        <v>81</v>
      </c>
      <c r="D12" s="154" t="n">
        <v>20879.29</v>
      </c>
      <c r="E12" s="155" t="n">
        <v>0.5849</v>
      </c>
      <c r="F12" s="155" t="n">
        <f aca="false">+F7</f>
        <v>0.592211590697674</v>
      </c>
      <c r="G12" s="37"/>
      <c r="H12" s="156" t="s">
        <v>125</v>
      </c>
      <c r="I12" s="157"/>
      <c r="J12" s="1"/>
      <c r="K12" s="1"/>
      <c r="M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" hidden="false" customHeight="false" outlineLevel="0" collapsed="false">
      <c r="A13" s="1"/>
      <c r="B13" s="133"/>
      <c r="C13" s="150" t="s">
        <v>84</v>
      </c>
      <c r="D13" s="26"/>
      <c r="E13" s="155"/>
      <c r="F13" s="155"/>
      <c r="G13" s="37"/>
      <c r="H13" s="37"/>
      <c r="I13" s="37"/>
      <c r="J13" s="1"/>
      <c r="K13" s="158" t="s">
        <v>126</v>
      </c>
      <c r="L13" s="158"/>
      <c r="M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" hidden="false" customHeight="false" outlineLevel="0" collapsed="false">
      <c r="A14" s="1"/>
      <c r="B14" s="133"/>
      <c r="C14" s="150" t="s">
        <v>85</v>
      </c>
      <c r="D14" s="154" t="n">
        <v>16230.67</v>
      </c>
      <c r="E14" s="155" t="n">
        <v>0.6006</v>
      </c>
      <c r="F14" s="155" t="n">
        <f aca="false">+F8</f>
        <v>0.58622512</v>
      </c>
      <c r="G14" s="115" t="n">
        <f aca="false">+E7-F7</f>
        <v>0.013677944186047</v>
      </c>
      <c r="H14" s="37"/>
      <c r="I14" s="1"/>
      <c r="J14" s="1"/>
      <c r="K14" s="22" t="s">
        <v>127</v>
      </c>
      <c r="L14" s="26" t="n">
        <v>4207</v>
      </c>
      <c r="M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5" hidden="false" customHeight="false" outlineLevel="0" collapsed="false">
      <c r="A15" s="1"/>
      <c r="B15" s="133"/>
      <c r="C15" s="150" t="s">
        <v>88</v>
      </c>
      <c r="D15" s="159" t="n">
        <v>4696</v>
      </c>
      <c r="E15" s="160" t="n">
        <f aca="false">+E9</f>
        <v>0.357813953488372</v>
      </c>
      <c r="F15" s="160" t="n">
        <f aca="false">+F9</f>
        <v>0.321851323255814</v>
      </c>
      <c r="G15" s="1"/>
      <c r="H15" s="37"/>
      <c r="I15" s="37"/>
      <c r="J15" s="1"/>
      <c r="K15" s="22" t="s">
        <v>128</v>
      </c>
      <c r="L15" s="161" t="n">
        <v>2</v>
      </c>
      <c r="M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5" hidden="false" customHeight="false" outlineLevel="0" collapsed="false">
      <c r="A16" s="1"/>
      <c r="B16" s="133"/>
      <c r="C16" s="150" t="s">
        <v>91</v>
      </c>
      <c r="D16" s="26" t="n">
        <v>26876.47</v>
      </c>
      <c r="E16" s="141" t="n">
        <v>0.4116</v>
      </c>
      <c r="F16" s="141" t="n">
        <v>0.376</v>
      </c>
      <c r="G16" s="1"/>
      <c r="H16" s="162"/>
      <c r="I16" s="162"/>
      <c r="J16" s="1"/>
      <c r="K16" s="22" t="s">
        <v>129</v>
      </c>
      <c r="L16" s="26" t="n">
        <f aca="false">+L14*L15</f>
        <v>8414</v>
      </c>
      <c r="M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5" hidden="false" customHeight="false" outlineLevel="0" collapsed="false">
      <c r="A17" s="127" t="s">
        <v>112</v>
      </c>
      <c r="B17" s="163"/>
      <c r="C17" s="164" t="s">
        <v>130</v>
      </c>
      <c r="D17" s="165"/>
      <c r="E17" s="166"/>
      <c r="F17" s="166"/>
      <c r="G17" s="1"/>
      <c r="H17" s="167"/>
      <c r="I17" s="37"/>
      <c r="J17" s="1"/>
      <c r="K17" s="22" t="s">
        <v>131</v>
      </c>
      <c r="L17" s="26" t="n">
        <f aca="false">+'Bal AL FeT'!J39+'Bal ML FeT'!J30</f>
        <v>5481.5902368</v>
      </c>
      <c r="M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4.25" hidden="false" customHeight="true" outlineLevel="0" collapsed="false">
      <c r="A18" s="128" t="n">
        <f aca="false">+D18+D19-D21-D22-D23</f>
        <v>380</v>
      </c>
      <c r="B18" s="168" t="s">
        <v>132</v>
      </c>
      <c r="C18" s="169" t="s">
        <v>133</v>
      </c>
      <c r="D18" s="170" t="n">
        <v>26924</v>
      </c>
      <c r="E18" s="171" t="n">
        <v>0.441342081414351</v>
      </c>
      <c r="F18" s="171" t="n">
        <v>0.40327125984252</v>
      </c>
      <c r="G18" s="1"/>
      <c r="H18" s="167"/>
      <c r="I18" s="172"/>
      <c r="J18" s="1"/>
      <c r="K18" s="22" t="s">
        <v>134</v>
      </c>
      <c r="L18" s="26" t="n">
        <f aca="false">+L17-L16</f>
        <v>-2932.4097632</v>
      </c>
      <c r="M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5" hidden="false" customHeight="false" outlineLevel="0" collapsed="false">
      <c r="A19" s="1"/>
      <c r="B19" s="168"/>
      <c r="C19" s="173" t="s">
        <v>135</v>
      </c>
      <c r="D19" s="170" t="n">
        <v>9033</v>
      </c>
      <c r="E19" s="171" t="n">
        <v>0.42468630576774</v>
      </c>
      <c r="F19" s="171" t="n">
        <v>0.37383114137053</v>
      </c>
      <c r="G19" s="1"/>
      <c r="H19" s="167"/>
      <c r="I19" s="37"/>
      <c r="J19" s="1"/>
      <c r="K19" s="22" t="s">
        <v>136</v>
      </c>
      <c r="L19" s="26" t="n">
        <v>4689</v>
      </c>
      <c r="M19" s="1"/>
      <c r="P19" s="37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5" hidden="false" customHeight="false" outlineLevel="0" collapsed="false">
      <c r="A20" s="1"/>
      <c r="B20" s="168"/>
      <c r="C20" s="173" t="s">
        <v>137</v>
      </c>
      <c r="D20" s="170"/>
      <c r="E20" s="171"/>
      <c r="F20" s="171"/>
      <c r="G20" s="1"/>
      <c r="H20" s="37"/>
      <c r="I20" s="1"/>
      <c r="J20" s="1"/>
      <c r="K20" s="22" t="s">
        <v>138</v>
      </c>
      <c r="L20" s="26" t="n">
        <f aca="false">+L18-L19</f>
        <v>-7621.4097632</v>
      </c>
      <c r="M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.75" hidden="false" customHeight="true" outlineLevel="0" collapsed="false">
      <c r="A21" s="1"/>
      <c r="B21" s="168"/>
      <c r="C21" s="174" t="s">
        <v>93</v>
      </c>
      <c r="D21" s="170" t="n">
        <v>18014.457</v>
      </c>
      <c r="E21" s="171" t="n">
        <v>0.452577272727273</v>
      </c>
      <c r="F21" s="171" t="n">
        <v>0.422707531818182</v>
      </c>
      <c r="G21" s="1"/>
      <c r="H21" s="37"/>
      <c r="I21" s="1"/>
      <c r="J21" s="1"/>
      <c r="K21" s="1"/>
      <c r="L21" s="37"/>
      <c r="M21" s="1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.75" hidden="false" customHeight="true" outlineLevel="0" collapsed="false">
      <c r="A22" s="1"/>
      <c r="B22" s="168"/>
      <c r="C22" s="174" t="s">
        <v>96</v>
      </c>
      <c r="D22" s="170" t="n">
        <v>7710.325</v>
      </c>
      <c r="E22" s="171" t="n">
        <v>0.44858</v>
      </c>
      <c r="F22" s="171" t="n">
        <v>0.41259171</v>
      </c>
      <c r="G22" s="1"/>
      <c r="H22" s="37"/>
      <c r="I22" s="1"/>
      <c r="J22" s="1"/>
      <c r="K22" s="1"/>
      <c r="M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.75" hidden="false" customHeight="true" outlineLevel="0" collapsed="false">
      <c r="A23" s="1"/>
      <c r="B23" s="168"/>
      <c r="C23" s="174" t="s">
        <v>99</v>
      </c>
      <c r="D23" s="170" t="n">
        <v>9852.218</v>
      </c>
      <c r="E23" s="171" t="n">
        <v>0.196191304347826</v>
      </c>
      <c r="F23" s="171" t="n">
        <v>0.140108765217391</v>
      </c>
      <c r="G23" s="1"/>
      <c r="H23" s="37"/>
      <c r="I23" s="1"/>
      <c r="J23" s="1"/>
      <c r="K23" s="1"/>
      <c r="L23" s="37"/>
      <c r="M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.75" hidden="false" customHeight="true" outlineLevel="0" collapsed="false">
      <c r="A24" s="1"/>
      <c r="B24" s="168"/>
      <c r="C24" s="175" t="s">
        <v>139</v>
      </c>
      <c r="D24" s="26" t="n">
        <v>19779.46</v>
      </c>
      <c r="E24" s="171" t="n">
        <v>0.4624</v>
      </c>
      <c r="F24" s="171" t="n">
        <v>0.4338</v>
      </c>
      <c r="G24" s="1"/>
      <c r="H24" s="37"/>
      <c r="I24" s="1"/>
      <c r="J24" s="1"/>
      <c r="K24" s="1"/>
      <c r="M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.75" hidden="false" customHeight="true" outlineLevel="0" collapsed="false">
      <c r="A25" s="1"/>
      <c r="B25" s="168"/>
      <c r="C25" s="175" t="s">
        <v>140</v>
      </c>
      <c r="D25" s="26" t="n">
        <v>7855.43</v>
      </c>
      <c r="E25" s="141" t="n">
        <v>0.4712</v>
      </c>
      <c r="F25" s="141" t="n">
        <v>0.4313</v>
      </c>
      <c r="G25" s="1"/>
      <c r="H25" s="37"/>
      <c r="I25" s="1"/>
      <c r="J25" s="1"/>
      <c r="K25" s="1" t="s">
        <v>141</v>
      </c>
      <c r="M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.75" hidden="false" customHeight="true" outlineLevel="0" collapsed="false">
      <c r="A26" s="1"/>
      <c r="B26" s="168"/>
      <c r="C26" s="175" t="s">
        <v>101</v>
      </c>
      <c r="D26" s="159" t="n">
        <v>11126</v>
      </c>
      <c r="E26" s="176" t="n">
        <f aca="false">+E23</f>
        <v>0.196191304347826</v>
      </c>
      <c r="F26" s="176" t="n">
        <f aca="false">+F23</f>
        <v>0.140108765217391</v>
      </c>
      <c r="G26" s="1"/>
      <c r="H26" s="37"/>
      <c r="I26" s="1"/>
      <c r="J26" s="1"/>
      <c r="K26" s="1"/>
      <c r="M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.75" hidden="false" customHeight="true" outlineLevel="0" collapsed="false">
      <c r="A27" s="1"/>
      <c r="B27" s="168"/>
      <c r="C27" s="177" t="s">
        <v>142</v>
      </c>
      <c r="D27" s="178" t="n">
        <v>35808.82</v>
      </c>
      <c r="E27" s="179" t="n">
        <f aca="false">+E18</f>
        <v>0.441342081414351</v>
      </c>
      <c r="F27" s="179" t="n">
        <f aca="false">+F18</f>
        <v>0.40327125984252</v>
      </c>
      <c r="G27" s="1"/>
      <c r="H27" s="37"/>
      <c r="I27" s="1"/>
      <c r="J27" s="1"/>
      <c r="K27" s="1"/>
      <c r="L27" s="37"/>
      <c r="M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29.25" hidden="false" customHeight="true" outlineLevel="0" collapsed="false">
      <c r="A28" s="1"/>
      <c r="B28" s="1"/>
      <c r="C28" s="164"/>
      <c r="D28" s="1"/>
      <c r="E28" s="1"/>
      <c r="F28" s="1"/>
      <c r="G28" s="1"/>
      <c r="H28" s="1"/>
      <c r="I28" s="1"/>
      <c r="J28" s="1"/>
      <c r="K28" s="1"/>
      <c r="M28" s="180"/>
      <c r="N28" s="19"/>
      <c r="O28" s="19"/>
      <c r="P28" s="19"/>
      <c r="Q28" s="19"/>
      <c r="R28" s="19"/>
      <c r="S28" s="1"/>
      <c r="T28" s="1"/>
      <c r="U28" s="1"/>
      <c r="V28" s="1"/>
      <c r="W28" s="1"/>
      <c r="X28" s="1"/>
      <c r="Y28" s="1"/>
      <c r="Z28" s="1"/>
    </row>
    <row r="29" customFormat="false" ht="15.75" hidden="false" customHeight="true" outlineLevel="0" collapsed="false">
      <c r="A29" s="1"/>
      <c r="B29" s="1"/>
      <c r="C29" s="1"/>
      <c r="D29" s="37"/>
      <c r="E29" s="1"/>
      <c r="F29" s="1"/>
      <c r="G29" s="1"/>
      <c r="H29" s="1"/>
      <c r="I29" s="1"/>
      <c r="J29" s="1"/>
      <c r="K29" s="1"/>
      <c r="M29" s="31"/>
      <c r="N29" s="44"/>
      <c r="O29" s="44"/>
      <c r="P29" s="44"/>
      <c r="Q29" s="44"/>
      <c r="R29" s="44"/>
      <c r="S29" s="1"/>
      <c r="T29" s="1"/>
      <c r="U29" s="1"/>
      <c r="V29" s="1"/>
      <c r="W29" s="1"/>
      <c r="X29" s="1"/>
      <c r="Y29" s="1"/>
      <c r="Z29" s="1"/>
    </row>
    <row r="30" customFormat="false" ht="15.75" hidden="false" customHeight="true" outlineLevel="0" collapsed="false">
      <c r="A30" s="1"/>
      <c r="B30" s="1"/>
      <c r="C30" s="1"/>
      <c r="D30" s="37"/>
      <c r="E30" s="1"/>
      <c r="F30" s="1"/>
      <c r="G30" s="1"/>
      <c r="H30" s="1"/>
      <c r="I30" s="1"/>
      <c r="J30" s="1"/>
      <c r="K30" s="1"/>
      <c r="L30" s="37"/>
      <c r="M30" s="31"/>
      <c r="N30" s="44"/>
      <c r="O30" s="44"/>
      <c r="P30" s="44"/>
      <c r="Q30" s="44"/>
      <c r="R30" s="44"/>
      <c r="S30" s="1"/>
      <c r="T30" s="1"/>
      <c r="U30" s="1"/>
      <c r="V30" s="1"/>
      <c r="W30" s="1"/>
      <c r="X30" s="1"/>
      <c r="Y30" s="1"/>
      <c r="Z30" s="1"/>
    </row>
    <row r="31" customFormat="false" ht="15.75" hidden="false" customHeight="true" outlineLevel="0" collapsed="false">
      <c r="A31" s="1"/>
      <c r="B31" s="1"/>
      <c r="C31" s="1"/>
      <c r="D31" s="37"/>
      <c r="E31" s="1"/>
      <c r="F31" s="1"/>
      <c r="G31" s="1"/>
      <c r="H31" s="1"/>
      <c r="I31" s="1"/>
      <c r="J31" s="1"/>
      <c r="K31" s="1"/>
      <c r="M31" s="31"/>
      <c r="N31" s="44"/>
      <c r="O31" s="44"/>
      <c r="P31" s="44"/>
      <c r="Q31" s="44"/>
      <c r="R31" s="44"/>
      <c r="S31" s="1"/>
      <c r="T31" s="1"/>
      <c r="U31" s="1"/>
      <c r="V31" s="1"/>
      <c r="W31" s="1"/>
      <c r="X31" s="1"/>
      <c r="Y31" s="1"/>
      <c r="Z31" s="1"/>
    </row>
    <row r="32" customFormat="false" ht="15.75" hidden="false" customHeight="true" outlineLevel="0" collapsed="false">
      <c r="A32" s="1"/>
      <c r="B32" s="1"/>
      <c r="C32" s="181"/>
      <c r="D32" s="182" t="s">
        <v>143</v>
      </c>
      <c r="E32" s="182" t="s">
        <v>12</v>
      </c>
      <c r="F32" s="182" t="s">
        <v>144</v>
      </c>
      <c r="G32" s="1"/>
      <c r="H32" s="183"/>
      <c r="I32" s="183"/>
      <c r="J32" s="1"/>
      <c r="K32" s="1"/>
      <c r="M32" s="31"/>
      <c r="N32" s="44"/>
      <c r="O32" s="44"/>
      <c r="P32" s="44"/>
      <c r="Q32" s="44"/>
      <c r="R32" s="44"/>
      <c r="S32" s="1"/>
      <c r="T32" s="1"/>
      <c r="U32" s="1"/>
      <c r="V32" s="1"/>
      <c r="W32" s="1"/>
      <c r="X32" s="1"/>
      <c r="Y32" s="1"/>
      <c r="Z32" s="1"/>
    </row>
    <row r="33" customFormat="false" ht="15.75" hidden="false" customHeight="true" outlineLevel="0" collapsed="false">
      <c r="A33" s="1"/>
      <c r="B33" s="1"/>
      <c r="C33" s="184" t="s">
        <v>145</v>
      </c>
      <c r="D33" s="185" t="n">
        <v>394.25</v>
      </c>
      <c r="E33" s="185"/>
      <c r="F33" s="185" t="n">
        <v>277.25</v>
      </c>
      <c r="G33" s="1"/>
      <c r="H33" s="183"/>
      <c r="I33" s="183"/>
      <c r="J33" s="1"/>
      <c r="K33" s="1"/>
      <c r="M33" s="31"/>
      <c r="N33" s="44"/>
      <c r="O33" s="44"/>
      <c r="P33" s="44"/>
      <c r="Q33" s="44"/>
      <c r="R33" s="44"/>
      <c r="S33" s="1"/>
      <c r="T33" s="1"/>
      <c r="U33" s="1"/>
      <c r="V33" s="1"/>
      <c r="W33" s="1"/>
      <c r="X33" s="1"/>
      <c r="Y33" s="1"/>
      <c r="Z33" s="1"/>
    </row>
    <row r="34" customFormat="false" ht="15.75" hidden="false" customHeight="true" outlineLevel="0" collapsed="false">
      <c r="A34" s="1"/>
      <c r="B34" s="1"/>
      <c r="C34" s="181"/>
      <c r="D34" s="182" t="s">
        <v>143</v>
      </c>
      <c r="E34" s="182" t="s">
        <v>107</v>
      </c>
      <c r="F34" s="182" t="s">
        <v>144</v>
      </c>
      <c r="G34" s="1"/>
      <c r="H34" s="183"/>
      <c r="I34" s="183"/>
      <c r="J34" s="1"/>
      <c r="K34" s="1"/>
      <c r="M34" s="31"/>
      <c r="N34" s="44"/>
      <c r="O34" s="44"/>
      <c r="P34" s="44"/>
      <c r="Q34" s="44"/>
      <c r="R34" s="44"/>
      <c r="S34" s="1"/>
      <c r="T34" s="1"/>
      <c r="U34" s="1"/>
      <c r="V34" s="1"/>
      <c r="W34" s="1"/>
      <c r="X34" s="1"/>
      <c r="Y34" s="1"/>
      <c r="Z34" s="1"/>
    </row>
    <row r="35" customFormat="false" ht="15.75" hidden="false" customHeight="true" outlineLevel="0" collapsed="false">
      <c r="A35" s="1"/>
      <c r="B35" s="1"/>
      <c r="C35" s="184" t="s">
        <v>146</v>
      </c>
      <c r="D35" s="185"/>
      <c r="E35" s="185"/>
      <c r="F35" s="185"/>
      <c r="G35" s="1"/>
      <c r="H35" s="116"/>
      <c r="I35" s="116"/>
      <c r="J35" s="1"/>
      <c r="K35" s="1"/>
      <c r="M35" s="186"/>
      <c r="N35" s="187"/>
      <c r="O35" s="187"/>
      <c r="P35" s="187"/>
      <c r="Q35" s="187"/>
      <c r="R35" s="187"/>
      <c r="S35" s="1"/>
      <c r="T35" s="1"/>
      <c r="U35" s="1"/>
      <c r="V35" s="1"/>
      <c r="W35" s="1"/>
      <c r="X35" s="1"/>
      <c r="Y35" s="1"/>
      <c r="Z35" s="1"/>
    </row>
    <row r="36" customFormat="false" ht="15.75" hidden="false" customHeight="true" outlineLevel="0" collapsed="false">
      <c r="A36" s="1"/>
      <c r="B36" s="1"/>
      <c r="C36" s="181"/>
      <c r="D36" s="182" t="s">
        <v>107</v>
      </c>
      <c r="E36" s="182" t="s">
        <v>12</v>
      </c>
      <c r="F36" s="182"/>
      <c r="G36" s="1"/>
      <c r="H36" s="37"/>
      <c r="I36" s="1"/>
      <c r="J36" s="1"/>
      <c r="K36" s="1"/>
      <c r="M36" s="1"/>
      <c r="O36" s="37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.75" hidden="false" customHeight="true" outlineLevel="0" collapsed="false">
      <c r="A37" s="1"/>
      <c r="B37" s="1"/>
      <c r="C37" s="184" t="s">
        <v>147</v>
      </c>
      <c r="D37" s="185"/>
      <c r="E37" s="185" t="n">
        <v>663.3</v>
      </c>
      <c r="F37" s="185"/>
      <c r="G37" s="1"/>
      <c r="H37" s="1"/>
      <c r="I37" s="1"/>
      <c r="J37" s="1"/>
      <c r="K37" s="1"/>
      <c r="M37" s="1"/>
      <c r="O37" s="37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.75" hidden="false" customHeight="true" outlineLevel="0" collapsed="false">
      <c r="A38" s="1"/>
      <c r="B38" s="1"/>
      <c r="C38" s="181"/>
      <c r="D38" s="182" t="s">
        <v>107</v>
      </c>
      <c r="E38" s="182" t="s">
        <v>12</v>
      </c>
      <c r="F38" s="182"/>
      <c r="G38" s="1"/>
      <c r="H38" s="1"/>
      <c r="I38" s="1"/>
      <c r="J38" s="1"/>
      <c r="K38" s="1"/>
      <c r="M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.75" hidden="false" customHeight="true" outlineLevel="0" collapsed="false">
      <c r="A39" s="1"/>
      <c r="B39" s="1"/>
      <c r="C39" s="184" t="s">
        <v>148</v>
      </c>
      <c r="D39" s="185"/>
      <c r="E39" s="185"/>
      <c r="F39" s="185"/>
      <c r="G39" s="1"/>
      <c r="H39" s="1"/>
      <c r="I39" s="1"/>
      <c r="J39" s="1"/>
      <c r="K39" s="1"/>
      <c r="M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5.75" hidden="false" customHeight="tru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80" t="s">
        <v>149</v>
      </c>
      <c r="M40" s="180" t="s">
        <v>50</v>
      </c>
      <c r="N40" s="19" t="s">
        <v>150</v>
      </c>
      <c r="O40" s="19" t="s">
        <v>151</v>
      </c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5.75" hidden="false" customHeight="tru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31"/>
      <c r="M41" s="31" t="s">
        <v>106</v>
      </c>
      <c r="N41" s="44"/>
      <c r="O41" s="44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5.75" hidden="false" customHeight="true" outlineLevel="0" collapsed="false">
      <c r="A42" s="1"/>
      <c r="B42" s="1"/>
      <c r="C42" s="188"/>
      <c r="D42" s="189"/>
      <c r="E42" s="188"/>
      <c r="F42" s="1"/>
      <c r="G42" s="1"/>
      <c r="H42" s="1"/>
      <c r="I42" s="1"/>
      <c r="J42" s="1"/>
      <c r="K42" s="1"/>
      <c r="L42" s="31"/>
      <c r="M42" s="31" t="s">
        <v>107</v>
      </c>
      <c r="N42" s="44"/>
      <c r="O42" s="44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5.75" hidden="false" customHeight="true" outlineLevel="0" collapsed="false">
      <c r="A43" s="1"/>
      <c r="B43" s="1"/>
      <c r="C43" s="188"/>
      <c r="D43" s="189"/>
      <c r="E43" s="188"/>
      <c r="F43" s="1"/>
      <c r="G43" s="1"/>
      <c r="H43" s="1"/>
      <c r="I43" s="1"/>
      <c r="J43" s="1"/>
      <c r="K43" s="1"/>
      <c r="L43" s="31"/>
      <c r="M43" s="31" t="s">
        <v>144</v>
      </c>
      <c r="N43" s="44"/>
      <c r="O43" s="44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5.75" hidden="false" customHeight="true" outlineLevel="0" collapsed="false">
      <c r="A44" s="1"/>
      <c r="B44" s="1"/>
      <c r="C44" s="188"/>
      <c r="D44" s="189"/>
      <c r="E44" s="188"/>
      <c r="F44" s="1"/>
      <c r="G44" s="1"/>
      <c r="H44" s="1"/>
      <c r="I44" s="1"/>
      <c r="J44" s="1"/>
      <c r="K44" s="1"/>
      <c r="L44" s="31" t="n">
        <v>10000880</v>
      </c>
      <c r="M44" s="31" t="s">
        <v>124</v>
      </c>
      <c r="N44" s="44" t="n">
        <v>1.18</v>
      </c>
      <c r="O44" s="44" t="n">
        <v>0</v>
      </c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5.75" hidden="false" customHeight="true" outlineLevel="0" collapsed="false">
      <c r="A45" s="1"/>
      <c r="B45" s="1"/>
      <c r="C45" s="188"/>
      <c r="D45" s="189"/>
      <c r="E45" s="188"/>
      <c r="F45" s="1"/>
      <c r="G45" s="1"/>
      <c r="H45" s="1"/>
      <c r="I45" s="1"/>
      <c r="J45" s="1"/>
      <c r="K45" s="1"/>
      <c r="L45" s="31" t="n">
        <v>10000744</v>
      </c>
      <c r="M45" s="31" t="s">
        <v>23</v>
      </c>
      <c r="N45" s="44" t="n">
        <v>222.03</v>
      </c>
      <c r="O45" s="44" t="n">
        <v>0</v>
      </c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5.75" hidden="false" customHeight="true" outlineLevel="0" collapsed="false">
      <c r="A46" s="1"/>
      <c r="B46" s="1"/>
      <c r="C46" s="188"/>
      <c r="D46" s="189"/>
      <c r="E46" s="188"/>
      <c r="F46" s="1"/>
      <c r="G46" s="1"/>
      <c r="H46" s="1"/>
      <c r="I46" s="1"/>
      <c r="J46" s="1"/>
      <c r="K46" s="1"/>
      <c r="L46" s="31" t="n">
        <v>10000743</v>
      </c>
      <c r="M46" s="31" t="s">
        <v>21</v>
      </c>
      <c r="N46" s="44" t="n">
        <v>0.044</v>
      </c>
      <c r="O46" s="44" t="n">
        <v>0</v>
      </c>
      <c r="P46" s="37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5.75" hidden="false" customHeight="tru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86" t="n">
        <v>10000742</v>
      </c>
      <c r="M47" s="186" t="s">
        <v>152</v>
      </c>
      <c r="N47" s="187" t="n">
        <v>1982.18</v>
      </c>
      <c r="O47" s="187" t="n">
        <v>0</v>
      </c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5.75" hidden="false" customHeight="tru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M48" s="1"/>
      <c r="N48" s="37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5.75" hidden="false" customHeight="tru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M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5.7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M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5.7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M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5.75" hidden="false" customHeight="tru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M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5.75" hidden="false" customHeight="tru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M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5.75" hidden="false" customHeight="tru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M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.7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M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.7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M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.7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M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.7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M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.7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M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.7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M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.7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M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.7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M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.7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M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.7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M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.7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M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.75" hidden="false" customHeight="tru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M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.75" hidden="false" customHeight="tru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M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.7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M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.75" hidden="false" customHeight="tru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M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.75" hidden="false" customHeight="tru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M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.75" hidden="false" customHeight="tru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M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.75" hidden="false" customHeight="tru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M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.7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M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.7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M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M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M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M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M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M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M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M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M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M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M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M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M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M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M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M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M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M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M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M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M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M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M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M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M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M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M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M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M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M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M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M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M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M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M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M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M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M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M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M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M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M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M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M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M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M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M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M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M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M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M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M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M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M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M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M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M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M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M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M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M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M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M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M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M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M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M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M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M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M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M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M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M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M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M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M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M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M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M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M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M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M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M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M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M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M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M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M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M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M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M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M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M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M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M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M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M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M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M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M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M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M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M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M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M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M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M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M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M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M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M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M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M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M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M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M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M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M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M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M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M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M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M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M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M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M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M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M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M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M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M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M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M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M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M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M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M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M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M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M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M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M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M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M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M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M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M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M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M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M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M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M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M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M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M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M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M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M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M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M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M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M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M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M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M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M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M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M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M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M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M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M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M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M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M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M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M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M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M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M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M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M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M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M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M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M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M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M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M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M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M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M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M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M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M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M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M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M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M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M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M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M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5.75" hidden="false" customHeight="tru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M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5.75" hidden="false" customHeight="tru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M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5.75" hidden="false" customHeight="tru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M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5.75" hidden="false" customHeight="tru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M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5.75" hidden="false" customHeight="tru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M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5.75" hidden="false" customHeight="tru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M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5.75" hidden="false" customHeight="tru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M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5.75" hidden="false" customHeight="tru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M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5.75" hidden="false" customHeight="tru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M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5.75" hidden="false" customHeight="tru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M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5.75" hidden="false" customHeight="tru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M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5.75" hidden="false" customHeight="tru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M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5.75" hidden="false" customHeight="tru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M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5.75" hidden="false" customHeight="tru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M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5.75" hidden="false" customHeight="tru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M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5.75" hidden="false" customHeight="tru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M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5.75" hidden="false" customHeight="tru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M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5.75" hidden="false" customHeight="tru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M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5.75" hidden="false" customHeight="tru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M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5.75" hidden="false" customHeight="tru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M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5.75" hidden="false" customHeight="tru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M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5.75" hidden="false" customHeight="tru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M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5.75" hidden="false" customHeight="tru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M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5.75" hidden="false" customHeight="tru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M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5.75" hidden="false" customHeight="tru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M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5.75" hidden="false" customHeight="tru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M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5.75" hidden="false" customHeight="tru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M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5.75" hidden="false" customHeight="tru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M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5.75" hidden="false" customHeight="tru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M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5.75" hidden="false" customHeight="tru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M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5.75" hidden="false" customHeight="tru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M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5.75" hidden="false" customHeight="tru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M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5.75" hidden="false" customHeight="tru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M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5.75" hidden="false" customHeight="tru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M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5.75" hidden="false" customHeight="tru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M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5.75" hidden="false" customHeight="tru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M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5.75" hidden="false" customHeight="tru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M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5.75" hidden="false" customHeight="tru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M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5.75" hidden="false" customHeight="tru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M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5.75" hidden="false" customHeight="tru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M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5.75" hidden="false" customHeight="tru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M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5.75" hidden="false" customHeight="tru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M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5.75" hidden="false" customHeight="tru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M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5.75" hidden="false" customHeight="tru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M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5.75" hidden="false" customHeight="tru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M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5.75" hidden="false" customHeight="tru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M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5.75" hidden="false" customHeight="tru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M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5.75" hidden="false" customHeight="tru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M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5.75" hidden="false" customHeight="tru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M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5.75" hidden="false" customHeight="tru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M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5.75" hidden="false" customHeight="tru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M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5.75" hidden="false" customHeight="tru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M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5.75" hidden="false" customHeight="tru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M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5.75" hidden="false" customHeight="tru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M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5.75" hidden="false" customHeight="tru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M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5.75" hidden="false" customHeight="tru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M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5.75" hidden="false" customHeight="tru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M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5.75" hidden="false" customHeight="tru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M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5.75" hidden="false" customHeight="tru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M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5.75" hidden="false" customHeight="tru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M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5.75" hidden="false" customHeight="tru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M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5.75" hidden="false" customHeight="tru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M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5.75" hidden="false" customHeight="tru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M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5.75" hidden="false" customHeight="tru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M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5.75" hidden="false" customHeight="tru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M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5.75" hidden="false" customHeight="tru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M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5.75" hidden="false" customHeight="tru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M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5.75" hidden="false" customHeight="tru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M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5.75" hidden="false" customHeight="tru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M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5.75" hidden="false" customHeight="tru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M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5.75" hidden="false" customHeight="tru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M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5.75" hidden="false" customHeight="tru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M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5.75" hidden="false" customHeight="tru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M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5.75" hidden="false" customHeight="tru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M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5.75" hidden="false" customHeight="tru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M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5.75" hidden="false" customHeight="tru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M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5.75" hidden="false" customHeight="tru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M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5.75" hidden="false" customHeight="tru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M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5.75" hidden="false" customHeight="tru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M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5.75" hidden="false" customHeight="tru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M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5.75" hidden="false" customHeight="tru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M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5.75" hidden="false" customHeight="tru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M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5.75" hidden="false" customHeight="tru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M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5.75" hidden="false" customHeight="tru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M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5.75" hidden="false" customHeight="tru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M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5.75" hidden="false" customHeight="tru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M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5.75" hidden="false" customHeight="tru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M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5.75" hidden="false" customHeight="tru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M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5.75" hidden="false" customHeight="tru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M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5.75" hidden="false" customHeight="tru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M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5.75" hidden="false" customHeight="tru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M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5.75" hidden="false" customHeight="tru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M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5.75" hidden="false" customHeight="tru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M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5.75" hidden="false" customHeight="tru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M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5.75" hidden="false" customHeight="tru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M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5.75" hidden="false" customHeight="tru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M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5.75" hidden="false" customHeight="tru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M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5.75" hidden="false" customHeight="tru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M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5.75" hidden="false" customHeight="tru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M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5.75" hidden="false" customHeight="tru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M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5.75" hidden="false" customHeight="tru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M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5.75" hidden="false" customHeight="tru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M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5.75" hidden="false" customHeight="tru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M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5.75" hidden="false" customHeight="tru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M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5.75" hidden="false" customHeight="tru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M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5.75" hidden="false" customHeight="tru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M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5.75" hidden="false" customHeight="tru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M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5.75" hidden="false" customHeight="tru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M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5.75" hidden="false" customHeight="tru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M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5.75" hidden="false" customHeight="tru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M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5.75" hidden="false" customHeight="tru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M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5.75" hidden="false" customHeight="tru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M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5.75" hidden="false" customHeight="tru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M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5.75" hidden="false" customHeight="tru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M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5.75" hidden="false" customHeight="tru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M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5.75" hidden="false" customHeight="tru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M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5.75" hidden="false" customHeight="tru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M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5.75" hidden="false" customHeight="tru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M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5.75" hidden="false" customHeight="tru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M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5.75" hidden="false" customHeight="tru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M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5.75" hidden="false" customHeight="tru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M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5.75" hidden="false" customHeight="tru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M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5.75" hidden="false" customHeight="tru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M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5.75" hidden="false" customHeight="tru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M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5.75" hidden="false" customHeight="tru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M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5.75" hidden="false" customHeight="tru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M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5.75" hidden="false" customHeight="tru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M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5.75" hidden="false" customHeight="tru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M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5.75" hidden="false" customHeight="tru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M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5.75" hidden="false" customHeight="tru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M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5.75" hidden="false" customHeight="tru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M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5.75" hidden="false" customHeight="tru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M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5.75" hidden="false" customHeight="tru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M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5.75" hidden="false" customHeight="tru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M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5.75" hidden="false" customHeight="tru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M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5.75" hidden="false" customHeight="tru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M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5.75" hidden="false" customHeight="tru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M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5.75" hidden="false" customHeight="tru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M413" s="1"/>
      <c r="R413" s="1"/>
      <c r="S413" s="1"/>
      <c r="T413" s="1"/>
      <c r="U413" s="1"/>
      <c r="V413" s="1"/>
      <c r="W413" s="1"/>
      <c r="X413" s="1"/>
      <c r="Y413" s="1"/>
      <c r="Z413" s="1"/>
    </row>
    <row r="414" customFormat="false" ht="15.75" hidden="false" customHeight="tru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M414" s="1"/>
      <c r="R414" s="1"/>
      <c r="S414" s="1"/>
      <c r="T414" s="1"/>
      <c r="U414" s="1"/>
      <c r="V414" s="1"/>
      <c r="W414" s="1"/>
      <c r="X414" s="1"/>
      <c r="Y414" s="1"/>
      <c r="Z414" s="1"/>
    </row>
    <row r="415" customFormat="false" ht="15.75" hidden="false" customHeight="tru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M415" s="1"/>
      <c r="R415" s="1"/>
      <c r="S415" s="1"/>
      <c r="T415" s="1"/>
      <c r="U415" s="1"/>
      <c r="V415" s="1"/>
      <c r="W415" s="1"/>
      <c r="X415" s="1"/>
      <c r="Y415" s="1"/>
      <c r="Z415" s="1"/>
    </row>
    <row r="416" customFormat="false" ht="15.75" hidden="false" customHeight="tru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M416" s="1"/>
      <c r="R416" s="1"/>
      <c r="S416" s="1"/>
      <c r="T416" s="1"/>
      <c r="U416" s="1"/>
      <c r="V416" s="1"/>
      <c r="W416" s="1"/>
      <c r="X416" s="1"/>
      <c r="Y416" s="1"/>
      <c r="Z416" s="1"/>
    </row>
    <row r="417" customFormat="false" ht="15.75" hidden="false" customHeight="tru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M417" s="1"/>
      <c r="R417" s="1"/>
      <c r="S417" s="1"/>
      <c r="T417" s="1"/>
      <c r="U417" s="1"/>
      <c r="V417" s="1"/>
      <c r="W417" s="1"/>
      <c r="X417" s="1"/>
      <c r="Y417" s="1"/>
      <c r="Z417" s="1"/>
    </row>
    <row r="418" customFormat="false" ht="15.75" hidden="false" customHeight="tru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M418" s="1"/>
      <c r="R418" s="1"/>
      <c r="S418" s="1"/>
      <c r="T418" s="1"/>
      <c r="U418" s="1"/>
      <c r="V418" s="1"/>
      <c r="W418" s="1"/>
      <c r="X418" s="1"/>
      <c r="Y418" s="1"/>
      <c r="Z418" s="1"/>
    </row>
    <row r="419" customFormat="false" ht="15.75" hidden="false" customHeight="tru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M419" s="1"/>
      <c r="R419" s="1"/>
      <c r="S419" s="1"/>
      <c r="T419" s="1"/>
      <c r="U419" s="1"/>
      <c r="V419" s="1"/>
      <c r="W419" s="1"/>
      <c r="X419" s="1"/>
      <c r="Y419" s="1"/>
      <c r="Z419" s="1"/>
    </row>
    <row r="420" customFormat="false" ht="15.75" hidden="false" customHeight="tru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M420" s="1"/>
      <c r="R420" s="1"/>
      <c r="S420" s="1"/>
      <c r="T420" s="1"/>
      <c r="U420" s="1"/>
      <c r="V420" s="1"/>
      <c r="W420" s="1"/>
      <c r="X420" s="1"/>
      <c r="Y420" s="1"/>
      <c r="Z420" s="1"/>
    </row>
    <row r="421" customFormat="false" ht="15.75" hidden="false" customHeight="tru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M421" s="1"/>
      <c r="R421" s="1"/>
      <c r="S421" s="1"/>
      <c r="T421" s="1"/>
      <c r="U421" s="1"/>
      <c r="V421" s="1"/>
      <c r="W421" s="1"/>
      <c r="X421" s="1"/>
      <c r="Y421" s="1"/>
      <c r="Z421" s="1"/>
    </row>
    <row r="422" customFormat="false" ht="15.75" hidden="false" customHeight="tru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M422" s="1"/>
      <c r="R422" s="1"/>
      <c r="S422" s="1"/>
      <c r="T422" s="1"/>
      <c r="U422" s="1"/>
      <c r="V422" s="1"/>
      <c r="W422" s="1"/>
      <c r="X422" s="1"/>
      <c r="Y422" s="1"/>
      <c r="Z422" s="1"/>
    </row>
    <row r="423" customFormat="false" ht="15.75" hidden="false" customHeight="tru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M423" s="1"/>
      <c r="R423" s="1"/>
      <c r="S423" s="1"/>
      <c r="T423" s="1"/>
      <c r="U423" s="1"/>
      <c r="V423" s="1"/>
      <c r="W423" s="1"/>
      <c r="X423" s="1"/>
      <c r="Y423" s="1"/>
      <c r="Z423" s="1"/>
    </row>
    <row r="424" customFormat="false" ht="15.75" hidden="false" customHeight="tru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M424" s="1"/>
      <c r="R424" s="1"/>
      <c r="S424" s="1"/>
      <c r="T424" s="1"/>
      <c r="U424" s="1"/>
      <c r="V424" s="1"/>
      <c r="W424" s="1"/>
      <c r="X424" s="1"/>
      <c r="Y424" s="1"/>
      <c r="Z424" s="1"/>
    </row>
    <row r="425" customFormat="false" ht="15.75" hidden="false" customHeight="tru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M425" s="1"/>
      <c r="R425" s="1"/>
      <c r="S425" s="1"/>
      <c r="T425" s="1"/>
      <c r="U425" s="1"/>
      <c r="V425" s="1"/>
      <c r="W425" s="1"/>
      <c r="X425" s="1"/>
      <c r="Y425" s="1"/>
      <c r="Z425" s="1"/>
    </row>
    <row r="426" customFormat="false" ht="15.75" hidden="false" customHeight="tru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M426" s="1"/>
      <c r="R426" s="1"/>
      <c r="S426" s="1"/>
      <c r="T426" s="1"/>
      <c r="U426" s="1"/>
      <c r="V426" s="1"/>
      <c r="W426" s="1"/>
      <c r="X426" s="1"/>
      <c r="Y426" s="1"/>
      <c r="Z426" s="1"/>
    </row>
    <row r="427" customFormat="false" ht="15.75" hidden="false" customHeight="tru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M427" s="1"/>
      <c r="R427" s="1"/>
      <c r="S427" s="1"/>
      <c r="T427" s="1"/>
      <c r="U427" s="1"/>
      <c r="V427" s="1"/>
      <c r="W427" s="1"/>
      <c r="X427" s="1"/>
      <c r="Y427" s="1"/>
      <c r="Z427" s="1"/>
    </row>
    <row r="428" customFormat="false" ht="15.75" hidden="false" customHeight="tru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M428" s="1"/>
      <c r="R428" s="1"/>
      <c r="S428" s="1"/>
      <c r="T428" s="1"/>
      <c r="U428" s="1"/>
      <c r="V428" s="1"/>
      <c r="W428" s="1"/>
      <c r="X428" s="1"/>
      <c r="Y428" s="1"/>
      <c r="Z428" s="1"/>
    </row>
    <row r="429" customFormat="false" ht="15.75" hidden="false" customHeight="tru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M429" s="1"/>
      <c r="R429" s="1"/>
      <c r="S429" s="1"/>
      <c r="T429" s="1"/>
      <c r="U429" s="1"/>
      <c r="V429" s="1"/>
      <c r="W429" s="1"/>
      <c r="X429" s="1"/>
      <c r="Y429" s="1"/>
      <c r="Z429" s="1"/>
    </row>
    <row r="430" customFormat="false" ht="15.75" hidden="false" customHeight="tru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M430" s="1"/>
      <c r="R430" s="1"/>
      <c r="S430" s="1"/>
      <c r="T430" s="1"/>
      <c r="U430" s="1"/>
      <c r="V430" s="1"/>
      <c r="W430" s="1"/>
      <c r="X430" s="1"/>
      <c r="Y430" s="1"/>
      <c r="Z430" s="1"/>
    </row>
    <row r="431" customFormat="false" ht="15.75" hidden="false" customHeight="tru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M431" s="1"/>
      <c r="R431" s="1"/>
      <c r="S431" s="1"/>
      <c r="T431" s="1"/>
      <c r="U431" s="1"/>
      <c r="V431" s="1"/>
      <c r="W431" s="1"/>
      <c r="X431" s="1"/>
      <c r="Y431" s="1"/>
      <c r="Z431" s="1"/>
    </row>
    <row r="432" customFormat="false" ht="15.75" hidden="false" customHeight="tru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M432" s="1"/>
      <c r="R432" s="1"/>
      <c r="S432" s="1"/>
      <c r="T432" s="1"/>
      <c r="U432" s="1"/>
      <c r="V432" s="1"/>
      <c r="W432" s="1"/>
      <c r="X432" s="1"/>
      <c r="Y432" s="1"/>
      <c r="Z432" s="1"/>
    </row>
    <row r="433" customFormat="false" ht="15.75" hidden="false" customHeight="tru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M433" s="1"/>
      <c r="R433" s="1"/>
      <c r="S433" s="1"/>
      <c r="T433" s="1"/>
      <c r="U433" s="1"/>
      <c r="V433" s="1"/>
      <c r="W433" s="1"/>
      <c r="X433" s="1"/>
      <c r="Y433" s="1"/>
      <c r="Z433" s="1"/>
    </row>
    <row r="434" customFormat="false" ht="15.75" hidden="false" customHeight="tru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M434" s="1"/>
      <c r="R434" s="1"/>
      <c r="S434" s="1"/>
      <c r="T434" s="1"/>
      <c r="U434" s="1"/>
      <c r="V434" s="1"/>
      <c r="W434" s="1"/>
      <c r="X434" s="1"/>
      <c r="Y434" s="1"/>
      <c r="Z434" s="1"/>
    </row>
    <row r="435" customFormat="false" ht="15.75" hidden="false" customHeight="tru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M435" s="1"/>
      <c r="R435" s="1"/>
      <c r="S435" s="1"/>
      <c r="T435" s="1"/>
      <c r="U435" s="1"/>
      <c r="V435" s="1"/>
      <c r="W435" s="1"/>
      <c r="X435" s="1"/>
      <c r="Y435" s="1"/>
      <c r="Z435" s="1"/>
    </row>
    <row r="436" customFormat="false" ht="15.75" hidden="false" customHeight="tru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M436" s="1"/>
      <c r="R436" s="1"/>
      <c r="S436" s="1"/>
      <c r="T436" s="1"/>
      <c r="U436" s="1"/>
      <c r="V436" s="1"/>
      <c r="W436" s="1"/>
      <c r="X436" s="1"/>
      <c r="Y436" s="1"/>
      <c r="Z436" s="1"/>
    </row>
    <row r="437" customFormat="false" ht="15.75" hidden="false" customHeight="tru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M437" s="1"/>
      <c r="R437" s="1"/>
      <c r="S437" s="1"/>
      <c r="T437" s="1"/>
      <c r="U437" s="1"/>
      <c r="V437" s="1"/>
      <c r="W437" s="1"/>
      <c r="X437" s="1"/>
      <c r="Y437" s="1"/>
      <c r="Z437" s="1"/>
    </row>
    <row r="438" customFormat="false" ht="15.75" hidden="false" customHeight="tru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M438" s="1"/>
      <c r="R438" s="1"/>
      <c r="S438" s="1"/>
      <c r="T438" s="1"/>
      <c r="U438" s="1"/>
      <c r="V438" s="1"/>
      <c r="W438" s="1"/>
      <c r="X438" s="1"/>
      <c r="Y438" s="1"/>
      <c r="Z438" s="1"/>
    </row>
    <row r="439" customFormat="false" ht="15.75" hidden="false" customHeight="tru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M439" s="1"/>
      <c r="R439" s="1"/>
      <c r="S439" s="1"/>
      <c r="T439" s="1"/>
      <c r="U439" s="1"/>
      <c r="V439" s="1"/>
      <c r="W439" s="1"/>
      <c r="X439" s="1"/>
      <c r="Y439" s="1"/>
      <c r="Z439" s="1"/>
    </row>
    <row r="440" customFormat="false" ht="15.75" hidden="false" customHeight="tru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M440" s="1"/>
      <c r="R440" s="1"/>
      <c r="S440" s="1"/>
      <c r="T440" s="1"/>
      <c r="U440" s="1"/>
      <c r="V440" s="1"/>
      <c r="W440" s="1"/>
      <c r="X440" s="1"/>
      <c r="Y440" s="1"/>
      <c r="Z440" s="1"/>
    </row>
    <row r="441" customFormat="false" ht="15.75" hidden="false" customHeight="tru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M441" s="1"/>
      <c r="R441" s="1"/>
      <c r="S441" s="1"/>
      <c r="T441" s="1"/>
      <c r="U441" s="1"/>
      <c r="V441" s="1"/>
      <c r="W441" s="1"/>
      <c r="X441" s="1"/>
      <c r="Y441" s="1"/>
      <c r="Z441" s="1"/>
    </row>
    <row r="442" customFormat="false" ht="15.75" hidden="false" customHeight="tru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M442" s="1"/>
      <c r="R442" s="1"/>
      <c r="S442" s="1"/>
      <c r="T442" s="1"/>
      <c r="U442" s="1"/>
      <c r="V442" s="1"/>
      <c r="W442" s="1"/>
      <c r="X442" s="1"/>
      <c r="Y442" s="1"/>
      <c r="Z442" s="1"/>
    </row>
    <row r="443" customFormat="false" ht="15.75" hidden="false" customHeight="tru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M443" s="1"/>
      <c r="R443" s="1"/>
      <c r="S443" s="1"/>
      <c r="T443" s="1"/>
      <c r="U443" s="1"/>
      <c r="V443" s="1"/>
      <c r="W443" s="1"/>
      <c r="X443" s="1"/>
      <c r="Y443" s="1"/>
      <c r="Z443" s="1"/>
    </row>
    <row r="444" customFormat="false" ht="15.75" hidden="false" customHeight="tru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M444" s="1"/>
      <c r="R444" s="1"/>
      <c r="S444" s="1"/>
      <c r="T444" s="1"/>
      <c r="U444" s="1"/>
      <c r="V444" s="1"/>
      <c r="W444" s="1"/>
      <c r="X444" s="1"/>
      <c r="Y444" s="1"/>
      <c r="Z444" s="1"/>
    </row>
    <row r="445" customFormat="false" ht="15.75" hidden="false" customHeight="tru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M445" s="1"/>
      <c r="R445" s="1"/>
      <c r="S445" s="1"/>
      <c r="T445" s="1"/>
      <c r="U445" s="1"/>
      <c r="V445" s="1"/>
      <c r="W445" s="1"/>
      <c r="X445" s="1"/>
      <c r="Y445" s="1"/>
      <c r="Z445" s="1"/>
    </row>
    <row r="446" customFormat="false" ht="15.75" hidden="false" customHeight="tru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M446" s="1"/>
      <c r="R446" s="1"/>
      <c r="S446" s="1"/>
      <c r="T446" s="1"/>
      <c r="U446" s="1"/>
      <c r="V446" s="1"/>
      <c r="W446" s="1"/>
      <c r="X446" s="1"/>
      <c r="Y446" s="1"/>
      <c r="Z446" s="1"/>
    </row>
    <row r="447" customFormat="false" ht="15.75" hidden="false" customHeight="tru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M447" s="1"/>
      <c r="R447" s="1"/>
      <c r="S447" s="1"/>
      <c r="T447" s="1"/>
      <c r="U447" s="1"/>
      <c r="V447" s="1"/>
      <c r="W447" s="1"/>
      <c r="X447" s="1"/>
      <c r="Y447" s="1"/>
      <c r="Z447" s="1"/>
    </row>
    <row r="448" customFormat="false" ht="15.75" hidden="false" customHeight="tru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M448" s="1"/>
      <c r="R448" s="1"/>
      <c r="S448" s="1"/>
      <c r="T448" s="1"/>
      <c r="U448" s="1"/>
      <c r="V448" s="1"/>
      <c r="W448" s="1"/>
      <c r="X448" s="1"/>
      <c r="Y448" s="1"/>
      <c r="Z448" s="1"/>
    </row>
    <row r="449" customFormat="false" ht="15.75" hidden="false" customHeight="tru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M449" s="1"/>
      <c r="R449" s="1"/>
      <c r="S449" s="1"/>
      <c r="T449" s="1"/>
      <c r="U449" s="1"/>
      <c r="V449" s="1"/>
      <c r="W449" s="1"/>
      <c r="X449" s="1"/>
      <c r="Y449" s="1"/>
      <c r="Z449" s="1"/>
    </row>
    <row r="450" customFormat="false" ht="15.75" hidden="false" customHeight="tru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M450" s="1"/>
      <c r="R450" s="1"/>
      <c r="S450" s="1"/>
      <c r="T450" s="1"/>
      <c r="U450" s="1"/>
      <c r="V450" s="1"/>
      <c r="W450" s="1"/>
      <c r="X450" s="1"/>
      <c r="Y450" s="1"/>
      <c r="Z450" s="1"/>
    </row>
    <row r="451" customFormat="false" ht="15.75" hidden="false" customHeight="tru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M451" s="1"/>
      <c r="R451" s="1"/>
      <c r="S451" s="1"/>
      <c r="T451" s="1"/>
      <c r="U451" s="1"/>
      <c r="V451" s="1"/>
      <c r="W451" s="1"/>
      <c r="X451" s="1"/>
      <c r="Y451" s="1"/>
      <c r="Z451" s="1"/>
    </row>
    <row r="452" customFormat="false" ht="15.75" hidden="false" customHeight="tru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M452" s="1"/>
      <c r="R452" s="1"/>
      <c r="S452" s="1"/>
      <c r="T452" s="1"/>
      <c r="U452" s="1"/>
      <c r="V452" s="1"/>
      <c r="W452" s="1"/>
      <c r="X452" s="1"/>
      <c r="Y452" s="1"/>
      <c r="Z452" s="1"/>
    </row>
    <row r="453" customFormat="false" ht="15.75" hidden="false" customHeight="tru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M453" s="1"/>
      <c r="R453" s="1"/>
      <c r="S453" s="1"/>
      <c r="T453" s="1"/>
      <c r="U453" s="1"/>
      <c r="V453" s="1"/>
      <c r="W453" s="1"/>
      <c r="X453" s="1"/>
      <c r="Y453" s="1"/>
      <c r="Z453" s="1"/>
    </row>
    <row r="454" customFormat="false" ht="15.75" hidden="false" customHeight="tru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M454" s="1"/>
      <c r="R454" s="1"/>
      <c r="S454" s="1"/>
      <c r="T454" s="1"/>
      <c r="U454" s="1"/>
      <c r="V454" s="1"/>
      <c r="W454" s="1"/>
      <c r="X454" s="1"/>
      <c r="Y454" s="1"/>
      <c r="Z454" s="1"/>
    </row>
    <row r="455" customFormat="false" ht="15.75" hidden="false" customHeight="tru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M455" s="1"/>
      <c r="R455" s="1"/>
      <c r="S455" s="1"/>
      <c r="T455" s="1"/>
      <c r="U455" s="1"/>
      <c r="V455" s="1"/>
      <c r="W455" s="1"/>
      <c r="X455" s="1"/>
      <c r="Y455" s="1"/>
      <c r="Z455" s="1"/>
    </row>
    <row r="456" customFormat="false" ht="15.75" hidden="false" customHeight="tru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M456" s="1"/>
      <c r="R456" s="1"/>
      <c r="S456" s="1"/>
      <c r="T456" s="1"/>
      <c r="U456" s="1"/>
      <c r="V456" s="1"/>
      <c r="W456" s="1"/>
      <c r="X456" s="1"/>
      <c r="Y456" s="1"/>
      <c r="Z456" s="1"/>
    </row>
    <row r="457" customFormat="false" ht="15.75" hidden="false" customHeight="tru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M457" s="1"/>
      <c r="R457" s="1"/>
      <c r="S457" s="1"/>
      <c r="T457" s="1"/>
      <c r="U457" s="1"/>
      <c r="V457" s="1"/>
      <c r="W457" s="1"/>
      <c r="X457" s="1"/>
      <c r="Y457" s="1"/>
      <c r="Z457" s="1"/>
    </row>
    <row r="458" customFormat="false" ht="15.75" hidden="false" customHeight="tru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M458" s="1"/>
      <c r="R458" s="1"/>
      <c r="S458" s="1"/>
      <c r="T458" s="1"/>
      <c r="U458" s="1"/>
      <c r="V458" s="1"/>
      <c r="W458" s="1"/>
      <c r="X458" s="1"/>
      <c r="Y458" s="1"/>
      <c r="Z458" s="1"/>
    </row>
    <row r="459" customFormat="false" ht="15.75" hidden="false" customHeight="tru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M459" s="1"/>
      <c r="R459" s="1"/>
      <c r="S459" s="1"/>
      <c r="T459" s="1"/>
      <c r="U459" s="1"/>
      <c r="V459" s="1"/>
      <c r="W459" s="1"/>
      <c r="X459" s="1"/>
      <c r="Y459" s="1"/>
      <c r="Z459" s="1"/>
    </row>
    <row r="460" customFormat="false" ht="15.75" hidden="false" customHeight="tru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M460" s="1"/>
      <c r="R460" s="1"/>
      <c r="S460" s="1"/>
      <c r="T460" s="1"/>
      <c r="U460" s="1"/>
      <c r="V460" s="1"/>
      <c r="W460" s="1"/>
      <c r="X460" s="1"/>
      <c r="Y460" s="1"/>
      <c r="Z460" s="1"/>
    </row>
    <row r="461" customFormat="false" ht="15.75" hidden="false" customHeight="tru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M461" s="1"/>
      <c r="R461" s="1"/>
      <c r="S461" s="1"/>
      <c r="T461" s="1"/>
      <c r="U461" s="1"/>
      <c r="V461" s="1"/>
      <c r="W461" s="1"/>
      <c r="X461" s="1"/>
      <c r="Y461" s="1"/>
      <c r="Z461" s="1"/>
    </row>
    <row r="462" customFormat="false" ht="15.75" hidden="false" customHeight="tru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M462" s="1"/>
      <c r="R462" s="1"/>
      <c r="S462" s="1"/>
      <c r="T462" s="1"/>
      <c r="U462" s="1"/>
      <c r="V462" s="1"/>
      <c r="W462" s="1"/>
      <c r="X462" s="1"/>
      <c r="Y462" s="1"/>
      <c r="Z462" s="1"/>
    </row>
    <row r="463" customFormat="false" ht="15.75" hidden="false" customHeight="tru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M463" s="1"/>
      <c r="R463" s="1"/>
      <c r="S463" s="1"/>
      <c r="T463" s="1"/>
      <c r="U463" s="1"/>
      <c r="V463" s="1"/>
      <c r="W463" s="1"/>
      <c r="X463" s="1"/>
      <c r="Y463" s="1"/>
      <c r="Z463" s="1"/>
    </row>
    <row r="464" customFormat="false" ht="15.75" hidden="false" customHeight="tru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M464" s="1"/>
      <c r="R464" s="1"/>
      <c r="S464" s="1"/>
      <c r="T464" s="1"/>
      <c r="U464" s="1"/>
      <c r="V464" s="1"/>
      <c r="W464" s="1"/>
      <c r="X464" s="1"/>
      <c r="Y464" s="1"/>
      <c r="Z464" s="1"/>
    </row>
    <row r="465" customFormat="false" ht="15.75" hidden="false" customHeight="tru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M465" s="1"/>
      <c r="R465" s="1"/>
      <c r="S465" s="1"/>
      <c r="T465" s="1"/>
      <c r="U465" s="1"/>
      <c r="V465" s="1"/>
      <c r="W465" s="1"/>
      <c r="X465" s="1"/>
      <c r="Y465" s="1"/>
      <c r="Z465" s="1"/>
    </row>
    <row r="466" customFormat="false" ht="15.75" hidden="false" customHeight="tru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M466" s="1"/>
      <c r="R466" s="1"/>
      <c r="S466" s="1"/>
      <c r="T466" s="1"/>
      <c r="U466" s="1"/>
      <c r="V466" s="1"/>
      <c r="W466" s="1"/>
      <c r="X466" s="1"/>
      <c r="Y466" s="1"/>
      <c r="Z466" s="1"/>
    </row>
    <row r="467" customFormat="false" ht="15.75" hidden="false" customHeight="tru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M467" s="1"/>
      <c r="R467" s="1"/>
      <c r="S467" s="1"/>
      <c r="T467" s="1"/>
      <c r="U467" s="1"/>
      <c r="V467" s="1"/>
      <c r="W467" s="1"/>
      <c r="X467" s="1"/>
      <c r="Y467" s="1"/>
      <c r="Z467" s="1"/>
    </row>
    <row r="468" customFormat="false" ht="15.75" hidden="false" customHeight="tru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M468" s="1"/>
      <c r="R468" s="1"/>
      <c r="S468" s="1"/>
      <c r="T468" s="1"/>
      <c r="U468" s="1"/>
      <c r="V468" s="1"/>
      <c r="W468" s="1"/>
      <c r="X468" s="1"/>
      <c r="Y468" s="1"/>
      <c r="Z468" s="1"/>
    </row>
    <row r="469" customFormat="false" ht="15.75" hidden="false" customHeight="tru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M469" s="1"/>
      <c r="R469" s="1"/>
      <c r="S469" s="1"/>
      <c r="T469" s="1"/>
      <c r="U469" s="1"/>
      <c r="V469" s="1"/>
      <c r="W469" s="1"/>
      <c r="X469" s="1"/>
      <c r="Y469" s="1"/>
      <c r="Z469" s="1"/>
    </row>
    <row r="470" customFormat="false" ht="15.75" hidden="false" customHeight="tru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M470" s="1"/>
      <c r="R470" s="1"/>
      <c r="S470" s="1"/>
      <c r="T470" s="1"/>
      <c r="U470" s="1"/>
      <c r="V470" s="1"/>
      <c r="W470" s="1"/>
      <c r="X470" s="1"/>
      <c r="Y470" s="1"/>
      <c r="Z470" s="1"/>
    </row>
    <row r="471" customFormat="false" ht="15.75" hidden="false" customHeight="tru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M471" s="1"/>
      <c r="R471" s="1"/>
      <c r="S471" s="1"/>
      <c r="T471" s="1"/>
      <c r="U471" s="1"/>
      <c r="V471" s="1"/>
      <c r="W471" s="1"/>
      <c r="X471" s="1"/>
      <c r="Y471" s="1"/>
      <c r="Z471" s="1"/>
    </row>
    <row r="472" customFormat="false" ht="15.75" hidden="false" customHeight="tru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M472" s="1"/>
      <c r="R472" s="1"/>
      <c r="S472" s="1"/>
      <c r="T472" s="1"/>
      <c r="U472" s="1"/>
      <c r="V472" s="1"/>
      <c r="W472" s="1"/>
      <c r="X472" s="1"/>
      <c r="Y472" s="1"/>
      <c r="Z472" s="1"/>
    </row>
    <row r="473" customFormat="false" ht="15.75" hidden="false" customHeight="tru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M473" s="1"/>
      <c r="R473" s="1"/>
      <c r="S473" s="1"/>
      <c r="T473" s="1"/>
      <c r="U473" s="1"/>
      <c r="V473" s="1"/>
      <c r="W473" s="1"/>
      <c r="X473" s="1"/>
      <c r="Y473" s="1"/>
      <c r="Z473" s="1"/>
    </row>
    <row r="474" customFormat="false" ht="15.75" hidden="false" customHeight="tru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M474" s="1"/>
      <c r="R474" s="1"/>
      <c r="S474" s="1"/>
      <c r="T474" s="1"/>
      <c r="U474" s="1"/>
      <c r="V474" s="1"/>
      <c r="W474" s="1"/>
      <c r="X474" s="1"/>
      <c r="Y474" s="1"/>
      <c r="Z474" s="1"/>
    </row>
    <row r="475" customFormat="false" ht="15.75" hidden="false" customHeight="tru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M475" s="1"/>
      <c r="R475" s="1"/>
      <c r="S475" s="1"/>
      <c r="T475" s="1"/>
      <c r="U475" s="1"/>
      <c r="V475" s="1"/>
      <c r="W475" s="1"/>
      <c r="X475" s="1"/>
      <c r="Y475" s="1"/>
      <c r="Z475" s="1"/>
    </row>
    <row r="476" customFormat="false" ht="15.75" hidden="false" customHeight="tru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M476" s="1"/>
      <c r="R476" s="1"/>
      <c r="S476" s="1"/>
      <c r="T476" s="1"/>
      <c r="U476" s="1"/>
      <c r="V476" s="1"/>
      <c r="W476" s="1"/>
      <c r="X476" s="1"/>
      <c r="Y476" s="1"/>
      <c r="Z476" s="1"/>
    </row>
    <row r="477" customFormat="false" ht="15.75" hidden="false" customHeight="tru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M477" s="1"/>
      <c r="R477" s="1"/>
      <c r="S477" s="1"/>
      <c r="T477" s="1"/>
      <c r="U477" s="1"/>
      <c r="V477" s="1"/>
      <c r="W477" s="1"/>
      <c r="X477" s="1"/>
      <c r="Y477" s="1"/>
      <c r="Z477" s="1"/>
    </row>
    <row r="478" customFormat="false" ht="15.75" hidden="false" customHeight="tru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M478" s="1"/>
      <c r="R478" s="1"/>
      <c r="S478" s="1"/>
      <c r="T478" s="1"/>
      <c r="U478" s="1"/>
      <c r="V478" s="1"/>
      <c r="W478" s="1"/>
      <c r="X478" s="1"/>
      <c r="Y478" s="1"/>
      <c r="Z478" s="1"/>
    </row>
    <row r="479" customFormat="false" ht="15.75" hidden="false" customHeight="tru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M479" s="1"/>
      <c r="R479" s="1"/>
      <c r="S479" s="1"/>
      <c r="T479" s="1"/>
      <c r="U479" s="1"/>
      <c r="V479" s="1"/>
      <c r="W479" s="1"/>
      <c r="X479" s="1"/>
      <c r="Y479" s="1"/>
      <c r="Z479" s="1"/>
    </row>
    <row r="480" customFormat="false" ht="15.75" hidden="false" customHeight="tru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M480" s="1"/>
      <c r="R480" s="1"/>
      <c r="S480" s="1"/>
      <c r="T480" s="1"/>
      <c r="U480" s="1"/>
      <c r="V480" s="1"/>
      <c r="W480" s="1"/>
      <c r="X480" s="1"/>
      <c r="Y480" s="1"/>
      <c r="Z480" s="1"/>
    </row>
    <row r="481" customFormat="false" ht="15.75" hidden="false" customHeight="tru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M481" s="1"/>
      <c r="R481" s="1"/>
      <c r="S481" s="1"/>
      <c r="T481" s="1"/>
      <c r="U481" s="1"/>
      <c r="V481" s="1"/>
      <c r="W481" s="1"/>
      <c r="X481" s="1"/>
      <c r="Y481" s="1"/>
      <c r="Z481" s="1"/>
    </row>
    <row r="482" customFormat="false" ht="15.75" hidden="false" customHeight="tru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M482" s="1"/>
      <c r="R482" s="1"/>
      <c r="S482" s="1"/>
      <c r="T482" s="1"/>
      <c r="U482" s="1"/>
      <c r="V482" s="1"/>
      <c r="W482" s="1"/>
      <c r="X482" s="1"/>
      <c r="Y482" s="1"/>
      <c r="Z482" s="1"/>
    </row>
    <row r="483" customFormat="false" ht="15.75" hidden="false" customHeight="tru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M483" s="1"/>
      <c r="R483" s="1"/>
      <c r="S483" s="1"/>
      <c r="T483" s="1"/>
      <c r="U483" s="1"/>
      <c r="V483" s="1"/>
      <c r="W483" s="1"/>
      <c r="X483" s="1"/>
      <c r="Y483" s="1"/>
      <c r="Z483" s="1"/>
    </row>
    <row r="484" customFormat="false" ht="15.75" hidden="false" customHeight="tru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M484" s="1"/>
      <c r="R484" s="1"/>
      <c r="S484" s="1"/>
      <c r="T484" s="1"/>
      <c r="U484" s="1"/>
      <c r="V484" s="1"/>
      <c r="W484" s="1"/>
      <c r="X484" s="1"/>
      <c r="Y484" s="1"/>
      <c r="Z484" s="1"/>
    </row>
    <row r="485" customFormat="false" ht="15.75" hidden="false" customHeight="tru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M485" s="1"/>
      <c r="R485" s="1"/>
      <c r="S485" s="1"/>
      <c r="T485" s="1"/>
      <c r="U485" s="1"/>
      <c r="V485" s="1"/>
      <c r="W485" s="1"/>
      <c r="X485" s="1"/>
      <c r="Y485" s="1"/>
      <c r="Z485" s="1"/>
    </row>
    <row r="486" customFormat="false" ht="15.75" hidden="false" customHeight="tru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M486" s="1"/>
      <c r="R486" s="1"/>
      <c r="S486" s="1"/>
      <c r="T486" s="1"/>
      <c r="U486" s="1"/>
      <c r="V486" s="1"/>
      <c r="W486" s="1"/>
      <c r="X486" s="1"/>
      <c r="Y486" s="1"/>
      <c r="Z486" s="1"/>
    </row>
    <row r="487" customFormat="false" ht="15.75" hidden="false" customHeight="tru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M487" s="1"/>
      <c r="R487" s="1"/>
      <c r="S487" s="1"/>
      <c r="T487" s="1"/>
      <c r="U487" s="1"/>
      <c r="V487" s="1"/>
      <c r="W487" s="1"/>
      <c r="X487" s="1"/>
      <c r="Y487" s="1"/>
      <c r="Z487" s="1"/>
    </row>
    <row r="488" customFormat="false" ht="15.75" hidden="false" customHeight="tru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M488" s="1"/>
      <c r="R488" s="1"/>
      <c r="S488" s="1"/>
      <c r="T488" s="1"/>
      <c r="U488" s="1"/>
      <c r="V488" s="1"/>
      <c r="W488" s="1"/>
      <c r="X488" s="1"/>
      <c r="Y488" s="1"/>
      <c r="Z488" s="1"/>
    </row>
    <row r="489" customFormat="false" ht="15.75" hidden="false" customHeight="tru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M489" s="1"/>
      <c r="R489" s="1"/>
      <c r="S489" s="1"/>
      <c r="T489" s="1"/>
      <c r="U489" s="1"/>
      <c r="V489" s="1"/>
      <c r="W489" s="1"/>
      <c r="X489" s="1"/>
      <c r="Y489" s="1"/>
      <c r="Z489" s="1"/>
    </row>
    <row r="490" customFormat="false" ht="15.75" hidden="false" customHeight="tru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M490" s="1"/>
      <c r="R490" s="1"/>
      <c r="S490" s="1"/>
      <c r="T490" s="1"/>
      <c r="U490" s="1"/>
      <c r="V490" s="1"/>
      <c r="W490" s="1"/>
      <c r="X490" s="1"/>
      <c r="Y490" s="1"/>
      <c r="Z490" s="1"/>
    </row>
    <row r="491" customFormat="false" ht="15.75" hidden="false" customHeight="tru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M491" s="1"/>
      <c r="R491" s="1"/>
      <c r="S491" s="1"/>
      <c r="T491" s="1"/>
      <c r="U491" s="1"/>
      <c r="V491" s="1"/>
      <c r="W491" s="1"/>
      <c r="X491" s="1"/>
      <c r="Y491" s="1"/>
      <c r="Z491" s="1"/>
    </row>
    <row r="492" customFormat="false" ht="15.75" hidden="false" customHeight="tru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M492" s="1"/>
      <c r="R492" s="1"/>
      <c r="S492" s="1"/>
      <c r="T492" s="1"/>
      <c r="U492" s="1"/>
      <c r="V492" s="1"/>
      <c r="W492" s="1"/>
      <c r="X492" s="1"/>
      <c r="Y492" s="1"/>
      <c r="Z492" s="1"/>
    </row>
    <row r="493" customFormat="false" ht="15.75" hidden="false" customHeight="tru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M493" s="1"/>
      <c r="R493" s="1"/>
      <c r="S493" s="1"/>
      <c r="T493" s="1"/>
      <c r="U493" s="1"/>
      <c r="V493" s="1"/>
      <c r="W493" s="1"/>
      <c r="X493" s="1"/>
      <c r="Y493" s="1"/>
      <c r="Z493" s="1"/>
    </row>
    <row r="494" customFormat="false" ht="15.75" hidden="false" customHeight="tru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M494" s="1"/>
      <c r="R494" s="1"/>
      <c r="S494" s="1"/>
      <c r="T494" s="1"/>
      <c r="U494" s="1"/>
      <c r="V494" s="1"/>
      <c r="W494" s="1"/>
      <c r="X494" s="1"/>
      <c r="Y494" s="1"/>
      <c r="Z494" s="1"/>
    </row>
    <row r="495" customFormat="false" ht="15.75" hidden="false" customHeight="tru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M495" s="1"/>
      <c r="R495" s="1"/>
      <c r="S495" s="1"/>
      <c r="T495" s="1"/>
      <c r="U495" s="1"/>
      <c r="V495" s="1"/>
      <c r="W495" s="1"/>
      <c r="X495" s="1"/>
      <c r="Y495" s="1"/>
      <c r="Z495" s="1"/>
    </row>
    <row r="496" customFormat="false" ht="15.75" hidden="false" customHeight="tru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M496" s="1"/>
      <c r="R496" s="1"/>
      <c r="S496" s="1"/>
      <c r="T496" s="1"/>
      <c r="U496" s="1"/>
      <c r="V496" s="1"/>
      <c r="W496" s="1"/>
      <c r="X496" s="1"/>
      <c r="Y496" s="1"/>
      <c r="Z496" s="1"/>
    </row>
    <row r="497" customFormat="false" ht="15.75" hidden="false" customHeight="tru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M497" s="1"/>
      <c r="R497" s="1"/>
      <c r="S497" s="1"/>
      <c r="T497" s="1"/>
      <c r="U497" s="1"/>
      <c r="V497" s="1"/>
      <c r="W497" s="1"/>
      <c r="X497" s="1"/>
      <c r="Y497" s="1"/>
      <c r="Z497" s="1"/>
    </row>
    <row r="498" customFormat="false" ht="15.75" hidden="false" customHeight="tru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M498" s="1"/>
      <c r="R498" s="1"/>
      <c r="S498" s="1"/>
      <c r="T498" s="1"/>
      <c r="U498" s="1"/>
      <c r="V498" s="1"/>
      <c r="W498" s="1"/>
      <c r="X498" s="1"/>
      <c r="Y498" s="1"/>
      <c r="Z498" s="1"/>
    </row>
    <row r="499" customFormat="false" ht="15.75" hidden="false" customHeight="tru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M499" s="1"/>
      <c r="R499" s="1"/>
      <c r="S499" s="1"/>
      <c r="T499" s="1"/>
      <c r="U499" s="1"/>
      <c r="V499" s="1"/>
      <c r="W499" s="1"/>
      <c r="X499" s="1"/>
      <c r="Y499" s="1"/>
      <c r="Z499" s="1"/>
    </row>
    <row r="500" customFormat="false" ht="15.75" hidden="false" customHeight="tru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M500" s="1"/>
      <c r="R500" s="1"/>
      <c r="S500" s="1"/>
      <c r="T500" s="1"/>
      <c r="U500" s="1"/>
      <c r="V500" s="1"/>
      <c r="W500" s="1"/>
      <c r="X500" s="1"/>
      <c r="Y500" s="1"/>
      <c r="Z500" s="1"/>
    </row>
    <row r="501" customFormat="false" ht="15.75" hidden="false" customHeight="tru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M501" s="1"/>
      <c r="R501" s="1"/>
      <c r="S501" s="1"/>
      <c r="T501" s="1"/>
      <c r="U501" s="1"/>
      <c r="V501" s="1"/>
      <c r="W501" s="1"/>
      <c r="X501" s="1"/>
      <c r="Y501" s="1"/>
      <c r="Z501" s="1"/>
    </row>
    <row r="502" customFormat="false" ht="15.75" hidden="false" customHeight="tru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M502" s="1"/>
      <c r="R502" s="1"/>
      <c r="S502" s="1"/>
      <c r="T502" s="1"/>
      <c r="U502" s="1"/>
      <c r="V502" s="1"/>
      <c r="W502" s="1"/>
      <c r="X502" s="1"/>
      <c r="Y502" s="1"/>
      <c r="Z502" s="1"/>
    </row>
    <row r="503" customFormat="false" ht="15.75" hidden="false" customHeight="tru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M503" s="1"/>
      <c r="R503" s="1"/>
      <c r="S503" s="1"/>
      <c r="T503" s="1"/>
      <c r="U503" s="1"/>
      <c r="V503" s="1"/>
      <c r="W503" s="1"/>
      <c r="X503" s="1"/>
      <c r="Y503" s="1"/>
      <c r="Z503" s="1"/>
    </row>
    <row r="504" customFormat="false" ht="15.75" hidden="false" customHeight="tru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M504" s="1"/>
      <c r="R504" s="1"/>
      <c r="S504" s="1"/>
      <c r="T504" s="1"/>
      <c r="U504" s="1"/>
      <c r="V504" s="1"/>
      <c r="W504" s="1"/>
      <c r="X504" s="1"/>
      <c r="Y504" s="1"/>
      <c r="Z504" s="1"/>
    </row>
    <row r="505" customFormat="false" ht="15.75" hidden="false" customHeight="tru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M505" s="1"/>
      <c r="R505" s="1"/>
      <c r="S505" s="1"/>
      <c r="T505" s="1"/>
      <c r="U505" s="1"/>
      <c r="V505" s="1"/>
      <c r="W505" s="1"/>
      <c r="X505" s="1"/>
      <c r="Y505" s="1"/>
      <c r="Z505" s="1"/>
    </row>
    <row r="506" customFormat="false" ht="15.75" hidden="false" customHeight="tru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M506" s="1"/>
      <c r="R506" s="1"/>
      <c r="S506" s="1"/>
      <c r="T506" s="1"/>
      <c r="U506" s="1"/>
      <c r="V506" s="1"/>
      <c r="W506" s="1"/>
      <c r="X506" s="1"/>
      <c r="Y506" s="1"/>
      <c r="Z506" s="1"/>
    </row>
    <row r="507" customFormat="false" ht="15.75" hidden="false" customHeight="tru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M507" s="1"/>
      <c r="R507" s="1"/>
      <c r="S507" s="1"/>
      <c r="T507" s="1"/>
      <c r="U507" s="1"/>
      <c r="V507" s="1"/>
      <c r="W507" s="1"/>
      <c r="X507" s="1"/>
      <c r="Y507" s="1"/>
      <c r="Z507" s="1"/>
    </row>
    <row r="508" customFormat="false" ht="15.75" hidden="false" customHeight="tru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M508" s="1"/>
      <c r="R508" s="1"/>
      <c r="S508" s="1"/>
      <c r="T508" s="1"/>
      <c r="U508" s="1"/>
      <c r="V508" s="1"/>
      <c r="W508" s="1"/>
      <c r="X508" s="1"/>
      <c r="Y508" s="1"/>
      <c r="Z508" s="1"/>
    </row>
    <row r="509" customFormat="false" ht="15.75" hidden="false" customHeight="tru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M509" s="1"/>
      <c r="R509" s="1"/>
      <c r="S509" s="1"/>
      <c r="T509" s="1"/>
      <c r="U509" s="1"/>
      <c r="V509" s="1"/>
      <c r="W509" s="1"/>
      <c r="X509" s="1"/>
      <c r="Y509" s="1"/>
      <c r="Z509" s="1"/>
    </row>
    <row r="510" customFormat="false" ht="15.75" hidden="false" customHeight="tru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M510" s="1"/>
      <c r="R510" s="1"/>
      <c r="S510" s="1"/>
      <c r="T510" s="1"/>
      <c r="U510" s="1"/>
      <c r="V510" s="1"/>
      <c r="W510" s="1"/>
      <c r="X510" s="1"/>
      <c r="Y510" s="1"/>
      <c r="Z510" s="1"/>
    </row>
    <row r="511" customFormat="false" ht="15.75" hidden="false" customHeight="tru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M511" s="1"/>
      <c r="R511" s="1"/>
      <c r="S511" s="1"/>
      <c r="T511" s="1"/>
      <c r="U511" s="1"/>
      <c r="V511" s="1"/>
      <c r="W511" s="1"/>
      <c r="X511" s="1"/>
      <c r="Y511" s="1"/>
      <c r="Z511" s="1"/>
    </row>
    <row r="512" customFormat="false" ht="15.75" hidden="false" customHeight="tru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M512" s="1"/>
      <c r="R512" s="1"/>
      <c r="S512" s="1"/>
      <c r="T512" s="1"/>
      <c r="U512" s="1"/>
      <c r="V512" s="1"/>
      <c r="W512" s="1"/>
      <c r="X512" s="1"/>
      <c r="Y512" s="1"/>
      <c r="Z512" s="1"/>
    </row>
    <row r="513" customFormat="false" ht="15.75" hidden="false" customHeight="tru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M513" s="1"/>
      <c r="R513" s="1"/>
      <c r="S513" s="1"/>
      <c r="T513" s="1"/>
      <c r="U513" s="1"/>
      <c r="V513" s="1"/>
      <c r="W513" s="1"/>
      <c r="X513" s="1"/>
      <c r="Y513" s="1"/>
      <c r="Z513" s="1"/>
    </row>
    <row r="514" customFormat="false" ht="15.75" hidden="false" customHeight="tru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M514" s="1"/>
      <c r="R514" s="1"/>
      <c r="S514" s="1"/>
      <c r="T514" s="1"/>
      <c r="U514" s="1"/>
      <c r="V514" s="1"/>
      <c r="W514" s="1"/>
      <c r="X514" s="1"/>
      <c r="Y514" s="1"/>
      <c r="Z514" s="1"/>
    </row>
    <row r="515" customFormat="false" ht="15.75" hidden="false" customHeight="tru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M515" s="1"/>
      <c r="R515" s="1"/>
      <c r="S515" s="1"/>
      <c r="T515" s="1"/>
      <c r="U515" s="1"/>
      <c r="V515" s="1"/>
      <c r="W515" s="1"/>
      <c r="X515" s="1"/>
      <c r="Y515" s="1"/>
      <c r="Z515" s="1"/>
    </row>
    <row r="516" customFormat="false" ht="15.75" hidden="false" customHeight="tru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M516" s="1"/>
      <c r="R516" s="1"/>
      <c r="S516" s="1"/>
      <c r="T516" s="1"/>
      <c r="U516" s="1"/>
      <c r="V516" s="1"/>
      <c r="W516" s="1"/>
      <c r="X516" s="1"/>
      <c r="Y516" s="1"/>
      <c r="Z516" s="1"/>
    </row>
    <row r="517" customFormat="false" ht="15.75" hidden="false" customHeight="tru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M517" s="1"/>
      <c r="R517" s="1"/>
      <c r="S517" s="1"/>
      <c r="T517" s="1"/>
      <c r="U517" s="1"/>
      <c r="V517" s="1"/>
      <c r="W517" s="1"/>
      <c r="X517" s="1"/>
      <c r="Y517" s="1"/>
      <c r="Z517" s="1"/>
    </row>
    <row r="518" customFormat="false" ht="15.75" hidden="false" customHeight="tru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M518" s="1"/>
      <c r="R518" s="1"/>
      <c r="S518" s="1"/>
      <c r="T518" s="1"/>
      <c r="U518" s="1"/>
      <c r="V518" s="1"/>
      <c r="W518" s="1"/>
      <c r="X518" s="1"/>
      <c r="Y518" s="1"/>
      <c r="Z518" s="1"/>
    </row>
    <row r="519" customFormat="false" ht="15.75" hidden="false" customHeight="tru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M519" s="1"/>
      <c r="R519" s="1"/>
      <c r="S519" s="1"/>
      <c r="T519" s="1"/>
      <c r="U519" s="1"/>
      <c r="V519" s="1"/>
      <c r="W519" s="1"/>
      <c r="X519" s="1"/>
      <c r="Y519" s="1"/>
      <c r="Z519" s="1"/>
    </row>
    <row r="520" customFormat="false" ht="15.75" hidden="false" customHeight="tru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M520" s="1"/>
      <c r="R520" s="1"/>
      <c r="S520" s="1"/>
      <c r="T520" s="1"/>
      <c r="U520" s="1"/>
      <c r="V520" s="1"/>
      <c r="W520" s="1"/>
      <c r="X520" s="1"/>
      <c r="Y520" s="1"/>
      <c r="Z520" s="1"/>
    </row>
    <row r="521" customFormat="false" ht="15.75" hidden="false" customHeight="tru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M521" s="1"/>
      <c r="R521" s="1"/>
      <c r="S521" s="1"/>
      <c r="T521" s="1"/>
      <c r="U521" s="1"/>
      <c r="V521" s="1"/>
      <c r="W521" s="1"/>
      <c r="X521" s="1"/>
      <c r="Y521" s="1"/>
      <c r="Z521" s="1"/>
    </row>
    <row r="522" customFormat="false" ht="15.75" hidden="false" customHeight="tru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M522" s="1"/>
      <c r="R522" s="1"/>
      <c r="S522" s="1"/>
      <c r="T522" s="1"/>
      <c r="U522" s="1"/>
      <c r="V522" s="1"/>
      <c r="W522" s="1"/>
      <c r="X522" s="1"/>
      <c r="Y522" s="1"/>
      <c r="Z522" s="1"/>
    </row>
    <row r="523" customFormat="false" ht="15.75" hidden="false" customHeight="tru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M523" s="1"/>
      <c r="R523" s="1"/>
      <c r="S523" s="1"/>
      <c r="T523" s="1"/>
      <c r="U523" s="1"/>
      <c r="V523" s="1"/>
      <c r="W523" s="1"/>
      <c r="X523" s="1"/>
      <c r="Y523" s="1"/>
      <c r="Z523" s="1"/>
    </row>
    <row r="524" customFormat="false" ht="15.75" hidden="false" customHeight="tru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M524" s="1"/>
      <c r="R524" s="1"/>
      <c r="S524" s="1"/>
      <c r="T524" s="1"/>
      <c r="U524" s="1"/>
      <c r="V524" s="1"/>
      <c r="W524" s="1"/>
      <c r="X524" s="1"/>
      <c r="Y524" s="1"/>
      <c r="Z524" s="1"/>
    </row>
    <row r="525" customFormat="false" ht="15.75" hidden="false" customHeight="tru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M525" s="1"/>
      <c r="R525" s="1"/>
      <c r="S525" s="1"/>
      <c r="T525" s="1"/>
      <c r="U525" s="1"/>
      <c r="V525" s="1"/>
      <c r="W525" s="1"/>
      <c r="X525" s="1"/>
      <c r="Y525" s="1"/>
      <c r="Z525" s="1"/>
    </row>
    <row r="526" customFormat="false" ht="15.75" hidden="false" customHeight="tru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M526" s="1"/>
      <c r="R526" s="1"/>
      <c r="S526" s="1"/>
      <c r="T526" s="1"/>
      <c r="U526" s="1"/>
      <c r="V526" s="1"/>
      <c r="W526" s="1"/>
      <c r="X526" s="1"/>
      <c r="Y526" s="1"/>
      <c r="Z526" s="1"/>
    </row>
    <row r="527" customFormat="false" ht="15.75" hidden="false" customHeight="tru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M527" s="1"/>
      <c r="R527" s="1"/>
      <c r="S527" s="1"/>
      <c r="T527" s="1"/>
      <c r="U527" s="1"/>
      <c r="V527" s="1"/>
      <c r="W527" s="1"/>
      <c r="X527" s="1"/>
      <c r="Y527" s="1"/>
      <c r="Z527" s="1"/>
    </row>
    <row r="528" customFormat="false" ht="15.75" hidden="false" customHeight="tru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M528" s="1"/>
      <c r="R528" s="1"/>
      <c r="S528" s="1"/>
      <c r="T528" s="1"/>
      <c r="U528" s="1"/>
      <c r="V528" s="1"/>
      <c r="W528" s="1"/>
      <c r="X528" s="1"/>
      <c r="Y528" s="1"/>
      <c r="Z528" s="1"/>
    </row>
    <row r="529" customFormat="false" ht="15.75" hidden="false" customHeight="tru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M529" s="1"/>
      <c r="R529" s="1"/>
      <c r="S529" s="1"/>
      <c r="T529" s="1"/>
      <c r="U529" s="1"/>
      <c r="V529" s="1"/>
      <c r="W529" s="1"/>
      <c r="X529" s="1"/>
      <c r="Y529" s="1"/>
      <c r="Z529" s="1"/>
    </row>
    <row r="530" customFormat="false" ht="15.75" hidden="false" customHeight="tru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M530" s="1"/>
      <c r="R530" s="1"/>
      <c r="S530" s="1"/>
      <c r="T530" s="1"/>
      <c r="U530" s="1"/>
      <c r="V530" s="1"/>
      <c r="W530" s="1"/>
      <c r="X530" s="1"/>
      <c r="Y530" s="1"/>
      <c r="Z530" s="1"/>
    </row>
    <row r="531" customFormat="false" ht="15.75" hidden="false" customHeight="tru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M531" s="1"/>
      <c r="R531" s="1"/>
      <c r="S531" s="1"/>
      <c r="T531" s="1"/>
      <c r="U531" s="1"/>
      <c r="V531" s="1"/>
      <c r="W531" s="1"/>
      <c r="X531" s="1"/>
      <c r="Y531" s="1"/>
      <c r="Z531" s="1"/>
    </row>
    <row r="532" customFormat="false" ht="15.75" hidden="false" customHeight="tru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M532" s="1"/>
      <c r="R532" s="1"/>
      <c r="S532" s="1"/>
      <c r="T532" s="1"/>
      <c r="U532" s="1"/>
      <c r="V532" s="1"/>
      <c r="W532" s="1"/>
      <c r="X532" s="1"/>
      <c r="Y532" s="1"/>
      <c r="Z532" s="1"/>
    </row>
    <row r="533" customFormat="false" ht="15.75" hidden="false" customHeight="tru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M533" s="1"/>
      <c r="R533" s="1"/>
      <c r="S533" s="1"/>
      <c r="T533" s="1"/>
      <c r="U533" s="1"/>
      <c r="V533" s="1"/>
      <c r="W533" s="1"/>
      <c r="X533" s="1"/>
      <c r="Y533" s="1"/>
      <c r="Z533" s="1"/>
    </row>
    <row r="534" customFormat="false" ht="15.75" hidden="false" customHeight="tru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M534" s="1"/>
      <c r="R534" s="1"/>
      <c r="S534" s="1"/>
      <c r="T534" s="1"/>
      <c r="U534" s="1"/>
      <c r="V534" s="1"/>
      <c r="W534" s="1"/>
      <c r="X534" s="1"/>
      <c r="Y534" s="1"/>
      <c r="Z534" s="1"/>
    </row>
    <row r="535" customFormat="false" ht="15.75" hidden="false" customHeight="tru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M535" s="1"/>
      <c r="R535" s="1"/>
      <c r="S535" s="1"/>
      <c r="T535" s="1"/>
      <c r="U535" s="1"/>
      <c r="V535" s="1"/>
      <c r="W535" s="1"/>
      <c r="X535" s="1"/>
      <c r="Y535" s="1"/>
      <c r="Z535" s="1"/>
    </row>
    <row r="536" customFormat="false" ht="15.75" hidden="false" customHeight="tru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M536" s="1"/>
      <c r="R536" s="1"/>
      <c r="S536" s="1"/>
      <c r="T536" s="1"/>
      <c r="U536" s="1"/>
      <c r="V536" s="1"/>
      <c r="W536" s="1"/>
      <c r="X536" s="1"/>
      <c r="Y536" s="1"/>
      <c r="Z536" s="1"/>
    </row>
    <row r="537" customFormat="false" ht="15.75" hidden="false" customHeight="tru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M537" s="1"/>
      <c r="R537" s="1"/>
      <c r="S537" s="1"/>
      <c r="T537" s="1"/>
      <c r="U537" s="1"/>
      <c r="V537" s="1"/>
      <c r="W537" s="1"/>
      <c r="X537" s="1"/>
      <c r="Y537" s="1"/>
      <c r="Z537" s="1"/>
    </row>
    <row r="538" customFormat="false" ht="15.75" hidden="false" customHeight="tru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M538" s="1"/>
      <c r="R538" s="1"/>
      <c r="S538" s="1"/>
      <c r="T538" s="1"/>
      <c r="U538" s="1"/>
      <c r="V538" s="1"/>
      <c r="W538" s="1"/>
      <c r="X538" s="1"/>
      <c r="Y538" s="1"/>
      <c r="Z538" s="1"/>
    </row>
    <row r="539" customFormat="false" ht="15.75" hidden="false" customHeight="tru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M539" s="1"/>
      <c r="R539" s="1"/>
      <c r="S539" s="1"/>
      <c r="T539" s="1"/>
      <c r="U539" s="1"/>
      <c r="V539" s="1"/>
      <c r="W539" s="1"/>
      <c r="X539" s="1"/>
      <c r="Y539" s="1"/>
      <c r="Z539" s="1"/>
    </row>
    <row r="540" customFormat="false" ht="15.75" hidden="false" customHeight="tru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M540" s="1"/>
      <c r="R540" s="1"/>
      <c r="S540" s="1"/>
      <c r="T540" s="1"/>
      <c r="U540" s="1"/>
      <c r="V540" s="1"/>
      <c r="W540" s="1"/>
      <c r="X540" s="1"/>
      <c r="Y540" s="1"/>
      <c r="Z540" s="1"/>
    </row>
    <row r="541" customFormat="false" ht="15.75" hidden="false" customHeight="tru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M541" s="1"/>
      <c r="R541" s="1"/>
      <c r="S541" s="1"/>
      <c r="T541" s="1"/>
      <c r="U541" s="1"/>
      <c r="V541" s="1"/>
      <c r="W541" s="1"/>
      <c r="X541" s="1"/>
      <c r="Y541" s="1"/>
      <c r="Z541" s="1"/>
    </row>
    <row r="542" customFormat="false" ht="15.75" hidden="false" customHeight="tru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M542" s="1"/>
      <c r="R542" s="1"/>
      <c r="S542" s="1"/>
      <c r="T542" s="1"/>
      <c r="U542" s="1"/>
      <c r="V542" s="1"/>
      <c r="W542" s="1"/>
      <c r="X542" s="1"/>
      <c r="Y542" s="1"/>
      <c r="Z542" s="1"/>
    </row>
    <row r="543" customFormat="false" ht="15.75" hidden="false" customHeight="tru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M543" s="1"/>
      <c r="R543" s="1"/>
      <c r="S543" s="1"/>
      <c r="T543" s="1"/>
      <c r="U543" s="1"/>
      <c r="V543" s="1"/>
      <c r="W543" s="1"/>
      <c r="X543" s="1"/>
      <c r="Y543" s="1"/>
      <c r="Z543" s="1"/>
    </row>
    <row r="544" customFormat="false" ht="15.75" hidden="false" customHeight="tru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M544" s="1"/>
      <c r="R544" s="1"/>
      <c r="S544" s="1"/>
      <c r="T544" s="1"/>
      <c r="U544" s="1"/>
      <c r="V544" s="1"/>
      <c r="W544" s="1"/>
      <c r="X544" s="1"/>
      <c r="Y544" s="1"/>
      <c r="Z544" s="1"/>
    </row>
    <row r="545" customFormat="false" ht="15.75" hidden="false" customHeight="tru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M545" s="1"/>
      <c r="R545" s="1"/>
      <c r="S545" s="1"/>
      <c r="T545" s="1"/>
      <c r="U545" s="1"/>
      <c r="V545" s="1"/>
      <c r="W545" s="1"/>
      <c r="X545" s="1"/>
      <c r="Y545" s="1"/>
      <c r="Z545" s="1"/>
    </row>
    <row r="546" customFormat="false" ht="15.75" hidden="false" customHeight="tru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M546" s="1"/>
      <c r="R546" s="1"/>
      <c r="S546" s="1"/>
      <c r="T546" s="1"/>
      <c r="U546" s="1"/>
      <c r="V546" s="1"/>
      <c r="W546" s="1"/>
      <c r="X546" s="1"/>
      <c r="Y546" s="1"/>
      <c r="Z546" s="1"/>
    </row>
    <row r="547" customFormat="false" ht="15.75" hidden="false" customHeight="tru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M547" s="1"/>
      <c r="R547" s="1"/>
      <c r="S547" s="1"/>
      <c r="T547" s="1"/>
      <c r="U547" s="1"/>
      <c r="V547" s="1"/>
      <c r="W547" s="1"/>
      <c r="X547" s="1"/>
      <c r="Y547" s="1"/>
      <c r="Z547" s="1"/>
    </row>
    <row r="548" customFormat="false" ht="15.75" hidden="false" customHeight="tru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M548" s="1"/>
      <c r="R548" s="1"/>
      <c r="S548" s="1"/>
      <c r="T548" s="1"/>
      <c r="U548" s="1"/>
      <c r="V548" s="1"/>
      <c r="W548" s="1"/>
      <c r="X548" s="1"/>
      <c r="Y548" s="1"/>
      <c r="Z548" s="1"/>
    </row>
    <row r="549" customFormat="false" ht="15.75" hidden="false" customHeight="tru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M549" s="1"/>
      <c r="R549" s="1"/>
      <c r="S549" s="1"/>
      <c r="T549" s="1"/>
      <c r="U549" s="1"/>
      <c r="V549" s="1"/>
      <c r="W549" s="1"/>
      <c r="X549" s="1"/>
      <c r="Y549" s="1"/>
      <c r="Z549" s="1"/>
    </row>
    <row r="550" customFormat="false" ht="15.75" hidden="false" customHeight="tru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M550" s="1"/>
      <c r="R550" s="1"/>
      <c r="S550" s="1"/>
      <c r="T550" s="1"/>
      <c r="U550" s="1"/>
      <c r="V550" s="1"/>
      <c r="W550" s="1"/>
      <c r="X550" s="1"/>
      <c r="Y550" s="1"/>
      <c r="Z550" s="1"/>
    </row>
    <row r="551" customFormat="false" ht="15.75" hidden="false" customHeight="tru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M551" s="1"/>
      <c r="R551" s="1"/>
      <c r="S551" s="1"/>
      <c r="T551" s="1"/>
      <c r="U551" s="1"/>
      <c r="V551" s="1"/>
      <c r="W551" s="1"/>
      <c r="X551" s="1"/>
      <c r="Y551" s="1"/>
      <c r="Z551" s="1"/>
    </row>
    <row r="552" customFormat="false" ht="15.75" hidden="false" customHeight="tru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M552" s="1"/>
      <c r="R552" s="1"/>
      <c r="S552" s="1"/>
      <c r="T552" s="1"/>
      <c r="U552" s="1"/>
      <c r="V552" s="1"/>
      <c r="W552" s="1"/>
      <c r="X552" s="1"/>
      <c r="Y552" s="1"/>
      <c r="Z552" s="1"/>
    </row>
    <row r="553" customFormat="false" ht="15.75" hidden="false" customHeight="tru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M553" s="1"/>
      <c r="R553" s="1"/>
      <c r="S553" s="1"/>
      <c r="T553" s="1"/>
      <c r="U553" s="1"/>
      <c r="V553" s="1"/>
      <c r="W553" s="1"/>
      <c r="X553" s="1"/>
      <c r="Y553" s="1"/>
      <c r="Z553" s="1"/>
    </row>
    <row r="554" customFormat="false" ht="15.75" hidden="false" customHeight="tru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M554" s="1"/>
      <c r="R554" s="1"/>
      <c r="S554" s="1"/>
      <c r="T554" s="1"/>
      <c r="U554" s="1"/>
      <c r="V554" s="1"/>
      <c r="W554" s="1"/>
      <c r="X554" s="1"/>
      <c r="Y554" s="1"/>
      <c r="Z554" s="1"/>
    </row>
    <row r="555" customFormat="false" ht="15.75" hidden="false" customHeight="tru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M555" s="1"/>
      <c r="R555" s="1"/>
      <c r="S555" s="1"/>
      <c r="T555" s="1"/>
      <c r="U555" s="1"/>
      <c r="V555" s="1"/>
      <c r="W555" s="1"/>
      <c r="X555" s="1"/>
      <c r="Y555" s="1"/>
      <c r="Z555" s="1"/>
    </row>
    <row r="556" customFormat="false" ht="15.75" hidden="false" customHeight="tru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M556" s="1"/>
      <c r="R556" s="1"/>
      <c r="S556" s="1"/>
      <c r="T556" s="1"/>
      <c r="U556" s="1"/>
      <c r="V556" s="1"/>
      <c r="W556" s="1"/>
      <c r="X556" s="1"/>
      <c r="Y556" s="1"/>
      <c r="Z556" s="1"/>
    </row>
    <row r="557" customFormat="false" ht="15.75" hidden="false" customHeight="tru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M557" s="1"/>
      <c r="R557" s="1"/>
      <c r="S557" s="1"/>
      <c r="T557" s="1"/>
      <c r="U557" s="1"/>
      <c r="V557" s="1"/>
      <c r="W557" s="1"/>
      <c r="X557" s="1"/>
      <c r="Y557" s="1"/>
      <c r="Z557" s="1"/>
    </row>
    <row r="558" customFormat="false" ht="15.75" hidden="false" customHeight="tru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M558" s="1"/>
      <c r="R558" s="1"/>
      <c r="S558" s="1"/>
      <c r="T558" s="1"/>
      <c r="U558" s="1"/>
      <c r="V558" s="1"/>
      <c r="W558" s="1"/>
      <c r="X558" s="1"/>
      <c r="Y558" s="1"/>
      <c r="Z558" s="1"/>
    </row>
    <row r="559" customFormat="false" ht="15.75" hidden="false" customHeight="tru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M559" s="1"/>
      <c r="R559" s="1"/>
      <c r="S559" s="1"/>
      <c r="T559" s="1"/>
      <c r="U559" s="1"/>
      <c r="V559" s="1"/>
      <c r="W559" s="1"/>
      <c r="X559" s="1"/>
      <c r="Y559" s="1"/>
      <c r="Z559" s="1"/>
    </row>
    <row r="560" customFormat="false" ht="15.75" hidden="false" customHeight="tru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M560" s="1"/>
      <c r="R560" s="1"/>
      <c r="S560" s="1"/>
      <c r="T560" s="1"/>
      <c r="U560" s="1"/>
      <c r="V560" s="1"/>
      <c r="W560" s="1"/>
      <c r="X560" s="1"/>
      <c r="Y560" s="1"/>
      <c r="Z560" s="1"/>
    </row>
    <row r="561" customFormat="false" ht="15.75" hidden="false" customHeight="tru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M561" s="1"/>
      <c r="R561" s="1"/>
      <c r="S561" s="1"/>
      <c r="T561" s="1"/>
      <c r="U561" s="1"/>
      <c r="V561" s="1"/>
      <c r="W561" s="1"/>
      <c r="X561" s="1"/>
      <c r="Y561" s="1"/>
      <c r="Z561" s="1"/>
    </row>
    <row r="562" customFormat="false" ht="15.75" hidden="false" customHeight="tru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M562" s="1"/>
      <c r="R562" s="1"/>
      <c r="S562" s="1"/>
      <c r="T562" s="1"/>
      <c r="U562" s="1"/>
      <c r="V562" s="1"/>
      <c r="W562" s="1"/>
      <c r="X562" s="1"/>
      <c r="Y562" s="1"/>
      <c r="Z562" s="1"/>
    </row>
    <row r="563" customFormat="false" ht="15.75" hidden="false" customHeight="tru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M563" s="1"/>
      <c r="R563" s="1"/>
      <c r="S563" s="1"/>
      <c r="T563" s="1"/>
      <c r="U563" s="1"/>
      <c r="V563" s="1"/>
      <c r="W563" s="1"/>
      <c r="X563" s="1"/>
      <c r="Y563" s="1"/>
      <c r="Z563" s="1"/>
    </row>
    <row r="564" customFormat="false" ht="15.75" hidden="false" customHeight="tru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M564" s="1"/>
      <c r="R564" s="1"/>
      <c r="S564" s="1"/>
      <c r="T564" s="1"/>
      <c r="U564" s="1"/>
      <c r="V564" s="1"/>
      <c r="W564" s="1"/>
      <c r="X564" s="1"/>
      <c r="Y564" s="1"/>
      <c r="Z564" s="1"/>
    </row>
    <row r="565" customFormat="false" ht="15.75" hidden="false" customHeight="tru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M565" s="1"/>
      <c r="R565" s="1"/>
      <c r="S565" s="1"/>
      <c r="T565" s="1"/>
      <c r="U565" s="1"/>
      <c r="V565" s="1"/>
      <c r="W565" s="1"/>
      <c r="X565" s="1"/>
      <c r="Y565" s="1"/>
      <c r="Z565" s="1"/>
    </row>
    <row r="566" customFormat="false" ht="15.75" hidden="false" customHeight="tru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M566" s="1"/>
      <c r="R566" s="1"/>
      <c r="S566" s="1"/>
      <c r="T566" s="1"/>
      <c r="U566" s="1"/>
      <c r="V566" s="1"/>
      <c r="W566" s="1"/>
      <c r="X566" s="1"/>
      <c r="Y566" s="1"/>
      <c r="Z566" s="1"/>
    </row>
    <row r="567" customFormat="false" ht="15.75" hidden="false" customHeight="tru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M567" s="1"/>
      <c r="R567" s="1"/>
      <c r="S567" s="1"/>
      <c r="T567" s="1"/>
      <c r="U567" s="1"/>
      <c r="V567" s="1"/>
      <c r="W567" s="1"/>
      <c r="X567" s="1"/>
      <c r="Y567" s="1"/>
      <c r="Z567" s="1"/>
    </row>
    <row r="568" customFormat="false" ht="15.75" hidden="false" customHeight="tru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M568" s="1"/>
      <c r="R568" s="1"/>
      <c r="S568" s="1"/>
      <c r="T568" s="1"/>
      <c r="U568" s="1"/>
      <c r="V568" s="1"/>
      <c r="W568" s="1"/>
      <c r="X568" s="1"/>
      <c r="Y568" s="1"/>
      <c r="Z568" s="1"/>
    </row>
    <row r="569" customFormat="false" ht="15.75" hidden="false" customHeight="tru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M569" s="1"/>
      <c r="R569" s="1"/>
      <c r="S569" s="1"/>
      <c r="T569" s="1"/>
      <c r="U569" s="1"/>
      <c r="V569" s="1"/>
      <c r="W569" s="1"/>
      <c r="X569" s="1"/>
      <c r="Y569" s="1"/>
      <c r="Z569" s="1"/>
    </row>
    <row r="570" customFormat="false" ht="15.75" hidden="false" customHeight="tru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M570" s="1"/>
      <c r="R570" s="1"/>
      <c r="S570" s="1"/>
      <c r="T570" s="1"/>
      <c r="U570" s="1"/>
      <c r="V570" s="1"/>
      <c r="W570" s="1"/>
      <c r="X570" s="1"/>
      <c r="Y570" s="1"/>
      <c r="Z570" s="1"/>
    </row>
    <row r="571" customFormat="false" ht="15.75" hidden="false" customHeight="tru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M571" s="1"/>
      <c r="R571" s="1"/>
      <c r="S571" s="1"/>
      <c r="T571" s="1"/>
      <c r="U571" s="1"/>
      <c r="V571" s="1"/>
      <c r="W571" s="1"/>
      <c r="X571" s="1"/>
      <c r="Y571" s="1"/>
      <c r="Z571" s="1"/>
    </row>
    <row r="572" customFormat="false" ht="15.75" hidden="false" customHeight="tru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M572" s="1"/>
      <c r="R572" s="1"/>
      <c r="S572" s="1"/>
      <c r="T572" s="1"/>
      <c r="U572" s="1"/>
      <c r="V572" s="1"/>
      <c r="W572" s="1"/>
      <c r="X572" s="1"/>
      <c r="Y572" s="1"/>
      <c r="Z572" s="1"/>
    </row>
    <row r="573" customFormat="false" ht="15.75" hidden="false" customHeight="tru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M573" s="1"/>
      <c r="R573" s="1"/>
      <c r="S573" s="1"/>
      <c r="T573" s="1"/>
      <c r="U573" s="1"/>
      <c r="V573" s="1"/>
      <c r="W573" s="1"/>
      <c r="X573" s="1"/>
      <c r="Y573" s="1"/>
      <c r="Z573" s="1"/>
    </row>
    <row r="574" customFormat="false" ht="15.75" hidden="false" customHeight="tru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M574" s="1"/>
      <c r="R574" s="1"/>
      <c r="S574" s="1"/>
      <c r="T574" s="1"/>
      <c r="U574" s="1"/>
      <c r="V574" s="1"/>
      <c r="W574" s="1"/>
      <c r="X574" s="1"/>
      <c r="Y574" s="1"/>
      <c r="Z574" s="1"/>
    </row>
    <row r="575" customFormat="false" ht="15.75" hidden="false" customHeight="tru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M575" s="1"/>
      <c r="R575" s="1"/>
      <c r="S575" s="1"/>
      <c r="T575" s="1"/>
      <c r="U575" s="1"/>
      <c r="V575" s="1"/>
      <c r="W575" s="1"/>
      <c r="X575" s="1"/>
      <c r="Y575" s="1"/>
      <c r="Z575" s="1"/>
    </row>
    <row r="576" customFormat="false" ht="15.75" hidden="false" customHeight="tru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M576" s="1"/>
      <c r="R576" s="1"/>
      <c r="S576" s="1"/>
      <c r="T576" s="1"/>
      <c r="U576" s="1"/>
      <c r="V576" s="1"/>
      <c r="W576" s="1"/>
      <c r="X576" s="1"/>
      <c r="Y576" s="1"/>
      <c r="Z576" s="1"/>
    </row>
    <row r="577" customFormat="false" ht="15.75" hidden="false" customHeight="tru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M577" s="1"/>
      <c r="R577" s="1"/>
      <c r="S577" s="1"/>
      <c r="T577" s="1"/>
      <c r="U577" s="1"/>
      <c r="V577" s="1"/>
      <c r="W577" s="1"/>
      <c r="X577" s="1"/>
      <c r="Y577" s="1"/>
      <c r="Z577" s="1"/>
    </row>
    <row r="578" customFormat="false" ht="15.75" hidden="false" customHeight="tru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M578" s="1"/>
      <c r="R578" s="1"/>
      <c r="S578" s="1"/>
      <c r="T578" s="1"/>
      <c r="U578" s="1"/>
      <c r="V578" s="1"/>
      <c r="W578" s="1"/>
      <c r="X578" s="1"/>
      <c r="Y578" s="1"/>
      <c r="Z578" s="1"/>
    </row>
    <row r="579" customFormat="false" ht="15.75" hidden="false" customHeight="tru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M579" s="1"/>
      <c r="R579" s="1"/>
      <c r="S579" s="1"/>
      <c r="T579" s="1"/>
      <c r="U579" s="1"/>
      <c r="V579" s="1"/>
      <c r="W579" s="1"/>
      <c r="X579" s="1"/>
      <c r="Y579" s="1"/>
      <c r="Z579" s="1"/>
    </row>
    <row r="580" customFormat="false" ht="15.75" hidden="false" customHeight="tru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M580" s="1"/>
      <c r="R580" s="1"/>
      <c r="S580" s="1"/>
      <c r="T580" s="1"/>
      <c r="U580" s="1"/>
      <c r="V580" s="1"/>
      <c r="W580" s="1"/>
      <c r="X580" s="1"/>
      <c r="Y580" s="1"/>
      <c r="Z580" s="1"/>
    </row>
    <row r="581" customFormat="false" ht="15.75" hidden="false" customHeight="tru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M581" s="1"/>
      <c r="R581" s="1"/>
      <c r="S581" s="1"/>
      <c r="T581" s="1"/>
      <c r="U581" s="1"/>
      <c r="V581" s="1"/>
      <c r="W581" s="1"/>
      <c r="X581" s="1"/>
      <c r="Y581" s="1"/>
      <c r="Z581" s="1"/>
    </row>
    <row r="582" customFormat="false" ht="15.75" hidden="false" customHeight="tru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M582" s="1"/>
      <c r="R582" s="1"/>
      <c r="S582" s="1"/>
      <c r="T582" s="1"/>
      <c r="U582" s="1"/>
      <c r="V582" s="1"/>
      <c r="W582" s="1"/>
      <c r="X582" s="1"/>
      <c r="Y582" s="1"/>
      <c r="Z582" s="1"/>
    </row>
    <row r="583" customFormat="false" ht="15.75" hidden="false" customHeight="tru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M583" s="1"/>
      <c r="R583" s="1"/>
      <c r="S583" s="1"/>
      <c r="T583" s="1"/>
      <c r="U583" s="1"/>
      <c r="V583" s="1"/>
      <c r="W583" s="1"/>
      <c r="X583" s="1"/>
      <c r="Y583" s="1"/>
      <c r="Z583" s="1"/>
    </row>
    <row r="584" customFormat="false" ht="15.75" hidden="false" customHeight="tru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M584" s="1"/>
      <c r="R584" s="1"/>
      <c r="S584" s="1"/>
      <c r="T584" s="1"/>
      <c r="U584" s="1"/>
      <c r="V584" s="1"/>
      <c r="W584" s="1"/>
      <c r="X584" s="1"/>
      <c r="Y584" s="1"/>
      <c r="Z584" s="1"/>
    </row>
    <row r="585" customFormat="false" ht="15.75" hidden="false" customHeight="tru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M585" s="1"/>
      <c r="R585" s="1"/>
      <c r="S585" s="1"/>
      <c r="T585" s="1"/>
      <c r="U585" s="1"/>
      <c r="V585" s="1"/>
      <c r="W585" s="1"/>
      <c r="X585" s="1"/>
      <c r="Y585" s="1"/>
      <c r="Z585" s="1"/>
    </row>
    <row r="586" customFormat="false" ht="15.75" hidden="false" customHeight="tru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M586" s="1"/>
      <c r="R586" s="1"/>
      <c r="S586" s="1"/>
      <c r="T586" s="1"/>
      <c r="U586" s="1"/>
      <c r="V586" s="1"/>
      <c r="W586" s="1"/>
      <c r="X586" s="1"/>
      <c r="Y586" s="1"/>
      <c r="Z586" s="1"/>
    </row>
    <row r="587" customFormat="false" ht="15.75" hidden="false" customHeight="tru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M587" s="1"/>
      <c r="R587" s="1"/>
      <c r="S587" s="1"/>
      <c r="T587" s="1"/>
      <c r="U587" s="1"/>
      <c r="V587" s="1"/>
      <c r="W587" s="1"/>
      <c r="X587" s="1"/>
      <c r="Y587" s="1"/>
      <c r="Z587" s="1"/>
    </row>
    <row r="588" customFormat="false" ht="15.75" hidden="false" customHeight="tru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M588" s="1"/>
      <c r="R588" s="1"/>
      <c r="S588" s="1"/>
      <c r="T588" s="1"/>
      <c r="U588" s="1"/>
      <c r="V588" s="1"/>
      <c r="W588" s="1"/>
      <c r="X588" s="1"/>
      <c r="Y588" s="1"/>
      <c r="Z588" s="1"/>
    </row>
    <row r="589" customFormat="false" ht="15.75" hidden="false" customHeight="tru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M589" s="1"/>
      <c r="R589" s="1"/>
      <c r="S589" s="1"/>
      <c r="T589" s="1"/>
      <c r="U589" s="1"/>
      <c r="V589" s="1"/>
      <c r="W589" s="1"/>
      <c r="X589" s="1"/>
      <c r="Y589" s="1"/>
      <c r="Z589" s="1"/>
    </row>
    <row r="590" customFormat="false" ht="15.75" hidden="false" customHeight="tru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M590" s="1"/>
      <c r="R590" s="1"/>
      <c r="S590" s="1"/>
      <c r="T590" s="1"/>
      <c r="U590" s="1"/>
      <c r="V590" s="1"/>
      <c r="W590" s="1"/>
      <c r="X590" s="1"/>
      <c r="Y590" s="1"/>
      <c r="Z590" s="1"/>
    </row>
    <row r="591" customFormat="false" ht="15.75" hidden="false" customHeight="tru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M591" s="1"/>
      <c r="R591" s="1"/>
      <c r="S591" s="1"/>
      <c r="T591" s="1"/>
      <c r="U591" s="1"/>
      <c r="V591" s="1"/>
      <c r="W591" s="1"/>
      <c r="X591" s="1"/>
      <c r="Y591" s="1"/>
      <c r="Z591" s="1"/>
    </row>
    <row r="592" customFormat="false" ht="15.75" hidden="false" customHeight="tru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M592" s="1"/>
      <c r="R592" s="1"/>
      <c r="S592" s="1"/>
      <c r="T592" s="1"/>
      <c r="U592" s="1"/>
      <c r="V592" s="1"/>
      <c r="W592" s="1"/>
      <c r="X592" s="1"/>
      <c r="Y592" s="1"/>
      <c r="Z592" s="1"/>
    </row>
    <row r="593" customFormat="false" ht="15.75" hidden="false" customHeight="tru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M593" s="1"/>
      <c r="R593" s="1"/>
      <c r="S593" s="1"/>
      <c r="T593" s="1"/>
      <c r="U593" s="1"/>
      <c r="V593" s="1"/>
      <c r="W593" s="1"/>
      <c r="X593" s="1"/>
      <c r="Y593" s="1"/>
      <c r="Z593" s="1"/>
    </row>
    <row r="594" customFormat="false" ht="15.75" hidden="false" customHeight="tru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M594" s="1"/>
      <c r="R594" s="1"/>
      <c r="S594" s="1"/>
      <c r="T594" s="1"/>
      <c r="U594" s="1"/>
      <c r="V594" s="1"/>
      <c r="W594" s="1"/>
      <c r="X594" s="1"/>
      <c r="Y594" s="1"/>
      <c r="Z594" s="1"/>
    </row>
    <row r="595" customFormat="false" ht="15.75" hidden="false" customHeight="tru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M595" s="1"/>
      <c r="R595" s="1"/>
      <c r="S595" s="1"/>
      <c r="T595" s="1"/>
      <c r="U595" s="1"/>
      <c r="V595" s="1"/>
      <c r="W595" s="1"/>
      <c r="X595" s="1"/>
      <c r="Y595" s="1"/>
      <c r="Z595" s="1"/>
    </row>
    <row r="596" customFormat="false" ht="15.75" hidden="false" customHeight="tru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M596" s="1"/>
      <c r="R596" s="1"/>
      <c r="S596" s="1"/>
      <c r="T596" s="1"/>
      <c r="U596" s="1"/>
      <c r="V596" s="1"/>
      <c r="W596" s="1"/>
      <c r="X596" s="1"/>
      <c r="Y596" s="1"/>
      <c r="Z596" s="1"/>
    </row>
    <row r="597" customFormat="false" ht="15.75" hidden="false" customHeight="tru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M597" s="1"/>
      <c r="R597" s="1"/>
      <c r="S597" s="1"/>
      <c r="T597" s="1"/>
      <c r="U597" s="1"/>
      <c r="V597" s="1"/>
      <c r="W597" s="1"/>
      <c r="X597" s="1"/>
      <c r="Y597" s="1"/>
      <c r="Z597" s="1"/>
    </row>
    <row r="598" customFormat="false" ht="15.75" hidden="false" customHeight="tru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M598" s="1"/>
      <c r="R598" s="1"/>
      <c r="S598" s="1"/>
      <c r="T598" s="1"/>
      <c r="U598" s="1"/>
      <c r="V598" s="1"/>
      <c r="W598" s="1"/>
      <c r="X598" s="1"/>
      <c r="Y598" s="1"/>
      <c r="Z598" s="1"/>
    </row>
    <row r="599" customFormat="false" ht="15.75" hidden="false" customHeight="tru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M599" s="1"/>
      <c r="R599" s="1"/>
      <c r="S599" s="1"/>
      <c r="T599" s="1"/>
      <c r="U599" s="1"/>
      <c r="V599" s="1"/>
      <c r="W599" s="1"/>
      <c r="X599" s="1"/>
      <c r="Y599" s="1"/>
      <c r="Z599" s="1"/>
    </row>
    <row r="600" customFormat="false" ht="15.75" hidden="false" customHeight="tru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M600" s="1"/>
      <c r="R600" s="1"/>
      <c r="S600" s="1"/>
      <c r="T600" s="1"/>
      <c r="U600" s="1"/>
      <c r="V600" s="1"/>
      <c r="W600" s="1"/>
      <c r="X600" s="1"/>
      <c r="Y600" s="1"/>
      <c r="Z600" s="1"/>
    </row>
    <row r="601" customFormat="false" ht="15.75" hidden="false" customHeight="tru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M601" s="1"/>
      <c r="R601" s="1"/>
      <c r="S601" s="1"/>
      <c r="T601" s="1"/>
      <c r="U601" s="1"/>
      <c r="V601" s="1"/>
      <c r="W601" s="1"/>
      <c r="X601" s="1"/>
      <c r="Y601" s="1"/>
      <c r="Z601" s="1"/>
    </row>
    <row r="602" customFormat="false" ht="15.75" hidden="false" customHeight="tru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M602" s="1"/>
      <c r="R602" s="1"/>
      <c r="S602" s="1"/>
      <c r="T602" s="1"/>
      <c r="U602" s="1"/>
      <c r="V602" s="1"/>
      <c r="W602" s="1"/>
      <c r="X602" s="1"/>
      <c r="Y602" s="1"/>
      <c r="Z602" s="1"/>
    </row>
    <row r="603" customFormat="false" ht="15.75" hidden="false" customHeight="tru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M603" s="1"/>
      <c r="R603" s="1"/>
      <c r="S603" s="1"/>
      <c r="T603" s="1"/>
      <c r="U603" s="1"/>
      <c r="V603" s="1"/>
      <c r="W603" s="1"/>
      <c r="X603" s="1"/>
      <c r="Y603" s="1"/>
      <c r="Z603" s="1"/>
    </row>
    <row r="604" customFormat="false" ht="15.75" hidden="false" customHeight="tru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M604" s="1"/>
      <c r="R604" s="1"/>
      <c r="S604" s="1"/>
      <c r="T604" s="1"/>
      <c r="U604" s="1"/>
      <c r="V604" s="1"/>
      <c r="W604" s="1"/>
      <c r="X604" s="1"/>
      <c r="Y604" s="1"/>
      <c r="Z604" s="1"/>
    </row>
    <row r="605" customFormat="false" ht="15.75" hidden="false" customHeight="tru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M605" s="1"/>
      <c r="R605" s="1"/>
      <c r="S605" s="1"/>
      <c r="T605" s="1"/>
      <c r="U605" s="1"/>
      <c r="V605" s="1"/>
      <c r="W605" s="1"/>
      <c r="X605" s="1"/>
      <c r="Y605" s="1"/>
      <c r="Z605" s="1"/>
    </row>
    <row r="606" customFormat="false" ht="15.75" hidden="false" customHeight="tru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M606" s="1"/>
      <c r="R606" s="1"/>
      <c r="S606" s="1"/>
      <c r="T606" s="1"/>
      <c r="U606" s="1"/>
      <c r="V606" s="1"/>
      <c r="W606" s="1"/>
      <c r="X606" s="1"/>
      <c r="Y606" s="1"/>
      <c r="Z606" s="1"/>
    </row>
    <row r="607" customFormat="false" ht="15.75" hidden="false" customHeight="tru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M607" s="1"/>
      <c r="R607" s="1"/>
      <c r="S607" s="1"/>
      <c r="T607" s="1"/>
      <c r="U607" s="1"/>
      <c r="V607" s="1"/>
      <c r="W607" s="1"/>
      <c r="X607" s="1"/>
      <c r="Y607" s="1"/>
      <c r="Z607" s="1"/>
    </row>
    <row r="608" customFormat="false" ht="15.75" hidden="false" customHeight="tru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M608" s="1"/>
      <c r="R608" s="1"/>
      <c r="S608" s="1"/>
      <c r="T608" s="1"/>
      <c r="U608" s="1"/>
      <c r="V608" s="1"/>
      <c r="W608" s="1"/>
      <c r="X608" s="1"/>
      <c r="Y608" s="1"/>
      <c r="Z608" s="1"/>
    </row>
    <row r="609" customFormat="false" ht="15.75" hidden="false" customHeight="tru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M609" s="1"/>
      <c r="R609" s="1"/>
      <c r="S609" s="1"/>
      <c r="T609" s="1"/>
      <c r="U609" s="1"/>
      <c r="V609" s="1"/>
      <c r="W609" s="1"/>
      <c r="X609" s="1"/>
      <c r="Y609" s="1"/>
      <c r="Z609" s="1"/>
    </row>
    <row r="610" customFormat="false" ht="15.75" hidden="false" customHeight="tru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M610" s="1"/>
      <c r="R610" s="1"/>
      <c r="S610" s="1"/>
      <c r="T610" s="1"/>
      <c r="U610" s="1"/>
      <c r="V610" s="1"/>
      <c r="W610" s="1"/>
      <c r="X610" s="1"/>
      <c r="Y610" s="1"/>
      <c r="Z610" s="1"/>
    </row>
    <row r="611" customFormat="false" ht="15.75" hidden="false" customHeight="tru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M611" s="1"/>
      <c r="R611" s="1"/>
      <c r="S611" s="1"/>
      <c r="T611" s="1"/>
      <c r="U611" s="1"/>
      <c r="V611" s="1"/>
      <c r="W611" s="1"/>
      <c r="X611" s="1"/>
      <c r="Y611" s="1"/>
      <c r="Z611" s="1"/>
    </row>
    <row r="612" customFormat="false" ht="15.75" hidden="false" customHeight="tru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M612" s="1"/>
      <c r="R612" s="1"/>
      <c r="S612" s="1"/>
      <c r="T612" s="1"/>
      <c r="U612" s="1"/>
      <c r="V612" s="1"/>
      <c r="W612" s="1"/>
      <c r="X612" s="1"/>
      <c r="Y612" s="1"/>
      <c r="Z612" s="1"/>
    </row>
    <row r="613" customFormat="false" ht="15.75" hidden="false" customHeight="tru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M613" s="1"/>
      <c r="R613" s="1"/>
      <c r="S613" s="1"/>
      <c r="T613" s="1"/>
      <c r="U613" s="1"/>
      <c r="V613" s="1"/>
      <c r="W613" s="1"/>
      <c r="X613" s="1"/>
      <c r="Y613" s="1"/>
      <c r="Z613" s="1"/>
    </row>
    <row r="614" customFormat="false" ht="15.75" hidden="false" customHeight="tru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M614" s="1"/>
      <c r="R614" s="1"/>
      <c r="S614" s="1"/>
      <c r="T614" s="1"/>
      <c r="U614" s="1"/>
      <c r="V614" s="1"/>
      <c r="W614" s="1"/>
      <c r="X614" s="1"/>
      <c r="Y614" s="1"/>
      <c r="Z614" s="1"/>
    </row>
    <row r="615" customFormat="false" ht="15.75" hidden="false" customHeight="tru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M615" s="1"/>
      <c r="R615" s="1"/>
      <c r="S615" s="1"/>
      <c r="T615" s="1"/>
      <c r="U615" s="1"/>
      <c r="V615" s="1"/>
      <c r="W615" s="1"/>
      <c r="X615" s="1"/>
      <c r="Y615" s="1"/>
      <c r="Z615" s="1"/>
    </row>
    <row r="616" customFormat="false" ht="15.75" hidden="false" customHeight="tru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M616" s="1"/>
      <c r="R616" s="1"/>
      <c r="S616" s="1"/>
      <c r="T616" s="1"/>
      <c r="U616" s="1"/>
      <c r="V616" s="1"/>
      <c r="W616" s="1"/>
      <c r="X616" s="1"/>
      <c r="Y616" s="1"/>
      <c r="Z616" s="1"/>
    </row>
    <row r="617" customFormat="false" ht="15.75" hidden="false" customHeight="tru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M617" s="1"/>
      <c r="R617" s="1"/>
      <c r="S617" s="1"/>
      <c r="T617" s="1"/>
      <c r="U617" s="1"/>
      <c r="V617" s="1"/>
      <c r="W617" s="1"/>
      <c r="X617" s="1"/>
      <c r="Y617" s="1"/>
      <c r="Z617" s="1"/>
    </row>
    <row r="618" customFormat="false" ht="15.75" hidden="false" customHeight="tru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M618" s="1"/>
      <c r="R618" s="1"/>
      <c r="S618" s="1"/>
      <c r="T618" s="1"/>
      <c r="U618" s="1"/>
      <c r="V618" s="1"/>
      <c r="W618" s="1"/>
      <c r="X618" s="1"/>
      <c r="Y618" s="1"/>
      <c r="Z618" s="1"/>
    </row>
    <row r="619" customFormat="false" ht="15.75" hidden="false" customHeight="tru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M619" s="1"/>
      <c r="R619" s="1"/>
      <c r="S619" s="1"/>
      <c r="T619" s="1"/>
      <c r="U619" s="1"/>
      <c r="V619" s="1"/>
      <c r="W619" s="1"/>
      <c r="X619" s="1"/>
      <c r="Y619" s="1"/>
      <c r="Z619" s="1"/>
    </row>
    <row r="620" customFormat="false" ht="15.75" hidden="false" customHeight="tru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M620" s="1"/>
      <c r="R620" s="1"/>
      <c r="S620" s="1"/>
      <c r="T620" s="1"/>
      <c r="U620" s="1"/>
      <c r="V620" s="1"/>
      <c r="W620" s="1"/>
      <c r="X620" s="1"/>
      <c r="Y620" s="1"/>
      <c r="Z620" s="1"/>
    </row>
    <row r="621" customFormat="false" ht="15.75" hidden="false" customHeight="tru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M621" s="1"/>
      <c r="R621" s="1"/>
      <c r="S621" s="1"/>
      <c r="T621" s="1"/>
      <c r="U621" s="1"/>
      <c r="V621" s="1"/>
      <c r="W621" s="1"/>
      <c r="X621" s="1"/>
      <c r="Y621" s="1"/>
      <c r="Z621" s="1"/>
    </row>
    <row r="622" customFormat="false" ht="15.75" hidden="false" customHeight="tru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M622" s="1"/>
      <c r="R622" s="1"/>
      <c r="S622" s="1"/>
      <c r="T622" s="1"/>
      <c r="U622" s="1"/>
      <c r="V622" s="1"/>
      <c r="W622" s="1"/>
      <c r="X622" s="1"/>
      <c r="Y622" s="1"/>
      <c r="Z622" s="1"/>
    </row>
    <row r="623" customFormat="false" ht="15.75" hidden="false" customHeight="tru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M623" s="1"/>
      <c r="R623" s="1"/>
      <c r="S623" s="1"/>
      <c r="T623" s="1"/>
      <c r="U623" s="1"/>
      <c r="V623" s="1"/>
      <c r="W623" s="1"/>
      <c r="X623" s="1"/>
      <c r="Y623" s="1"/>
      <c r="Z623" s="1"/>
    </row>
    <row r="624" customFormat="false" ht="15.75" hidden="false" customHeight="tru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M624" s="1"/>
      <c r="R624" s="1"/>
      <c r="S624" s="1"/>
      <c r="T624" s="1"/>
      <c r="U624" s="1"/>
      <c r="V624" s="1"/>
      <c r="W624" s="1"/>
      <c r="X624" s="1"/>
      <c r="Y624" s="1"/>
      <c r="Z624" s="1"/>
    </row>
    <row r="625" customFormat="false" ht="15.75" hidden="false" customHeight="tru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M625" s="1"/>
      <c r="R625" s="1"/>
      <c r="S625" s="1"/>
      <c r="T625" s="1"/>
      <c r="U625" s="1"/>
      <c r="V625" s="1"/>
      <c r="W625" s="1"/>
      <c r="X625" s="1"/>
      <c r="Y625" s="1"/>
      <c r="Z625" s="1"/>
    </row>
    <row r="626" customFormat="false" ht="15.75" hidden="false" customHeight="tru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M626" s="1"/>
      <c r="R626" s="1"/>
      <c r="S626" s="1"/>
      <c r="T626" s="1"/>
      <c r="U626" s="1"/>
      <c r="V626" s="1"/>
      <c r="W626" s="1"/>
      <c r="X626" s="1"/>
      <c r="Y626" s="1"/>
      <c r="Z626" s="1"/>
    </row>
    <row r="627" customFormat="false" ht="15.75" hidden="false" customHeight="tru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M627" s="1"/>
      <c r="R627" s="1"/>
      <c r="S627" s="1"/>
      <c r="T627" s="1"/>
      <c r="U627" s="1"/>
      <c r="V627" s="1"/>
      <c r="W627" s="1"/>
      <c r="X627" s="1"/>
      <c r="Y627" s="1"/>
      <c r="Z627" s="1"/>
    </row>
    <row r="628" customFormat="false" ht="15.75" hidden="false" customHeight="tru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M628" s="1"/>
      <c r="R628" s="1"/>
      <c r="S628" s="1"/>
      <c r="T628" s="1"/>
      <c r="U628" s="1"/>
      <c r="V628" s="1"/>
      <c r="W628" s="1"/>
      <c r="X628" s="1"/>
      <c r="Y628" s="1"/>
      <c r="Z628" s="1"/>
    </row>
    <row r="629" customFormat="false" ht="15.75" hidden="false" customHeight="tru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M629" s="1"/>
      <c r="R629" s="1"/>
      <c r="S629" s="1"/>
      <c r="T629" s="1"/>
      <c r="U629" s="1"/>
      <c r="V629" s="1"/>
      <c r="W629" s="1"/>
      <c r="X629" s="1"/>
      <c r="Y629" s="1"/>
      <c r="Z629" s="1"/>
    </row>
    <row r="630" customFormat="false" ht="15.75" hidden="false" customHeight="tru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M630" s="1"/>
      <c r="R630" s="1"/>
      <c r="S630" s="1"/>
      <c r="T630" s="1"/>
      <c r="U630" s="1"/>
      <c r="V630" s="1"/>
      <c r="W630" s="1"/>
      <c r="X630" s="1"/>
      <c r="Y630" s="1"/>
      <c r="Z630" s="1"/>
    </row>
    <row r="631" customFormat="false" ht="15.75" hidden="false" customHeight="tru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M631" s="1"/>
      <c r="R631" s="1"/>
      <c r="S631" s="1"/>
      <c r="T631" s="1"/>
      <c r="U631" s="1"/>
      <c r="V631" s="1"/>
      <c r="W631" s="1"/>
      <c r="X631" s="1"/>
      <c r="Y631" s="1"/>
      <c r="Z631" s="1"/>
    </row>
    <row r="632" customFormat="false" ht="15.75" hidden="false" customHeight="tru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M632" s="1"/>
      <c r="R632" s="1"/>
      <c r="S632" s="1"/>
      <c r="T632" s="1"/>
      <c r="U632" s="1"/>
      <c r="V632" s="1"/>
      <c r="W632" s="1"/>
      <c r="X632" s="1"/>
      <c r="Y632" s="1"/>
      <c r="Z632" s="1"/>
    </row>
    <row r="633" customFormat="false" ht="15.75" hidden="false" customHeight="tru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M633" s="1"/>
      <c r="R633" s="1"/>
      <c r="S633" s="1"/>
      <c r="T633" s="1"/>
      <c r="U633" s="1"/>
      <c r="V633" s="1"/>
      <c r="W633" s="1"/>
      <c r="X633" s="1"/>
      <c r="Y633" s="1"/>
      <c r="Z633" s="1"/>
    </row>
    <row r="634" customFormat="false" ht="15.75" hidden="false" customHeight="tru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M634" s="1"/>
      <c r="R634" s="1"/>
      <c r="S634" s="1"/>
      <c r="T634" s="1"/>
      <c r="U634" s="1"/>
      <c r="V634" s="1"/>
      <c r="W634" s="1"/>
      <c r="X634" s="1"/>
      <c r="Y634" s="1"/>
      <c r="Z634" s="1"/>
    </row>
    <row r="635" customFormat="false" ht="15.75" hidden="false" customHeight="tru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M635" s="1"/>
      <c r="R635" s="1"/>
      <c r="S635" s="1"/>
      <c r="T635" s="1"/>
      <c r="U635" s="1"/>
      <c r="V635" s="1"/>
      <c r="W635" s="1"/>
      <c r="X635" s="1"/>
      <c r="Y635" s="1"/>
      <c r="Z635" s="1"/>
    </row>
    <row r="636" customFormat="false" ht="15.75" hidden="false" customHeight="tru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M636" s="1"/>
      <c r="R636" s="1"/>
      <c r="S636" s="1"/>
      <c r="T636" s="1"/>
      <c r="U636" s="1"/>
      <c r="V636" s="1"/>
      <c r="W636" s="1"/>
      <c r="X636" s="1"/>
      <c r="Y636" s="1"/>
      <c r="Z636" s="1"/>
    </row>
    <row r="637" customFormat="false" ht="15.75" hidden="false" customHeight="tru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M637" s="1"/>
      <c r="R637" s="1"/>
      <c r="S637" s="1"/>
      <c r="T637" s="1"/>
      <c r="U637" s="1"/>
      <c r="V637" s="1"/>
      <c r="W637" s="1"/>
      <c r="X637" s="1"/>
      <c r="Y637" s="1"/>
      <c r="Z637" s="1"/>
    </row>
    <row r="638" customFormat="false" ht="15.75" hidden="false" customHeight="tru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M638" s="1"/>
      <c r="R638" s="1"/>
      <c r="S638" s="1"/>
      <c r="T638" s="1"/>
      <c r="U638" s="1"/>
      <c r="V638" s="1"/>
      <c r="W638" s="1"/>
      <c r="X638" s="1"/>
      <c r="Y638" s="1"/>
      <c r="Z638" s="1"/>
    </row>
    <row r="639" customFormat="false" ht="15.75" hidden="false" customHeight="tru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M639" s="1"/>
      <c r="R639" s="1"/>
      <c r="S639" s="1"/>
      <c r="T639" s="1"/>
      <c r="U639" s="1"/>
      <c r="V639" s="1"/>
      <c r="W639" s="1"/>
      <c r="X639" s="1"/>
      <c r="Y639" s="1"/>
      <c r="Z639" s="1"/>
    </row>
    <row r="640" customFormat="false" ht="15.75" hidden="false" customHeight="tru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M640" s="1"/>
      <c r="R640" s="1"/>
      <c r="S640" s="1"/>
      <c r="T640" s="1"/>
      <c r="U640" s="1"/>
      <c r="V640" s="1"/>
      <c r="W640" s="1"/>
      <c r="X640" s="1"/>
      <c r="Y640" s="1"/>
      <c r="Z640" s="1"/>
    </row>
    <row r="641" customFormat="false" ht="15.75" hidden="false" customHeight="tru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M641" s="1"/>
      <c r="R641" s="1"/>
      <c r="S641" s="1"/>
      <c r="T641" s="1"/>
      <c r="U641" s="1"/>
      <c r="V641" s="1"/>
      <c r="W641" s="1"/>
      <c r="X641" s="1"/>
      <c r="Y641" s="1"/>
      <c r="Z641" s="1"/>
    </row>
    <row r="642" customFormat="false" ht="15.75" hidden="false" customHeight="tru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M642" s="1"/>
      <c r="R642" s="1"/>
      <c r="S642" s="1"/>
      <c r="T642" s="1"/>
      <c r="U642" s="1"/>
      <c r="V642" s="1"/>
      <c r="W642" s="1"/>
      <c r="X642" s="1"/>
      <c r="Y642" s="1"/>
      <c r="Z642" s="1"/>
    </row>
    <row r="643" customFormat="false" ht="15.75" hidden="false" customHeight="tru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M643" s="1"/>
      <c r="R643" s="1"/>
      <c r="S643" s="1"/>
      <c r="T643" s="1"/>
      <c r="U643" s="1"/>
      <c r="V643" s="1"/>
      <c r="W643" s="1"/>
      <c r="X643" s="1"/>
      <c r="Y643" s="1"/>
      <c r="Z643" s="1"/>
    </row>
    <row r="644" customFormat="false" ht="15.75" hidden="false" customHeight="tru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M644" s="1"/>
      <c r="R644" s="1"/>
      <c r="S644" s="1"/>
      <c r="T644" s="1"/>
      <c r="U644" s="1"/>
      <c r="V644" s="1"/>
      <c r="W644" s="1"/>
      <c r="X644" s="1"/>
      <c r="Y644" s="1"/>
      <c r="Z644" s="1"/>
    </row>
    <row r="645" customFormat="false" ht="15.75" hidden="false" customHeight="tru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M645" s="1"/>
      <c r="R645" s="1"/>
      <c r="S645" s="1"/>
      <c r="T645" s="1"/>
      <c r="U645" s="1"/>
      <c r="V645" s="1"/>
      <c r="W645" s="1"/>
      <c r="X645" s="1"/>
      <c r="Y645" s="1"/>
      <c r="Z645" s="1"/>
    </row>
    <row r="646" customFormat="false" ht="15.75" hidden="false" customHeight="tru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M646" s="1"/>
      <c r="R646" s="1"/>
      <c r="S646" s="1"/>
      <c r="T646" s="1"/>
      <c r="U646" s="1"/>
      <c r="V646" s="1"/>
      <c r="W646" s="1"/>
      <c r="X646" s="1"/>
      <c r="Y646" s="1"/>
      <c r="Z646" s="1"/>
    </row>
    <row r="647" customFormat="false" ht="15.75" hidden="false" customHeight="tru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M647" s="1"/>
      <c r="R647" s="1"/>
      <c r="S647" s="1"/>
      <c r="T647" s="1"/>
      <c r="U647" s="1"/>
      <c r="V647" s="1"/>
      <c r="W647" s="1"/>
      <c r="X647" s="1"/>
      <c r="Y647" s="1"/>
      <c r="Z647" s="1"/>
    </row>
    <row r="648" customFormat="false" ht="15.75" hidden="false" customHeight="tru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M648" s="1"/>
      <c r="R648" s="1"/>
      <c r="S648" s="1"/>
      <c r="T648" s="1"/>
      <c r="U648" s="1"/>
      <c r="V648" s="1"/>
      <c r="W648" s="1"/>
      <c r="X648" s="1"/>
      <c r="Y648" s="1"/>
      <c r="Z648" s="1"/>
    </row>
    <row r="649" customFormat="false" ht="15.75" hidden="false" customHeight="tru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M649" s="1"/>
      <c r="R649" s="1"/>
      <c r="S649" s="1"/>
      <c r="T649" s="1"/>
      <c r="U649" s="1"/>
      <c r="V649" s="1"/>
      <c r="W649" s="1"/>
      <c r="X649" s="1"/>
      <c r="Y649" s="1"/>
      <c r="Z649" s="1"/>
    </row>
    <row r="650" customFormat="false" ht="15.75" hidden="false" customHeight="tru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M650" s="1"/>
      <c r="R650" s="1"/>
      <c r="S650" s="1"/>
      <c r="T650" s="1"/>
      <c r="U650" s="1"/>
      <c r="V650" s="1"/>
      <c r="W650" s="1"/>
      <c r="X650" s="1"/>
      <c r="Y650" s="1"/>
      <c r="Z650" s="1"/>
    </row>
    <row r="651" customFormat="false" ht="15.75" hidden="false" customHeight="tru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M651" s="1"/>
      <c r="R651" s="1"/>
      <c r="S651" s="1"/>
      <c r="T651" s="1"/>
      <c r="U651" s="1"/>
      <c r="V651" s="1"/>
      <c r="W651" s="1"/>
      <c r="X651" s="1"/>
      <c r="Y651" s="1"/>
      <c r="Z651" s="1"/>
    </row>
    <row r="652" customFormat="false" ht="15.75" hidden="false" customHeight="tru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M652" s="1"/>
      <c r="R652" s="1"/>
      <c r="S652" s="1"/>
      <c r="T652" s="1"/>
      <c r="U652" s="1"/>
      <c r="V652" s="1"/>
      <c r="W652" s="1"/>
      <c r="X652" s="1"/>
      <c r="Y652" s="1"/>
      <c r="Z652" s="1"/>
    </row>
    <row r="653" customFormat="false" ht="15.75" hidden="false" customHeight="tru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M653" s="1"/>
      <c r="R653" s="1"/>
      <c r="S653" s="1"/>
      <c r="T653" s="1"/>
      <c r="U653" s="1"/>
      <c r="V653" s="1"/>
      <c r="W653" s="1"/>
      <c r="X653" s="1"/>
      <c r="Y653" s="1"/>
      <c r="Z653" s="1"/>
    </row>
    <row r="654" customFormat="false" ht="15.75" hidden="false" customHeight="tru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M654" s="1"/>
      <c r="R654" s="1"/>
      <c r="S654" s="1"/>
      <c r="T654" s="1"/>
      <c r="U654" s="1"/>
      <c r="V654" s="1"/>
      <c r="W654" s="1"/>
      <c r="X654" s="1"/>
      <c r="Y654" s="1"/>
      <c r="Z654" s="1"/>
    </row>
    <row r="655" customFormat="false" ht="15.75" hidden="false" customHeight="tru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M655" s="1"/>
      <c r="R655" s="1"/>
      <c r="S655" s="1"/>
      <c r="T655" s="1"/>
      <c r="U655" s="1"/>
      <c r="V655" s="1"/>
      <c r="W655" s="1"/>
      <c r="X655" s="1"/>
      <c r="Y655" s="1"/>
      <c r="Z655" s="1"/>
    </row>
    <row r="656" customFormat="false" ht="15.75" hidden="false" customHeight="tru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M656" s="1"/>
      <c r="R656" s="1"/>
      <c r="S656" s="1"/>
      <c r="T656" s="1"/>
      <c r="U656" s="1"/>
      <c r="V656" s="1"/>
      <c r="W656" s="1"/>
      <c r="X656" s="1"/>
      <c r="Y656" s="1"/>
      <c r="Z656" s="1"/>
    </row>
    <row r="657" customFormat="false" ht="15.75" hidden="false" customHeight="tru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M657" s="1"/>
      <c r="R657" s="1"/>
      <c r="S657" s="1"/>
      <c r="T657" s="1"/>
      <c r="U657" s="1"/>
      <c r="V657" s="1"/>
      <c r="W657" s="1"/>
      <c r="X657" s="1"/>
      <c r="Y657" s="1"/>
      <c r="Z657" s="1"/>
    </row>
    <row r="658" customFormat="false" ht="15.75" hidden="false" customHeight="tru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M658" s="1"/>
      <c r="R658" s="1"/>
      <c r="S658" s="1"/>
      <c r="T658" s="1"/>
      <c r="U658" s="1"/>
      <c r="V658" s="1"/>
      <c r="W658" s="1"/>
      <c r="X658" s="1"/>
      <c r="Y658" s="1"/>
      <c r="Z658" s="1"/>
    </row>
    <row r="659" customFormat="false" ht="15.75" hidden="false" customHeight="tru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M659" s="1"/>
      <c r="R659" s="1"/>
      <c r="S659" s="1"/>
      <c r="T659" s="1"/>
      <c r="U659" s="1"/>
      <c r="V659" s="1"/>
      <c r="W659" s="1"/>
      <c r="X659" s="1"/>
      <c r="Y659" s="1"/>
      <c r="Z659" s="1"/>
    </row>
    <row r="660" customFormat="false" ht="15.75" hidden="false" customHeight="tru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M660" s="1"/>
      <c r="R660" s="1"/>
      <c r="S660" s="1"/>
      <c r="T660" s="1"/>
      <c r="U660" s="1"/>
      <c r="V660" s="1"/>
      <c r="W660" s="1"/>
      <c r="X660" s="1"/>
      <c r="Y660" s="1"/>
      <c r="Z660" s="1"/>
    </row>
    <row r="661" customFormat="false" ht="15.75" hidden="false" customHeight="tru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M661" s="1"/>
      <c r="R661" s="1"/>
      <c r="S661" s="1"/>
      <c r="T661" s="1"/>
      <c r="U661" s="1"/>
      <c r="V661" s="1"/>
      <c r="W661" s="1"/>
      <c r="X661" s="1"/>
      <c r="Y661" s="1"/>
      <c r="Z661" s="1"/>
    </row>
    <row r="662" customFormat="false" ht="15.75" hidden="false" customHeight="tru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M662" s="1"/>
      <c r="R662" s="1"/>
      <c r="S662" s="1"/>
      <c r="T662" s="1"/>
      <c r="U662" s="1"/>
      <c r="V662" s="1"/>
      <c r="W662" s="1"/>
      <c r="X662" s="1"/>
      <c r="Y662" s="1"/>
      <c r="Z662" s="1"/>
    </row>
    <row r="663" customFormat="false" ht="15.75" hidden="false" customHeight="tru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M663" s="1"/>
      <c r="R663" s="1"/>
      <c r="S663" s="1"/>
      <c r="T663" s="1"/>
      <c r="U663" s="1"/>
      <c r="V663" s="1"/>
      <c r="W663" s="1"/>
      <c r="X663" s="1"/>
      <c r="Y663" s="1"/>
      <c r="Z663" s="1"/>
    </row>
    <row r="664" customFormat="false" ht="15.75" hidden="false" customHeight="tru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M664" s="1"/>
      <c r="R664" s="1"/>
      <c r="S664" s="1"/>
      <c r="T664" s="1"/>
      <c r="U664" s="1"/>
      <c r="V664" s="1"/>
      <c r="W664" s="1"/>
      <c r="X664" s="1"/>
      <c r="Y664" s="1"/>
      <c r="Z664" s="1"/>
    </row>
    <row r="665" customFormat="false" ht="15.75" hidden="false" customHeight="tru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M665" s="1"/>
      <c r="R665" s="1"/>
      <c r="S665" s="1"/>
      <c r="T665" s="1"/>
      <c r="U665" s="1"/>
      <c r="V665" s="1"/>
      <c r="W665" s="1"/>
      <c r="X665" s="1"/>
      <c r="Y665" s="1"/>
      <c r="Z665" s="1"/>
    </row>
    <row r="666" customFormat="false" ht="15.75" hidden="false" customHeight="tru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M666" s="1"/>
      <c r="R666" s="1"/>
      <c r="S666" s="1"/>
      <c r="T666" s="1"/>
      <c r="U666" s="1"/>
      <c r="V666" s="1"/>
      <c r="W666" s="1"/>
      <c r="X666" s="1"/>
      <c r="Y666" s="1"/>
      <c r="Z666" s="1"/>
    </row>
    <row r="667" customFormat="false" ht="15.75" hidden="false" customHeight="tru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M667" s="1"/>
      <c r="R667" s="1"/>
      <c r="S667" s="1"/>
      <c r="T667" s="1"/>
      <c r="U667" s="1"/>
      <c r="V667" s="1"/>
      <c r="W667" s="1"/>
      <c r="X667" s="1"/>
      <c r="Y667" s="1"/>
      <c r="Z667" s="1"/>
    </row>
    <row r="668" customFormat="false" ht="15.75" hidden="false" customHeight="tru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M668" s="1"/>
      <c r="R668" s="1"/>
      <c r="S668" s="1"/>
      <c r="T668" s="1"/>
      <c r="U668" s="1"/>
      <c r="V668" s="1"/>
      <c r="W668" s="1"/>
      <c r="X668" s="1"/>
      <c r="Y668" s="1"/>
      <c r="Z668" s="1"/>
    </row>
    <row r="669" customFormat="false" ht="15.75" hidden="false" customHeight="tru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M669" s="1"/>
      <c r="R669" s="1"/>
      <c r="S669" s="1"/>
      <c r="T669" s="1"/>
      <c r="U669" s="1"/>
      <c r="V669" s="1"/>
      <c r="W669" s="1"/>
      <c r="X669" s="1"/>
      <c r="Y669" s="1"/>
      <c r="Z669" s="1"/>
    </row>
    <row r="670" customFormat="false" ht="15.75" hidden="false" customHeight="tru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M670" s="1"/>
      <c r="R670" s="1"/>
      <c r="S670" s="1"/>
      <c r="T670" s="1"/>
      <c r="U670" s="1"/>
      <c r="V670" s="1"/>
      <c r="W670" s="1"/>
      <c r="X670" s="1"/>
      <c r="Y670" s="1"/>
      <c r="Z670" s="1"/>
    </row>
    <row r="671" customFormat="false" ht="15.75" hidden="false" customHeight="tru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M671" s="1"/>
      <c r="R671" s="1"/>
      <c r="S671" s="1"/>
      <c r="T671" s="1"/>
      <c r="U671" s="1"/>
      <c r="V671" s="1"/>
      <c r="W671" s="1"/>
      <c r="X671" s="1"/>
      <c r="Y671" s="1"/>
      <c r="Z671" s="1"/>
    </row>
    <row r="672" customFormat="false" ht="15.75" hidden="false" customHeight="tru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M672" s="1"/>
      <c r="R672" s="1"/>
      <c r="S672" s="1"/>
      <c r="T672" s="1"/>
      <c r="U672" s="1"/>
      <c r="V672" s="1"/>
      <c r="W672" s="1"/>
      <c r="X672" s="1"/>
      <c r="Y672" s="1"/>
      <c r="Z672" s="1"/>
    </row>
    <row r="673" customFormat="false" ht="15.75" hidden="false" customHeight="tru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M673" s="1"/>
      <c r="R673" s="1"/>
      <c r="S673" s="1"/>
      <c r="T673" s="1"/>
      <c r="U673" s="1"/>
      <c r="V673" s="1"/>
      <c r="W673" s="1"/>
      <c r="X673" s="1"/>
      <c r="Y673" s="1"/>
      <c r="Z673" s="1"/>
    </row>
    <row r="674" customFormat="false" ht="15.75" hidden="false" customHeight="tru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M674" s="1"/>
      <c r="R674" s="1"/>
      <c r="S674" s="1"/>
      <c r="T674" s="1"/>
      <c r="U674" s="1"/>
      <c r="V674" s="1"/>
      <c r="W674" s="1"/>
      <c r="X674" s="1"/>
      <c r="Y674" s="1"/>
      <c r="Z674" s="1"/>
    </row>
    <row r="675" customFormat="false" ht="15.75" hidden="false" customHeight="tru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M675" s="1"/>
      <c r="R675" s="1"/>
      <c r="S675" s="1"/>
      <c r="T675" s="1"/>
      <c r="U675" s="1"/>
      <c r="V675" s="1"/>
      <c r="W675" s="1"/>
      <c r="X675" s="1"/>
      <c r="Y675" s="1"/>
      <c r="Z675" s="1"/>
    </row>
    <row r="676" customFormat="false" ht="15.75" hidden="false" customHeight="tru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M676" s="1"/>
      <c r="R676" s="1"/>
      <c r="S676" s="1"/>
      <c r="T676" s="1"/>
      <c r="U676" s="1"/>
      <c r="V676" s="1"/>
      <c r="W676" s="1"/>
      <c r="X676" s="1"/>
      <c r="Y676" s="1"/>
      <c r="Z676" s="1"/>
    </row>
    <row r="677" customFormat="false" ht="15.75" hidden="false" customHeight="tru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M677" s="1"/>
      <c r="R677" s="1"/>
      <c r="S677" s="1"/>
      <c r="T677" s="1"/>
      <c r="U677" s="1"/>
      <c r="V677" s="1"/>
      <c r="W677" s="1"/>
      <c r="X677" s="1"/>
      <c r="Y677" s="1"/>
      <c r="Z677" s="1"/>
    </row>
    <row r="678" customFormat="false" ht="15.75" hidden="false" customHeight="tru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M678" s="1"/>
      <c r="R678" s="1"/>
      <c r="S678" s="1"/>
      <c r="T678" s="1"/>
      <c r="U678" s="1"/>
      <c r="V678" s="1"/>
      <c r="W678" s="1"/>
      <c r="X678" s="1"/>
      <c r="Y678" s="1"/>
      <c r="Z678" s="1"/>
    </row>
    <row r="679" customFormat="false" ht="15.75" hidden="false" customHeight="tru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M679" s="1"/>
      <c r="R679" s="1"/>
      <c r="S679" s="1"/>
      <c r="T679" s="1"/>
      <c r="U679" s="1"/>
      <c r="V679" s="1"/>
      <c r="W679" s="1"/>
      <c r="X679" s="1"/>
      <c r="Y679" s="1"/>
      <c r="Z679" s="1"/>
    </row>
    <row r="680" customFormat="false" ht="15.75" hidden="false" customHeight="tru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M680" s="1"/>
      <c r="R680" s="1"/>
      <c r="S680" s="1"/>
      <c r="T680" s="1"/>
      <c r="U680" s="1"/>
      <c r="V680" s="1"/>
      <c r="W680" s="1"/>
      <c r="X680" s="1"/>
      <c r="Y680" s="1"/>
      <c r="Z680" s="1"/>
    </row>
    <row r="681" customFormat="false" ht="15.75" hidden="false" customHeight="tru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M681" s="1"/>
      <c r="R681" s="1"/>
      <c r="S681" s="1"/>
      <c r="T681" s="1"/>
      <c r="U681" s="1"/>
      <c r="V681" s="1"/>
      <c r="W681" s="1"/>
      <c r="X681" s="1"/>
      <c r="Y681" s="1"/>
      <c r="Z681" s="1"/>
    </row>
    <row r="682" customFormat="false" ht="15.75" hidden="false" customHeight="tru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M682" s="1"/>
      <c r="R682" s="1"/>
      <c r="S682" s="1"/>
      <c r="T682" s="1"/>
      <c r="U682" s="1"/>
      <c r="V682" s="1"/>
      <c r="W682" s="1"/>
      <c r="X682" s="1"/>
      <c r="Y682" s="1"/>
      <c r="Z682" s="1"/>
    </row>
    <row r="683" customFormat="false" ht="15.75" hidden="false" customHeight="tru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M683" s="1"/>
      <c r="R683" s="1"/>
      <c r="S683" s="1"/>
      <c r="T683" s="1"/>
      <c r="U683" s="1"/>
      <c r="V683" s="1"/>
      <c r="W683" s="1"/>
      <c r="X683" s="1"/>
      <c r="Y683" s="1"/>
      <c r="Z683" s="1"/>
    </row>
    <row r="684" customFormat="false" ht="15.75" hidden="false" customHeight="tru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M684" s="1"/>
      <c r="R684" s="1"/>
      <c r="S684" s="1"/>
      <c r="T684" s="1"/>
      <c r="U684" s="1"/>
      <c r="V684" s="1"/>
      <c r="W684" s="1"/>
      <c r="X684" s="1"/>
      <c r="Y684" s="1"/>
      <c r="Z684" s="1"/>
    </row>
    <row r="685" customFormat="false" ht="15.75" hidden="false" customHeight="tru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M685" s="1"/>
      <c r="R685" s="1"/>
      <c r="S685" s="1"/>
      <c r="T685" s="1"/>
      <c r="U685" s="1"/>
      <c r="V685" s="1"/>
      <c r="W685" s="1"/>
      <c r="X685" s="1"/>
      <c r="Y685" s="1"/>
      <c r="Z685" s="1"/>
    </row>
    <row r="686" customFormat="false" ht="15.75" hidden="false" customHeight="tru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M686" s="1"/>
      <c r="R686" s="1"/>
      <c r="S686" s="1"/>
      <c r="T686" s="1"/>
      <c r="U686" s="1"/>
      <c r="V686" s="1"/>
      <c r="W686" s="1"/>
      <c r="X686" s="1"/>
      <c r="Y686" s="1"/>
      <c r="Z686" s="1"/>
    </row>
    <row r="687" customFormat="false" ht="15.75" hidden="false" customHeight="tru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M687" s="1"/>
      <c r="R687" s="1"/>
      <c r="S687" s="1"/>
      <c r="T687" s="1"/>
      <c r="U687" s="1"/>
      <c r="V687" s="1"/>
      <c r="W687" s="1"/>
      <c r="X687" s="1"/>
      <c r="Y687" s="1"/>
      <c r="Z687" s="1"/>
    </row>
    <row r="688" customFormat="false" ht="15.75" hidden="false" customHeight="tru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M688" s="1"/>
      <c r="R688" s="1"/>
      <c r="S688" s="1"/>
      <c r="T688" s="1"/>
      <c r="U688" s="1"/>
      <c r="V688" s="1"/>
      <c r="W688" s="1"/>
      <c r="X688" s="1"/>
      <c r="Y688" s="1"/>
      <c r="Z688" s="1"/>
    </row>
    <row r="689" customFormat="false" ht="15.75" hidden="false" customHeight="tru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M689" s="1"/>
      <c r="R689" s="1"/>
      <c r="S689" s="1"/>
      <c r="T689" s="1"/>
      <c r="U689" s="1"/>
      <c r="V689" s="1"/>
      <c r="W689" s="1"/>
      <c r="X689" s="1"/>
      <c r="Y689" s="1"/>
      <c r="Z689" s="1"/>
    </row>
    <row r="690" customFormat="false" ht="15.75" hidden="false" customHeight="tru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M690" s="1"/>
      <c r="R690" s="1"/>
      <c r="S690" s="1"/>
      <c r="T690" s="1"/>
      <c r="U690" s="1"/>
      <c r="V690" s="1"/>
      <c r="W690" s="1"/>
      <c r="X690" s="1"/>
      <c r="Y690" s="1"/>
      <c r="Z690" s="1"/>
    </row>
    <row r="691" customFormat="false" ht="15.75" hidden="false" customHeight="tru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M691" s="1"/>
      <c r="R691" s="1"/>
      <c r="S691" s="1"/>
      <c r="T691" s="1"/>
      <c r="U691" s="1"/>
      <c r="V691" s="1"/>
      <c r="W691" s="1"/>
      <c r="X691" s="1"/>
      <c r="Y691" s="1"/>
      <c r="Z691" s="1"/>
    </row>
    <row r="692" customFormat="false" ht="15.75" hidden="false" customHeight="tru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M692" s="1"/>
      <c r="R692" s="1"/>
      <c r="S692" s="1"/>
      <c r="T692" s="1"/>
      <c r="U692" s="1"/>
      <c r="V692" s="1"/>
      <c r="W692" s="1"/>
      <c r="X692" s="1"/>
      <c r="Y692" s="1"/>
      <c r="Z692" s="1"/>
    </row>
    <row r="693" customFormat="false" ht="15.75" hidden="false" customHeight="tru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M693" s="1"/>
      <c r="R693" s="1"/>
      <c r="S693" s="1"/>
      <c r="T693" s="1"/>
      <c r="U693" s="1"/>
      <c r="V693" s="1"/>
      <c r="W693" s="1"/>
      <c r="X693" s="1"/>
      <c r="Y693" s="1"/>
      <c r="Z693" s="1"/>
    </row>
    <row r="694" customFormat="false" ht="15.75" hidden="false" customHeight="tru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M694" s="1"/>
      <c r="R694" s="1"/>
      <c r="S694" s="1"/>
      <c r="T694" s="1"/>
      <c r="U694" s="1"/>
      <c r="V694" s="1"/>
      <c r="W694" s="1"/>
      <c r="X694" s="1"/>
      <c r="Y694" s="1"/>
      <c r="Z694" s="1"/>
    </row>
    <row r="695" customFormat="false" ht="15.75" hidden="false" customHeight="tru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M695" s="1"/>
      <c r="R695" s="1"/>
      <c r="S695" s="1"/>
      <c r="T695" s="1"/>
      <c r="U695" s="1"/>
      <c r="V695" s="1"/>
      <c r="W695" s="1"/>
      <c r="X695" s="1"/>
      <c r="Y695" s="1"/>
      <c r="Z695" s="1"/>
    </row>
    <row r="696" customFormat="false" ht="15.75" hidden="false" customHeight="tru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M696" s="1"/>
      <c r="R696" s="1"/>
      <c r="S696" s="1"/>
      <c r="T696" s="1"/>
      <c r="U696" s="1"/>
      <c r="V696" s="1"/>
      <c r="W696" s="1"/>
      <c r="X696" s="1"/>
      <c r="Y696" s="1"/>
      <c r="Z696" s="1"/>
    </row>
    <row r="697" customFormat="false" ht="15.75" hidden="false" customHeight="tru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M697" s="1"/>
      <c r="R697" s="1"/>
      <c r="S697" s="1"/>
      <c r="T697" s="1"/>
      <c r="U697" s="1"/>
      <c r="V697" s="1"/>
      <c r="W697" s="1"/>
      <c r="X697" s="1"/>
      <c r="Y697" s="1"/>
      <c r="Z697" s="1"/>
    </row>
    <row r="698" customFormat="false" ht="15.75" hidden="false" customHeight="tru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M698" s="1"/>
      <c r="R698" s="1"/>
      <c r="S698" s="1"/>
      <c r="T698" s="1"/>
      <c r="U698" s="1"/>
      <c r="V698" s="1"/>
      <c r="W698" s="1"/>
      <c r="X698" s="1"/>
      <c r="Y698" s="1"/>
      <c r="Z698" s="1"/>
    </row>
    <row r="699" customFormat="false" ht="15.75" hidden="false" customHeight="tru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M699" s="1"/>
      <c r="R699" s="1"/>
      <c r="S699" s="1"/>
      <c r="T699" s="1"/>
      <c r="U699" s="1"/>
      <c r="V699" s="1"/>
      <c r="W699" s="1"/>
      <c r="X699" s="1"/>
      <c r="Y699" s="1"/>
      <c r="Z699" s="1"/>
    </row>
    <row r="700" customFormat="false" ht="15.75" hidden="false" customHeight="tru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M700" s="1"/>
      <c r="R700" s="1"/>
      <c r="S700" s="1"/>
      <c r="T700" s="1"/>
      <c r="U700" s="1"/>
      <c r="V700" s="1"/>
      <c r="W700" s="1"/>
      <c r="X700" s="1"/>
      <c r="Y700" s="1"/>
      <c r="Z700" s="1"/>
    </row>
    <row r="701" customFormat="false" ht="15.75" hidden="false" customHeight="tru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M701" s="1"/>
      <c r="R701" s="1"/>
      <c r="S701" s="1"/>
      <c r="T701" s="1"/>
      <c r="U701" s="1"/>
      <c r="V701" s="1"/>
      <c r="W701" s="1"/>
      <c r="X701" s="1"/>
      <c r="Y701" s="1"/>
      <c r="Z701" s="1"/>
    </row>
    <row r="702" customFormat="false" ht="15.75" hidden="false" customHeight="tru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M702" s="1"/>
      <c r="R702" s="1"/>
      <c r="S702" s="1"/>
      <c r="T702" s="1"/>
      <c r="U702" s="1"/>
      <c r="V702" s="1"/>
      <c r="W702" s="1"/>
      <c r="X702" s="1"/>
      <c r="Y702" s="1"/>
      <c r="Z702" s="1"/>
    </row>
    <row r="703" customFormat="false" ht="15.75" hidden="false" customHeight="tru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M703" s="1"/>
      <c r="R703" s="1"/>
      <c r="S703" s="1"/>
      <c r="T703" s="1"/>
      <c r="U703" s="1"/>
      <c r="V703" s="1"/>
      <c r="W703" s="1"/>
      <c r="X703" s="1"/>
      <c r="Y703" s="1"/>
      <c r="Z703" s="1"/>
    </row>
    <row r="704" customFormat="false" ht="15.75" hidden="false" customHeight="tru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M704" s="1"/>
      <c r="R704" s="1"/>
      <c r="S704" s="1"/>
      <c r="T704" s="1"/>
      <c r="U704" s="1"/>
      <c r="V704" s="1"/>
      <c r="W704" s="1"/>
      <c r="X704" s="1"/>
      <c r="Y704" s="1"/>
      <c r="Z704" s="1"/>
    </row>
    <row r="705" customFormat="false" ht="15.75" hidden="false" customHeight="tru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M705" s="1"/>
      <c r="R705" s="1"/>
      <c r="S705" s="1"/>
      <c r="T705" s="1"/>
      <c r="U705" s="1"/>
      <c r="V705" s="1"/>
      <c r="W705" s="1"/>
      <c r="X705" s="1"/>
      <c r="Y705" s="1"/>
      <c r="Z705" s="1"/>
    </row>
    <row r="706" customFormat="false" ht="15.75" hidden="false" customHeight="tru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M706" s="1"/>
      <c r="R706" s="1"/>
      <c r="S706" s="1"/>
      <c r="T706" s="1"/>
      <c r="U706" s="1"/>
      <c r="V706" s="1"/>
      <c r="W706" s="1"/>
      <c r="X706" s="1"/>
      <c r="Y706" s="1"/>
      <c r="Z706" s="1"/>
    </row>
    <row r="707" customFormat="false" ht="15.75" hidden="false" customHeight="tru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M707" s="1"/>
      <c r="R707" s="1"/>
      <c r="S707" s="1"/>
      <c r="T707" s="1"/>
      <c r="U707" s="1"/>
      <c r="V707" s="1"/>
      <c r="W707" s="1"/>
      <c r="X707" s="1"/>
      <c r="Y707" s="1"/>
      <c r="Z707" s="1"/>
    </row>
    <row r="708" customFormat="false" ht="15.75" hidden="false" customHeight="tru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M708" s="1"/>
      <c r="R708" s="1"/>
      <c r="S708" s="1"/>
      <c r="T708" s="1"/>
      <c r="U708" s="1"/>
      <c r="V708" s="1"/>
      <c r="W708" s="1"/>
      <c r="X708" s="1"/>
      <c r="Y708" s="1"/>
      <c r="Z708" s="1"/>
    </row>
    <row r="709" customFormat="false" ht="15.75" hidden="false" customHeight="tru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M709" s="1"/>
      <c r="R709" s="1"/>
      <c r="S709" s="1"/>
      <c r="T709" s="1"/>
      <c r="U709" s="1"/>
      <c r="V709" s="1"/>
      <c r="W709" s="1"/>
      <c r="X709" s="1"/>
      <c r="Y709" s="1"/>
      <c r="Z709" s="1"/>
    </row>
    <row r="710" customFormat="false" ht="15.75" hidden="false" customHeight="tru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M710" s="1"/>
      <c r="R710" s="1"/>
      <c r="S710" s="1"/>
      <c r="T710" s="1"/>
      <c r="U710" s="1"/>
      <c r="V710" s="1"/>
      <c r="W710" s="1"/>
      <c r="X710" s="1"/>
      <c r="Y710" s="1"/>
      <c r="Z710" s="1"/>
    </row>
    <row r="711" customFormat="false" ht="15.75" hidden="false" customHeight="tru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M711" s="1"/>
      <c r="R711" s="1"/>
      <c r="S711" s="1"/>
      <c r="T711" s="1"/>
      <c r="U711" s="1"/>
      <c r="V711" s="1"/>
      <c r="W711" s="1"/>
      <c r="X711" s="1"/>
      <c r="Y711" s="1"/>
      <c r="Z711" s="1"/>
    </row>
    <row r="712" customFormat="false" ht="15.75" hidden="false" customHeight="tru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M712" s="1"/>
      <c r="R712" s="1"/>
      <c r="S712" s="1"/>
      <c r="T712" s="1"/>
      <c r="U712" s="1"/>
      <c r="V712" s="1"/>
      <c r="W712" s="1"/>
      <c r="X712" s="1"/>
      <c r="Y712" s="1"/>
      <c r="Z712" s="1"/>
    </row>
    <row r="713" customFormat="false" ht="15.75" hidden="false" customHeight="tru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M713" s="1"/>
      <c r="R713" s="1"/>
      <c r="S713" s="1"/>
      <c r="T713" s="1"/>
      <c r="U713" s="1"/>
      <c r="V713" s="1"/>
      <c r="W713" s="1"/>
      <c r="X713" s="1"/>
      <c r="Y713" s="1"/>
      <c r="Z713" s="1"/>
    </row>
    <row r="714" customFormat="false" ht="15.75" hidden="false" customHeight="tru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M714" s="1"/>
      <c r="R714" s="1"/>
      <c r="S714" s="1"/>
      <c r="T714" s="1"/>
      <c r="U714" s="1"/>
      <c r="V714" s="1"/>
      <c r="W714" s="1"/>
      <c r="X714" s="1"/>
      <c r="Y714" s="1"/>
      <c r="Z714" s="1"/>
    </row>
    <row r="715" customFormat="false" ht="15.75" hidden="false" customHeight="tru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M715" s="1"/>
      <c r="R715" s="1"/>
      <c r="S715" s="1"/>
      <c r="T715" s="1"/>
      <c r="U715" s="1"/>
      <c r="V715" s="1"/>
      <c r="W715" s="1"/>
      <c r="X715" s="1"/>
      <c r="Y715" s="1"/>
      <c r="Z715" s="1"/>
    </row>
    <row r="716" customFormat="false" ht="15.75" hidden="false" customHeight="tru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M716" s="1"/>
      <c r="R716" s="1"/>
      <c r="S716" s="1"/>
      <c r="T716" s="1"/>
      <c r="U716" s="1"/>
      <c r="V716" s="1"/>
      <c r="W716" s="1"/>
      <c r="X716" s="1"/>
      <c r="Y716" s="1"/>
      <c r="Z716" s="1"/>
    </row>
    <row r="717" customFormat="false" ht="15.75" hidden="false" customHeight="tru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M717" s="1"/>
      <c r="R717" s="1"/>
      <c r="S717" s="1"/>
      <c r="T717" s="1"/>
      <c r="U717" s="1"/>
      <c r="V717" s="1"/>
      <c r="W717" s="1"/>
      <c r="X717" s="1"/>
      <c r="Y717" s="1"/>
      <c r="Z717" s="1"/>
    </row>
    <row r="718" customFormat="false" ht="15.75" hidden="false" customHeight="tru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M718" s="1"/>
      <c r="R718" s="1"/>
      <c r="S718" s="1"/>
      <c r="T718" s="1"/>
      <c r="U718" s="1"/>
      <c r="V718" s="1"/>
      <c r="W718" s="1"/>
      <c r="X718" s="1"/>
      <c r="Y718" s="1"/>
      <c r="Z718" s="1"/>
    </row>
    <row r="719" customFormat="false" ht="15.75" hidden="false" customHeight="tru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M719" s="1"/>
      <c r="R719" s="1"/>
      <c r="S719" s="1"/>
      <c r="T719" s="1"/>
      <c r="U719" s="1"/>
      <c r="V719" s="1"/>
      <c r="W719" s="1"/>
      <c r="X719" s="1"/>
      <c r="Y719" s="1"/>
      <c r="Z719" s="1"/>
    </row>
    <row r="720" customFormat="false" ht="15.75" hidden="false" customHeight="tru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M720" s="1"/>
      <c r="R720" s="1"/>
      <c r="S720" s="1"/>
      <c r="T720" s="1"/>
      <c r="U720" s="1"/>
      <c r="V720" s="1"/>
      <c r="W720" s="1"/>
      <c r="X720" s="1"/>
      <c r="Y720" s="1"/>
      <c r="Z720" s="1"/>
    </row>
    <row r="721" customFormat="false" ht="15.75" hidden="false" customHeight="tru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M721" s="1"/>
      <c r="R721" s="1"/>
      <c r="S721" s="1"/>
      <c r="T721" s="1"/>
      <c r="U721" s="1"/>
      <c r="V721" s="1"/>
      <c r="W721" s="1"/>
      <c r="X721" s="1"/>
      <c r="Y721" s="1"/>
      <c r="Z721" s="1"/>
    </row>
    <row r="722" customFormat="false" ht="15.75" hidden="false" customHeight="tru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M722" s="1"/>
      <c r="R722" s="1"/>
      <c r="S722" s="1"/>
      <c r="T722" s="1"/>
      <c r="U722" s="1"/>
      <c r="V722" s="1"/>
      <c r="W722" s="1"/>
      <c r="X722" s="1"/>
      <c r="Y722" s="1"/>
      <c r="Z722" s="1"/>
    </row>
    <row r="723" customFormat="false" ht="15.75" hidden="false" customHeight="tru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M723" s="1"/>
      <c r="R723" s="1"/>
      <c r="S723" s="1"/>
      <c r="T723" s="1"/>
      <c r="U723" s="1"/>
      <c r="V723" s="1"/>
      <c r="W723" s="1"/>
      <c r="X723" s="1"/>
      <c r="Y723" s="1"/>
      <c r="Z723" s="1"/>
    </row>
    <row r="724" customFormat="false" ht="15.75" hidden="false" customHeight="tru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M724" s="1"/>
      <c r="R724" s="1"/>
      <c r="S724" s="1"/>
      <c r="T724" s="1"/>
      <c r="U724" s="1"/>
      <c r="V724" s="1"/>
      <c r="W724" s="1"/>
      <c r="X724" s="1"/>
      <c r="Y724" s="1"/>
      <c r="Z724" s="1"/>
    </row>
    <row r="725" customFormat="false" ht="15.75" hidden="false" customHeight="tru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M725" s="1"/>
      <c r="R725" s="1"/>
      <c r="S725" s="1"/>
      <c r="T725" s="1"/>
      <c r="U725" s="1"/>
      <c r="V725" s="1"/>
      <c r="W725" s="1"/>
      <c r="X725" s="1"/>
      <c r="Y725" s="1"/>
      <c r="Z725" s="1"/>
    </row>
    <row r="726" customFormat="false" ht="15.75" hidden="false" customHeight="tru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M726" s="1"/>
      <c r="R726" s="1"/>
      <c r="S726" s="1"/>
      <c r="T726" s="1"/>
      <c r="U726" s="1"/>
      <c r="V726" s="1"/>
      <c r="W726" s="1"/>
      <c r="X726" s="1"/>
      <c r="Y726" s="1"/>
      <c r="Z726" s="1"/>
    </row>
    <row r="727" customFormat="false" ht="15.75" hidden="false" customHeight="tru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M727" s="1"/>
      <c r="R727" s="1"/>
      <c r="S727" s="1"/>
      <c r="T727" s="1"/>
      <c r="U727" s="1"/>
      <c r="V727" s="1"/>
      <c r="W727" s="1"/>
      <c r="X727" s="1"/>
      <c r="Y727" s="1"/>
      <c r="Z727" s="1"/>
    </row>
    <row r="728" customFormat="false" ht="15.75" hidden="false" customHeight="tru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M728" s="1"/>
      <c r="R728" s="1"/>
      <c r="S728" s="1"/>
      <c r="T728" s="1"/>
      <c r="U728" s="1"/>
      <c r="V728" s="1"/>
      <c r="W728" s="1"/>
      <c r="X728" s="1"/>
      <c r="Y728" s="1"/>
      <c r="Z728" s="1"/>
    </row>
    <row r="729" customFormat="false" ht="15.75" hidden="false" customHeight="tru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M729" s="1"/>
      <c r="R729" s="1"/>
      <c r="S729" s="1"/>
      <c r="T729" s="1"/>
      <c r="U729" s="1"/>
      <c r="V729" s="1"/>
      <c r="W729" s="1"/>
      <c r="X729" s="1"/>
      <c r="Y729" s="1"/>
      <c r="Z729" s="1"/>
    </row>
    <row r="730" customFormat="false" ht="15.75" hidden="false" customHeight="tru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M730" s="1"/>
      <c r="R730" s="1"/>
      <c r="S730" s="1"/>
      <c r="T730" s="1"/>
      <c r="U730" s="1"/>
      <c r="V730" s="1"/>
      <c r="W730" s="1"/>
      <c r="X730" s="1"/>
      <c r="Y730" s="1"/>
      <c r="Z730" s="1"/>
    </row>
    <row r="731" customFormat="false" ht="15.75" hidden="false" customHeight="tru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M731" s="1"/>
      <c r="R731" s="1"/>
      <c r="S731" s="1"/>
      <c r="T731" s="1"/>
      <c r="U731" s="1"/>
      <c r="V731" s="1"/>
      <c r="W731" s="1"/>
      <c r="X731" s="1"/>
      <c r="Y731" s="1"/>
      <c r="Z731" s="1"/>
    </row>
    <row r="732" customFormat="false" ht="15.75" hidden="false" customHeight="tru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M732" s="1"/>
      <c r="R732" s="1"/>
      <c r="S732" s="1"/>
      <c r="T732" s="1"/>
      <c r="U732" s="1"/>
      <c r="V732" s="1"/>
      <c r="W732" s="1"/>
      <c r="X732" s="1"/>
      <c r="Y732" s="1"/>
      <c r="Z732" s="1"/>
    </row>
    <row r="733" customFormat="false" ht="15.75" hidden="false" customHeight="tru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M733" s="1"/>
      <c r="R733" s="1"/>
      <c r="S733" s="1"/>
      <c r="T733" s="1"/>
      <c r="U733" s="1"/>
      <c r="V733" s="1"/>
      <c r="W733" s="1"/>
      <c r="X733" s="1"/>
      <c r="Y733" s="1"/>
      <c r="Z733" s="1"/>
    </row>
    <row r="734" customFormat="false" ht="15.75" hidden="false" customHeight="tru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M734" s="1"/>
      <c r="R734" s="1"/>
      <c r="S734" s="1"/>
      <c r="T734" s="1"/>
      <c r="U734" s="1"/>
      <c r="V734" s="1"/>
      <c r="W734" s="1"/>
      <c r="X734" s="1"/>
      <c r="Y734" s="1"/>
      <c r="Z734" s="1"/>
    </row>
    <row r="735" customFormat="false" ht="15.75" hidden="false" customHeight="tru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M735" s="1"/>
      <c r="R735" s="1"/>
      <c r="S735" s="1"/>
      <c r="T735" s="1"/>
      <c r="U735" s="1"/>
      <c r="V735" s="1"/>
      <c r="W735" s="1"/>
      <c r="X735" s="1"/>
      <c r="Y735" s="1"/>
      <c r="Z735" s="1"/>
    </row>
    <row r="736" customFormat="false" ht="15.75" hidden="false" customHeight="tru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M736" s="1"/>
      <c r="R736" s="1"/>
      <c r="S736" s="1"/>
      <c r="T736" s="1"/>
      <c r="U736" s="1"/>
      <c r="V736" s="1"/>
      <c r="W736" s="1"/>
      <c r="X736" s="1"/>
      <c r="Y736" s="1"/>
      <c r="Z736" s="1"/>
    </row>
    <row r="737" customFormat="false" ht="15.75" hidden="false" customHeight="tru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M737" s="1"/>
      <c r="R737" s="1"/>
      <c r="S737" s="1"/>
      <c r="T737" s="1"/>
      <c r="U737" s="1"/>
      <c r="V737" s="1"/>
      <c r="W737" s="1"/>
      <c r="X737" s="1"/>
      <c r="Y737" s="1"/>
      <c r="Z737" s="1"/>
    </row>
    <row r="738" customFormat="false" ht="15.75" hidden="false" customHeight="tru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M738" s="1"/>
      <c r="R738" s="1"/>
      <c r="S738" s="1"/>
      <c r="T738" s="1"/>
      <c r="U738" s="1"/>
      <c r="V738" s="1"/>
      <c r="W738" s="1"/>
      <c r="X738" s="1"/>
      <c r="Y738" s="1"/>
      <c r="Z738" s="1"/>
    </row>
    <row r="739" customFormat="false" ht="15.75" hidden="false" customHeight="tru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M739" s="1"/>
      <c r="R739" s="1"/>
      <c r="S739" s="1"/>
      <c r="T739" s="1"/>
      <c r="U739" s="1"/>
      <c r="V739" s="1"/>
      <c r="W739" s="1"/>
      <c r="X739" s="1"/>
      <c r="Y739" s="1"/>
      <c r="Z739" s="1"/>
    </row>
    <row r="740" customFormat="false" ht="15.75" hidden="false" customHeight="tru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M740" s="1"/>
      <c r="R740" s="1"/>
      <c r="S740" s="1"/>
      <c r="T740" s="1"/>
      <c r="U740" s="1"/>
      <c r="V740" s="1"/>
      <c r="W740" s="1"/>
      <c r="X740" s="1"/>
      <c r="Y740" s="1"/>
      <c r="Z740" s="1"/>
    </row>
    <row r="741" customFormat="false" ht="15.75" hidden="false" customHeight="tru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M741" s="1"/>
      <c r="R741" s="1"/>
      <c r="S741" s="1"/>
      <c r="T741" s="1"/>
      <c r="U741" s="1"/>
      <c r="V741" s="1"/>
      <c r="W741" s="1"/>
      <c r="X741" s="1"/>
      <c r="Y741" s="1"/>
      <c r="Z741" s="1"/>
    </row>
    <row r="742" customFormat="false" ht="15.75" hidden="false" customHeight="tru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M742" s="1"/>
      <c r="R742" s="1"/>
      <c r="S742" s="1"/>
      <c r="T742" s="1"/>
      <c r="U742" s="1"/>
      <c r="V742" s="1"/>
      <c r="W742" s="1"/>
      <c r="X742" s="1"/>
      <c r="Y742" s="1"/>
      <c r="Z742" s="1"/>
    </row>
    <row r="743" customFormat="false" ht="15.75" hidden="false" customHeight="tru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M743" s="1"/>
      <c r="R743" s="1"/>
      <c r="S743" s="1"/>
      <c r="T743" s="1"/>
      <c r="U743" s="1"/>
      <c r="V743" s="1"/>
      <c r="W743" s="1"/>
      <c r="X743" s="1"/>
      <c r="Y743" s="1"/>
      <c r="Z743" s="1"/>
    </row>
    <row r="744" customFormat="false" ht="15.75" hidden="false" customHeight="tru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M744" s="1"/>
      <c r="R744" s="1"/>
      <c r="S744" s="1"/>
      <c r="T744" s="1"/>
      <c r="U744" s="1"/>
      <c r="V744" s="1"/>
      <c r="W744" s="1"/>
      <c r="X744" s="1"/>
      <c r="Y744" s="1"/>
      <c r="Z744" s="1"/>
    </row>
    <row r="745" customFormat="false" ht="15.75" hidden="false" customHeight="tru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M745" s="1"/>
      <c r="R745" s="1"/>
      <c r="S745" s="1"/>
      <c r="T745" s="1"/>
      <c r="U745" s="1"/>
      <c r="V745" s="1"/>
      <c r="W745" s="1"/>
      <c r="X745" s="1"/>
      <c r="Y745" s="1"/>
      <c r="Z745" s="1"/>
    </row>
    <row r="746" customFormat="false" ht="15.75" hidden="false" customHeight="tru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M746" s="1"/>
      <c r="R746" s="1"/>
      <c r="S746" s="1"/>
      <c r="T746" s="1"/>
      <c r="U746" s="1"/>
      <c r="V746" s="1"/>
      <c r="W746" s="1"/>
      <c r="X746" s="1"/>
      <c r="Y746" s="1"/>
      <c r="Z746" s="1"/>
    </row>
    <row r="747" customFormat="false" ht="15.75" hidden="false" customHeight="tru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M747" s="1"/>
      <c r="R747" s="1"/>
      <c r="S747" s="1"/>
      <c r="T747" s="1"/>
      <c r="U747" s="1"/>
      <c r="V747" s="1"/>
      <c r="W747" s="1"/>
      <c r="X747" s="1"/>
      <c r="Y747" s="1"/>
      <c r="Z747" s="1"/>
    </row>
    <row r="748" customFormat="false" ht="15.75" hidden="false" customHeight="tru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M748" s="1"/>
      <c r="R748" s="1"/>
      <c r="S748" s="1"/>
      <c r="T748" s="1"/>
      <c r="U748" s="1"/>
      <c r="V748" s="1"/>
      <c r="W748" s="1"/>
      <c r="X748" s="1"/>
      <c r="Y748" s="1"/>
      <c r="Z748" s="1"/>
    </row>
    <row r="749" customFormat="false" ht="15.75" hidden="false" customHeight="tru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M749" s="1"/>
      <c r="R749" s="1"/>
      <c r="S749" s="1"/>
      <c r="T749" s="1"/>
      <c r="U749" s="1"/>
      <c r="V749" s="1"/>
      <c r="W749" s="1"/>
      <c r="X749" s="1"/>
      <c r="Y749" s="1"/>
      <c r="Z749" s="1"/>
    </row>
    <row r="750" customFormat="false" ht="15.75" hidden="false" customHeight="tru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M750" s="1"/>
      <c r="R750" s="1"/>
      <c r="S750" s="1"/>
      <c r="T750" s="1"/>
      <c r="U750" s="1"/>
      <c r="V750" s="1"/>
      <c r="W750" s="1"/>
      <c r="X750" s="1"/>
      <c r="Y750" s="1"/>
      <c r="Z750" s="1"/>
    </row>
    <row r="751" customFormat="false" ht="15.75" hidden="false" customHeight="tru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M751" s="1"/>
      <c r="R751" s="1"/>
      <c r="S751" s="1"/>
      <c r="T751" s="1"/>
      <c r="U751" s="1"/>
      <c r="V751" s="1"/>
      <c r="W751" s="1"/>
      <c r="X751" s="1"/>
      <c r="Y751" s="1"/>
      <c r="Z751" s="1"/>
    </row>
    <row r="752" customFormat="false" ht="15.75" hidden="false" customHeight="tru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M752" s="1"/>
      <c r="R752" s="1"/>
      <c r="S752" s="1"/>
      <c r="T752" s="1"/>
      <c r="U752" s="1"/>
      <c r="V752" s="1"/>
      <c r="W752" s="1"/>
      <c r="X752" s="1"/>
      <c r="Y752" s="1"/>
      <c r="Z752" s="1"/>
    </row>
    <row r="753" customFormat="false" ht="15.75" hidden="false" customHeight="tru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M753" s="1"/>
      <c r="R753" s="1"/>
      <c r="S753" s="1"/>
      <c r="T753" s="1"/>
      <c r="U753" s="1"/>
      <c r="V753" s="1"/>
      <c r="W753" s="1"/>
      <c r="X753" s="1"/>
      <c r="Y753" s="1"/>
      <c r="Z753" s="1"/>
    </row>
    <row r="754" customFormat="false" ht="15.75" hidden="false" customHeight="tru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M754" s="1"/>
      <c r="R754" s="1"/>
      <c r="S754" s="1"/>
      <c r="T754" s="1"/>
      <c r="U754" s="1"/>
      <c r="V754" s="1"/>
      <c r="W754" s="1"/>
      <c r="X754" s="1"/>
      <c r="Y754" s="1"/>
      <c r="Z754" s="1"/>
    </row>
    <row r="755" customFormat="false" ht="15.75" hidden="false" customHeight="tru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M755" s="1"/>
      <c r="R755" s="1"/>
      <c r="S755" s="1"/>
      <c r="T755" s="1"/>
      <c r="U755" s="1"/>
      <c r="V755" s="1"/>
      <c r="W755" s="1"/>
      <c r="X755" s="1"/>
      <c r="Y755" s="1"/>
      <c r="Z755" s="1"/>
    </row>
    <row r="756" customFormat="false" ht="15.75" hidden="false" customHeight="tru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M756" s="1"/>
      <c r="R756" s="1"/>
      <c r="S756" s="1"/>
      <c r="T756" s="1"/>
      <c r="U756" s="1"/>
      <c r="V756" s="1"/>
      <c r="W756" s="1"/>
      <c r="X756" s="1"/>
      <c r="Y756" s="1"/>
      <c r="Z756" s="1"/>
    </row>
    <row r="757" customFormat="false" ht="15.75" hidden="false" customHeight="tru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M757" s="1"/>
      <c r="R757" s="1"/>
      <c r="S757" s="1"/>
      <c r="T757" s="1"/>
      <c r="U757" s="1"/>
      <c r="V757" s="1"/>
      <c r="W757" s="1"/>
      <c r="X757" s="1"/>
      <c r="Y757" s="1"/>
      <c r="Z757" s="1"/>
    </row>
    <row r="758" customFormat="false" ht="15.75" hidden="false" customHeight="tru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M758" s="1"/>
      <c r="R758" s="1"/>
      <c r="S758" s="1"/>
      <c r="T758" s="1"/>
      <c r="U758" s="1"/>
      <c r="V758" s="1"/>
      <c r="W758" s="1"/>
      <c r="X758" s="1"/>
      <c r="Y758" s="1"/>
      <c r="Z758" s="1"/>
    </row>
    <row r="759" customFormat="false" ht="15.75" hidden="false" customHeight="tru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M759" s="1"/>
      <c r="R759" s="1"/>
      <c r="S759" s="1"/>
      <c r="T759" s="1"/>
      <c r="U759" s="1"/>
      <c r="V759" s="1"/>
      <c r="W759" s="1"/>
      <c r="X759" s="1"/>
      <c r="Y759" s="1"/>
      <c r="Z759" s="1"/>
    </row>
    <row r="760" customFormat="false" ht="15.75" hidden="false" customHeight="tru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M760" s="1"/>
      <c r="R760" s="1"/>
      <c r="S760" s="1"/>
      <c r="T760" s="1"/>
      <c r="U760" s="1"/>
      <c r="V760" s="1"/>
      <c r="W760" s="1"/>
      <c r="X760" s="1"/>
      <c r="Y760" s="1"/>
      <c r="Z760" s="1"/>
    </row>
    <row r="761" customFormat="false" ht="15.75" hidden="false" customHeight="tru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M761" s="1"/>
      <c r="R761" s="1"/>
      <c r="S761" s="1"/>
      <c r="T761" s="1"/>
      <c r="U761" s="1"/>
      <c r="V761" s="1"/>
      <c r="W761" s="1"/>
      <c r="X761" s="1"/>
      <c r="Y761" s="1"/>
      <c r="Z761" s="1"/>
    </row>
    <row r="762" customFormat="false" ht="15.75" hidden="false" customHeight="tru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M762" s="1"/>
      <c r="R762" s="1"/>
      <c r="S762" s="1"/>
      <c r="T762" s="1"/>
      <c r="U762" s="1"/>
      <c r="V762" s="1"/>
      <c r="W762" s="1"/>
      <c r="X762" s="1"/>
      <c r="Y762" s="1"/>
      <c r="Z762" s="1"/>
    </row>
    <row r="763" customFormat="false" ht="15.75" hidden="false" customHeight="tru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M763" s="1"/>
      <c r="R763" s="1"/>
      <c r="S763" s="1"/>
      <c r="T763" s="1"/>
      <c r="U763" s="1"/>
      <c r="V763" s="1"/>
      <c r="W763" s="1"/>
      <c r="X763" s="1"/>
      <c r="Y763" s="1"/>
      <c r="Z763" s="1"/>
    </row>
    <row r="764" customFormat="false" ht="15.75" hidden="false" customHeight="tru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M764" s="1"/>
      <c r="R764" s="1"/>
      <c r="S764" s="1"/>
      <c r="T764" s="1"/>
      <c r="U764" s="1"/>
      <c r="V764" s="1"/>
      <c r="W764" s="1"/>
      <c r="X764" s="1"/>
      <c r="Y764" s="1"/>
      <c r="Z764" s="1"/>
    </row>
    <row r="765" customFormat="false" ht="15.75" hidden="false" customHeight="tru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M765" s="1"/>
      <c r="R765" s="1"/>
      <c r="S765" s="1"/>
      <c r="T765" s="1"/>
      <c r="U765" s="1"/>
      <c r="V765" s="1"/>
      <c r="W765" s="1"/>
      <c r="X765" s="1"/>
      <c r="Y765" s="1"/>
      <c r="Z765" s="1"/>
    </row>
    <row r="766" customFormat="false" ht="15.75" hidden="false" customHeight="tru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M766" s="1"/>
      <c r="R766" s="1"/>
      <c r="S766" s="1"/>
      <c r="T766" s="1"/>
      <c r="U766" s="1"/>
      <c r="V766" s="1"/>
      <c r="W766" s="1"/>
      <c r="X766" s="1"/>
      <c r="Y766" s="1"/>
      <c r="Z766" s="1"/>
    </row>
    <row r="767" customFormat="false" ht="15.75" hidden="false" customHeight="tru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M767" s="1"/>
      <c r="R767" s="1"/>
      <c r="S767" s="1"/>
      <c r="T767" s="1"/>
      <c r="U767" s="1"/>
      <c r="V767" s="1"/>
      <c r="W767" s="1"/>
      <c r="X767" s="1"/>
      <c r="Y767" s="1"/>
      <c r="Z767" s="1"/>
    </row>
    <row r="768" customFormat="false" ht="15.75" hidden="false" customHeight="tru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M768" s="1"/>
      <c r="R768" s="1"/>
      <c r="S768" s="1"/>
      <c r="T768" s="1"/>
      <c r="U768" s="1"/>
      <c r="V768" s="1"/>
      <c r="W768" s="1"/>
      <c r="X768" s="1"/>
      <c r="Y768" s="1"/>
      <c r="Z768" s="1"/>
    </row>
    <row r="769" customFormat="false" ht="15.75" hidden="false" customHeight="tru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M769" s="1"/>
      <c r="R769" s="1"/>
      <c r="S769" s="1"/>
      <c r="T769" s="1"/>
      <c r="U769" s="1"/>
      <c r="V769" s="1"/>
      <c r="W769" s="1"/>
      <c r="X769" s="1"/>
      <c r="Y769" s="1"/>
      <c r="Z769" s="1"/>
    </row>
    <row r="770" customFormat="false" ht="15.75" hidden="false" customHeight="tru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M770" s="1"/>
      <c r="R770" s="1"/>
      <c r="S770" s="1"/>
      <c r="T770" s="1"/>
      <c r="U770" s="1"/>
      <c r="V770" s="1"/>
      <c r="W770" s="1"/>
      <c r="X770" s="1"/>
      <c r="Y770" s="1"/>
      <c r="Z770" s="1"/>
    </row>
    <row r="771" customFormat="false" ht="15.75" hidden="false" customHeight="tru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M771" s="1"/>
      <c r="R771" s="1"/>
      <c r="S771" s="1"/>
      <c r="T771" s="1"/>
      <c r="U771" s="1"/>
      <c r="V771" s="1"/>
      <c r="W771" s="1"/>
      <c r="X771" s="1"/>
      <c r="Y771" s="1"/>
      <c r="Z771" s="1"/>
    </row>
    <row r="772" customFormat="false" ht="15.75" hidden="false" customHeight="tru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M772" s="1"/>
      <c r="R772" s="1"/>
      <c r="S772" s="1"/>
      <c r="T772" s="1"/>
      <c r="U772" s="1"/>
      <c r="V772" s="1"/>
      <c r="W772" s="1"/>
      <c r="X772" s="1"/>
      <c r="Y772" s="1"/>
      <c r="Z772" s="1"/>
    </row>
    <row r="773" customFormat="false" ht="15.75" hidden="false" customHeight="tru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M773" s="1"/>
      <c r="R773" s="1"/>
      <c r="S773" s="1"/>
      <c r="T773" s="1"/>
      <c r="U773" s="1"/>
      <c r="V773" s="1"/>
      <c r="W773" s="1"/>
      <c r="X773" s="1"/>
      <c r="Y773" s="1"/>
      <c r="Z773" s="1"/>
    </row>
    <row r="774" customFormat="false" ht="15.75" hidden="false" customHeight="tru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M774" s="1"/>
      <c r="R774" s="1"/>
      <c r="S774" s="1"/>
      <c r="T774" s="1"/>
      <c r="U774" s="1"/>
      <c r="V774" s="1"/>
      <c r="W774" s="1"/>
      <c r="X774" s="1"/>
      <c r="Y774" s="1"/>
      <c r="Z774" s="1"/>
    </row>
    <row r="775" customFormat="false" ht="15.75" hidden="false" customHeight="tru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M775" s="1"/>
      <c r="R775" s="1"/>
      <c r="S775" s="1"/>
      <c r="T775" s="1"/>
      <c r="U775" s="1"/>
      <c r="V775" s="1"/>
      <c r="W775" s="1"/>
      <c r="X775" s="1"/>
      <c r="Y775" s="1"/>
      <c r="Z775" s="1"/>
    </row>
    <row r="776" customFormat="false" ht="15.75" hidden="false" customHeight="tru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M776" s="1"/>
      <c r="R776" s="1"/>
      <c r="S776" s="1"/>
      <c r="T776" s="1"/>
      <c r="U776" s="1"/>
      <c r="V776" s="1"/>
      <c r="W776" s="1"/>
      <c r="X776" s="1"/>
      <c r="Y776" s="1"/>
      <c r="Z776" s="1"/>
    </row>
    <row r="777" customFormat="false" ht="15.75" hidden="false" customHeight="tru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M777" s="1"/>
      <c r="R777" s="1"/>
      <c r="S777" s="1"/>
      <c r="T777" s="1"/>
      <c r="U777" s="1"/>
      <c r="V777" s="1"/>
      <c r="W777" s="1"/>
      <c r="X777" s="1"/>
      <c r="Y777" s="1"/>
      <c r="Z777" s="1"/>
    </row>
    <row r="778" customFormat="false" ht="15.75" hidden="false" customHeight="tru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M778" s="1"/>
      <c r="R778" s="1"/>
      <c r="S778" s="1"/>
      <c r="T778" s="1"/>
      <c r="U778" s="1"/>
      <c r="V778" s="1"/>
      <c r="W778" s="1"/>
      <c r="X778" s="1"/>
      <c r="Y778" s="1"/>
      <c r="Z778" s="1"/>
    </row>
    <row r="779" customFormat="false" ht="15.75" hidden="false" customHeight="tru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M779" s="1"/>
      <c r="R779" s="1"/>
      <c r="S779" s="1"/>
      <c r="T779" s="1"/>
      <c r="U779" s="1"/>
      <c r="V779" s="1"/>
      <c r="W779" s="1"/>
      <c r="X779" s="1"/>
      <c r="Y779" s="1"/>
      <c r="Z779" s="1"/>
    </row>
    <row r="780" customFormat="false" ht="15.75" hidden="false" customHeight="tru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M780" s="1"/>
      <c r="R780" s="1"/>
      <c r="S780" s="1"/>
      <c r="T780" s="1"/>
      <c r="U780" s="1"/>
      <c r="V780" s="1"/>
      <c r="W780" s="1"/>
      <c r="X780" s="1"/>
      <c r="Y780" s="1"/>
      <c r="Z780" s="1"/>
    </row>
    <row r="781" customFormat="false" ht="15.75" hidden="false" customHeight="tru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M781" s="1"/>
      <c r="R781" s="1"/>
      <c r="S781" s="1"/>
      <c r="T781" s="1"/>
      <c r="U781" s="1"/>
      <c r="V781" s="1"/>
      <c r="W781" s="1"/>
      <c r="X781" s="1"/>
      <c r="Y781" s="1"/>
      <c r="Z781" s="1"/>
    </row>
    <row r="782" customFormat="false" ht="15.75" hidden="false" customHeight="tru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M782" s="1"/>
      <c r="R782" s="1"/>
      <c r="S782" s="1"/>
      <c r="T782" s="1"/>
      <c r="U782" s="1"/>
      <c r="V782" s="1"/>
      <c r="W782" s="1"/>
      <c r="X782" s="1"/>
      <c r="Y782" s="1"/>
      <c r="Z782" s="1"/>
    </row>
    <row r="783" customFormat="false" ht="15.75" hidden="false" customHeight="tru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M783" s="1"/>
      <c r="R783" s="1"/>
      <c r="S783" s="1"/>
      <c r="T783" s="1"/>
      <c r="U783" s="1"/>
      <c r="V783" s="1"/>
      <c r="W783" s="1"/>
      <c r="X783" s="1"/>
      <c r="Y783" s="1"/>
      <c r="Z783" s="1"/>
    </row>
    <row r="784" customFormat="false" ht="15.75" hidden="false" customHeight="tru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M784" s="1"/>
      <c r="R784" s="1"/>
      <c r="S784" s="1"/>
      <c r="T784" s="1"/>
      <c r="U784" s="1"/>
      <c r="V784" s="1"/>
      <c r="W784" s="1"/>
      <c r="X784" s="1"/>
      <c r="Y784" s="1"/>
      <c r="Z784" s="1"/>
    </row>
    <row r="785" customFormat="false" ht="15.75" hidden="false" customHeight="tru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M785" s="1"/>
      <c r="R785" s="1"/>
      <c r="S785" s="1"/>
      <c r="T785" s="1"/>
      <c r="U785" s="1"/>
      <c r="V785" s="1"/>
      <c r="W785" s="1"/>
      <c r="X785" s="1"/>
      <c r="Y785" s="1"/>
      <c r="Z785" s="1"/>
    </row>
    <row r="786" customFormat="false" ht="15.75" hidden="false" customHeight="tru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M786" s="1"/>
      <c r="R786" s="1"/>
      <c r="S786" s="1"/>
      <c r="T786" s="1"/>
      <c r="U786" s="1"/>
      <c r="V786" s="1"/>
      <c r="W786" s="1"/>
      <c r="X786" s="1"/>
      <c r="Y786" s="1"/>
      <c r="Z786" s="1"/>
    </row>
    <row r="787" customFormat="false" ht="15.75" hidden="false" customHeight="tru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M787" s="1"/>
      <c r="R787" s="1"/>
      <c r="S787" s="1"/>
      <c r="T787" s="1"/>
      <c r="U787" s="1"/>
      <c r="V787" s="1"/>
      <c r="W787" s="1"/>
      <c r="X787" s="1"/>
      <c r="Y787" s="1"/>
      <c r="Z787" s="1"/>
    </row>
    <row r="788" customFormat="false" ht="15.75" hidden="false" customHeight="tru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M788" s="1"/>
      <c r="R788" s="1"/>
      <c r="S788" s="1"/>
      <c r="T788" s="1"/>
      <c r="U788" s="1"/>
      <c r="V788" s="1"/>
      <c r="W788" s="1"/>
      <c r="X788" s="1"/>
      <c r="Y788" s="1"/>
      <c r="Z788" s="1"/>
    </row>
    <row r="789" customFormat="false" ht="15.75" hidden="false" customHeight="tru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M789" s="1"/>
      <c r="R789" s="1"/>
      <c r="S789" s="1"/>
      <c r="T789" s="1"/>
      <c r="U789" s="1"/>
      <c r="V789" s="1"/>
      <c r="W789" s="1"/>
      <c r="X789" s="1"/>
      <c r="Y789" s="1"/>
      <c r="Z789" s="1"/>
    </row>
    <row r="790" customFormat="false" ht="15.75" hidden="false" customHeight="tru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M790" s="1"/>
      <c r="R790" s="1"/>
      <c r="S790" s="1"/>
      <c r="T790" s="1"/>
      <c r="U790" s="1"/>
      <c r="V790" s="1"/>
      <c r="W790" s="1"/>
      <c r="X790" s="1"/>
      <c r="Y790" s="1"/>
      <c r="Z790" s="1"/>
    </row>
    <row r="791" customFormat="false" ht="15.75" hidden="false" customHeight="tru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M791" s="1"/>
      <c r="R791" s="1"/>
      <c r="S791" s="1"/>
      <c r="T791" s="1"/>
      <c r="U791" s="1"/>
      <c r="V791" s="1"/>
      <c r="W791" s="1"/>
      <c r="X791" s="1"/>
      <c r="Y791" s="1"/>
      <c r="Z791" s="1"/>
    </row>
    <row r="792" customFormat="false" ht="15.75" hidden="false" customHeight="tru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M792" s="1"/>
      <c r="R792" s="1"/>
      <c r="S792" s="1"/>
      <c r="T792" s="1"/>
      <c r="U792" s="1"/>
      <c r="V792" s="1"/>
      <c r="W792" s="1"/>
      <c r="X792" s="1"/>
      <c r="Y792" s="1"/>
      <c r="Z792" s="1"/>
    </row>
    <row r="793" customFormat="false" ht="15.75" hidden="false" customHeight="tru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M793" s="1"/>
      <c r="R793" s="1"/>
      <c r="S793" s="1"/>
      <c r="T793" s="1"/>
      <c r="U793" s="1"/>
      <c r="V793" s="1"/>
      <c r="W793" s="1"/>
      <c r="X793" s="1"/>
      <c r="Y793" s="1"/>
      <c r="Z793" s="1"/>
    </row>
    <row r="794" customFormat="false" ht="15.75" hidden="false" customHeight="tru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M794" s="1"/>
      <c r="R794" s="1"/>
      <c r="S794" s="1"/>
      <c r="T794" s="1"/>
      <c r="U794" s="1"/>
      <c r="V794" s="1"/>
      <c r="W794" s="1"/>
      <c r="X794" s="1"/>
      <c r="Y794" s="1"/>
      <c r="Z794" s="1"/>
    </row>
    <row r="795" customFormat="false" ht="15.75" hidden="false" customHeight="tru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M795" s="1"/>
      <c r="R795" s="1"/>
      <c r="S795" s="1"/>
      <c r="T795" s="1"/>
      <c r="U795" s="1"/>
      <c r="V795" s="1"/>
      <c r="W795" s="1"/>
      <c r="X795" s="1"/>
      <c r="Y795" s="1"/>
      <c r="Z795" s="1"/>
    </row>
    <row r="796" customFormat="false" ht="15.75" hidden="false" customHeight="tru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M796" s="1"/>
      <c r="R796" s="1"/>
      <c r="S796" s="1"/>
      <c r="T796" s="1"/>
      <c r="U796" s="1"/>
      <c r="V796" s="1"/>
      <c r="W796" s="1"/>
      <c r="X796" s="1"/>
      <c r="Y796" s="1"/>
      <c r="Z796" s="1"/>
    </row>
    <row r="797" customFormat="false" ht="15.75" hidden="false" customHeight="tru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M797" s="1"/>
      <c r="R797" s="1"/>
      <c r="S797" s="1"/>
      <c r="T797" s="1"/>
      <c r="U797" s="1"/>
      <c r="V797" s="1"/>
      <c r="W797" s="1"/>
      <c r="X797" s="1"/>
      <c r="Y797" s="1"/>
      <c r="Z797" s="1"/>
    </row>
    <row r="798" customFormat="false" ht="15.75" hidden="false" customHeight="tru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M798" s="1"/>
      <c r="R798" s="1"/>
      <c r="S798" s="1"/>
      <c r="T798" s="1"/>
      <c r="U798" s="1"/>
      <c r="V798" s="1"/>
      <c r="W798" s="1"/>
      <c r="X798" s="1"/>
      <c r="Y798" s="1"/>
      <c r="Z798" s="1"/>
    </row>
    <row r="799" customFormat="false" ht="15.75" hidden="false" customHeight="tru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M799" s="1"/>
      <c r="R799" s="1"/>
      <c r="S799" s="1"/>
      <c r="T799" s="1"/>
      <c r="U799" s="1"/>
      <c r="V799" s="1"/>
      <c r="W799" s="1"/>
      <c r="X799" s="1"/>
      <c r="Y799" s="1"/>
      <c r="Z799" s="1"/>
    </row>
    <row r="800" customFormat="false" ht="15.75" hidden="false" customHeight="tru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M800" s="1"/>
      <c r="R800" s="1"/>
      <c r="S800" s="1"/>
      <c r="T800" s="1"/>
      <c r="U800" s="1"/>
      <c r="V800" s="1"/>
      <c r="W800" s="1"/>
      <c r="X800" s="1"/>
      <c r="Y800" s="1"/>
      <c r="Z800" s="1"/>
    </row>
    <row r="801" customFormat="false" ht="15.75" hidden="false" customHeight="tru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M801" s="1"/>
      <c r="R801" s="1"/>
      <c r="S801" s="1"/>
      <c r="T801" s="1"/>
      <c r="U801" s="1"/>
      <c r="V801" s="1"/>
      <c r="W801" s="1"/>
      <c r="X801" s="1"/>
      <c r="Y801" s="1"/>
      <c r="Z801" s="1"/>
    </row>
    <row r="802" customFormat="false" ht="15.75" hidden="false" customHeight="tru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M802" s="1"/>
      <c r="R802" s="1"/>
      <c r="S802" s="1"/>
      <c r="T802" s="1"/>
      <c r="U802" s="1"/>
      <c r="V802" s="1"/>
      <c r="W802" s="1"/>
      <c r="X802" s="1"/>
      <c r="Y802" s="1"/>
      <c r="Z802" s="1"/>
    </row>
    <row r="803" customFormat="false" ht="15.75" hidden="false" customHeight="tru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M803" s="1"/>
      <c r="R803" s="1"/>
      <c r="S803" s="1"/>
      <c r="T803" s="1"/>
      <c r="U803" s="1"/>
      <c r="V803" s="1"/>
      <c r="W803" s="1"/>
      <c r="X803" s="1"/>
      <c r="Y803" s="1"/>
      <c r="Z803" s="1"/>
    </row>
    <row r="804" customFormat="false" ht="15.75" hidden="false" customHeight="tru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M804" s="1"/>
      <c r="R804" s="1"/>
      <c r="S804" s="1"/>
      <c r="T804" s="1"/>
      <c r="U804" s="1"/>
      <c r="V804" s="1"/>
      <c r="W804" s="1"/>
      <c r="X804" s="1"/>
      <c r="Y804" s="1"/>
      <c r="Z804" s="1"/>
    </row>
    <row r="805" customFormat="false" ht="15.75" hidden="false" customHeight="tru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M805" s="1"/>
      <c r="R805" s="1"/>
      <c r="S805" s="1"/>
      <c r="T805" s="1"/>
      <c r="U805" s="1"/>
      <c r="V805" s="1"/>
      <c r="W805" s="1"/>
      <c r="X805" s="1"/>
      <c r="Y805" s="1"/>
      <c r="Z805" s="1"/>
    </row>
    <row r="806" customFormat="false" ht="15.75" hidden="false" customHeight="tru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M806" s="1"/>
      <c r="R806" s="1"/>
      <c r="S806" s="1"/>
      <c r="T806" s="1"/>
      <c r="U806" s="1"/>
      <c r="V806" s="1"/>
      <c r="W806" s="1"/>
      <c r="X806" s="1"/>
      <c r="Y806" s="1"/>
      <c r="Z806" s="1"/>
    </row>
    <row r="807" customFormat="false" ht="15.75" hidden="false" customHeight="tru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M807" s="1"/>
      <c r="R807" s="1"/>
      <c r="S807" s="1"/>
      <c r="T807" s="1"/>
      <c r="U807" s="1"/>
      <c r="V807" s="1"/>
      <c r="W807" s="1"/>
      <c r="X807" s="1"/>
      <c r="Y807" s="1"/>
      <c r="Z807" s="1"/>
    </row>
    <row r="808" customFormat="false" ht="15.75" hidden="false" customHeight="tru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M808" s="1"/>
      <c r="R808" s="1"/>
      <c r="S808" s="1"/>
      <c r="T808" s="1"/>
      <c r="U808" s="1"/>
      <c r="V808" s="1"/>
      <c r="W808" s="1"/>
      <c r="X808" s="1"/>
      <c r="Y808" s="1"/>
      <c r="Z808" s="1"/>
    </row>
    <row r="809" customFormat="false" ht="15.75" hidden="false" customHeight="tru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M809" s="1"/>
      <c r="R809" s="1"/>
      <c r="S809" s="1"/>
      <c r="T809" s="1"/>
      <c r="U809" s="1"/>
      <c r="V809" s="1"/>
      <c r="W809" s="1"/>
      <c r="X809" s="1"/>
      <c r="Y809" s="1"/>
      <c r="Z809" s="1"/>
    </row>
    <row r="810" customFormat="false" ht="15.75" hidden="false" customHeight="tru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M810" s="1"/>
      <c r="R810" s="1"/>
      <c r="S810" s="1"/>
      <c r="T810" s="1"/>
      <c r="U810" s="1"/>
      <c r="V810" s="1"/>
      <c r="W810" s="1"/>
      <c r="X810" s="1"/>
      <c r="Y810" s="1"/>
      <c r="Z810" s="1"/>
    </row>
    <row r="811" customFormat="false" ht="15.75" hidden="false" customHeight="tru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M811" s="1"/>
      <c r="R811" s="1"/>
      <c r="S811" s="1"/>
      <c r="T811" s="1"/>
      <c r="U811" s="1"/>
      <c r="V811" s="1"/>
      <c r="W811" s="1"/>
      <c r="X811" s="1"/>
      <c r="Y811" s="1"/>
      <c r="Z811" s="1"/>
    </row>
    <row r="812" customFormat="false" ht="15.75" hidden="false" customHeight="tru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M812" s="1"/>
      <c r="R812" s="1"/>
      <c r="S812" s="1"/>
      <c r="T812" s="1"/>
      <c r="U812" s="1"/>
      <c r="V812" s="1"/>
      <c r="W812" s="1"/>
      <c r="X812" s="1"/>
      <c r="Y812" s="1"/>
      <c r="Z812" s="1"/>
    </row>
    <row r="813" customFormat="false" ht="15.75" hidden="false" customHeight="tru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M813" s="1"/>
      <c r="R813" s="1"/>
      <c r="S813" s="1"/>
      <c r="T813" s="1"/>
      <c r="U813" s="1"/>
      <c r="V813" s="1"/>
      <c r="W813" s="1"/>
      <c r="X813" s="1"/>
      <c r="Y813" s="1"/>
      <c r="Z813" s="1"/>
    </row>
    <row r="814" customFormat="false" ht="15.75" hidden="false" customHeight="tru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M814" s="1"/>
      <c r="R814" s="1"/>
      <c r="S814" s="1"/>
      <c r="T814" s="1"/>
      <c r="U814" s="1"/>
      <c r="V814" s="1"/>
      <c r="W814" s="1"/>
      <c r="X814" s="1"/>
      <c r="Y814" s="1"/>
      <c r="Z814" s="1"/>
    </row>
    <row r="815" customFormat="false" ht="15.75" hidden="false" customHeight="tru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M815" s="1"/>
      <c r="R815" s="1"/>
      <c r="S815" s="1"/>
      <c r="T815" s="1"/>
      <c r="U815" s="1"/>
      <c r="V815" s="1"/>
      <c r="W815" s="1"/>
      <c r="X815" s="1"/>
      <c r="Y815" s="1"/>
      <c r="Z815" s="1"/>
    </row>
    <row r="816" customFormat="false" ht="15.75" hidden="false" customHeight="tru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M816" s="1"/>
      <c r="R816" s="1"/>
      <c r="S816" s="1"/>
      <c r="T816" s="1"/>
      <c r="U816" s="1"/>
      <c r="V816" s="1"/>
      <c r="W816" s="1"/>
      <c r="X816" s="1"/>
      <c r="Y816" s="1"/>
      <c r="Z816" s="1"/>
    </row>
    <row r="817" customFormat="false" ht="15.75" hidden="false" customHeight="tru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M817" s="1"/>
      <c r="R817" s="1"/>
      <c r="S817" s="1"/>
      <c r="T817" s="1"/>
      <c r="U817" s="1"/>
      <c r="V817" s="1"/>
      <c r="W817" s="1"/>
      <c r="X817" s="1"/>
      <c r="Y817" s="1"/>
      <c r="Z817" s="1"/>
    </row>
    <row r="818" customFormat="false" ht="15.75" hidden="false" customHeight="tru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M818" s="1"/>
      <c r="R818" s="1"/>
      <c r="S818" s="1"/>
      <c r="T818" s="1"/>
      <c r="U818" s="1"/>
      <c r="V818" s="1"/>
      <c r="W818" s="1"/>
      <c r="X818" s="1"/>
      <c r="Y818" s="1"/>
      <c r="Z818" s="1"/>
    </row>
    <row r="819" customFormat="false" ht="15.75" hidden="false" customHeight="tru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M819" s="1"/>
      <c r="R819" s="1"/>
      <c r="S819" s="1"/>
      <c r="T819" s="1"/>
      <c r="U819" s="1"/>
      <c r="V819" s="1"/>
      <c r="W819" s="1"/>
      <c r="X819" s="1"/>
      <c r="Y819" s="1"/>
      <c r="Z819" s="1"/>
    </row>
    <row r="820" customFormat="false" ht="15.75" hidden="false" customHeight="tru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M820" s="1"/>
      <c r="R820" s="1"/>
      <c r="S820" s="1"/>
      <c r="T820" s="1"/>
      <c r="U820" s="1"/>
      <c r="V820" s="1"/>
      <c r="W820" s="1"/>
      <c r="X820" s="1"/>
      <c r="Y820" s="1"/>
      <c r="Z820" s="1"/>
    </row>
    <row r="821" customFormat="false" ht="15.75" hidden="false" customHeight="tru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M821" s="1"/>
      <c r="R821" s="1"/>
      <c r="S821" s="1"/>
      <c r="T821" s="1"/>
      <c r="U821" s="1"/>
      <c r="V821" s="1"/>
      <c r="W821" s="1"/>
      <c r="X821" s="1"/>
      <c r="Y821" s="1"/>
      <c r="Z821" s="1"/>
    </row>
    <row r="822" customFormat="false" ht="15.75" hidden="false" customHeight="tru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M822" s="1"/>
      <c r="R822" s="1"/>
      <c r="S822" s="1"/>
      <c r="T822" s="1"/>
      <c r="U822" s="1"/>
      <c r="V822" s="1"/>
      <c r="W822" s="1"/>
      <c r="X822" s="1"/>
      <c r="Y822" s="1"/>
      <c r="Z822" s="1"/>
    </row>
    <row r="823" customFormat="false" ht="15.75" hidden="false" customHeight="tru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M823" s="1"/>
      <c r="R823" s="1"/>
      <c r="S823" s="1"/>
      <c r="T823" s="1"/>
      <c r="U823" s="1"/>
      <c r="V823" s="1"/>
      <c r="W823" s="1"/>
      <c r="X823" s="1"/>
      <c r="Y823" s="1"/>
      <c r="Z823" s="1"/>
    </row>
    <row r="824" customFormat="false" ht="15.75" hidden="false" customHeight="tru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M824" s="1"/>
      <c r="R824" s="1"/>
      <c r="S824" s="1"/>
      <c r="T824" s="1"/>
      <c r="U824" s="1"/>
      <c r="V824" s="1"/>
      <c r="W824" s="1"/>
      <c r="X824" s="1"/>
      <c r="Y824" s="1"/>
      <c r="Z824" s="1"/>
    </row>
    <row r="825" customFormat="false" ht="15.75" hidden="false" customHeight="tru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M825" s="1"/>
      <c r="R825" s="1"/>
      <c r="S825" s="1"/>
      <c r="T825" s="1"/>
      <c r="U825" s="1"/>
      <c r="V825" s="1"/>
      <c r="W825" s="1"/>
      <c r="X825" s="1"/>
      <c r="Y825" s="1"/>
      <c r="Z825" s="1"/>
    </row>
    <row r="826" customFormat="false" ht="15.75" hidden="false" customHeight="tru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M826" s="1"/>
      <c r="R826" s="1"/>
      <c r="S826" s="1"/>
      <c r="T826" s="1"/>
      <c r="U826" s="1"/>
      <c r="V826" s="1"/>
      <c r="W826" s="1"/>
      <c r="X826" s="1"/>
      <c r="Y826" s="1"/>
      <c r="Z826" s="1"/>
    </row>
    <row r="827" customFormat="false" ht="15.75" hidden="false" customHeight="tru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M827" s="1"/>
      <c r="R827" s="1"/>
      <c r="S827" s="1"/>
      <c r="T827" s="1"/>
      <c r="U827" s="1"/>
      <c r="V827" s="1"/>
      <c r="W827" s="1"/>
      <c r="X827" s="1"/>
      <c r="Y827" s="1"/>
      <c r="Z827" s="1"/>
    </row>
    <row r="828" customFormat="false" ht="15.75" hidden="false" customHeight="tru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M828" s="1"/>
      <c r="R828" s="1"/>
      <c r="S828" s="1"/>
      <c r="T828" s="1"/>
      <c r="U828" s="1"/>
      <c r="V828" s="1"/>
      <c r="W828" s="1"/>
      <c r="X828" s="1"/>
      <c r="Y828" s="1"/>
      <c r="Z828" s="1"/>
    </row>
    <row r="829" customFormat="false" ht="15.75" hidden="false" customHeight="tru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M829" s="1"/>
      <c r="R829" s="1"/>
      <c r="S829" s="1"/>
      <c r="T829" s="1"/>
      <c r="U829" s="1"/>
      <c r="V829" s="1"/>
      <c r="W829" s="1"/>
      <c r="X829" s="1"/>
      <c r="Y829" s="1"/>
      <c r="Z829" s="1"/>
    </row>
    <row r="830" customFormat="false" ht="15.75" hidden="false" customHeight="tru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M830" s="1"/>
      <c r="R830" s="1"/>
      <c r="S830" s="1"/>
      <c r="T830" s="1"/>
      <c r="U830" s="1"/>
      <c r="V830" s="1"/>
      <c r="W830" s="1"/>
      <c r="X830" s="1"/>
      <c r="Y830" s="1"/>
      <c r="Z830" s="1"/>
    </row>
    <row r="831" customFormat="false" ht="15.75" hidden="false" customHeight="tru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M831" s="1"/>
      <c r="R831" s="1"/>
      <c r="S831" s="1"/>
      <c r="T831" s="1"/>
      <c r="U831" s="1"/>
      <c r="V831" s="1"/>
      <c r="W831" s="1"/>
      <c r="X831" s="1"/>
      <c r="Y831" s="1"/>
      <c r="Z831" s="1"/>
    </row>
    <row r="832" customFormat="false" ht="15.75" hidden="false" customHeight="tru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M832" s="1"/>
      <c r="R832" s="1"/>
      <c r="S832" s="1"/>
      <c r="T832" s="1"/>
      <c r="U832" s="1"/>
      <c r="V832" s="1"/>
      <c r="W832" s="1"/>
      <c r="X832" s="1"/>
      <c r="Y832" s="1"/>
      <c r="Z832" s="1"/>
    </row>
    <row r="833" customFormat="false" ht="15.75" hidden="false" customHeight="tru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M833" s="1"/>
      <c r="R833" s="1"/>
      <c r="S833" s="1"/>
      <c r="T833" s="1"/>
      <c r="U833" s="1"/>
      <c r="V833" s="1"/>
      <c r="W833" s="1"/>
      <c r="X833" s="1"/>
      <c r="Y833" s="1"/>
      <c r="Z833" s="1"/>
    </row>
    <row r="834" customFormat="false" ht="15.75" hidden="false" customHeight="tru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M834" s="1"/>
      <c r="R834" s="1"/>
      <c r="S834" s="1"/>
      <c r="T834" s="1"/>
      <c r="U834" s="1"/>
      <c r="V834" s="1"/>
      <c r="W834" s="1"/>
      <c r="X834" s="1"/>
      <c r="Y834" s="1"/>
      <c r="Z834" s="1"/>
    </row>
    <row r="835" customFormat="false" ht="15.75" hidden="false" customHeight="tru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M835" s="1"/>
      <c r="R835" s="1"/>
      <c r="S835" s="1"/>
      <c r="T835" s="1"/>
      <c r="U835" s="1"/>
      <c r="V835" s="1"/>
      <c r="W835" s="1"/>
      <c r="X835" s="1"/>
      <c r="Y835" s="1"/>
      <c r="Z835" s="1"/>
    </row>
    <row r="836" customFormat="false" ht="15.75" hidden="false" customHeight="tru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M836" s="1"/>
      <c r="R836" s="1"/>
      <c r="S836" s="1"/>
      <c r="T836" s="1"/>
      <c r="U836" s="1"/>
      <c r="V836" s="1"/>
      <c r="W836" s="1"/>
      <c r="X836" s="1"/>
      <c r="Y836" s="1"/>
      <c r="Z836" s="1"/>
    </row>
    <row r="837" customFormat="false" ht="15.75" hidden="false" customHeight="tru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M837" s="1"/>
      <c r="R837" s="1"/>
      <c r="S837" s="1"/>
      <c r="T837" s="1"/>
      <c r="U837" s="1"/>
      <c r="V837" s="1"/>
      <c r="W837" s="1"/>
      <c r="X837" s="1"/>
      <c r="Y837" s="1"/>
      <c r="Z837" s="1"/>
    </row>
    <row r="838" customFormat="false" ht="15.75" hidden="false" customHeight="tru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M838" s="1"/>
      <c r="R838" s="1"/>
      <c r="S838" s="1"/>
      <c r="T838" s="1"/>
      <c r="U838" s="1"/>
      <c r="V838" s="1"/>
      <c r="W838" s="1"/>
      <c r="X838" s="1"/>
      <c r="Y838" s="1"/>
      <c r="Z838" s="1"/>
    </row>
    <row r="839" customFormat="false" ht="15.75" hidden="false" customHeight="tru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M839" s="1"/>
      <c r="R839" s="1"/>
      <c r="S839" s="1"/>
      <c r="T839" s="1"/>
      <c r="U839" s="1"/>
      <c r="V839" s="1"/>
      <c r="W839" s="1"/>
      <c r="X839" s="1"/>
      <c r="Y839" s="1"/>
      <c r="Z839" s="1"/>
    </row>
    <row r="840" customFormat="false" ht="15.75" hidden="false" customHeight="tru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M840" s="1"/>
      <c r="R840" s="1"/>
      <c r="S840" s="1"/>
      <c r="T840" s="1"/>
      <c r="U840" s="1"/>
      <c r="V840" s="1"/>
      <c r="W840" s="1"/>
      <c r="X840" s="1"/>
      <c r="Y840" s="1"/>
      <c r="Z840" s="1"/>
    </row>
    <row r="841" customFormat="false" ht="15.75" hidden="false" customHeight="tru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M841" s="1"/>
      <c r="R841" s="1"/>
      <c r="S841" s="1"/>
      <c r="T841" s="1"/>
      <c r="U841" s="1"/>
      <c r="V841" s="1"/>
      <c r="W841" s="1"/>
      <c r="X841" s="1"/>
      <c r="Y841" s="1"/>
      <c r="Z841" s="1"/>
    </row>
    <row r="842" customFormat="false" ht="15.75" hidden="false" customHeight="tru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M842" s="1"/>
      <c r="R842" s="1"/>
      <c r="S842" s="1"/>
      <c r="T842" s="1"/>
      <c r="U842" s="1"/>
      <c r="V842" s="1"/>
      <c r="W842" s="1"/>
      <c r="X842" s="1"/>
      <c r="Y842" s="1"/>
      <c r="Z842" s="1"/>
    </row>
    <row r="843" customFormat="false" ht="15.75" hidden="false" customHeight="tru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M843" s="1"/>
      <c r="R843" s="1"/>
      <c r="S843" s="1"/>
      <c r="T843" s="1"/>
      <c r="U843" s="1"/>
      <c r="V843" s="1"/>
      <c r="W843" s="1"/>
      <c r="X843" s="1"/>
      <c r="Y843" s="1"/>
      <c r="Z843" s="1"/>
    </row>
    <row r="844" customFormat="false" ht="15.75" hidden="false" customHeight="tru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M844" s="1"/>
      <c r="R844" s="1"/>
      <c r="S844" s="1"/>
      <c r="T844" s="1"/>
      <c r="U844" s="1"/>
      <c r="V844" s="1"/>
      <c r="W844" s="1"/>
      <c r="X844" s="1"/>
      <c r="Y844" s="1"/>
      <c r="Z844" s="1"/>
    </row>
    <row r="845" customFormat="false" ht="15.75" hidden="false" customHeight="tru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M845" s="1"/>
      <c r="R845" s="1"/>
      <c r="S845" s="1"/>
      <c r="T845" s="1"/>
      <c r="U845" s="1"/>
      <c r="V845" s="1"/>
      <c r="W845" s="1"/>
      <c r="X845" s="1"/>
      <c r="Y845" s="1"/>
      <c r="Z845" s="1"/>
    </row>
    <row r="846" customFormat="false" ht="15.75" hidden="false" customHeight="tru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M846" s="1"/>
      <c r="R846" s="1"/>
      <c r="S846" s="1"/>
      <c r="T846" s="1"/>
      <c r="U846" s="1"/>
      <c r="V846" s="1"/>
      <c r="W846" s="1"/>
      <c r="X846" s="1"/>
      <c r="Y846" s="1"/>
      <c r="Z846" s="1"/>
    </row>
    <row r="847" customFormat="false" ht="15.75" hidden="false" customHeight="tru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M847" s="1"/>
      <c r="R847" s="1"/>
      <c r="S847" s="1"/>
      <c r="T847" s="1"/>
      <c r="U847" s="1"/>
      <c r="V847" s="1"/>
      <c r="W847" s="1"/>
      <c r="X847" s="1"/>
      <c r="Y847" s="1"/>
      <c r="Z847" s="1"/>
    </row>
    <row r="848" customFormat="false" ht="15.75" hidden="false" customHeight="tru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M848" s="1"/>
      <c r="R848" s="1"/>
      <c r="S848" s="1"/>
      <c r="T848" s="1"/>
      <c r="U848" s="1"/>
      <c r="V848" s="1"/>
      <c r="W848" s="1"/>
      <c r="X848" s="1"/>
      <c r="Y848" s="1"/>
      <c r="Z848" s="1"/>
    </row>
    <row r="849" customFormat="false" ht="15.75" hidden="false" customHeight="tru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M849" s="1"/>
      <c r="R849" s="1"/>
      <c r="S849" s="1"/>
      <c r="T849" s="1"/>
      <c r="U849" s="1"/>
      <c r="V849" s="1"/>
      <c r="W849" s="1"/>
      <c r="X849" s="1"/>
      <c r="Y849" s="1"/>
      <c r="Z849" s="1"/>
    </row>
    <row r="850" customFormat="false" ht="15.75" hidden="false" customHeight="tru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M850" s="1"/>
      <c r="R850" s="1"/>
      <c r="S850" s="1"/>
      <c r="T850" s="1"/>
      <c r="U850" s="1"/>
      <c r="V850" s="1"/>
      <c r="W850" s="1"/>
      <c r="X850" s="1"/>
      <c r="Y850" s="1"/>
      <c r="Z850" s="1"/>
    </row>
    <row r="851" customFormat="false" ht="15.75" hidden="false" customHeight="tru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M851" s="1"/>
      <c r="R851" s="1"/>
      <c r="S851" s="1"/>
      <c r="T851" s="1"/>
      <c r="U851" s="1"/>
      <c r="V851" s="1"/>
      <c r="W851" s="1"/>
      <c r="X851" s="1"/>
      <c r="Y851" s="1"/>
      <c r="Z851" s="1"/>
    </row>
    <row r="852" customFormat="false" ht="15.75" hidden="false" customHeight="tru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M852" s="1"/>
      <c r="R852" s="1"/>
      <c r="S852" s="1"/>
      <c r="T852" s="1"/>
      <c r="U852" s="1"/>
      <c r="V852" s="1"/>
      <c r="W852" s="1"/>
      <c r="X852" s="1"/>
      <c r="Y852" s="1"/>
      <c r="Z852" s="1"/>
    </row>
    <row r="853" customFormat="false" ht="15.75" hidden="false" customHeight="tru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M853" s="1"/>
      <c r="R853" s="1"/>
      <c r="S853" s="1"/>
      <c r="T853" s="1"/>
      <c r="U853" s="1"/>
      <c r="V853" s="1"/>
      <c r="W853" s="1"/>
      <c r="X853" s="1"/>
      <c r="Y853" s="1"/>
      <c r="Z853" s="1"/>
    </row>
    <row r="854" customFormat="false" ht="15.75" hidden="false" customHeight="tru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M854" s="1"/>
      <c r="R854" s="1"/>
      <c r="S854" s="1"/>
      <c r="T854" s="1"/>
      <c r="U854" s="1"/>
      <c r="V854" s="1"/>
      <c r="W854" s="1"/>
      <c r="X854" s="1"/>
      <c r="Y854" s="1"/>
      <c r="Z854" s="1"/>
    </row>
    <row r="855" customFormat="false" ht="15.75" hidden="false" customHeight="tru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M855" s="1"/>
      <c r="R855" s="1"/>
      <c r="S855" s="1"/>
      <c r="T855" s="1"/>
      <c r="U855" s="1"/>
      <c r="V855" s="1"/>
      <c r="W855" s="1"/>
      <c r="X855" s="1"/>
      <c r="Y855" s="1"/>
      <c r="Z855" s="1"/>
    </row>
    <row r="856" customFormat="false" ht="15.75" hidden="false" customHeight="tru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M856" s="1"/>
      <c r="R856" s="1"/>
      <c r="S856" s="1"/>
      <c r="T856" s="1"/>
      <c r="U856" s="1"/>
      <c r="V856" s="1"/>
      <c r="W856" s="1"/>
      <c r="X856" s="1"/>
      <c r="Y856" s="1"/>
      <c r="Z856" s="1"/>
    </row>
    <row r="857" customFormat="false" ht="15.75" hidden="false" customHeight="tru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M857" s="1"/>
      <c r="R857" s="1"/>
      <c r="S857" s="1"/>
      <c r="T857" s="1"/>
      <c r="U857" s="1"/>
      <c r="V857" s="1"/>
      <c r="W857" s="1"/>
      <c r="X857" s="1"/>
      <c r="Y857" s="1"/>
      <c r="Z857" s="1"/>
    </row>
    <row r="858" customFormat="false" ht="15.75" hidden="false" customHeight="tru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M858" s="1"/>
      <c r="R858" s="1"/>
      <c r="S858" s="1"/>
      <c r="T858" s="1"/>
      <c r="U858" s="1"/>
      <c r="V858" s="1"/>
      <c r="W858" s="1"/>
      <c r="X858" s="1"/>
      <c r="Y858" s="1"/>
      <c r="Z858" s="1"/>
    </row>
    <row r="859" customFormat="false" ht="15.75" hidden="false" customHeight="tru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M859" s="1"/>
      <c r="R859" s="1"/>
      <c r="S859" s="1"/>
      <c r="T859" s="1"/>
      <c r="U859" s="1"/>
      <c r="V859" s="1"/>
      <c r="W859" s="1"/>
      <c r="X859" s="1"/>
      <c r="Y859" s="1"/>
      <c r="Z859" s="1"/>
    </row>
    <row r="860" customFormat="false" ht="15.75" hidden="false" customHeight="tru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M860" s="1"/>
      <c r="R860" s="1"/>
      <c r="S860" s="1"/>
      <c r="T860" s="1"/>
      <c r="U860" s="1"/>
      <c r="V860" s="1"/>
      <c r="W860" s="1"/>
      <c r="X860" s="1"/>
      <c r="Y860" s="1"/>
      <c r="Z860" s="1"/>
    </row>
    <row r="861" customFormat="false" ht="15.75" hidden="false" customHeight="tru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M861" s="1"/>
      <c r="R861" s="1"/>
      <c r="S861" s="1"/>
      <c r="T861" s="1"/>
      <c r="U861" s="1"/>
      <c r="V861" s="1"/>
      <c r="W861" s="1"/>
      <c r="X861" s="1"/>
      <c r="Y861" s="1"/>
      <c r="Z861" s="1"/>
    </row>
    <row r="862" customFormat="false" ht="15.75" hidden="false" customHeight="tru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M862" s="1"/>
      <c r="R862" s="1"/>
      <c r="S862" s="1"/>
      <c r="T862" s="1"/>
      <c r="U862" s="1"/>
      <c r="V862" s="1"/>
      <c r="W862" s="1"/>
      <c r="X862" s="1"/>
      <c r="Y862" s="1"/>
      <c r="Z862" s="1"/>
    </row>
    <row r="863" customFormat="false" ht="15.75" hidden="false" customHeight="tru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M863" s="1"/>
      <c r="R863" s="1"/>
      <c r="S863" s="1"/>
      <c r="T863" s="1"/>
      <c r="U863" s="1"/>
      <c r="V863" s="1"/>
      <c r="W863" s="1"/>
      <c r="X863" s="1"/>
      <c r="Y863" s="1"/>
      <c r="Z863" s="1"/>
    </row>
    <row r="864" customFormat="false" ht="15.75" hidden="false" customHeight="tru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M864" s="1"/>
      <c r="R864" s="1"/>
      <c r="S864" s="1"/>
      <c r="T864" s="1"/>
      <c r="U864" s="1"/>
      <c r="V864" s="1"/>
      <c r="W864" s="1"/>
      <c r="X864" s="1"/>
      <c r="Y864" s="1"/>
      <c r="Z864" s="1"/>
    </row>
    <row r="865" customFormat="false" ht="15.75" hidden="false" customHeight="tru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M865" s="1"/>
      <c r="R865" s="1"/>
      <c r="S865" s="1"/>
      <c r="T865" s="1"/>
      <c r="U865" s="1"/>
      <c r="V865" s="1"/>
      <c r="W865" s="1"/>
      <c r="X865" s="1"/>
      <c r="Y865" s="1"/>
      <c r="Z865" s="1"/>
    </row>
    <row r="866" customFormat="false" ht="15.75" hidden="false" customHeight="tru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M866" s="1"/>
      <c r="R866" s="1"/>
      <c r="S866" s="1"/>
      <c r="T866" s="1"/>
      <c r="U866" s="1"/>
      <c r="V866" s="1"/>
      <c r="W866" s="1"/>
      <c r="X866" s="1"/>
      <c r="Y866" s="1"/>
      <c r="Z866" s="1"/>
    </row>
    <row r="867" customFormat="false" ht="15.75" hidden="false" customHeight="tru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M867" s="1"/>
      <c r="R867" s="1"/>
      <c r="S867" s="1"/>
      <c r="T867" s="1"/>
      <c r="U867" s="1"/>
      <c r="V867" s="1"/>
      <c r="W867" s="1"/>
      <c r="X867" s="1"/>
      <c r="Y867" s="1"/>
      <c r="Z867" s="1"/>
    </row>
    <row r="868" customFormat="false" ht="15.75" hidden="false" customHeight="tru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M868" s="1"/>
      <c r="R868" s="1"/>
      <c r="S868" s="1"/>
      <c r="T868" s="1"/>
      <c r="U868" s="1"/>
      <c r="V868" s="1"/>
      <c r="W868" s="1"/>
      <c r="X868" s="1"/>
      <c r="Y868" s="1"/>
      <c r="Z868" s="1"/>
    </row>
    <row r="869" customFormat="false" ht="15.75" hidden="false" customHeight="tru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M869" s="1"/>
      <c r="R869" s="1"/>
      <c r="S869" s="1"/>
      <c r="T869" s="1"/>
      <c r="U869" s="1"/>
      <c r="V869" s="1"/>
      <c r="W869" s="1"/>
      <c r="X869" s="1"/>
      <c r="Y869" s="1"/>
      <c r="Z869" s="1"/>
    </row>
    <row r="870" customFormat="false" ht="15.75" hidden="false" customHeight="tru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M870" s="1"/>
      <c r="R870" s="1"/>
      <c r="S870" s="1"/>
      <c r="T870" s="1"/>
      <c r="U870" s="1"/>
      <c r="V870" s="1"/>
      <c r="W870" s="1"/>
      <c r="X870" s="1"/>
      <c r="Y870" s="1"/>
      <c r="Z870" s="1"/>
    </row>
    <row r="871" customFormat="false" ht="15.75" hidden="false" customHeight="tru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M871" s="1"/>
      <c r="R871" s="1"/>
      <c r="S871" s="1"/>
      <c r="T871" s="1"/>
      <c r="U871" s="1"/>
      <c r="V871" s="1"/>
      <c r="W871" s="1"/>
      <c r="X871" s="1"/>
      <c r="Y871" s="1"/>
      <c r="Z871" s="1"/>
    </row>
    <row r="872" customFormat="false" ht="15.75" hidden="false" customHeight="tru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M872" s="1"/>
      <c r="R872" s="1"/>
      <c r="S872" s="1"/>
      <c r="T872" s="1"/>
      <c r="U872" s="1"/>
      <c r="V872" s="1"/>
      <c r="W872" s="1"/>
      <c r="X872" s="1"/>
      <c r="Y872" s="1"/>
      <c r="Z872" s="1"/>
    </row>
    <row r="873" customFormat="false" ht="15.75" hidden="false" customHeight="tru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M873" s="1"/>
      <c r="R873" s="1"/>
      <c r="S873" s="1"/>
      <c r="T873" s="1"/>
      <c r="U873" s="1"/>
      <c r="V873" s="1"/>
      <c r="W873" s="1"/>
      <c r="X873" s="1"/>
      <c r="Y873" s="1"/>
      <c r="Z873" s="1"/>
    </row>
    <row r="874" customFormat="false" ht="15.75" hidden="false" customHeight="tru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M874" s="1"/>
      <c r="R874" s="1"/>
      <c r="S874" s="1"/>
      <c r="T874" s="1"/>
      <c r="U874" s="1"/>
      <c r="V874" s="1"/>
      <c r="W874" s="1"/>
      <c r="X874" s="1"/>
      <c r="Y874" s="1"/>
      <c r="Z874" s="1"/>
    </row>
    <row r="875" customFormat="false" ht="15.75" hidden="false" customHeight="tru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M875" s="1"/>
      <c r="R875" s="1"/>
      <c r="S875" s="1"/>
      <c r="T875" s="1"/>
      <c r="U875" s="1"/>
      <c r="V875" s="1"/>
      <c r="W875" s="1"/>
      <c r="X875" s="1"/>
      <c r="Y875" s="1"/>
      <c r="Z875" s="1"/>
    </row>
    <row r="876" customFormat="false" ht="15.75" hidden="false" customHeight="tru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M876" s="1"/>
      <c r="R876" s="1"/>
      <c r="S876" s="1"/>
      <c r="T876" s="1"/>
      <c r="U876" s="1"/>
      <c r="V876" s="1"/>
      <c r="W876" s="1"/>
      <c r="X876" s="1"/>
      <c r="Y876" s="1"/>
      <c r="Z876" s="1"/>
    </row>
    <row r="877" customFormat="false" ht="15.75" hidden="false" customHeight="tru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M877" s="1"/>
      <c r="R877" s="1"/>
      <c r="S877" s="1"/>
      <c r="T877" s="1"/>
      <c r="U877" s="1"/>
      <c r="V877" s="1"/>
      <c r="W877" s="1"/>
      <c r="X877" s="1"/>
      <c r="Y877" s="1"/>
      <c r="Z877" s="1"/>
    </row>
    <row r="878" customFormat="false" ht="15.75" hidden="false" customHeight="tru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M878" s="1"/>
      <c r="R878" s="1"/>
      <c r="S878" s="1"/>
      <c r="T878" s="1"/>
      <c r="U878" s="1"/>
      <c r="V878" s="1"/>
      <c r="W878" s="1"/>
      <c r="X878" s="1"/>
      <c r="Y878" s="1"/>
      <c r="Z878" s="1"/>
    </row>
    <row r="879" customFormat="false" ht="15.75" hidden="false" customHeight="tru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M879" s="1"/>
      <c r="R879" s="1"/>
      <c r="S879" s="1"/>
      <c r="T879" s="1"/>
      <c r="U879" s="1"/>
      <c r="V879" s="1"/>
      <c r="W879" s="1"/>
      <c r="X879" s="1"/>
      <c r="Y879" s="1"/>
      <c r="Z879" s="1"/>
    </row>
    <row r="880" customFormat="false" ht="15.75" hidden="false" customHeight="tru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M880" s="1"/>
      <c r="R880" s="1"/>
      <c r="S880" s="1"/>
      <c r="T880" s="1"/>
      <c r="U880" s="1"/>
      <c r="V880" s="1"/>
      <c r="W880" s="1"/>
      <c r="X880" s="1"/>
      <c r="Y880" s="1"/>
      <c r="Z880" s="1"/>
    </row>
    <row r="881" customFormat="false" ht="15.75" hidden="false" customHeight="tru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M881" s="1"/>
      <c r="R881" s="1"/>
      <c r="S881" s="1"/>
      <c r="T881" s="1"/>
      <c r="U881" s="1"/>
      <c r="V881" s="1"/>
      <c r="W881" s="1"/>
      <c r="X881" s="1"/>
      <c r="Y881" s="1"/>
      <c r="Z881" s="1"/>
    </row>
    <row r="882" customFormat="false" ht="15.75" hidden="false" customHeight="tru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M882" s="1"/>
      <c r="R882" s="1"/>
      <c r="S882" s="1"/>
      <c r="T882" s="1"/>
      <c r="U882" s="1"/>
      <c r="V882" s="1"/>
      <c r="W882" s="1"/>
      <c r="X882" s="1"/>
      <c r="Y882" s="1"/>
      <c r="Z882" s="1"/>
    </row>
    <row r="883" customFormat="false" ht="15.75" hidden="false" customHeight="tru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M883" s="1"/>
      <c r="R883" s="1"/>
      <c r="S883" s="1"/>
      <c r="T883" s="1"/>
      <c r="U883" s="1"/>
      <c r="V883" s="1"/>
      <c r="W883" s="1"/>
      <c r="X883" s="1"/>
      <c r="Y883" s="1"/>
      <c r="Z883" s="1"/>
    </row>
    <row r="884" customFormat="false" ht="15.75" hidden="false" customHeight="tru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M884" s="1"/>
      <c r="R884" s="1"/>
      <c r="S884" s="1"/>
      <c r="T884" s="1"/>
      <c r="U884" s="1"/>
      <c r="V884" s="1"/>
      <c r="W884" s="1"/>
      <c r="X884" s="1"/>
      <c r="Y884" s="1"/>
      <c r="Z884" s="1"/>
    </row>
    <row r="885" customFormat="false" ht="15.75" hidden="false" customHeight="tru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M885" s="1"/>
      <c r="R885" s="1"/>
      <c r="S885" s="1"/>
      <c r="T885" s="1"/>
      <c r="U885" s="1"/>
      <c r="V885" s="1"/>
      <c r="W885" s="1"/>
      <c r="X885" s="1"/>
      <c r="Y885" s="1"/>
      <c r="Z885" s="1"/>
    </row>
    <row r="886" customFormat="false" ht="15.75" hidden="false" customHeight="tru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M886" s="1"/>
      <c r="R886" s="1"/>
      <c r="S886" s="1"/>
      <c r="T886" s="1"/>
      <c r="U886" s="1"/>
      <c r="V886" s="1"/>
      <c r="W886" s="1"/>
      <c r="X886" s="1"/>
      <c r="Y886" s="1"/>
      <c r="Z886" s="1"/>
    </row>
    <row r="887" customFormat="false" ht="15.75" hidden="false" customHeight="tru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M887" s="1"/>
      <c r="R887" s="1"/>
      <c r="S887" s="1"/>
      <c r="T887" s="1"/>
      <c r="U887" s="1"/>
      <c r="V887" s="1"/>
      <c r="W887" s="1"/>
      <c r="X887" s="1"/>
      <c r="Y887" s="1"/>
      <c r="Z887" s="1"/>
    </row>
    <row r="888" customFormat="false" ht="15.75" hidden="false" customHeight="tru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M888" s="1"/>
      <c r="R888" s="1"/>
      <c r="S888" s="1"/>
      <c r="T888" s="1"/>
      <c r="U888" s="1"/>
      <c r="V888" s="1"/>
      <c r="W888" s="1"/>
      <c r="X888" s="1"/>
      <c r="Y888" s="1"/>
      <c r="Z888" s="1"/>
    </row>
    <row r="889" customFormat="false" ht="15.75" hidden="false" customHeight="tru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M889" s="1"/>
      <c r="R889" s="1"/>
      <c r="S889" s="1"/>
      <c r="T889" s="1"/>
      <c r="U889" s="1"/>
      <c r="V889" s="1"/>
      <c r="W889" s="1"/>
      <c r="X889" s="1"/>
      <c r="Y889" s="1"/>
      <c r="Z889" s="1"/>
    </row>
    <row r="890" customFormat="false" ht="15.75" hidden="false" customHeight="tru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M890" s="1"/>
      <c r="R890" s="1"/>
      <c r="S890" s="1"/>
      <c r="T890" s="1"/>
      <c r="U890" s="1"/>
      <c r="V890" s="1"/>
      <c r="W890" s="1"/>
      <c r="X890" s="1"/>
      <c r="Y890" s="1"/>
      <c r="Z890" s="1"/>
    </row>
    <row r="891" customFormat="false" ht="15.75" hidden="false" customHeight="tru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M891" s="1"/>
      <c r="R891" s="1"/>
      <c r="S891" s="1"/>
      <c r="T891" s="1"/>
      <c r="U891" s="1"/>
      <c r="V891" s="1"/>
      <c r="W891" s="1"/>
      <c r="X891" s="1"/>
      <c r="Y891" s="1"/>
      <c r="Z891" s="1"/>
    </row>
    <row r="892" customFormat="false" ht="15.75" hidden="false" customHeight="tru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M892" s="1"/>
      <c r="R892" s="1"/>
      <c r="S892" s="1"/>
      <c r="T892" s="1"/>
      <c r="U892" s="1"/>
      <c r="V892" s="1"/>
      <c r="W892" s="1"/>
      <c r="X892" s="1"/>
      <c r="Y892" s="1"/>
      <c r="Z892" s="1"/>
    </row>
    <row r="893" customFormat="false" ht="15.75" hidden="false" customHeight="tru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M893" s="1"/>
      <c r="R893" s="1"/>
      <c r="S893" s="1"/>
      <c r="T893" s="1"/>
      <c r="U893" s="1"/>
      <c r="V893" s="1"/>
      <c r="W893" s="1"/>
      <c r="X893" s="1"/>
      <c r="Y893" s="1"/>
      <c r="Z893" s="1"/>
    </row>
    <row r="894" customFormat="false" ht="15.75" hidden="false" customHeight="tru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M894" s="1"/>
      <c r="R894" s="1"/>
      <c r="S894" s="1"/>
      <c r="T894" s="1"/>
      <c r="U894" s="1"/>
      <c r="V894" s="1"/>
      <c r="W894" s="1"/>
      <c r="X894" s="1"/>
      <c r="Y894" s="1"/>
      <c r="Z894" s="1"/>
    </row>
    <row r="895" customFormat="false" ht="15.75" hidden="false" customHeight="tru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M895" s="1"/>
      <c r="R895" s="1"/>
      <c r="S895" s="1"/>
      <c r="T895" s="1"/>
      <c r="U895" s="1"/>
      <c r="V895" s="1"/>
      <c r="W895" s="1"/>
      <c r="X895" s="1"/>
      <c r="Y895" s="1"/>
      <c r="Z895" s="1"/>
    </row>
    <row r="896" customFormat="false" ht="15.75" hidden="false" customHeight="tru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M896" s="1"/>
      <c r="R896" s="1"/>
      <c r="S896" s="1"/>
      <c r="T896" s="1"/>
      <c r="U896" s="1"/>
      <c r="V896" s="1"/>
      <c r="W896" s="1"/>
      <c r="X896" s="1"/>
      <c r="Y896" s="1"/>
      <c r="Z896" s="1"/>
    </row>
    <row r="897" customFormat="false" ht="15.75" hidden="false" customHeight="tru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M897" s="1"/>
      <c r="R897" s="1"/>
      <c r="S897" s="1"/>
      <c r="T897" s="1"/>
      <c r="U897" s="1"/>
      <c r="V897" s="1"/>
      <c r="W897" s="1"/>
      <c r="X897" s="1"/>
      <c r="Y897" s="1"/>
      <c r="Z897" s="1"/>
    </row>
    <row r="898" customFormat="false" ht="15.75" hidden="false" customHeight="tru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M898" s="1"/>
      <c r="R898" s="1"/>
      <c r="S898" s="1"/>
      <c r="T898" s="1"/>
      <c r="U898" s="1"/>
      <c r="V898" s="1"/>
      <c r="W898" s="1"/>
      <c r="X898" s="1"/>
      <c r="Y898" s="1"/>
      <c r="Z898" s="1"/>
    </row>
    <row r="899" customFormat="false" ht="15.75" hidden="false" customHeight="tru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M899" s="1"/>
      <c r="R899" s="1"/>
      <c r="S899" s="1"/>
      <c r="T899" s="1"/>
      <c r="U899" s="1"/>
      <c r="V899" s="1"/>
      <c r="W899" s="1"/>
      <c r="X899" s="1"/>
      <c r="Y899" s="1"/>
      <c r="Z899" s="1"/>
    </row>
    <row r="900" customFormat="false" ht="15.75" hidden="false" customHeight="tru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M900" s="1"/>
      <c r="R900" s="1"/>
      <c r="S900" s="1"/>
      <c r="T900" s="1"/>
      <c r="U900" s="1"/>
      <c r="V900" s="1"/>
      <c r="W900" s="1"/>
      <c r="X900" s="1"/>
      <c r="Y900" s="1"/>
      <c r="Z900" s="1"/>
    </row>
    <row r="901" customFormat="false" ht="15.75" hidden="false" customHeight="tru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M901" s="1"/>
      <c r="R901" s="1"/>
      <c r="S901" s="1"/>
      <c r="T901" s="1"/>
      <c r="U901" s="1"/>
      <c r="V901" s="1"/>
      <c r="W901" s="1"/>
      <c r="X901" s="1"/>
      <c r="Y901" s="1"/>
      <c r="Z901" s="1"/>
    </row>
    <row r="902" customFormat="false" ht="15.75" hidden="false" customHeight="tru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M902" s="1"/>
      <c r="R902" s="1"/>
      <c r="S902" s="1"/>
      <c r="T902" s="1"/>
      <c r="U902" s="1"/>
      <c r="V902" s="1"/>
      <c r="W902" s="1"/>
      <c r="X902" s="1"/>
      <c r="Y902" s="1"/>
      <c r="Z902" s="1"/>
    </row>
    <row r="903" customFormat="false" ht="15.75" hidden="false" customHeight="tru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M903" s="1"/>
      <c r="R903" s="1"/>
      <c r="S903" s="1"/>
      <c r="T903" s="1"/>
      <c r="U903" s="1"/>
      <c r="V903" s="1"/>
      <c r="W903" s="1"/>
      <c r="X903" s="1"/>
      <c r="Y903" s="1"/>
      <c r="Z903" s="1"/>
    </row>
    <row r="904" customFormat="false" ht="15.75" hidden="false" customHeight="tru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M904" s="1"/>
      <c r="R904" s="1"/>
      <c r="S904" s="1"/>
      <c r="T904" s="1"/>
      <c r="U904" s="1"/>
      <c r="V904" s="1"/>
      <c r="W904" s="1"/>
      <c r="X904" s="1"/>
      <c r="Y904" s="1"/>
      <c r="Z904" s="1"/>
    </row>
    <row r="905" customFormat="false" ht="15.75" hidden="false" customHeight="tru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M905" s="1"/>
      <c r="R905" s="1"/>
      <c r="S905" s="1"/>
      <c r="T905" s="1"/>
      <c r="U905" s="1"/>
      <c r="V905" s="1"/>
      <c r="W905" s="1"/>
      <c r="X905" s="1"/>
      <c r="Y905" s="1"/>
      <c r="Z905" s="1"/>
    </row>
    <row r="906" customFormat="false" ht="15.75" hidden="false" customHeight="tru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M906" s="1"/>
      <c r="R906" s="1"/>
      <c r="S906" s="1"/>
      <c r="T906" s="1"/>
      <c r="U906" s="1"/>
      <c r="V906" s="1"/>
      <c r="W906" s="1"/>
      <c r="X906" s="1"/>
      <c r="Y906" s="1"/>
      <c r="Z906" s="1"/>
    </row>
    <row r="907" customFormat="false" ht="15.75" hidden="false" customHeight="tru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M907" s="1"/>
      <c r="R907" s="1"/>
      <c r="S907" s="1"/>
      <c r="T907" s="1"/>
      <c r="U907" s="1"/>
      <c r="V907" s="1"/>
      <c r="W907" s="1"/>
      <c r="X907" s="1"/>
      <c r="Y907" s="1"/>
      <c r="Z907" s="1"/>
    </row>
    <row r="908" customFormat="false" ht="15.75" hidden="false" customHeight="tru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M908" s="1"/>
      <c r="R908" s="1"/>
      <c r="S908" s="1"/>
      <c r="T908" s="1"/>
      <c r="U908" s="1"/>
      <c r="V908" s="1"/>
      <c r="W908" s="1"/>
      <c r="X908" s="1"/>
      <c r="Y908" s="1"/>
      <c r="Z908" s="1"/>
    </row>
    <row r="909" customFormat="false" ht="15.75" hidden="false" customHeight="tru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M909" s="1"/>
      <c r="R909" s="1"/>
      <c r="S909" s="1"/>
      <c r="T909" s="1"/>
      <c r="U909" s="1"/>
      <c r="V909" s="1"/>
      <c r="W909" s="1"/>
      <c r="X909" s="1"/>
      <c r="Y909" s="1"/>
      <c r="Z909" s="1"/>
    </row>
    <row r="910" customFormat="false" ht="15.75" hidden="false" customHeight="tru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M910" s="1"/>
      <c r="R910" s="1"/>
      <c r="S910" s="1"/>
      <c r="T910" s="1"/>
      <c r="U910" s="1"/>
      <c r="V910" s="1"/>
      <c r="W910" s="1"/>
      <c r="X910" s="1"/>
      <c r="Y910" s="1"/>
      <c r="Z910" s="1"/>
    </row>
    <row r="911" customFormat="false" ht="15.75" hidden="false" customHeight="tru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M911" s="1"/>
      <c r="R911" s="1"/>
      <c r="S911" s="1"/>
      <c r="T911" s="1"/>
      <c r="U911" s="1"/>
      <c r="V911" s="1"/>
      <c r="W911" s="1"/>
      <c r="X911" s="1"/>
      <c r="Y911" s="1"/>
      <c r="Z911" s="1"/>
    </row>
    <row r="912" customFormat="false" ht="15.75" hidden="false" customHeight="tru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M912" s="1"/>
      <c r="R912" s="1"/>
      <c r="S912" s="1"/>
      <c r="T912" s="1"/>
      <c r="U912" s="1"/>
      <c r="V912" s="1"/>
      <c r="W912" s="1"/>
      <c r="X912" s="1"/>
      <c r="Y912" s="1"/>
      <c r="Z912" s="1"/>
    </row>
    <row r="913" customFormat="false" ht="15.75" hidden="false" customHeight="tru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M913" s="1"/>
      <c r="R913" s="1"/>
      <c r="S913" s="1"/>
      <c r="T913" s="1"/>
      <c r="U913" s="1"/>
      <c r="V913" s="1"/>
      <c r="W913" s="1"/>
      <c r="X913" s="1"/>
      <c r="Y913" s="1"/>
      <c r="Z913" s="1"/>
    </row>
    <row r="914" customFormat="false" ht="15.75" hidden="false" customHeight="tru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M914" s="1"/>
      <c r="R914" s="1"/>
      <c r="S914" s="1"/>
      <c r="T914" s="1"/>
      <c r="U914" s="1"/>
      <c r="V914" s="1"/>
      <c r="W914" s="1"/>
      <c r="X914" s="1"/>
      <c r="Y914" s="1"/>
      <c r="Z914" s="1"/>
    </row>
    <row r="915" customFormat="false" ht="15.75" hidden="false" customHeight="tru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M915" s="1"/>
      <c r="R915" s="1"/>
      <c r="S915" s="1"/>
      <c r="T915" s="1"/>
      <c r="U915" s="1"/>
      <c r="V915" s="1"/>
      <c r="W915" s="1"/>
      <c r="X915" s="1"/>
      <c r="Y915" s="1"/>
      <c r="Z915" s="1"/>
    </row>
    <row r="916" customFormat="false" ht="15.75" hidden="false" customHeight="tru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M916" s="1"/>
      <c r="R916" s="1"/>
      <c r="S916" s="1"/>
      <c r="T916" s="1"/>
      <c r="U916" s="1"/>
      <c r="V916" s="1"/>
      <c r="W916" s="1"/>
      <c r="X916" s="1"/>
      <c r="Y916" s="1"/>
      <c r="Z916" s="1"/>
    </row>
    <row r="917" customFormat="false" ht="15.75" hidden="false" customHeight="tru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M917" s="1"/>
      <c r="R917" s="1"/>
      <c r="S917" s="1"/>
      <c r="T917" s="1"/>
      <c r="U917" s="1"/>
      <c r="V917" s="1"/>
      <c r="W917" s="1"/>
      <c r="X917" s="1"/>
      <c r="Y917" s="1"/>
      <c r="Z917" s="1"/>
    </row>
    <row r="918" customFormat="false" ht="15.75" hidden="false" customHeight="tru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M918" s="1"/>
      <c r="R918" s="1"/>
      <c r="S918" s="1"/>
      <c r="T918" s="1"/>
      <c r="U918" s="1"/>
      <c r="V918" s="1"/>
      <c r="W918" s="1"/>
      <c r="X918" s="1"/>
      <c r="Y918" s="1"/>
      <c r="Z918" s="1"/>
    </row>
    <row r="919" customFormat="false" ht="15.75" hidden="false" customHeight="tru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M919" s="1"/>
      <c r="R919" s="1"/>
      <c r="S919" s="1"/>
      <c r="T919" s="1"/>
      <c r="U919" s="1"/>
      <c r="V919" s="1"/>
      <c r="W919" s="1"/>
      <c r="X919" s="1"/>
      <c r="Y919" s="1"/>
      <c r="Z919" s="1"/>
    </row>
    <row r="920" customFormat="false" ht="15.75" hidden="false" customHeight="tru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M920" s="1"/>
      <c r="R920" s="1"/>
      <c r="S920" s="1"/>
      <c r="T920" s="1"/>
      <c r="U920" s="1"/>
      <c r="V920" s="1"/>
      <c r="W920" s="1"/>
      <c r="X920" s="1"/>
      <c r="Y920" s="1"/>
      <c r="Z920" s="1"/>
    </row>
    <row r="921" customFormat="false" ht="15.75" hidden="false" customHeight="tru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M921" s="1"/>
      <c r="R921" s="1"/>
      <c r="S921" s="1"/>
      <c r="T921" s="1"/>
      <c r="U921" s="1"/>
      <c r="V921" s="1"/>
      <c r="W921" s="1"/>
      <c r="X921" s="1"/>
      <c r="Y921" s="1"/>
      <c r="Z921" s="1"/>
    </row>
    <row r="922" customFormat="false" ht="15.75" hidden="false" customHeight="tru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M922" s="1"/>
      <c r="R922" s="1"/>
      <c r="S922" s="1"/>
      <c r="T922" s="1"/>
      <c r="U922" s="1"/>
      <c r="V922" s="1"/>
      <c r="W922" s="1"/>
      <c r="X922" s="1"/>
      <c r="Y922" s="1"/>
      <c r="Z922" s="1"/>
    </row>
    <row r="923" customFormat="false" ht="15.75" hidden="false" customHeight="tru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M923" s="1"/>
      <c r="R923" s="1"/>
      <c r="S923" s="1"/>
      <c r="T923" s="1"/>
      <c r="U923" s="1"/>
      <c r="V923" s="1"/>
      <c r="W923" s="1"/>
      <c r="X923" s="1"/>
      <c r="Y923" s="1"/>
      <c r="Z923" s="1"/>
    </row>
    <row r="924" customFormat="false" ht="15.75" hidden="false" customHeight="tru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M924" s="1"/>
      <c r="R924" s="1"/>
      <c r="S924" s="1"/>
      <c r="T924" s="1"/>
      <c r="U924" s="1"/>
      <c r="V924" s="1"/>
      <c r="W924" s="1"/>
      <c r="X924" s="1"/>
      <c r="Y924" s="1"/>
      <c r="Z924" s="1"/>
    </row>
    <row r="925" customFormat="false" ht="15.75" hidden="false" customHeight="tru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M925" s="1"/>
      <c r="R925" s="1"/>
      <c r="S925" s="1"/>
      <c r="T925" s="1"/>
      <c r="U925" s="1"/>
      <c r="V925" s="1"/>
      <c r="W925" s="1"/>
      <c r="X925" s="1"/>
      <c r="Y925" s="1"/>
      <c r="Z925" s="1"/>
    </row>
    <row r="926" customFormat="false" ht="15.75" hidden="false" customHeight="tru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M926" s="1"/>
      <c r="R926" s="1"/>
      <c r="S926" s="1"/>
      <c r="T926" s="1"/>
      <c r="U926" s="1"/>
      <c r="V926" s="1"/>
      <c r="W926" s="1"/>
      <c r="X926" s="1"/>
      <c r="Y926" s="1"/>
      <c r="Z926" s="1"/>
    </row>
    <row r="927" customFormat="false" ht="15.75" hidden="false" customHeight="tru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M927" s="1"/>
      <c r="R927" s="1"/>
      <c r="S927" s="1"/>
      <c r="T927" s="1"/>
      <c r="U927" s="1"/>
      <c r="V927" s="1"/>
      <c r="W927" s="1"/>
      <c r="X927" s="1"/>
      <c r="Y927" s="1"/>
      <c r="Z927" s="1"/>
    </row>
    <row r="928" customFormat="false" ht="15.75" hidden="false" customHeight="tru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M928" s="1"/>
      <c r="R928" s="1"/>
      <c r="S928" s="1"/>
      <c r="T928" s="1"/>
      <c r="U928" s="1"/>
      <c r="V928" s="1"/>
      <c r="W928" s="1"/>
      <c r="X928" s="1"/>
      <c r="Y928" s="1"/>
      <c r="Z928" s="1"/>
    </row>
    <row r="929" customFormat="false" ht="15.75" hidden="false" customHeight="tru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M929" s="1"/>
      <c r="R929" s="1"/>
      <c r="S929" s="1"/>
      <c r="T929" s="1"/>
      <c r="U929" s="1"/>
      <c r="V929" s="1"/>
      <c r="W929" s="1"/>
      <c r="X929" s="1"/>
      <c r="Y929" s="1"/>
      <c r="Z929" s="1"/>
    </row>
    <row r="930" customFormat="false" ht="15.75" hidden="false" customHeight="tru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M930" s="1"/>
      <c r="R930" s="1"/>
      <c r="S930" s="1"/>
      <c r="T930" s="1"/>
      <c r="U930" s="1"/>
      <c r="V930" s="1"/>
      <c r="W930" s="1"/>
      <c r="X930" s="1"/>
      <c r="Y930" s="1"/>
      <c r="Z930" s="1"/>
    </row>
    <row r="931" customFormat="false" ht="15.75" hidden="false" customHeight="tru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M931" s="1"/>
      <c r="R931" s="1"/>
      <c r="S931" s="1"/>
      <c r="T931" s="1"/>
      <c r="U931" s="1"/>
      <c r="V931" s="1"/>
      <c r="W931" s="1"/>
      <c r="X931" s="1"/>
      <c r="Y931" s="1"/>
      <c r="Z931" s="1"/>
    </row>
    <row r="932" customFormat="false" ht="15.75" hidden="false" customHeight="tru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M932" s="1"/>
      <c r="R932" s="1"/>
      <c r="S932" s="1"/>
      <c r="T932" s="1"/>
      <c r="U932" s="1"/>
      <c r="V932" s="1"/>
      <c r="W932" s="1"/>
      <c r="X932" s="1"/>
      <c r="Y932" s="1"/>
      <c r="Z932" s="1"/>
    </row>
    <row r="933" customFormat="false" ht="15.75" hidden="false" customHeight="tru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M933" s="1"/>
      <c r="R933" s="1"/>
      <c r="S933" s="1"/>
      <c r="T933" s="1"/>
      <c r="U933" s="1"/>
      <c r="V933" s="1"/>
      <c r="W933" s="1"/>
      <c r="X933" s="1"/>
      <c r="Y933" s="1"/>
      <c r="Z933" s="1"/>
    </row>
    <row r="934" customFormat="false" ht="15.75" hidden="false" customHeight="tru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M934" s="1"/>
      <c r="R934" s="1"/>
      <c r="S934" s="1"/>
      <c r="T934" s="1"/>
      <c r="U934" s="1"/>
      <c r="V934" s="1"/>
      <c r="W934" s="1"/>
      <c r="X934" s="1"/>
      <c r="Y934" s="1"/>
      <c r="Z934" s="1"/>
    </row>
    <row r="935" customFormat="false" ht="15.75" hidden="false" customHeight="tru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M935" s="1"/>
      <c r="R935" s="1"/>
      <c r="S935" s="1"/>
      <c r="T935" s="1"/>
      <c r="U935" s="1"/>
      <c r="V935" s="1"/>
      <c r="W935" s="1"/>
      <c r="X935" s="1"/>
      <c r="Y935" s="1"/>
      <c r="Z935" s="1"/>
    </row>
    <row r="936" customFormat="false" ht="15.75" hidden="false" customHeight="tru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M936" s="1"/>
      <c r="R936" s="1"/>
      <c r="S936" s="1"/>
      <c r="T936" s="1"/>
      <c r="U936" s="1"/>
      <c r="V936" s="1"/>
      <c r="W936" s="1"/>
      <c r="X936" s="1"/>
      <c r="Y936" s="1"/>
      <c r="Z936" s="1"/>
    </row>
    <row r="937" customFormat="false" ht="15.75" hidden="false" customHeight="tru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M937" s="1"/>
      <c r="R937" s="1"/>
      <c r="S937" s="1"/>
      <c r="T937" s="1"/>
      <c r="U937" s="1"/>
      <c r="V937" s="1"/>
      <c r="W937" s="1"/>
      <c r="X937" s="1"/>
      <c r="Y937" s="1"/>
      <c r="Z937" s="1"/>
    </row>
    <row r="938" customFormat="false" ht="15.75" hidden="false" customHeight="tru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M938" s="1"/>
      <c r="R938" s="1"/>
      <c r="S938" s="1"/>
      <c r="T938" s="1"/>
      <c r="U938" s="1"/>
      <c r="V938" s="1"/>
      <c r="W938" s="1"/>
      <c r="X938" s="1"/>
      <c r="Y938" s="1"/>
      <c r="Z938" s="1"/>
    </row>
    <row r="939" customFormat="false" ht="15.75" hidden="false" customHeight="tru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M939" s="1"/>
      <c r="R939" s="1"/>
      <c r="S939" s="1"/>
      <c r="T939" s="1"/>
      <c r="U939" s="1"/>
      <c r="V939" s="1"/>
      <c r="W939" s="1"/>
      <c r="X939" s="1"/>
      <c r="Y939" s="1"/>
      <c r="Z939" s="1"/>
    </row>
    <row r="940" customFormat="false" ht="15.75" hidden="false" customHeight="tru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M940" s="1"/>
      <c r="R940" s="1"/>
      <c r="S940" s="1"/>
      <c r="T940" s="1"/>
      <c r="U940" s="1"/>
      <c r="V940" s="1"/>
      <c r="W940" s="1"/>
      <c r="X940" s="1"/>
      <c r="Y940" s="1"/>
      <c r="Z940" s="1"/>
    </row>
    <row r="941" customFormat="false" ht="15.75" hidden="false" customHeight="tru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M941" s="1"/>
      <c r="R941" s="1"/>
      <c r="S941" s="1"/>
      <c r="T941" s="1"/>
      <c r="U941" s="1"/>
      <c r="V941" s="1"/>
      <c r="W941" s="1"/>
      <c r="X941" s="1"/>
      <c r="Y941" s="1"/>
      <c r="Z941" s="1"/>
    </row>
    <row r="942" customFormat="false" ht="15.75" hidden="false" customHeight="tru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M942" s="1"/>
      <c r="R942" s="1"/>
      <c r="S942" s="1"/>
      <c r="T942" s="1"/>
      <c r="U942" s="1"/>
      <c r="V942" s="1"/>
      <c r="W942" s="1"/>
      <c r="X942" s="1"/>
      <c r="Y942" s="1"/>
      <c r="Z942" s="1"/>
    </row>
    <row r="943" customFormat="false" ht="15.75" hidden="false" customHeight="tru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M943" s="1"/>
      <c r="R943" s="1"/>
      <c r="S943" s="1"/>
      <c r="T943" s="1"/>
      <c r="U943" s="1"/>
      <c r="V943" s="1"/>
      <c r="W943" s="1"/>
      <c r="X943" s="1"/>
      <c r="Y943" s="1"/>
      <c r="Z943" s="1"/>
    </row>
    <row r="944" customFormat="false" ht="15.75" hidden="false" customHeight="tru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M944" s="1"/>
      <c r="R944" s="1"/>
      <c r="S944" s="1"/>
      <c r="T944" s="1"/>
      <c r="U944" s="1"/>
      <c r="V944" s="1"/>
      <c r="W944" s="1"/>
      <c r="X944" s="1"/>
      <c r="Y944" s="1"/>
      <c r="Z944" s="1"/>
    </row>
    <row r="945" customFormat="false" ht="15.75" hidden="false" customHeight="tru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M945" s="1"/>
      <c r="R945" s="1"/>
      <c r="S945" s="1"/>
      <c r="T945" s="1"/>
      <c r="U945" s="1"/>
      <c r="V945" s="1"/>
      <c r="W945" s="1"/>
      <c r="X945" s="1"/>
      <c r="Y945" s="1"/>
      <c r="Z945" s="1"/>
    </row>
    <row r="946" customFormat="false" ht="15.75" hidden="false" customHeight="tru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M946" s="1"/>
      <c r="R946" s="1"/>
      <c r="S946" s="1"/>
      <c r="T946" s="1"/>
      <c r="U946" s="1"/>
      <c r="V946" s="1"/>
      <c r="W946" s="1"/>
      <c r="X946" s="1"/>
      <c r="Y946" s="1"/>
      <c r="Z946" s="1"/>
    </row>
    <row r="947" customFormat="false" ht="15.75" hidden="false" customHeight="tru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M947" s="1"/>
      <c r="R947" s="1"/>
      <c r="S947" s="1"/>
      <c r="T947" s="1"/>
      <c r="U947" s="1"/>
      <c r="V947" s="1"/>
      <c r="W947" s="1"/>
      <c r="X947" s="1"/>
      <c r="Y947" s="1"/>
      <c r="Z947" s="1"/>
    </row>
    <row r="948" customFormat="false" ht="15.75" hidden="false" customHeight="tru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M948" s="1"/>
      <c r="R948" s="1"/>
      <c r="S948" s="1"/>
      <c r="T948" s="1"/>
      <c r="U948" s="1"/>
      <c r="V948" s="1"/>
      <c r="W948" s="1"/>
      <c r="X948" s="1"/>
      <c r="Y948" s="1"/>
      <c r="Z948" s="1"/>
    </row>
    <row r="949" customFormat="false" ht="15.75" hidden="false" customHeight="tru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M949" s="1"/>
      <c r="R949" s="1"/>
      <c r="S949" s="1"/>
      <c r="T949" s="1"/>
      <c r="U949" s="1"/>
      <c r="V949" s="1"/>
      <c r="W949" s="1"/>
      <c r="X949" s="1"/>
      <c r="Y949" s="1"/>
      <c r="Z949" s="1"/>
    </row>
    <row r="950" customFormat="false" ht="15.75" hidden="false" customHeight="tru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M950" s="1"/>
      <c r="R950" s="1"/>
      <c r="S950" s="1"/>
      <c r="T950" s="1"/>
      <c r="U950" s="1"/>
      <c r="V950" s="1"/>
      <c r="W950" s="1"/>
      <c r="X950" s="1"/>
      <c r="Y950" s="1"/>
      <c r="Z950" s="1"/>
    </row>
    <row r="951" customFormat="false" ht="15.75" hidden="false" customHeight="tru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M951" s="1"/>
      <c r="R951" s="1"/>
      <c r="S951" s="1"/>
      <c r="T951" s="1"/>
      <c r="U951" s="1"/>
      <c r="V951" s="1"/>
      <c r="W951" s="1"/>
      <c r="X951" s="1"/>
      <c r="Y951" s="1"/>
      <c r="Z951" s="1"/>
    </row>
    <row r="952" customFormat="false" ht="15.75" hidden="false" customHeight="tru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M952" s="1"/>
      <c r="R952" s="1"/>
      <c r="S952" s="1"/>
      <c r="T952" s="1"/>
      <c r="U952" s="1"/>
      <c r="V952" s="1"/>
      <c r="W952" s="1"/>
      <c r="X952" s="1"/>
      <c r="Y952" s="1"/>
      <c r="Z952" s="1"/>
    </row>
    <row r="953" customFormat="false" ht="15.75" hidden="false" customHeight="tru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M953" s="1"/>
      <c r="R953" s="1"/>
      <c r="S953" s="1"/>
      <c r="T953" s="1"/>
      <c r="U953" s="1"/>
      <c r="V953" s="1"/>
      <c r="W953" s="1"/>
      <c r="X953" s="1"/>
      <c r="Y953" s="1"/>
      <c r="Z953" s="1"/>
    </row>
    <row r="954" customFormat="false" ht="15.75" hidden="false" customHeight="tru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M954" s="1"/>
      <c r="R954" s="1"/>
      <c r="S954" s="1"/>
      <c r="T954" s="1"/>
      <c r="U954" s="1"/>
      <c r="V954" s="1"/>
      <c r="W954" s="1"/>
      <c r="X954" s="1"/>
      <c r="Y954" s="1"/>
      <c r="Z954" s="1"/>
    </row>
    <row r="955" customFormat="false" ht="15.75" hidden="false" customHeight="tru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M955" s="1"/>
      <c r="R955" s="1"/>
      <c r="S955" s="1"/>
      <c r="T955" s="1"/>
      <c r="U955" s="1"/>
      <c r="V955" s="1"/>
      <c r="W955" s="1"/>
      <c r="X955" s="1"/>
      <c r="Y955" s="1"/>
      <c r="Z955" s="1"/>
    </row>
    <row r="956" customFormat="false" ht="15.75" hidden="false" customHeight="tru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M956" s="1"/>
      <c r="R956" s="1"/>
      <c r="S956" s="1"/>
      <c r="T956" s="1"/>
      <c r="U956" s="1"/>
      <c r="V956" s="1"/>
      <c r="W956" s="1"/>
      <c r="X956" s="1"/>
      <c r="Y956" s="1"/>
      <c r="Z956" s="1"/>
    </row>
    <row r="957" customFormat="false" ht="15.75" hidden="false" customHeight="tru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M957" s="1"/>
      <c r="R957" s="1"/>
      <c r="S957" s="1"/>
      <c r="T957" s="1"/>
      <c r="U957" s="1"/>
      <c r="V957" s="1"/>
      <c r="W957" s="1"/>
      <c r="X957" s="1"/>
      <c r="Y957" s="1"/>
      <c r="Z957" s="1"/>
    </row>
    <row r="958" customFormat="false" ht="15.75" hidden="false" customHeight="tru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M958" s="1"/>
      <c r="R958" s="1"/>
      <c r="S958" s="1"/>
      <c r="T958" s="1"/>
      <c r="U958" s="1"/>
      <c r="V958" s="1"/>
      <c r="W958" s="1"/>
      <c r="X958" s="1"/>
      <c r="Y958" s="1"/>
      <c r="Z958" s="1"/>
    </row>
    <row r="959" customFormat="false" ht="15.75" hidden="false" customHeight="tru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M959" s="1"/>
      <c r="R959" s="1"/>
      <c r="S959" s="1"/>
      <c r="T959" s="1"/>
      <c r="U959" s="1"/>
      <c r="V959" s="1"/>
      <c r="W959" s="1"/>
      <c r="X959" s="1"/>
      <c r="Y959" s="1"/>
      <c r="Z959" s="1"/>
    </row>
    <row r="960" customFormat="false" ht="15.75" hidden="false" customHeight="tru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M960" s="1"/>
      <c r="R960" s="1"/>
      <c r="S960" s="1"/>
      <c r="T960" s="1"/>
      <c r="U960" s="1"/>
      <c r="V960" s="1"/>
      <c r="W960" s="1"/>
      <c r="X960" s="1"/>
      <c r="Y960" s="1"/>
      <c r="Z960" s="1"/>
    </row>
    <row r="961" customFormat="false" ht="15.75" hidden="false" customHeight="tru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M961" s="1"/>
      <c r="R961" s="1"/>
      <c r="S961" s="1"/>
      <c r="T961" s="1"/>
      <c r="U961" s="1"/>
      <c r="V961" s="1"/>
      <c r="W961" s="1"/>
      <c r="X961" s="1"/>
      <c r="Y961" s="1"/>
      <c r="Z961" s="1"/>
    </row>
    <row r="962" customFormat="false" ht="15.75" hidden="false" customHeight="tru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M962" s="1"/>
      <c r="R962" s="1"/>
      <c r="S962" s="1"/>
      <c r="T962" s="1"/>
      <c r="U962" s="1"/>
      <c r="V962" s="1"/>
      <c r="W962" s="1"/>
      <c r="X962" s="1"/>
      <c r="Y962" s="1"/>
      <c r="Z962" s="1"/>
    </row>
    <row r="963" customFormat="false" ht="15.75" hidden="false" customHeight="tru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M963" s="1"/>
      <c r="R963" s="1"/>
      <c r="S963" s="1"/>
      <c r="T963" s="1"/>
      <c r="U963" s="1"/>
      <c r="V963" s="1"/>
      <c r="W963" s="1"/>
      <c r="X963" s="1"/>
      <c r="Y963" s="1"/>
      <c r="Z963" s="1"/>
    </row>
    <row r="964" customFormat="false" ht="15.75" hidden="false" customHeight="tru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M964" s="1"/>
      <c r="R964" s="1"/>
      <c r="S964" s="1"/>
      <c r="T964" s="1"/>
      <c r="U964" s="1"/>
      <c r="V964" s="1"/>
      <c r="W964" s="1"/>
      <c r="X964" s="1"/>
      <c r="Y964" s="1"/>
      <c r="Z964" s="1"/>
    </row>
    <row r="965" customFormat="false" ht="15.75" hidden="false" customHeight="tru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M965" s="1"/>
      <c r="R965" s="1"/>
      <c r="S965" s="1"/>
      <c r="T965" s="1"/>
      <c r="U965" s="1"/>
      <c r="V965" s="1"/>
      <c r="W965" s="1"/>
      <c r="X965" s="1"/>
      <c r="Y965" s="1"/>
      <c r="Z965" s="1"/>
    </row>
    <row r="966" customFormat="false" ht="15.75" hidden="false" customHeight="tru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M966" s="1"/>
      <c r="R966" s="1"/>
      <c r="S966" s="1"/>
      <c r="T966" s="1"/>
      <c r="U966" s="1"/>
      <c r="V966" s="1"/>
      <c r="W966" s="1"/>
      <c r="X966" s="1"/>
      <c r="Y966" s="1"/>
      <c r="Z966" s="1"/>
    </row>
    <row r="967" customFormat="false" ht="15.75" hidden="false" customHeight="tru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M967" s="1"/>
      <c r="R967" s="1"/>
      <c r="S967" s="1"/>
      <c r="T967" s="1"/>
      <c r="U967" s="1"/>
      <c r="V967" s="1"/>
      <c r="W967" s="1"/>
      <c r="X967" s="1"/>
      <c r="Y967" s="1"/>
      <c r="Z967" s="1"/>
    </row>
    <row r="968" customFormat="false" ht="15.75" hidden="false" customHeight="tru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M968" s="1"/>
      <c r="R968" s="1"/>
      <c r="S968" s="1"/>
      <c r="T968" s="1"/>
      <c r="U968" s="1"/>
      <c r="V968" s="1"/>
      <c r="W968" s="1"/>
      <c r="X968" s="1"/>
      <c r="Y968" s="1"/>
      <c r="Z968" s="1"/>
    </row>
    <row r="969" customFormat="false" ht="15.75" hidden="false" customHeight="tru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M969" s="1"/>
      <c r="R969" s="1"/>
      <c r="S969" s="1"/>
      <c r="T969" s="1"/>
      <c r="U969" s="1"/>
      <c r="V969" s="1"/>
      <c r="W969" s="1"/>
      <c r="X969" s="1"/>
      <c r="Y969" s="1"/>
      <c r="Z969" s="1"/>
    </row>
    <row r="970" customFormat="false" ht="15.75" hidden="false" customHeight="tru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M970" s="1"/>
      <c r="R970" s="1"/>
      <c r="S970" s="1"/>
      <c r="T970" s="1"/>
      <c r="U970" s="1"/>
      <c r="V970" s="1"/>
      <c r="W970" s="1"/>
      <c r="X970" s="1"/>
      <c r="Y970" s="1"/>
      <c r="Z970" s="1"/>
    </row>
    <row r="971" customFormat="false" ht="15.75" hidden="false" customHeight="tru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M971" s="1"/>
      <c r="R971" s="1"/>
      <c r="S971" s="1"/>
      <c r="T971" s="1"/>
      <c r="U971" s="1"/>
      <c r="V971" s="1"/>
      <c r="W971" s="1"/>
      <c r="X971" s="1"/>
      <c r="Y971" s="1"/>
      <c r="Z971" s="1"/>
    </row>
    <row r="972" customFormat="false" ht="15.75" hidden="false" customHeight="tru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M972" s="1"/>
      <c r="R972" s="1"/>
      <c r="S972" s="1"/>
      <c r="T972" s="1"/>
      <c r="U972" s="1"/>
      <c r="V972" s="1"/>
      <c r="W972" s="1"/>
      <c r="X972" s="1"/>
      <c r="Y972" s="1"/>
      <c r="Z972" s="1"/>
    </row>
    <row r="973" customFormat="false" ht="15.75" hidden="false" customHeight="tru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M973" s="1"/>
      <c r="R973" s="1"/>
      <c r="S973" s="1"/>
      <c r="T973" s="1"/>
      <c r="U973" s="1"/>
      <c r="V973" s="1"/>
      <c r="W973" s="1"/>
      <c r="X973" s="1"/>
      <c r="Y973" s="1"/>
      <c r="Z973" s="1"/>
    </row>
    <row r="974" customFormat="false" ht="15.75" hidden="false" customHeight="tru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M974" s="1"/>
      <c r="R974" s="1"/>
      <c r="S974" s="1"/>
      <c r="T974" s="1"/>
      <c r="U974" s="1"/>
      <c r="V974" s="1"/>
      <c r="W974" s="1"/>
      <c r="X974" s="1"/>
      <c r="Y974" s="1"/>
      <c r="Z974" s="1"/>
    </row>
    <row r="975" customFormat="false" ht="15.75" hidden="false" customHeight="tru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M975" s="1"/>
      <c r="R975" s="1"/>
      <c r="S975" s="1"/>
      <c r="T975" s="1"/>
      <c r="U975" s="1"/>
      <c r="V975" s="1"/>
      <c r="W975" s="1"/>
      <c r="X975" s="1"/>
      <c r="Y975" s="1"/>
      <c r="Z975" s="1"/>
    </row>
    <row r="976" customFormat="false" ht="15.75" hidden="false" customHeight="tru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M976" s="1"/>
      <c r="R976" s="1"/>
      <c r="S976" s="1"/>
      <c r="T976" s="1"/>
      <c r="U976" s="1"/>
      <c r="V976" s="1"/>
      <c r="W976" s="1"/>
      <c r="X976" s="1"/>
      <c r="Y976" s="1"/>
      <c r="Z976" s="1"/>
    </row>
    <row r="977" customFormat="false" ht="15.75" hidden="false" customHeight="tru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M977" s="1"/>
      <c r="R977" s="1"/>
      <c r="S977" s="1"/>
      <c r="T977" s="1"/>
      <c r="U977" s="1"/>
      <c r="V977" s="1"/>
      <c r="W977" s="1"/>
      <c r="X977" s="1"/>
      <c r="Y977" s="1"/>
      <c r="Z977" s="1"/>
    </row>
    <row r="978" customFormat="false" ht="15.75" hidden="false" customHeight="tru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M978" s="1"/>
      <c r="R978" s="1"/>
      <c r="S978" s="1"/>
      <c r="T978" s="1"/>
      <c r="U978" s="1"/>
      <c r="V978" s="1"/>
      <c r="W978" s="1"/>
      <c r="X978" s="1"/>
      <c r="Y978" s="1"/>
      <c r="Z978" s="1"/>
    </row>
    <row r="979" customFormat="false" ht="15.75" hidden="false" customHeight="tru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M979" s="1"/>
      <c r="R979" s="1"/>
      <c r="S979" s="1"/>
      <c r="T979" s="1"/>
      <c r="U979" s="1"/>
      <c r="V979" s="1"/>
      <c r="W979" s="1"/>
      <c r="X979" s="1"/>
      <c r="Y979" s="1"/>
      <c r="Z979" s="1"/>
    </row>
    <row r="980" customFormat="false" ht="15.75" hidden="false" customHeight="tru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M980" s="1"/>
      <c r="R980" s="1"/>
      <c r="S980" s="1"/>
      <c r="T980" s="1"/>
      <c r="U980" s="1"/>
      <c r="V980" s="1"/>
      <c r="W980" s="1"/>
      <c r="X980" s="1"/>
      <c r="Y980" s="1"/>
      <c r="Z980" s="1"/>
    </row>
    <row r="981" customFormat="false" ht="15.75" hidden="false" customHeight="tru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M981" s="1"/>
      <c r="R981" s="1"/>
      <c r="S981" s="1"/>
      <c r="T981" s="1"/>
      <c r="U981" s="1"/>
      <c r="V981" s="1"/>
      <c r="W981" s="1"/>
      <c r="X981" s="1"/>
      <c r="Y981" s="1"/>
      <c r="Z981" s="1"/>
    </row>
    <row r="982" customFormat="false" ht="15.75" hidden="false" customHeight="tru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M982" s="1"/>
      <c r="R982" s="1"/>
      <c r="S982" s="1"/>
      <c r="T982" s="1"/>
      <c r="U982" s="1"/>
      <c r="V982" s="1"/>
      <c r="W982" s="1"/>
      <c r="X982" s="1"/>
      <c r="Y982" s="1"/>
      <c r="Z982" s="1"/>
    </row>
    <row r="983" customFormat="false" ht="15.75" hidden="false" customHeight="tru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M983" s="1"/>
      <c r="R983" s="1"/>
      <c r="S983" s="1"/>
      <c r="T983" s="1"/>
      <c r="U983" s="1"/>
      <c r="V983" s="1"/>
      <c r="W983" s="1"/>
      <c r="X983" s="1"/>
      <c r="Y983" s="1"/>
      <c r="Z983" s="1"/>
    </row>
    <row r="984" customFormat="false" ht="15.75" hidden="false" customHeight="tru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M984" s="1"/>
      <c r="R984" s="1"/>
      <c r="S984" s="1"/>
      <c r="T984" s="1"/>
      <c r="U984" s="1"/>
      <c r="V984" s="1"/>
      <c r="W984" s="1"/>
      <c r="X984" s="1"/>
      <c r="Y984" s="1"/>
      <c r="Z984" s="1"/>
    </row>
    <row r="985" customFormat="false" ht="15.75" hidden="false" customHeight="tru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M985" s="1"/>
      <c r="R985" s="1"/>
      <c r="S985" s="1"/>
      <c r="T985" s="1"/>
      <c r="U985" s="1"/>
      <c r="V985" s="1"/>
      <c r="W985" s="1"/>
      <c r="X985" s="1"/>
      <c r="Y985" s="1"/>
      <c r="Z985" s="1"/>
    </row>
    <row r="986" customFormat="false" ht="15.75" hidden="false" customHeight="tru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M986" s="1"/>
      <c r="R986" s="1"/>
      <c r="S986" s="1"/>
      <c r="T986" s="1"/>
      <c r="U986" s="1"/>
      <c r="V986" s="1"/>
      <c r="W986" s="1"/>
      <c r="X986" s="1"/>
      <c r="Y986" s="1"/>
      <c r="Z986" s="1"/>
    </row>
    <row r="987" customFormat="false" ht="15.75" hidden="false" customHeight="tru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M987" s="1"/>
      <c r="R987" s="1"/>
      <c r="S987" s="1"/>
      <c r="T987" s="1"/>
      <c r="U987" s="1"/>
      <c r="V987" s="1"/>
      <c r="W987" s="1"/>
      <c r="X987" s="1"/>
      <c r="Y987" s="1"/>
      <c r="Z987" s="1"/>
    </row>
    <row r="988" customFormat="false" ht="15.75" hidden="false" customHeight="tru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M988" s="1"/>
      <c r="R988" s="1"/>
      <c r="S988" s="1"/>
      <c r="T988" s="1"/>
      <c r="U988" s="1"/>
      <c r="V988" s="1"/>
      <c r="W988" s="1"/>
      <c r="X988" s="1"/>
      <c r="Y988" s="1"/>
      <c r="Z988" s="1"/>
    </row>
    <row r="989" customFormat="false" ht="15.75" hidden="false" customHeight="tru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M989" s="1"/>
      <c r="R989" s="1"/>
      <c r="S989" s="1"/>
      <c r="T989" s="1"/>
      <c r="U989" s="1"/>
      <c r="V989" s="1"/>
      <c r="W989" s="1"/>
      <c r="X989" s="1"/>
      <c r="Y989" s="1"/>
      <c r="Z989" s="1"/>
    </row>
    <row r="990" customFormat="false" ht="15.75" hidden="false" customHeight="tru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M990" s="1"/>
      <c r="R990" s="1"/>
      <c r="S990" s="1"/>
      <c r="T990" s="1"/>
      <c r="U990" s="1"/>
      <c r="V990" s="1"/>
      <c r="W990" s="1"/>
      <c r="X990" s="1"/>
      <c r="Y990" s="1"/>
      <c r="Z990" s="1"/>
    </row>
    <row r="991" customFormat="false" ht="15.75" hidden="false" customHeight="tru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M991" s="1"/>
      <c r="R991" s="1"/>
      <c r="S991" s="1"/>
      <c r="T991" s="1"/>
      <c r="U991" s="1"/>
      <c r="V991" s="1"/>
      <c r="W991" s="1"/>
      <c r="X991" s="1"/>
      <c r="Y991" s="1"/>
      <c r="Z991" s="1"/>
    </row>
    <row r="992" customFormat="false" ht="15.75" hidden="false" customHeight="tru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M992" s="1"/>
      <c r="R992" s="1"/>
      <c r="S992" s="1"/>
      <c r="T992" s="1"/>
      <c r="U992" s="1"/>
      <c r="V992" s="1"/>
      <c r="W992" s="1"/>
      <c r="X992" s="1"/>
      <c r="Y992" s="1"/>
      <c r="Z992" s="1"/>
    </row>
    <row r="993" customFormat="false" ht="15.75" hidden="false" customHeight="tru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M993" s="1"/>
      <c r="R993" s="1"/>
      <c r="S993" s="1"/>
      <c r="T993" s="1"/>
      <c r="U993" s="1"/>
      <c r="V993" s="1"/>
      <c r="W993" s="1"/>
      <c r="X993" s="1"/>
      <c r="Y993" s="1"/>
      <c r="Z993" s="1"/>
    </row>
    <row r="994" customFormat="false" ht="15.75" hidden="false" customHeight="tru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M994" s="1"/>
      <c r="R994" s="1"/>
      <c r="S994" s="1"/>
      <c r="T994" s="1"/>
      <c r="U994" s="1"/>
      <c r="V994" s="1"/>
      <c r="W994" s="1"/>
      <c r="X994" s="1"/>
      <c r="Y994" s="1"/>
      <c r="Z994" s="1"/>
    </row>
    <row r="995" customFormat="false" ht="15.75" hidden="false" customHeight="tru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M995" s="1"/>
      <c r="R995" s="1"/>
      <c r="S995" s="1"/>
      <c r="T995" s="1"/>
      <c r="U995" s="1"/>
      <c r="V995" s="1"/>
      <c r="W995" s="1"/>
      <c r="X995" s="1"/>
      <c r="Y995" s="1"/>
      <c r="Z995" s="1"/>
    </row>
    <row r="996" customFormat="false" ht="15.75" hidden="false" customHeight="tru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M996" s="1"/>
      <c r="R996" s="1"/>
      <c r="S996" s="1"/>
      <c r="T996" s="1"/>
      <c r="U996" s="1"/>
      <c r="V996" s="1"/>
      <c r="W996" s="1"/>
      <c r="X996" s="1"/>
      <c r="Y996" s="1"/>
      <c r="Z996" s="1"/>
    </row>
    <row r="997" customFormat="false" ht="15.75" hidden="false" customHeight="tru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M997" s="1"/>
      <c r="R997" s="1"/>
      <c r="S997" s="1"/>
      <c r="T997" s="1"/>
      <c r="U997" s="1"/>
      <c r="V997" s="1"/>
      <c r="W997" s="1"/>
      <c r="X997" s="1"/>
      <c r="Y997" s="1"/>
      <c r="Z997" s="1"/>
    </row>
    <row r="998" customFormat="false" ht="15.75" hidden="false" customHeight="tru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M998" s="1"/>
      <c r="R998" s="1"/>
      <c r="S998" s="1"/>
      <c r="T998" s="1"/>
      <c r="U998" s="1"/>
      <c r="V998" s="1"/>
      <c r="W998" s="1"/>
      <c r="X998" s="1"/>
      <c r="Y998" s="1"/>
      <c r="Z998" s="1"/>
    </row>
    <row r="999" customFormat="false" ht="15.75" hidden="false" customHeight="tru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M999" s="1"/>
      <c r="R999" s="1"/>
      <c r="S999" s="1"/>
      <c r="T999" s="1"/>
      <c r="U999" s="1"/>
      <c r="V999" s="1"/>
      <c r="W999" s="1"/>
      <c r="X999" s="1"/>
      <c r="Y999" s="1"/>
      <c r="Z999" s="1"/>
    </row>
    <row r="1000" customFormat="false" ht="15.75" hidden="false" customHeight="tru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M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7">
    <mergeCell ref="H2:L2"/>
    <mergeCell ref="H3:I3"/>
    <mergeCell ref="K3:L3"/>
    <mergeCell ref="B4:B16"/>
    <mergeCell ref="K13:L13"/>
    <mergeCell ref="H16:I16"/>
    <mergeCell ref="B18:B2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4.5078125" defaultRowHeight="15" customHeight="true" zeroHeight="false" outlineLevelRow="0" outlineLevelCol="0"/>
  <cols>
    <col collapsed="false" customWidth="true" hidden="false" outlineLevel="0" max="2" min="1" style="0" width="11.5"/>
    <col collapsed="false" customWidth="true" hidden="false" outlineLevel="0" max="3" min="3" style="0" width="16.67"/>
    <col collapsed="false" customWidth="true" hidden="false" outlineLevel="0" max="10" min="4" style="0" width="11.5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25" hidden="false" customHeight="false" outlineLevel="0" collapsed="false">
      <c r="A3" s="1"/>
      <c r="B3" s="1"/>
      <c r="C3" s="1"/>
      <c r="D3" s="1" t="s">
        <v>153</v>
      </c>
      <c r="E3" s="1" t="s">
        <v>154</v>
      </c>
      <c r="F3" s="1" t="s">
        <v>155</v>
      </c>
      <c r="G3" s="1" t="s">
        <v>156</v>
      </c>
      <c r="H3" s="1"/>
      <c r="I3" s="1"/>
      <c r="J3" s="190" t="s">
        <v>157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15" hidden="false" customHeight="false" outlineLevel="0" collapsed="false">
      <c r="A4" s="1"/>
      <c r="B4" s="1"/>
      <c r="C4" s="1" t="s">
        <v>158</v>
      </c>
      <c r="D4" s="37" t="n">
        <f aca="false">+'Info Planta'!I4</f>
        <v>0</v>
      </c>
      <c r="E4" s="37" t="n">
        <f aca="false">+'Info Planta'!L4</f>
        <v>2867</v>
      </c>
      <c r="F4" s="37" t="n">
        <f aca="false">+E4-D4</f>
        <v>2867</v>
      </c>
      <c r="G4" s="191" t="n">
        <f aca="false">+IF(F4=0,0,IF(F4&lt;0,1,-1))</f>
        <v>-1</v>
      </c>
      <c r="H4" s="192" t="str">
        <f aca="false">+IF(G4=1,"consume",IF(G4=0,"mantiene","aumenta"))</f>
        <v>aumenta</v>
      </c>
      <c r="I4" s="37" t="n">
        <f aca="false">+'Diag Bal AL FeT'!O43</f>
        <v>1134.6758208</v>
      </c>
      <c r="J4" s="37" t="n">
        <f aca="false">+D4+I4</f>
        <v>1134.6758208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15" hidden="false" customHeight="false" outlineLevel="0" collapsed="false">
      <c r="A5" s="1"/>
      <c r="B5" s="1"/>
      <c r="C5" s="1" t="s">
        <v>159</v>
      </c>
      <c r="D5" s="37" t="n">
        <f aca="false">+'Info Planta'!I5</f>
        <v>226</v>
      </c>
      <c r="E5" s="37" t="n">
        <f aca="false">+'Info Planta'!L5</f>
        <v>438</v>
      </c>
      <c r="F5" s="37" t="n">
        <f aca="false">+E5-D5</f>
        <v>212</v>
      </c>
      <c r="G5" s="191" t="n">
        <f aca="false">+IF(F5=0,0,IF(F5&lt;0,1,-1))</f>
        <v>-1</v>
      </c>
      <c r="H5" s="192" t="str">
        <f aca="false">+IF(G5=1,"consume",IF(G5=0,"mantiene","aumenta"))</f>
        <v>aumenta</v>
      </c>
      <c r="I5" s="37" t="n">
        <f aca="false">+'Diag Bal AL FeT'!O44</f>
        <v>0</v>
      </c>
      <c r="J5" s="37" t="n">
        <f aca="false">+D5+I5</f>
        <v>226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5" hidden="false" customHeight="false" outlineLevel="0" collapsed="false">
      <c r="A6" s="1"/>
      <c r="B6" s="1"/>
      <c r="C6" s="1" t="s">
        <v>160</v>
      </c>
      <c r="D6" s="37" t="n">
        <f aca="false">+'Info Planta'!I6</f>
        <v>1556</v>
      </c>
      <c r="E6" s="37" t="n">
        <f aca="false">+'Info Planta'!L6</f>
        <v>1078</v>
      </c>
      <c r="F6" s="37" t="n">
        <f aca="false">+E6-D6</f>
        <v>-478</v>
      </c>
      <c r="G6" s="191" t="n">
        <f aca="false">+IF(F6=0,0,IF(F6&lt;0,1,-1))</f>
        <v>1</v>
      </c>
      <c r="H6" s="192" t="str">
        <f aca="false">+IF(G6=1,"consume",IF(G6=0,"mantiene","aumenta"))</f>
        <v>consume</v>
      </c>
      <c r="I6" s="37" t="n">
        <f aca="false">+'Diag Bal AL FeT'!O45</f>
        <v>604.88811585</v>
      </c>
      <c r="J6" s="37" t="n">
        <f aca="false">+D6+I6</f>
        <v>2160.88811585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5" hidden="false" customHeight="false" outlineLevel="0" collapsed="false">
      <c r="A7" s="1"/>
      <c r="B7" s="1"/>
      <c r="C7" s="1" t="s">
        <v>161</v>
      </c>
      <c r="D7" s="37" t="n">
        <f aca="false">+'Info Planta'!I7</f>
        <v>382</v>
      </c>
      <c r="E7" s="37" t="n">
        <f aca="false">+'Info Planta'!L7</f>
        <v>910</v>
      </c>
      <c r="F7" s="37" t="n">
        <f aca="false">+E7-D7</f>
        <v>528</v>
      </c>
      <c r="G7" s="191" t="n">
        <f aca="false">+IF(F7=0,0,IF(F7&lt;0,1,-1))</f>
        <v>-1</v>
      </c>
      <c r="H7" s="192" t="str">
        <f aca="false">+IF(G7=1,"consume",IF(G7=0,"mantiene","aumenta"))</f>
        <v>aumenta</v>
      </c>
      <c r="I7" s="37" t="n">
        <f aca="false">+'Diag Bal AL FeT'!O46</f>
        <v>1711.9039016</v>
      </c>
      <c r="J7" s="37" t="n">
        <f aca="false">+D7+I7</f>
        <v>2093.9039016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5" hidden="false" customHeight="false" outlineLevel="0" collapsed="false">
      <c r="A8" s="1"/>
      <c r="B8" s="1"/>
      <c r="C8" s="193" t="s">
        <v>162</v>
      </c>
      <c r="D8" s="37" t="n">
        <f aca="false">+'Info Planta'!I8</f>
        <v>250</v>
      </c>
      <c r="E8" s="37" t="n">
        <f aca="false">+'Info Planta'!L8</f>
        <v>170</v>
      </c>
      <c r="F8" s="37" t="n">
        <f aca="false">+E8-D8</f>
        <v>-80</v>
      </c>
      <c r="G8" s="191" t="n">
        <f aca="false">+IF(F8=0,0,IF(F8&lt;0,1,-1))</f>
        <v>1</v>
      </c>
      <c r="H8" s="192" t="str">
        <f aca="false">+IF(G8=1,"consume",IF(G8=0,"mantiene","aumenta"))</f>
        <v>consume</v>
      </c>
      <c r="I8" s="37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5" hidden="false" customHeight="false" outlineLevel="0" collapsed="false">
      <c r="A9" s="1"/>
      <c r="B9" s="1"/>
      <c r="C9" s="193" t="s">
        <v>163</v>
      </c>
      <c r="D9" s="37" t="n">
        <f aca="false">+'Info Planta'!I9</f>
        <v>0</v>
      </c>
      <c r="E9" s="37" t="n">
        <f aca="false">+'Info Planta'!L9</f>
        <v>1067</v>
      </c>
      <c r="F9" s="37" t="n">
        <f aca="false">+E9-D9</f>
        <v>1067</v>
      </c>
      <c r="G9" s="191" t="n">
        <f aca="false">+IF(F9=0,0,IF(F9&lt;0,1,-1))</f>
        <v>-1</v>
      </c>
      <c r="H9" s="192" t="str">
        <f aca="false">+IF(G9=1,"consume",IF(G9=0,"mantiene","aumenta"))</f>
        <v>aumenta</v>
      </c>
      <c r="I9" s="37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5" hidden="false" customHeight="false" outlineLevel="0" collapsed="false">
      <c r="A10" s="1"/>
      <c r="B10" s="1"/>
      <c r="C10" s="193" t="s">
        <v>164</v>
      </c>
      <c r="D10" s="37" t="n">
        <f aca="false">+'Info Planta'!I10</f>
        <v>0</v>
      </c>
      <c r="E10" s="37" t="n">
        <f aca="false">+'Info Planta'!L10</f>
        <v>176</v>
      </c>
      <c r="F10" s="37" t="n">
        <f aca="false">+E10-D10</f>
        <v>176</v>
      </c>
      <c r="G10" s="191" t="n">
        <f aca="false">+IF(F10=0,0,IF(F10&lt;0,1,-1))</f>
        <v>-1</v>
      </c>
      <c r="H10" s="192" t="str">
        <f aca="false">+IF(G10=1,"consume",IF(G10=0,"mantiene","aumenta"))</f>
        <v>aumenta</v>
      </c>
      <c r="I10" s="37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" hidden="false" customHeight="false" outlineLevel="0" collapsed="false">
      <c r="A11" s="1"/>
      <c r="B11" s="1"/>
      <c r="C11" s="193" t="s">
        <v>165</v>
      </c>
      <c r="D11" s="37" t="n">
        <f aca="false">+'Info Planta'!I11</f>
        <v>3077</v>
      </c>
      <c r="E11" s="37" t="n">
        <f aca="false">+'Info Planta'!L11</f>
        <v>4239</v>
      </c>
      <c r="F11" s="37" t="n">
        <f aca="false">+E11-D11</f>
        <v>1162</v>
      </c>
      <c r="G11" s="191" t="n">
        <f aca="false">+IF(F11=0,0,IF(F11&lt;0,1,-1))</f>
        <v>-1</v>
      </c>
      <c r="H11" s="192" t="str">
        <f aca="false">+IF(G11=1,"consume",IF(G11=0,"mantiene","aumenta"))</f>
        <v>aumenta</v>
      </c>
      <c r="I11" s="37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" hidden="false" customHeight="false" outlineLevel="0" collapsed="false">
      <c r="A12" s="1"/>
      <c r="B12" s="1"/>
      <c r="C12" s="193" t="s">
        <v>166</v>
      </c>
      <c r="D12" s="1"/>
      <c r="E12" s="37" t="n">
        <f aca="false">+'Info Planta'!$L$16</f>
        <v>8414</v>
      </c>
      <c r="F12" s="37" t="n">
        <f aca="false">+E12-D12</f>
        <v>8414</v>
      </c>
      <c r="G12" s="191" t="n">
        <f aca="false">+IF(F12=0,0,IF(F12&lt;0,1,-1))</f>
        <v>-1</v>
      </c>
      <c r="H12" s="192" t="str">
        <f aca="false">+IF(G12=1,"consume",IF(G12=0,"mantiene","aumenta"))</f>
        <v>aumenta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" hidden="false" customHeight="false" outlineLevel="0" collapsed="false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" hidden="false" customHeight="false" outlineLevel="0" collapsed="false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5" hidden="false" customHeight="fals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5" hidden="false" customHeight="fals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5" hidden="false" customHeight="false" outlineLevel="0" collapsed="false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5" hidden="false" customHeight="fals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5" hidden="false" customHeight="fals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5" hidden="false" customHeight="false" outlineLevel="0" collapsed="false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.75" hidden="false" customHeight="true" outlineLevel="0" collapsed="false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.75" hidden="false" customHeight="tru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.75" hidden="false" customHeight="tru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.75" hidden="false" customHeight="tru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.75" hidden="false" customHeight="tru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.75" hidden="false" customHeight="tru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.75" hidden="false" customHeight="tru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5.75" hidden="false" customHeight="true" outlineLevel="0" collapsed="false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5.75" hidden="false" customHeight="tru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.75" hidden="false" customHeight="tru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.75" hidden="false" customHeight="tru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.75" hidden="false" customHeight="tru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.75" hidden="false" customHeight="tru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.75" hidden="false" customHeight="tru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.7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.75" hidden="false" customHeight="tru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.75" hidden="false" customHeight="tru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.75" hidden="false" customHeight="tru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.75" hidden="false" customHeight="tru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5.75" hidden="false" customHeight="tru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5.75" hidden="false" customHeight="tru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5.75" hidden="false" customHeight="tru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5.75" hidden="false" customHeight="tru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5.75" hidden="false" customHeight="tru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5.75" hidden="false" customHeight="tru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5.75" hidden="false" customHeight="tru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5.75" hidden="false" customHeight="tru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5.75" hidden="false" customHeight="tru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5.75" hidden="false" customHeight="tru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5.7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5.7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5.75" hidden="false" customHeight="tru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5.75" hidden="false" customHeight="tru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5.75" hidden="false" customHeight="tru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.7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.7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.7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.7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.7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.7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.7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.7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.7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.7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.7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.75" hidden="false" customHeight="tru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.75" hidden="false" customHeight="tru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.7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.75" hidden="false" customHeight="tru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.75" hidden="false" customHeight="tru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.75" hidden="false" customHeight="tru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.75" hidden="false" customHeight="tru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.7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.7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5.75" hidden="false" customHeight="tru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5.75" hidden="false" customHeight="tru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5.75" hidden="false" customHeight="tru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5.75" hidden="false" customHeight="tru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5.75" hidden="false" customHeight="tru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5.75" hidden="false" customHeight="tru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5.75" hidden="false" customHeight="tru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5.75" hidden="false" customHeight="tru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5.75" hidden="false" customHeight="tru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5.75" hidden="false" customHeight="tru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5.75" hidden="false" customHeight="tru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5.75" hidden="false" customHeight="tru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5.75" hidden="false" customHeight="tru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5.75" hidden="false" customHeight="tru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5.75" hidden="false" customHeight="tru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5.75" hidden="false" customHeight="tru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5.75" hidden="false" customHeight="tru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5.75" hidden="false" customHeight="tru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5.75" hidden="false" customHeight="tru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5.75" hidden="false" customHeight="tru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5.75" hidden="false" customHeight="tru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5.75" hidden="false" customHeight="tru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5.75" hidden="false" customHeight="tru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5.75" hidden="false" customHeight="tru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5.75" hidden="false" customHeight="tru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5.75" hidden="false" customHeight="tru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5.75" hidden="false" customHeight="tru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5.75" hidden="false" customHeight="tru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5.75" hidden="false" customHeight="tru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5.75" hidden="false" customHeight="tru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5.75" hidden="false" customHeight="tru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5.75" hidden="false" customHeight="tru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5.75" hidden="false" customHeight="tru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5.75" hidden="false" customHeight="tru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5.75" hidden="false" customHeight="tru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5.75" hidden="false" customHeight="tru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5.75" hidden="false" customHeight="tru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5.75" hidden="false" customHeight="tru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5.75" hidden="false" customHeight="tru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5.75" hidden="false" customHeight="tru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5.75" hidden="false" customHeight="tru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5.75" hidden="false" customHeight="tru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5.75" hidden="false" customHeight="tru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5.75" hidden="false" customHeight="tru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5.75" hidden="false" customHeight="tru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5.75" hidden="false" customHeight="tru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5.75" hidden="false" customHeight="tru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5.75" hidden="false" customHeight="tru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5.75" hidden="false" customHeight="tru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5.75" hidden="false" customHeight="tru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5.75" hidden="false" customHeight="tru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5.75" hidden="false" customHeight="tru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5.75" hidden="false" customHeight="tru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5.75" hidden="false" customHeight="tru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5.75" hidden="false" customHeight="tru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5.75" hidden="false" customHeight="tru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5.75" hidden="false" customHeight="tru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5.75" hidden="false" customHeight="tru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5.75" hidden="false" customHeight="tru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5.75" hidden="false" customHeight="tru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5.75" hidden="false" customHeight="tru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5.75" hidden="false" customHeight="tru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5.75" hidden="false" customHeight="tru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5.75" hidden="false" customHeight="tru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5.75" hidden="false" customHeight="tru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5.75" hidden="false" customHeight="tru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5.75" hidden="false" customHeight="tru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5.75" hidden="false" customHeight="tru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5.75" hidden="false" customHeight="tru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5.75" hidden="false" customHeight="tru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5.75" hidden="false" customHeight="tru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5.75" hidden="false" customHeight="tru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5.75" hidden="false" customHeight="tru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5.75" hidden="false" customHeight="tru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5.75" hidden="false" customHeight="tru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5.75" hidden="false" customHeight="tru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5.75" hidden="false" customHeight="tru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5.75" hidden="false" customHeight="tru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5.75" hidden="false" customHeight="tru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5.75" hidden="false" customHeight="tru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5.75" hidden="false" customHeight="tru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5.75" hidden="false" customHeight="tru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5.75" hidden="false" customHeight="tru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5.75" hidden="false" customHeight="tru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5.75" hidden="false" customHeight="tru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5.75" hidden="false" customHeight="tru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5.75" hidden="false" customHeight="tru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5.75" hidden="false" customHeight="tru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5.75" hidden="false" customHeight="tru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5.75" hidden="false" customHeight="tru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5.75" hidden="false" customHeight="tru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5.75" hidden="false" customHeight="tru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5.75" hidden="false" customHeight="tru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5.75" hidden="false" customHeight="tru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5.75" hidden="false" customHeight="tru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5.75" hidden="false" customHeight="tru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5.75" hidden="false" customHeight="tru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5.75" hidden="false" customHeight="tru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5.75" hidden="false" customHeight="tru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5.75" hidden="false" customHeight="tru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5.75" hidden="false" customHeight="tru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5.75" hidden="false" customHeight="tru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5.75" hidden="false" customHeight="tru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5.75" hidden="false" customHeight="tru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5.75" hidden="false" customHeight="tru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5.75" hidden="false" customHeight="tru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5.75" hidden="false" customHeight="tru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5.75" hidden="false" customHeight="tru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5.75" hidden="false" customHeight="tru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5.75" hidden="false" customHeight="tru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5.75" hidden="false" customHeight="tru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5.75" hidden="false" customHeight="tru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5.75" hidden="false" customHeight="tru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5.75" hidden="false" customHeight="tru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5.75" hidden="false" customHeight="tru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5.75" hidden="false" customHeight="tru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5.75" hidden="false" customHeight="tru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5.75" hidden="false" customHeight="tru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5.75" hidden="false" customHeight="tru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5.75" hidden="false" customHeight="tru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5.75" hidden="false" customHeight="tru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5.75" hidden="false" customHeight="tru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5.75" hidden="false" customHeight="tru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5.75" hidden="false" customHeight="tru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5.75" hidden="false" customHeight="tru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5.75" hidden="false" customHeight="tru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5.75" hidden="false" customHeight="tru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5.75" hidden="false" customHeight="tru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5.75" hidden="false" customHeight="tru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5.75" hidden="false" customHeight="tru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5.75" hidden="false" customHeight="tru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5.75" hidden="false" customHeight="tru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5.75" hidden="false" customHeight="tru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5.75" hidden="false" customHeight="tru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5.75" hidden="false" customHeight="tru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5.75" hidden="false" customHeight="tru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5.75" hidden="false" customHeight="tru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5.75" hidden="false" customHeight="tru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customFormat="false" ht="15.75" hidden="false" customHeight="tru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customFormat="false" ht="15.75" hidden="false" customHeight="tru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customFormat="false" ht="15.75" hidden="false" customHeight="tru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customFormat="false" ht="15.75" hidden="false" customHeight="tru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customFormat="false" ht="15.75" hidden="false" customHeight="tru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customFormat="false" ht="15.75" hidden="false" customHeight="tru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customFormat="false" ht="15.75" hidden="false" customHeight="tru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customFormat="false" ht="15.75" hidden="false" customHeight="tru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customFormat="false" ht="15.75" hidden="false" customHeight="tru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customFormat="false" ht="15.75" hidden="false" customHeight="tru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customFormat="false" ht="15.75" hidden="false" customHeight="tru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customFormat="false" ht="15.75" hidden="false" customHeight="tru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customFormat="false" ht="15.75" hidden="false" customHeight="tru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customFormat="false" ht="15.75" hidden="false" customHeight="tru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customFormat="false" ht="15.75" hidden="false" customHeight="tru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customFormat="false" ht="15.75" hidden="false" customHeight="tru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customFormat="false" ht="15.75" hidden="false" customHeight="tru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customFormat="false" ht="15.75" hidden="false" customHeight="tru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customFormat="false" ht="15.75" hidden="false" customHeight="tru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customFormat="false" ht="15.75" hidden="false" customHeight="tru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customFormat="false" ht="15.75" hidden="false" customHeight="tru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customFormat="false" ht="15.75" hidden="false" customHeight="tru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customFormat="false" ht="15.75" hidden="false" customHeight="tru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customFormat="false" ht="15.75" hidden="false" customHeight="tru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customFormat="false" ht="15.75" hidden="false" customHeight="tru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customFormat="false" ht="15.75" hidden="false" customHeight="tru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customFormat="false" ht="15.75" hidden="false" customHeight="tru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customFormat="false" ht="15.75" hidden="false" customHeight="tru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customFormat="false" ht="15.75" hidden="false" customHeight="tru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customFormat="false" ht="15.75" hidden="false" customHeight="tru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customFormat="false" ht="15.75" hidden="false" customHeight="tru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customFormat="false" ht="15.75" hidden="false" customHeight="tru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customFormat="false" ht="15.75" hidden="false" customHeight="tru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customFormat="false" ht="15.75" hidden="false" customHeight="tru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customFormat="false" ht="15.75" hidden="false" customHeight="tru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customFormat="false" ht="15.75" hidden="false" customHeight="tru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customFormat="false" ht="15.75" hidden="false" customHeight="tru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customFormat="false" ht="15.75" hidden="false" customHeight="tru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customFormat="false" ht="15.75" hidden="false" customHeight="tru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customFormat="false" ht="15.75" hidden="false" customHeight="tru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customFormat="false" ht="15.75" hidden="false" customHeight="tru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customFormat="false" ht="15.75" hidden="false" customHeight="tru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customFormat="false" ht="15.75" hidden="false" customHeight="tru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customFormat="false" ht="15.75" hidden="false" customHeight="tru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customFormat="false" ht="15.75" hidden="false" customHeight="tru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customFormat="false" ht="15.75" hidden="false" customHeight="tru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customFormat="false" ht="15.75" hidden="false" customHeight="tru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customFormat="false" ht="15.75" hidden="false" customHeight="tru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customFormat="false" ht="15.75" hidden="false" customHeight="tru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customFormat="false" ht="15.75" hidden="false" customHeight="tru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customFormat="false" ht="15.75" hidden="false" customHeight="tru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customFormat="false" ht="15.75" hidden="false" customHeight="tru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customFormat="false" ht="15.75" hidden="false" customHeight="tru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customFormat="false" ht="15.75" hidden="false" customHeight="tru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customFormat="false" ht="15.75" hidden="false" customHeight="tru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customFormat="false" ht="15.75" hidden="false" customHeight="tru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customFormat="false" ht="15.75" hidden="false" customHeight="tru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customFormat="false" ht="15.75" hidden="false" customHeight="tru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customFormat="false" ht="15.75" hidden="false" customHeight="tru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customFormat="false" ht="15.75" hidden="false" customHeight="tru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customFormat="false" ht="15.75" hidden="false" customHeight="tru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customFormat="false" ht="15.75" hidden="false" customHeight="tru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customFormat="false" ht="15.75" hidden="false" customHeight="tru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customFormat="false" ht="15.75" hidden="false" customHeight="tru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customFormat="false" ht="15.75" hidden="false" customHeight="tru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customFormat="false" ht="15.75" hidden="false" customHeight="tru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customFormat="false" ht="15.75" hidden="false" customHeight="tru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customFormat="false" ht="15.75" hidden="false" customHeight="tru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customFormat="false" ht="15.75" hidden="false" customHeight="tru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customFormat="false" ht="15.75" hidden="false" customHeight="tru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customFormat="false" ht="15.75" hidden="false" customHeight="tru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customFormat="false" ht="15.75" hidden="false" customHeight="tru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customFormat="false" ht="15.75" hidden="false" customHeight="tru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customFormat="false" ht="15.75" hidden="false" customHeight="tru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customFormat="false" ht="15.75" hidden="false" customHeight="tru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customFormat="false" ht="15.75" hidden="false" customHeight="tru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customFormat="false" ht="15.75" hidden="false" customHeight="tru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customFormat="false" ht="15.75" hidden="false" customHeight="tru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customFormat="false" ht="15.75" hidden="false" customHeight="tru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customFormat="false" ht="15.75" hidden="false" customHeight="tru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customFormat="false" ht="15.75" hidden="false" customHeight="tru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customFormat="false" ht="15.75" hidden="false" customHeight="tru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customFormat="false" ht="15.75" hidden="false" customHeight="tru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customFormat="false" ht="15.75" hidden="false" customHeight="tru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customFormat="false" ht="15.75" hidden="false" customHeight="tru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customFormat="false" ht="15.75" hidden="false" customHeight="tru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customFormat="false" ht="15.75" hidden="false" customHeight="tru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customFormat="false" ht="15.75" hidden="false" customHeight="tru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customFormat="false" ht="15.75" hidden="false" customHeight="tru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customFormat="false" ht="15.75" hidden="false" customHeight="tru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customFormat="false" ht="15.75" hidden="false" customHeight="tru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customFormat="false" ht="15.75" hidden="false" customHeight="tru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customFormat="false" ht="15.75" hidden="false" customHeight="tru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customFormat="false" ht="15.75" hidden="false" customHeight="tru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customFormat="false" ht="15.75" hidden="false" customHeight="tru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customFormat="false" ht="15.75" hidden="false" customHeight="tru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customFormat="false" ht="15.75" hidden="false" customHeight="tru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customFormat="false" ht="15.75" hidden="false" customHeight="tru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customFormat="false" ht="15.75" hidden="false" customHeight="tru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customFormat="false" ht="15.75" hidden="false" customHeight="tru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customFormat="false" ht="15.75" hidden="false" customHeight="tru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customFormat="false" ht="15.75" hidden="false" customHeight="tru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customFormat="false" ht="15.75" hidden="false" customHeight="tru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customFormat="false" ht="15.75" hidden="false" customHeight="tru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customFormat="false" ht="15.75" hidden="false" customHeight="tru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customFormat="false" ht="15.75" hidden="false" customHeight="tru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customFormat="false" ht="15.75" hidden="false" customHeight="tru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customFormat="false" ht="15.75" hidden="false" customHeight="tru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customFormat="false" ht="15.75" hidden="false" customHeight="tru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customFormat="false" ht="15.75" hidden="false" customHeight="tru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customFormat="false" ht="15.75" hidden="false" customHeight="tru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customFormat="false" ht="15.75" hidden="false" customHeight="tru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customFormat="false" ht="15.75" hidden="false" customHeight="tru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customFormat="false" ht="15.75" hidden="false" customHeight="tru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customFormat="false" ht="15.75" hidden="false" customHeight="tru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customFormat="false" ht="15.75" hidden="false" customHeight="tru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customFormat="false" ht="15.75" hidden="false" customHeight="tru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customFormat="false" ht="15.75" hidden="false" customHeight="tru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customFormat="false" ht="15.75" hidden="false" customHeight="tru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customFormat="false" ht="15.75" hidden="false" customHeight="tru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customFormat="false" ht="15.75" hidden="false" customHeight="tru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customFormat="false" ht="15.75" hidden="false" customHeight="tru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customFormat="false" ht="15.75" hidden="false" customHeight="tru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customFormat="false" ht="15.75" hidden="false" customHeight="tru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customFormat="false" ht="15.75" hidden="false" customHeight="tru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customFormat="false" ht="15.75" hidden="false" customHeight="tru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customFormat="false" ht="15.75" hidden="false" customHeight="tru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customFormat="false" ht="15.75" hidden="false" customHeight="tru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customFormat="false" ht="15.75" hidden="false" customHeight="tru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customFormat="false" ht="15.75" hidden="false" customHeight="tru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customFormat="false" ht="15.75" hidden="false" customHeight="tru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customFormat="false" ht="15.75" hidden="false" customHeight="tru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customFormat="false" ht="15.75" hidden="false" customHeight="tru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customFormat="false" ht="15.75" hidden="false" customHeight="tru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customFormat="false" ht="15.75" hidden="false" customHeight="tru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customFormat="false" ht="15.75" hidden="false" customHeight="tru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customFormat="false" ht="15.75" hidden="false" customHeight="tru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customFormat="false" ht="15.75" hidden="false" customHeight="tru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customFormat="false" ht="15.75" hidden="false" customHeight="tru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customFormat="false" ht="15.75" hidden="false" customHeight="tru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customFormat="false" ht="15.75" hidden="false" customHeight="tru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customFormat="false" ht="15.75" hidden="false" customHeight="tru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customFormat="false" ht="15.75" hidden="false" customHeight="tru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customFormat="false" ht="15.75" hidden="false" customHeight="tru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customFormat="false" ht="15.75" hidden="false" customHeight="tru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customFormat="false" ht="15.75" hidden="false" customHeight="tru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customFormat="false" ht="15.75" hidden="false" customHeight="tru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customFormat="false" ht="15.75" hidden="false" customHeight="tru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customFormat="false" ht="15.75" hidden="false" customHeight="tru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customFormat="false" ht="15.75" hidden="false" customHeight="tru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customFormat="false" ht="15.75" hidden="false" customHeight="tru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customFormat="false" ht="15.75" hidden="false" customHeight="tru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customFormat="false" ht="15.75" hidden="false" customHeight="tru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customFormat="false" ht="15.75" hidden="false" customHeight="tru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customFormat="false" ht="15.75" hidden="false" customHeight="tru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customFormat="false" ht="15.75" hidden="false" customHeight="tru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customFormat="false" ht="15.75" hidden="false" customHeight="tru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customFormat="false" ht="15.75" hidden="false" customHeight="tru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customFormat="false" ht="15.75" hidden="false" customHeight="tru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customFormat="false" ht="15.75" hidden="false" customHeight="tru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customFormat="false" ht="15.75" hidden="false" customHeight="tru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customFormat="false" ht="15.75" hidden="false" customHeight="tru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customFormat="false" ht="15.75" hidden="false" customHeight="tru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customFormat="false" ht="15.75" hidden="false" customHeight="tru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customFormat="false" ht="15.75" hidden="false" customHeight="tru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customFormat="false" ht="15.75" hidden="false" customHeight="tru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customFormat="false" ht="15.75" hidden="false" customHeight="tru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customFormat="false" ht="15.75" hidden="false" customHeight="tru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customFormat="false" ht="15.75" hidden="false" customHeight="tru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customFormat="false" ht="15.75" hidden="false" customHeight="tru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customFormat="false" ht="15.75" hidden="false" customHeight="tru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customFormat="false" ht="15.75" hidden="false" customHeight="tru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customFormat="false" ht="15.75" hidden="false" customHeight="tru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customFormat="false" ht="15.75" hidden="false" customHeight="tru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customFormat="false" ht="15.75" hidden="false" customHeight="tru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customFormat="false" ht="15.75" hidden="false" customHeight="tru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customFormat="false" ht="15.75" hidden="false" customHeight="tru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customFormat="false" ht="15.75" hidden="false" customHeight="tru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customFormat="false" ht="15.75" hidden="false" customHeight="tru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customFormat="false" ht="15.75" hidden="false" customHeight="tru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customFormat="false" ht="15.75" hidden="false" customHeight="tru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customFormat="false" ht="15.75" hidden="false" customHeight="tru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customFormat="false" ht="15.75" hidden="false" customHeight="tru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customFormat="false" ht="15.75" hidden="false" customHeight="tru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customFormat="false" ht="15.75" hidden="false" customHeight="tru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customFormat="false" ht="15.75" hidden="false" customHeight="tru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customFormat="false" ht="15.75" hidden="false" customHeight="tru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customFormat="false" ht="15.75" hidden="false" customHeight="tru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customFormat="false" ht="15.75" hidden="false" customHeight="tru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customFormat="false" ht="15.75" hidden="false" customHeight="tru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customFormat="false" ht="15.75" hidden="false" customHeight="tru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customFormat="false" ht="15.75" hidden="false" customHeight="tru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customFormat="false" ht="15.75" hidden="false" customHeight="tru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customFormat="false" ht="15.75" hidden="false" customHeight="tru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customFormat="false" ht="15.75" hidden="false" customHeight="tru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customFormat="false" ht="15.75" hidden="false" customHeight="tru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customFormat="false" ht="15.75" hidden="false" customHeight="tru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customFormat="false" ht="15.75" hidden="false" customHeight="tru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customFormat="false" ht="15.75" hidden="false" customHeight="tru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customFormat="false" ht="15.75" hidden="false" customHeight="tru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customFormat="false" ht="15.75" hidden="false" customHeight="tru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customFormat="false" ht="15.75" hidden="false" customHeight="tru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customFormat="false" ht="15.75" hidden="false" customHeight="tru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customFormat="false" ht="15.75" hidden="false" customHeight="tru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customFormat="false" ht="15.75" hidden="false" customHeight="tru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customFormat="false" ht="15.75" hidden="false" customHeight="tru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customFormat="false" ht="15.75" hidden="false" customHeight="tru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customFormat="false" ht="15.75" hidden="false" customHeight="tru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customFormat="false" ht="15.75" hidden="false" customHeight="tru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customFormat="false" ht="15.75" hidden="false" customHeight="tru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customFormat="false" ht="15.75" hidden="false" customHeight="tru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customFormat="false" ht="15.75" hidden="false" customHeight="tru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customFormat="false" ht="15.75" hidden="false" customHeight="tru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customFormat="false" ht="15.75" hidden="false" customHeight="tru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customFormat="false" ht="15.75" hidden="false" customHeight="tru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customFormat="false" ht="15.75" hidden="false" customHeight="tru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customFormat="false" ht="15.75" hidden="false" customHeight="tru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customFormat="false" ht="15.75" hidden="false" customHeight="tru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customFormat="false" ht="15.75" hidden="false" customHeight="tru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customFormat="false" ht="15.75" hidden="false" customHeight="tru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customFormat="false" ht="15.75" hidden="false" customHeight="tru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customFormat="false" ht="15.75" hidden="false" customHeight="tru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customFormat="false" ht="15.75" hidden="false" customHeight="tru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customFormat="false" ht="15.75" hidden="false" customHeight="tru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customFormat="false" ht="15.75" hidden="false" customHeight="tru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customFormat="false" ht="15.75" hidden="false" customHeight="tru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customFormat="false" ht="15.75" hidden="false" customHeight="tru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customFormat="false" ht="15.75" hidden="false" customHeight="tru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customFormat="false" ht="15.75" hidden="false" customHeight="tru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customFormat="false" ht="15.75" hidden="false" customHeight="tru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customFormat="false" ht="15.75" hidden="false" customHeight="tru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customFormat="false" ht="15.75" hidden="false" customHeight="tru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customFormat="false" ht="15.75" hidden="false" customHeight="tru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customFormat="false" ht="15.75" hidden="false" customHeight="tru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customFormat="false" ht="15.75" hidden="false" customHeight="tru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customFormat="false" ht="15.75" hidden="false" customHeight="tru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customFormat="false" ht="15.75" hidden="false" customHeight="tru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customFormat="false" ht="15.75" hidden="false" customHeight="tru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customFormat="false" ht="15.75" hidden="false" customHeight="tru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customFormat="false" ht="15.75" hidden="false" customHeight="tru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customFormat="false" ht="15.75" hidden="false" customHeight="tru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customFormat="false" ht="15.75" hidden="false" customHeight="tru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customFormat="false" ht="15.75" hidden="false" customHeight="tru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customFormat="false" ht="15.75" hidden="false" customHeight="tru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customFormat="false" ht="15.75" hidden="false" customHeight="tru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customFormat="false" ht="15.75" hidden="false" customHeight="tru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customFormat="false" ht="15.75" hidden="false" customHeight="tru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customFormat="false" ht="15.75" hidden="false" customHeight="tru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customFormat="false" ht="15.75" hidden="false" customHeight="tru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customFormat="false" ht="15.75" hidden="false" customHeight="tru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customFormat="false" ht="15.75" hidden="false" customHeight="tru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customFormat="false" ht="15.75" hidden="false" customHeight="tru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customFormat="false" ht="15.75" hidden="false" customHeight="tru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customFormat="false" ht="15.75" hidden="false" customHeight="tru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customFormat="false" ht="15.75" hidden="false" customHeight="tru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customFormat="false" ht="15.75" hidden="false" customHeight="tru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customFormat="false" ht="15.75" hidden="false" customHeight="tru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customFormat="false" ht="15.75" hidden="false" customHeight="tru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customFormat="false" ht="15.75" hidden="false" customHeight="tru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customFormat="false" ht="15.75" hidden="false" customHeight="tru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customFormat="false" ht="15.75" hidden="false" customHeight="tru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customFormat="false" ht="15.75" hidden="false" customHeight="tru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customFormat="false" ht="15.75" hidden="false" customHeight="tru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customFormat="false" ht="15.75" hidden="false" customHeight="tru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customFormat="false" ht="15.75" hidden="false" customHeight="tru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customFormat="false" ht="15.75" hidden="false" customHeight="tru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customFormat="false" ht="15.75" hidden="false" customHeight="tru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customFormat="false" ht="15.75" hidden="false" customHeight="tru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customFormat="false" ht="15.75" hidden="false" customHeight="tru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customFormat="false" ht="15.75" hidden="false" customHeight="tru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customFormat="false" ht="15.75" hidden="false" customHeight="tru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customFormat="false" ht="15.75" hidden="false" customHeight="tru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customFormat="false" ht="15.75" hidden="false" customHeight="tru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customFormat="false" ht="15.75" hidden="false" customHeight="tru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customFormat="false" ht="15.75" hidden="false" customHeight="tru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customFormat="false" ht="15.75" hidden="false" customHeight="tru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customFormat="false" ht="15.75" hidden="false" customHeight="tru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customFormat="false" ht="15.75" hidden="false" customHeight="tru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customFormat="false" ht="15.75" hidden="false" customHeight="tru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customFormat="false" ht="15.75" hidden="false" customHeight="tru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customFormat="false" ht="15.75" hidden="false" customHeight="tru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customFormat="false" ht="15.75" hidden="false" customHeight="tru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customFormat="false" ht="15.75" hidden="false" customHeight="tru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customFormat="false" ht="15.75" hidden="false" customHeight="tru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customFormat="false" ht="15.75" hidden="false" customHeight="tru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customFormat="false" ht="15.75" hidden="false" customHeight="tru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customFormat="false" ht="15.75" hidden="false" customHeight="tru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customFormat="false" ht="15.75" hidden="false" customHeight="tru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customFormat="false" ht="15.75" hidden="false" customHeight="tru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customFormat="false" ht="15.75" hidden="false" customHeight="tru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customFormat="false" ht="15.75" hidden="false" customHeight="tru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customFormat="false" ht="15.75" hidden="false" customHeight="tru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customFormat="false" ht="15.75" hidden="false" customHeight="tru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customFormat="false" ht="15.75" hidden="false" customHeight="tru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customFormat="false" ht="15.75" hidden="false" customHeight="tru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customFormat="false" ht="15.75" hidden="false" customHeight="tru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customFormat="false" ht="15.75" hidden="false" customHeight="tru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customFormat="false" ht="15.75" hidden="false" customHeight="tru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customFormat="false" ht="15.75" hidden="false" customHeight="tru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customFormat="false" ht="15.75" hidden="false" customHeight="tru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customFormat="false" ht="15.75" hidden="false" customHeight="tru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customFormat="false" ht="15.75" hidden="false" customHeight="tru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customFormat="false" ht="15.75" hidden="false" customHeight="tru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customFormat="false" ht="15.75" hidden="false" customHeight="tru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customFormat="false" ht="15.75" hidden="false" customHeight="tru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customFormat="false" ht="15.75" hidden="false" customHeight="tru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customFormat="false" ht="15.75" hidden="false" customHeight="tru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customFormat="false" ht="15.75" hidden="false" customHeight="tru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customFormat="false" ht="15.75" hidden="false" customHeight="tru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customFormat="false" ht="15.75" hidden="false" customHeight="tru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customFormat="false" ht="15.75" hidden="false" customHeight="tru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customFormat="false" ht="15.75" hidden="false" customHeight="tru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customFormat="false" ht="15.75" hidden="false" customHeight="tru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customFormat="false" ht="15.75" hidden="false" customHeight="tru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customFormat="false" ht="15.75" hidden="false" customHeight="tru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customFormat="false" ht="15.75" hidden="false" customHeight="tru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customFormat="false" ht="15.75" hidden="false" customHeight="tru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customFormat="false" ht="15.75" hidden="false" customHeight="tru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customFormat="false" ht="15.75" hidden="false" customHeight="tru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customFormat="false" ht="15.75" hidden="false" customHeight="tru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customFormat="false" ht="15.75" hidden="false" customHeight="tru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customFormat="false" ht="15.75" hidden="false" customHeight="tru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customFormat="false" ht="15.75" hidden="false" customHeight="tru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customFormat="false" ht="15.75" hidden="false" customHeight="tru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customFormat="false" ht="15.75" hidden="false" customHeight="tru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customFormat="false" ht="15.75" hidden="false" customHeight="tru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customFormat="false" ht="15.75" hidden="false" customHeight="tru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customFormat="false" ht="15.75" hidden="false" customHeight="tru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customFormat="false" ht="15.75" hidden="false" customHeight="tru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customFormat="false" ht="15.75" hidden="false" customHeight="tru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customFormat="false" ht="15.75" hidden="false" customHeight="tru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customFormat="false" ht="15.75" hidden="false" customHeight="tru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customFormat="false" ht="15.75" hidden="false" customHeight="tru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customFormat="false" ht="15.75" hidden="false" customHeight="tru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customFormat="false" ht="15.75" hidden="false" customHeight="tru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customFormat="false" ht="15.75" hidden="false" customHeight="tru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customFormat="false" ht="15.75" hidden="false" customHeight="tru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customFormat="false" ht="15.75" hidden="false" customHeight="tru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customFormat="false" ht="15.75" hidden="false" customHeight="tru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customFormat="false" ht="15.75" hidden="false" customHeight="tru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customFormat="false" ht="15.75" hidden="false" customHeight="tru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customFormat="false" ht="15.75" hidden="false" customHeight="tru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customFormat="false" ht="15.75" hidden="false" customHeight="tru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customFormat="false" ht="15.75" hidden="false" customHeight="tru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customFormat="false" ht="15.75" hidden="false" customHeight="tru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customFormat="false" ht="15.75" hidden="false" customHeight="tru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customFormat="false" ht="15.75" hidden="false" customHeight="tru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customFormat="false" ht="15.75" hidden="false" customHeight="tru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customFormat="false" ht="15.75" hidden="false" customHeight="tru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customFormat="false" ht="15.75" hidden="false" customHeight="tru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customFormat="false" ht="15.75" hidden="false" customHeight="tru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customFormat="false" ht="15.75" hidden="false" customHeight="tru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customFormat="false" ht="15.75" hidden="false" customHeight="tru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customFormat="false" ht="15.75" hidden="false" customHeight="tru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customFormat="false" ht="15.75" hidden="false" customHeight="tru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customFormat="false" ht="15.75" hidden="false" customHeight="tru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customFormat="false" ht="15.75" hidden="false" customHeight="tru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customFormat="false" ht="15.75" hidden="false" customHeight="tru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customFormat="false" ht="15.75" hidden="false" customHeight="tru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customFormat="false" ht="15.75" hidden="false" customHeight="tru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customFormat="false" ht="15.75" hidden="false" customHeight="tru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customFormat="false" ht="15.75" hidden="false" customHeight="tru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customFormat="false" ht="15.75" hidden="false" customHeight="tru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customFormat="false" ht="15.75" hidden="false" customHeight="tru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customFormat="false" ht="15.75" hidden="false" customHeight="tru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customFormat="false" ht="15.75" hidden="false" customHeight="tru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customFormat="false" ht="15.75" hidden="false" customHeight="tru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customFormat="false" ht="15.75" hidden="false" customHeight="tru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customFormat="false" ht="15.75" hidden="false" customHeight="tru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customFormat="false" ht="15.75" hidden="false" customHeight="tru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customFormat="false" ht="15.75" hidden="false" customHeight="tru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customFormat="false" ht="15.75" hidden="false" customHeight="tru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customFormat="false" ht="15.75" hidden="false" customHeight="tru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customFormat="false" ht="15.75" hidden="false" customHeight="tru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customFormat="false" ht="15.75" hidden="false" customHeight="tru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customFormat="false" ht="15.75" hidden="false" customHeight="tru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customFormat="false" ht="15.75" hidden="false" customHeight="tru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customFormat="false" ht="15.75" hidden="false" customHeight="tru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customFormat="false" ht="15.75" hidden="false" customHeight="tru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customFormat="false" ht="15.75" hidden="false" customHeight="tru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customFormat="false" ht="15.75" hidden="false" customHeight="tru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customFormat="false" ht="15.75" hidden="false" customHeight="tru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customFormat="false" ht="15.75" hidden="false" customHeight="tru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customFormat="false" ht="15.75" hidden="false" customHeight="tru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customFormat="false" ht="15.75" hidden="false" customHeight="tru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customFormat="false" ht="15.75" hidden="false" customHeight="tru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customFormat="false" ht="15.75" hidden="false" customHeight="tru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customFormat="false" ht="15.75" hidden="false" customHeight="tru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customFormat="false" ht="15.75" hidden="false" customHeight="tru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customFormat="false" ht="15.75" hidden="false" customHeight="tru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customFormat="false" ht="15.75" hidden="false" customHeight="tru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customFormat="false" ht="15.75" hidden="false" customHeight="tru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customFormat="false" ht="15.75" hidden="false" customHeight="tru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customFormat="false" ht="15.75" hidden="false" customHeight="tru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customFormat="false" ht="15.75" hidden="false" customHeight="tru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customFormat="false" ht="15.75" hidden="false" customHeight="tru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customFormat="false" ht="15.75" hidden="false" customHeight="tru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customFormat="false" ht="15.75" hidden="false" customHeight="tru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customFormat="false" ht="15.75" hidden="false" customHeight="tru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customFormat="false" ht="15.75" hidden="false" customHeight="tru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customFormat="false" ht="15.75" hidden="false" customHeight="tru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customFormat="false" ht="15.75" hidden="false" customHeight="tru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customFormat="false" ht="15.75" hidden="false" customHeight="tru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customFormat="false" ht="15.75" hidden="false" customHeight="tru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customFormat="false" ht="15.75" hidden="false" customHeight="tru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customFormat="false" ht="15.75" hidden="false" customHeight="tru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customFormat="false" ht="15.75" hidden="false" customHeight="tru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customFormat="false" ht="15.75" hidden="false" customHeight="tru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customFormat="false" ht="15.75" hidden="false" customHeight="tru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customFormat="false" ht="15.75" hidden="false" customHeight="tru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customFormat="false" ht="15.75" hidden="false" customHeight="tru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customFormat="false" ht="15.75" hidden="false" customHeight="tru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customFormat="false" ht="15.75" hidden="false" customHeight="tru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customFormat="false" ht="15.75" hidden="false" customHeight="tru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customFormat="false" ht="15.75" hidden="false" customHeight="tru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customFormat="false" ht="15.75" hidden="false" customHeight="tru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customFormat="false" ht="15.75" hidden="false" customHeight="tru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customFormat="false" ht="15.75" hidden="false" customHeight="tru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customFormat="false" ht="15.75" hidden="false" customHeight="tru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customFormat="false" ht="15.75" hidden="false" customHeight="tru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customFormat="false" ht="15.75" hidden="false" customHeight="tru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customFormat="false" ht="15.75" hidden="false" customHeight="tru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customFormat="false" ht="15.75" hidden="false" customHeight="tru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customFormat="false" ht="15.75" hidden="false" customHeight="tru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customFormat="false" ht="15.75" hidden="false" customHeight="tru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customFormat="false" ht="15.75" hidden="false" customHeight="tru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customFormat="false" ht="15.75" hidden="false" customHeight="tru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customFormat="false" ht="15.75" hidden="false" customHeight="tru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customFormat="false" ht="15.75" hidden="false" customHeight="tru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customFormat="false" ht="15.75" hidden="false" customHeight="tru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customFormat="false" ht="15.75" hidden="false" customHeight="tru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customFormat="false" ht="15.75" hidden="false" customHeight="tru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customFormat="false" ht="15.75" hidden="false" customHeight="tru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customFormat="false" ht="15.75" hidden="false" customHeight="tru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customFormat="false" ht="15.75" hidden="false" customHeight="tru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customFormat="false" ht="15.75" hidden="false" customHeight="tru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customFormat="false" ht="15.75" hidden="false" customHeight="tru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customFormat="false" ht="15.75" hidden="false" customHeight="tru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customFormat="false" ht="15.75" hidden="false" customHeight="tru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customFormat="false" ht="15.75" hidden="false" customHeight="tru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customFormat="false" ht="15.75" hidden="false" customHeight="tru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customFormat="false" ht="15.75" hidden="false" customHeight="tru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customFormat="false" ht="15.75" hidden="false" customHeight="tru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customFormat="false" ht="15.75" hidden="false" customHeight="tru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customFormat="false" ht="15.75" hidden="false" customHeight="tru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customFormat="false" ht="15.75" hidden="false" customHeight="tru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customFormat="false" ht="15.75" hidden="false" customHeight="tru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customFormat="false" ht="15.75" hidden="false" customHeight="tru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customFormat="false" ht="15.75" hidden="false" customHeight="tru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customFormat="false" ht="15.75" hidden="false" customHeight="tru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customFormat="false" ht="15.75" hidden="false" customHeight="tru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customFormat="false" ht="15.75" hidden="false" customHeight="tru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customFormat="false" ht="15.75" hidden="false" customHeight="tru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customFormat="false" ht="15.75" hidden="false" customHeight="tru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customFormat="false" ht="15.75" hidden="false" customHeight="tru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customFormat="false" ht="15.75" hidden="false" customHeight="tru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customFormat="false" ht="15.75" hidden="false" customHeight="tru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customFormat="false" ht="15.75" hidden="false" customHeight="tru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customFormat="false" ht="15.75" hidden="false" customHeight="tru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customFormat="false" ht="15.75" hidden="false" customHeight="tru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customFormat="false" ht="15.75" hidden="false" customHeight="tru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customFormat="false" ht="15.75" hidden="false" customHeight="tru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customFormat="false" ht="15.75" hidden="false" customHeight="tru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customFormat="false" ht="15.75" hidden="false" customHeight="tru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customFormat="false" ht="15.75" hidden="false" customHeight="tru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customFormat="false" ht="15.75" hidden="false" customHeight="tru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customFormat="false" ht="15.75" hidden="false" customHeight="tru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customFormat="false" ht="15.75" hidden="false" customHeight="tru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customFormat="false" ht="15.75" hidden="false" customHeight="tru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customFormat="false" ht="15.75" hidden="false" customHeight="tru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customFormat="false" ht="15.75" hidden="false" customHeight="tru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customFormat="false" ht="15.75" hidden="false" customHeight="tru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customFormat="false" ht="15.75" hidden="false" customHeight="tru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customFormat="false" ht="15.75" hidden="false" customHeight="tru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customFormat="false" ht="15.75" hidden="false" customHeight="tru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customFormat="false" ht="15.75" hidden="false" customHeight="tru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customFormat="false" ht="15.75" hidden="false" customHeight="tru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customFormat="false" ht="15.75" hidden="false" customHeight="tru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customFormat="false" ht="15.75" hidden="false" customHeight="tru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customFormat="false" ht="15.75" hidden="false" customHeight="tru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customFormat="false" ht="15.75" hidden="false" customHeight="tru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customFormat="false" ht="15.75" hidden="false" customHeight="tru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customFormat="false" ht="15.75" hidden="false" customHeight="tru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customFormat="false" ht="15.75" hidden="false" customHeight="tru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customFormat="false" ht="15.75" hidden="false" customHeight="tru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customFormat="false" ht="15.75" hidden="false" customHeight="tru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customFormat="false" ht="15.75" hidden="false" customHeight="tru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customFormat="false" ht="15.75" hidden="false" customHeight="tru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customFormat="false" ht="15.75" hidden="false" customHeight="tru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customFormat="false" ht="15.75" hidden="false" customHeight="tru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customFormat="false" ht="15.75" hidden="false" customHeight="tru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customFormat="false" ht="15.75" hidden="false" customHeight="tru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customFormat="false" ht="15.75" hidden="false" customHeight="tru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customFormat="false" ht="15.75" hidden="false" customHeight="tru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customFormat="false" ht="15.75" hidden="false" customHeight="tru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customFormat="false" ht="15.75" hidden="false" customHeight="tru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customFormat="false" ht="15.75" hidden="false" customHeight="tru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customFormat="false" ht="15.75" hidden="false" customHeight="tru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customFormat="false" ht="15.75" hidden="false" customHeight="tru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customFormat="false" ht="15.75" hidden="false" customHeight="tru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customFormat="false" ht="15.75" hidden="false" customHeight="tru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customFormat="false" ht="15.75" hidden="false" customHeight="tru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customFormat="false" ht="15.75" hidden="false" customHeight="tru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customFormat="false" ht="15.75" hidden="false" customHeight="tru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customFormat="false" ht="15.75" hidden="false" customHeight="tru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customFormat="false" ht="15.75" hidden="false" customHeight="tru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customFormat="false" ht="15.75" hidden="false" customHeight="tru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customFormat="false" ht="15.75" hidden="false" customHeight="tru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customFormat="false" ht="15.75" hidden="false" customHeight="tru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customFormat="false" ht="15.75" hidden="false" customHeight="tru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customFormat="false" ht="15.75" hidden="false" customHeight="tru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customFormat="false" ht="15.75" hidden="false" customHeight="tru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customFormat="false" ht="15.75" hidden="false" customHeight="tru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customFormat="false" ht="15.75" hidden="false" customHeight="tru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customFormat="false" ht="15.75" hidden="false" customHeight="tru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customFormat="false" ht="15.75" hidden="false" customHeight="tru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customFormat="false" ht="15.75" hidden="false" customHeight="tru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customFormat="false" ht="15.75" hidden="false" customHeight="tru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customFormat="false" ht="15.75" hidden="false" customHeight="tru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customFormat="false" ht="15.75" hidden="false" customHeight="tru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customFormat="false" ht="15.75" hidden="false" customHeight="tru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customFormat="false" ht="15.75" hidden="false" customHeight="tru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customFormat="false" ht="15.75" hidden="false" customHeight="tru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customFormat="false" ht="15.75" hidden="false" customHeight="tru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customFormat="false" ht="15.75" hidden="false" customHeight="tru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customFormat="false" ht="15.75" hidden="false" customHeight="tru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customFormat="false" ht="15.75" hidden="false" customHeight="tru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customFormat="false" ht="15.75" hidden="false" customHeight="tru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customFormat="false" ht="15.75" hidden="false" customHeight="tru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customFormat="false" ht="15.75" hidden="false" customHeight="tru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customFormat="false" ht="15.75" hidden="false" customHeight="tru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customFormat="false" ht="15.75" hidden="false" customHeight="tru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customFormat="false" ht="15.75" hidden="false" customHeight="tru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customFormat="false" ht="15.75" hidden="false" customHeight="tru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customFormat="false" ht="15.75" hidden="false" customHeight="tru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customFormat="false" ht="15.75" hidden="false" customHeight="tru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customFormat="false" ht="15.75" hidden="false" customHeight="tru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customFormat="false" ht="15.75" hidden="false" customHeight="tru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customFormat="false" ht="15.75" hidden="false" customHeight="tru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customFormat="false" ht="15.75" hidden="false" customHeight="tru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customFormat="false" ht="15.75" hidden="false" customHeight="tru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customFormat="false" ht="15.75" hidden="false" customHeight="tru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customFormat="false" ht="15.75" hidden="false" customHeight="tru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customFormat="false" ht="15.75" hidden="false" customHeight="tru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customFormat="false" ht="15.75" hidden="false" customHeight="tru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customFormat="false" ht="15.75" hidden="false" customHeight="tru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customFormat="false" ht="15.75" hidden="false" customHeight="tru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customFormat="false" ht="15.75" hidden="false" customHeight="tru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customFormat="false" ht="15.75" hidden="false" customHeight="tru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customFormat="false" ht="15.75" hidden="false" customHeight="tru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customFormat="false" ht="15.75" hidden="false" customHeight="tru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customFormat="false" ht="15.75" hidden="false" customHeight="tru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customFormat="false" ht="15.75" hidden="false" customHeight="tru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customFormat="false" ht="15.75" hidden="false" customHeight="tru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customFormat="false" ht="15.75" hidden="false" customHeight="tru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customFormat="false" ht="15.75" hidden="false" customHeight="tru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customFormat="false" ht="15.75" hidden="false" customHeight="tru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customFormat="false" ht="15.75" hidden="false" customHeight="tru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customFormat="false" ht="15.75" hidden="false" customHeight="tru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customFormat="false" ht="15.75" hidden="false" customHeight="tru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customFormat="false" ht="15.75" hidden="false" customHeight="tru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customFormat="false" ht="15.75" hidden="false" customHeight="tru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customFormat="false" ht="15.75" hidden="false" customHeight="tru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customFormat="false" ht="15.75" hidden="false" customHeight="tru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customFormat="false" ht="15.75" hidden="false" customHeight="tru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customFormat="false" ht="15.75" hidden="false" customHeight="tru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customFormat="false" ht="15.75" hidden="false" customHeight="tru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customFormat="false" ht="15.75" hidden="false" customHeight="tru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customFormat="false" ht="15.75" hidden="false" customHeight="tru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customFormat="false" ht="15.75" hidden="false" customHeight="tru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customFormat="false" ht="15.75" hidden="false" customHeight="tru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customFormat="false" ht="15.75" hidden="false" customHeight="tru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customFormat="false" ht="15.75" hidden="false" customHeight="tru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customFormat="false" ht="15.75" hidden="false" customHeight="tru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customFormat="false" ht="15.75" hidden="false" customHeight="tru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customFormat="false" ht="15.75" hidden="false" customHeight="tru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customFormat="false" ht="15.75" hidden="false" customHeight="tru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customFormat="false" ht="15.75" hidden="false" customHeight="tru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customFormat="false" ht="15.75" hidden="false" customHeight="tru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customFormat="false" ht="15.75" hidden="false" customHeight="tru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customFormat="false" ht="15.75" hidden="false" customHeight="tru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customFormat="false" ht="15.75" hidden="false" customHeight="tru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customFormat="false" ht="15.75" hidden="false" customHeight="tru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customFormat="false" ht="15.75" hidden="false" customHeight="tru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customFormat="false" ht="15.75" hidden="false" customHeight="tru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customFormat="false" ht="15.75" hidden="false" customHeight="tru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customFormat="false" ht="15.75" hidden="false" customHeight="tru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4.5078125" defaultRowHeight="15" customHeight="true" zeroHeight="false" outlineLevelRow="0" outlineLevelCol="0"/>
  <cols>
    <col collapsed="false" customWidth="true" hidden="false" outlineLevel="0" max="3" min="1" style="0" width="11.5"/>
    <col collapsed="false" customWidth="true" hidden="false" outlineLevel="0" max="4" min="4" style="0" width="8.67"/>
    <col collapsed="false" customWidth="true" hidden="false" outlineLevel="0" max="5" min="5" style="0" width="4.5"/>
    <col collapsed="false" customWidth="true" hidden="false" outlineLevel="0" max="6" min="6" style="0" width="36.5"/>
    <col collapsed="false" customWidth="true" hidden="false" outlineLevel="0" max="7" min="7" style="0" width="7.67"/>
    <col collapsed="false" customWidth="true" hidden="false" outlineLevel="0" max="8" min="8" style="0" width="12.33"/>
    <col collapsed="false" customWidth="true" hidden="false" outlineLevel="0" max="9" min="9" style="0" width="10"/>
    <col collapsed="false" customWidth="true" hidden="false" outlineLevel="0" max="11" min="10" style="0" width="11.67"/>
    <col collapsed="false" customWidth="true" hidden="false" outlineLevel="0" max="12" min="12" style="0" width="11.5"/>
    <col collapsed="false" customWidth="true" hidden="false" outlineLevel="0" max="13" min="13" style="0" width="16.5"/>
    <col collapsed="false" customWidth="true" hidden="false" outlineLevel="0" max="14" min="14" style="0" width="12"/>
    <col collapsed="false" customWidth="true" hidden="false" outlineLevel="0" max="20" min="15" style="0" width="11.5"/>
    <col collapsed="false" customWidth="true" hidden="false" outlineLevel="0" max="21" min="21" style="0" width="15"/>
    <col collapsed="false" customWidth="true" hidden="false" outlineLevel="0" max="32" min="22" style="0" width="11.5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customFormat="false" ht="15" hidden="false" customHeight="false" outlineLevel="0" collapsed="false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customFormat="false" ht="15" hidden="false" customHeight="false" outlineLevel="0" collapsed="false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  <row r="7" customFormat="false" ht="15" hidden="false" customHeight="false" outlineLevel="0" collapsed="false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customFormat="false" ht="15" hidden="false" customHeight="false" outlineLevel="0" collapsed="false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 customFormat="false" ht="15" hidden="false" customHeight="false" outlineLevel="0" collapsed="false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37"/>
    </row>
    <row r="10" customFormat="false" ht="15" hidden="false" customHeight="false" outlineLevel="0" collapsed="false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37"/>
    </row>
    <row r="11" customFormat="false" ht="15" hidden="false" customHeight="false" outlineLevel="0" collapsed="false">
      <c r="A11" s="1" t="s">
        <v>167</v>
      </c>
      <c r="B11" s="37" t="n">
        <f aca="false">+SUM(G26:G28)</f>
        <v>40595</v>
      </c>
      <c r="C11" s="1" t="n">
        <f aca="false">+C21/(B11*B21)</f>
        <v>1.51800303814099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37"/>
    </row>
    <row r="12" customFormat="false" ht="15" hidden="false" customHeight="false" outlineLevel="0" collapsed="false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37"/>
    </row>
    <row r="13" customFormat="false" ht="15" hidden="false" customHeight="false" outlineLevel="0" collapsed="false">
      <c r="A13" s="37" t="n">
        <f aca="false">+G29</f>
        <v>11062</v>
      </c>
      <c r="B13" s="115" t="n">
        <f aca="false">+H29</f>
        <v>60.28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37"/>
    </row>
    <row r="14" customFormat="false" ht="15" hidden="false" customHeight="false" outlineLevel="0" collapsed="false">
      <c r="A14" s="37" t="n">
        <f aca="false">+G33</f>
        <v>7425</v>
      </c>
      <c r="B14" s="115" t="n">
        <f aca="false">+H33</f>
        <v>58.61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37"/>
    </row>
    <row r="15" customFormat="false" ht="15" hidden="false" customHeight="false" outlineLevel="0" collapsed="false">
      <c r="A15" s="37"/>
      <c r="B15" s="115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37"/>
    </row>
    <row r="16" customFormat="false" ht="15" hidden="false" customHeight="false" outlineLevel="0" collapsed="false">
      <c r="A16" s="1" t="s">
        <v>168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37"/>
    </row>
    <row r="17" customFormat="false" ht="15" hidden="false" customHeight="false" outlineLevel="0" collapsed="false">
      <c r="A17" s="37" t="n">
        <f aca="false">+SUM(A13:A15)</f>
        <v>18487</v>
      </c>
      <c r="B17" s="115" t="n">
        <v>0.5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37"/>
    </row>
    <row r="18" customFormat="false" ht="15" hidden="false" customHeight="fals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37"/>
    </row>
    <row r="19" customFormat="false" ht="15" hidden="false" customHeight="fals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37"/>
    </row>
    <row r="20" customFormat="false" ht="15" hidden="false" customHeight="false" outlineLevel="0" collapsed="false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37"/>
    </row>
    <row r="21" customFormat="false" ht="15.75" hidden="false" customHeight="true" outlineLevel="0" collapsed="false">
      <c r="A21" s="1"/>
      <c r="B21" s="116" t="n">
        <v>0.3</v>
      </c>
      <c r="C21" s="37" t="n">
        <f aca="false">+A17</f>
        <v>18487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37"/>
    </row>
    <row r="22" customFormat="false" ht="15.75" hidden="false" customHeight="true" outlineLevel="0" collapsed="false">
      <c r="A22" s="1"/>
      <c r="B22" s="116"/>
      <c r="C22" s="37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37"/>
    </row>
    <row r="23" customFormat="false" ht="15.75" hidden="false" customHeight="true" outlineLevel="0" collapsed="false">
      <c r="A23" s="1"/>
      <c r="B23" s="116"/>
      <c r="C23" s="37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37"/>
    </row>
    <row r="24" customFormat="false" ht="15.75" hidden="false" customHeight="true" outlineLevel="0" collapsed="false">
      <c r="A24" s="1"/>
      <c r="B24" s="1"/>
      <c r="C24" s="1"/>
      <c r="D24" s="1"/>
      <c r="E24" s="1"/>
      <c r="F24" s="1"/>
      <c r="G24" s="194" t="s">
        <v>169</v>
      </c>
      <c r="H24" s="194"/>
      <c r="I24" s="1"/>
      <c r="J24" s="195" t="s">
        <v>170</v>
      </c>
      <c r="K24" s="195"/>
      <c r="L24" s="195"/>
      <c r="M24" s="1"/>
      <c r="N24" s="196"/>
      <c r="O24" s="196"/>
      <c r="P24" s="1"/>
      <c r="Q24" s="1"/>
      <c r="R24" s="197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37"/>
    </row>
    <row r="25" customFormat="false" ht="15.75" hidden="false" customHeight="true" outlineLevel="0" collapsed="false">
      <c r="A25" s="1"/>
      <c r="B25" s="1"/>
      <c r="C25" s="1"/>
      <c r="D25" s="1"/>
      <c r="E25" s="1"/>
      <c r="F25" s="1"/>
      <c r="G25" s="198" t="s">
        <v>70</v>
      </c>
      <c r="H25" s="198" t="s">
        <v>5</v>
      </c>
      <c r="I25" s="1"/>
      <c r="J25" s="199" t="s">
        <v>70</v>
      </c>
      <c r="K25" s="199" t="s">
        <v>5</v>
      </c>
      <c r="L25" s="199" t="s">
        <v>171</v>
      </c>
      <c r="M25" s="1"/>
      <c r="N25" s="2"/>
      <c r="O25" s="2"/>
      <c r="P25" s="200"/>
      <c r="Q25" s="201"/>
      <c r="R25" s="202"/>
      <c r="S25" s="20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37"/>
    </row>
    <row r="26" customFormat="false" ht="15.75" hidden="false" customHeight="true" outlineLevel="0" collapsed="false">
      <c r="A26" s="1"/>
      <c r="B26" s="1"/>
      <c r="C26" s="1"/>
      <c r="D26" s="1"/>
      <c r="E26" s="1" t="n">
        <f aca="false">+E3</f>
        <v>0</v>
      </c>
      <c r="F26" s="1" t="s">
        <v>75</v>
      </c>
      <c r="G26" s="203" t="n">
        <f aca="false">Utilidad!A1</f>
        <v>0</v>
      </c>
      <c r="H26" s="204" t="n">
        <f aca="false">IF(Utilidad!C$18&gt;1,Utilidad!C1/100,Utilidad!C1)</f>
        <v>0</v>
      </c>
      <c r="I26" s="116"/>
      <c r="J26" s="203" t="n">
        <f aca="false">Utilidad!B1</f>
        <v>0</v>
      </c>
      <c r="K26" s="204" t="n">
        <f aca="false">IF(Utilidad!D1&gt;1,Utilidad!D1/100,Utilidad!D1)</f>
        <v>0</v>
      </c>
      <c r="L26" s="26" t="n">
        <f aca="false">+J26*K26</f>
        <v>0</v>
      </c>
      <c r="M26" s="1"/>
      <c r="N26" s="114"/>
      <c r="O26" s="115"/>
      <c r="P26" s="114"/>
      <c r="Q26" s="201"/>
      <c r="R26" s="205"/>
      <c r="S26" s="20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37"/>
    </row>
    <row r="27" customFormat="false" ht="15.75" hidden="false" customHeight="true" outlineLevel="0" collapsed="false">
      <c r="A27" s="1"/>
      <c r="B27" s="1"/>
      <c r="C27" s="1"/>
      <c r="D27" s="1"/>
      <c r="E27" s="1" t="n">
        <f aca="false">+E4</f>
        <v>0</v>
      </c>
      <c r="F27" s="1" t="s">
        <v>76</v>
      </c>
      <c r="G27" s="203" t="n">
        <f aca="false">Utilidad!A2</f>
        <v>0</v>
      </c>
      <c r="H27" s="204" t="n">
        <f aca="false">IF(Utilidad!C$18&gt;1,Utilidad!C2/100,Utilidad!C2)</f>
        <v>0</v>
      </c>
      <c r="I27" s="116"/>
      <c r="J27" s="203" t="n">
        <f aca="false">Utilidad!B2</f>
        <v>0</v>
      </c>
      <c r="K27" s="204" t="n">
        <f aca="false">IF(Utilidad!D2&gt;1,Utilidad!D2/100,Utilidad!D2)</f>
        <v>0</v>
      </c>
      <c r="L27" s="26" t="n">
        <f aca="false">+J27*K27</f>
        <v>0</v>
      </c>
      <c r="M27" s="1"/>
      <c r="N27" s="114"/>
      <c r="O27" s="115"/>
      <c r="P27" s="114"/>
      <c r="Q27" s="201"/>
      <c r="R27" s="205"/>
      <c r="S27" s="20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customFormat="false" ht="15.75" hidden="false" customHeight="true" outlineLevel="0" collapsed="false">
      <c r="A28" s="1"/>
      <c r="B28" s="1"/>
      <c r="C28" s="1"/>
      <c r="D28" s="1"/>
      <c r="E28" s="1" t="n">
        <f aca="false">+E5</f>
        <v>0</v>
      </c>
      <c r="F28" s="1" t="s">
        <v>77</v>
      </c>
      <c r="G28" s="203" t="n">
        <f aca="false">Utilidad!A3</f>
        <v>40595</v>
      </c>
      <c r="H28" s="204" t="n">
        <f aca="false">IF(Utilidad!C$18&gt;1,Utilidad!C3/100,Utilidad!C3)</f>
        <v>51.53</v>
      </c>
      <c r="I28" s="116"/>
      <c r="J28" s="203" t="n">
        <f aca="false">Utilidad!B3</f>
        <v>36777.591411</v>
      </c>
      <c r="K28" s="204" t="n">
        <f aca="false">IF(Utilidad!D3&gt;1,Utilidad!D3/100,Utilidad!D3)</f>
        <v>0.52832609075</v>
      </c>
      <c r="L28" s="26" t="n">
        <f aca="false">+J28*K28</f>
        <v>19430.5610973744</v>
      </c>
      <c r="M28" s="1"/>
      <c r="N28" s="114"/>
      <c r="O28" s="115"/>
      <c r="P28" s="114"/>
      <c r="Q28" s="201"/>
      <c r="R28" s="205"/>
      <c r="S28" s="20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customFormat="false" ht="15.75" hidden="false" customHeight="true" outlineLevel="0" collapsed="false">
      <c r="A29" s="1"/>
      <c r="B29" s="1"/>
      <c r="C29" s="1"/>
      <c r="D29" s="1"/>
      <c r="E29" s="1" t="n">
        <f aca="false">+E6</f>
        <v>0</v>
      </c>
      <c r="F29" s="1" t="s">
        <v>78</v>
      </c>
      <c r="G29" s="203" t="n">
        <f aca="false">Utilidad!A4</f>
        <v>11062</v>
      </c>
      <c r="H29" s="204" t="n">
        <f aca="false">IF(Utilidad!C$18&gt;1,Utilidad!C4/100,Utilidad!C4)</f>
        <v>60.28</v>
      </c>
      <c r="I29" s="1"/>
      <c r="J29" s="203" t="n">
        <f aca="false">Utilidad!B4</f>
        <v>11452.675821</v>
      </c>
      <c r="K29" s="204" t="n">
        <f aca="false">IF(Utilidad!D4&gt;1,Utilidad!D4/100,Utilidad!D4)</f>
        <v>0.6006929912</v>
      </c>
      <c r="L29" s="26" t="n">
        <f aca="false">+J29*K29</f>
        <v>6879.54209616041</v>
      </c>
      <c r="M29" s="1"/>
      <c r="N29" s="114"/>
      <c r="O29" s="115"/>
      <c r="P29" s="114"/>
      <c r="Q29" s="201"/>
      <c r="R29" s="205"/>
      <c r="S29" s="201"/>
      <c r="T29" s="1"/>
      <c r="U29" s="1"/>
      <c r="V29" s="1"/>
      <c r="W29" s="1"/>
      <c r="X29" s="37"/>
      <c r="Y29" s="37"/>
      <c r="Z29" s="1"/>
      <c r="AA29" s="1"/>
      <c r="AB29" s="1"/>
      <c r="AC29" s="1"/>
      <c r="AD29" s="1"/>
      <c r="AE29" s="1"/>
      <c r="AF29" s="1"/>
    </row>
    <row r="30" customFormat="false" ht="15.75" hidden="false" customHeight="true" outlineLevel="0" collapsed="false">
      <c r="A30" s="37" t="n">
        <f aca="false">+'Calc Nodos'!F4</f>
        <v>2867</v>
      </c>
      <c r="B30" s="37"/>
      <c r="C30" s="37"/>
      <c r="D30" s="1" t="n">
        <f aca="false">+IF(A30&gt;0,1,IF(A30&lt;&gt;0,-1,0))</f>
        <v>1</v>
      </c>
      <c r="E30" s="1" t="n">
        <f aca="false">+E7</f>
        <v>0</v>
      </c>
      <c r="F30" s="22" t="s">
        <v>79</v>
      </c>
      <c r="G30" s="203" t="n">
        <f aca="false">Utilidad!A5</f>
        <v>745</v>
      </c>
      <c r="H30" s="204" t="n">
        <f aca="false">IF(Utilidad!C$18&gt;1,Utilidad!C5/100,Utilidad!C5)</f>
        <v>59.48</v>
      </c>
      <c r="I30" s="206"/>
      <c r="J30" s="203" t="n">
        <f aca="false">Utilidad!B5</f>
        <v>1134.6758208</v>
      </c>
      <c r="K30" s="204" t="n">
        <f aca="false">IF(Utilidad!D5&gt;1,Utilidad!D5/100,Utilidad!D5)</f>
        <v>0.65428</v>
      </c>
      <c r="L30" s="26" t="n">
        <f aca="false">+J30*K30</f>
        <v>742.395696033024</v>
      </c>
      <c r="M30" s="1"/>
      <c r="N30" s="114"/>
      <c r="O30" s="115"/>
      <c r="P30" s="114"/>
      <c r="Q30" s="201"/>
      <c r="R30" s="205"/>
      <c r="S30" s="201"/>
      <c r="T30" s="1"/>
      <c r="U30" s="1"/>
      <c r="V30" s="1"/>
      <c r="W30" s="1"/>
      <c r="X30" s="37"/>
      <c r="Y30" s="37"/>
      <c r="Z30" s="1"/>
      <c r="AA30" s="1"/>
      <c r="AB30" s="1"/>
      <c r="AC30" s="1"/>
      <c r="AD30" s="1"/>
      <c r="AE30" s="1"/>
      <c r="AF30" s="1"/>
    </row>
    <row r="31" customFormat="false" ht="15.75" hidden="false" customHeight="true" outlineLevel="0" collapsed="false">
      <c r="A31" s="1"/>
      <c r="B31" s="1"/>
      <c r="C31" s="1"/>
      <c r="D31" s="1"/>
      <c r="E31" s="1" t="n">
        <f aca="false">+E8</f>
        <v>0</v>
      </c>
      <c r="F31" s="1" t="s">
        <v>80</v>
      </c>
      <c r="G31" s="203" t="n">
        <f aca="false">Utilidad!A6</f>
        <v>0</v>
      </c>
      <c r="H31" s="204" t="n">
        <f aca="false">IF(Utilidad!C$18&gt;1,Utilidad!C6/100,Utilidad!C6)</f>
        <v>0</v>
      </c>
      <c r="I31" s="1"/>
      <c r="J31" s="203" t="n">
        <f aca="false">Utilidad!B6</f>
        <v>0</v>
      </c>
      <c r="K31" s="204" t="n">
        <f aca="false">IF(Utilidad!D6&gt;1,Utilidad!D6/100,Utilidad!D6)</f>
        <v>0</v>
      </c>
      <c r="L31" s="26" t="n">
        <f aca="false">+J31*K31</f>
        <v>0</v>
      </c>
      <c r="M31" s="1"/>
      <c r="N31" s="114"/>
      <c r="O31" s="115"/>
      <c r="P31" s="114"/>
      <c r="Q31" s="201"/>
      <c r="R31" s="205"/>
      <c r="S31" s="201"/>
      <c r="T31" s="1"/>
      <c r="U31" s="1"/>
      <c r="V31" s="1"/>
      <c r="W31" s="1"/>
      <c r="X31" s="37"/>
      <c r="Y31" s="37"/>
      <c r="Z31" s="1"/>
      <c r="AA31" s="1"/>
      <c r="AB31" s="1"/>
      <c r="AC31" s="1"/>
      <c r="AD31" s="1"/>
      <c r="AE31" s="1"/>
      <c r="AF31" s="1"/>
    </row>
    <row r="32" customFormat="false" ht="15.75" hidden="false" customHeight="true" outlineLevel="0" collapsed="false">
      <c r="A32" s="1"/>
      <c r="B32" s="1"/>
      <c r="C32" s="1"/>
      <c r="D32" s="1"/>
      <c r="E32" s="1" t="n">
        <f aca="false">+E9</f>
        <v>0</v>
      </c>
      <c r="F32" s="1" t="s">
        <v>81</v>
      </c>
      <c r="G32" s="203" t="n">
        <f aca="false">Utilidad!A7</f>
        <v>10318</v>
      </c>
      <c r="H32" s="204" t="n">
        <f aca="false">IF(Utilidad!C$18&gt;1,Utilidad!C7/100,Utilidad!C7)</f>
        <v>59.48</v>
      </c>
      <c r="I32" s="1"/>
      <c r="J32" s="203" t="n">
        <f aca="false">Utilidad!B7</f>
        <v>10318</v>
      </c>
      <c r="K32" s="204" t="n">
        <f aca="false">IF(Utilidad!D7&gt;1,Utilidad!D7/100,Utilidad!D7)</f>
        <v>0.5948</v>
      </c>
      <c r="L32" s="26" t="n">
        <f aca="false">+J32*K32</f>
        <v>6137.1464</v>
      </c>
      <c r="M32" s="1"/>
      <c r="N32" s="114"/>
      <c r="O32" s="115"/>
      <c r="P32" s="114"/>
      <c r="Q32" s="201"/>
      <c r="R32" s="205"/>
      <c r="S32" s="201"/>
      <c r="T32" s="1"/>
      <c r="U32" s="1"/>
      <c r="V32" s="1"/>
      <c r="W32" s="1"/>
      <c r="X32" s="37"/>
      <c r="Y32" s="37"/>
      <c r="Z32" s="1"/>
      <c r="AA32" s="1"/>
      <c r="AB32" s="1"/>
      <c r="AC32" s="1"/>
      <c r="AD32" s="1"/>
      <c r="AE32" s="1"/>
      <c r="AF32" s="1"/>
    </row>
    <row r="33" customFormat="false" ht="15.75" hidden="false" customHeight="true" outlineLevel="0" collapsed="false">
      <c r="A33" s="1"/>
      <c r="B33" s="1"/>
      <c r="C33" s="1"/>
      <c r="D33" s="1"/>
      <c r="E33" s="1" t="n">
        <f aca="false">+E10</f>
        <v>0</v>
      </c>
      <c r="F33" s="1" t="s">
        <v>82</v>
      </c>
      <c r="G33" s="203" t="n">
        <f aca="false">Utilidad!A8</f>
        <v>7425</v>
      </c>
      <c r="H33" s="204" t="n">
        <f aca="false">IF(Utilidad!C$18&gt;1,Utilidad!C8/100,Utilidad!C8)</f>
        <v>58.61</v>
      </c>
      <c r="I33" s="1"/>
      <c r="J33" s="203" t="n">
        <f aca="false">Utilidad!B8</f>
        <v>7425</v>
      </c>
      <c r="K33" s="204" t="n">
        <f aca="false">IF(Utilidad!D8&gt;1,Utilidad!D8/100,Utilidad!D8)</f>
        <v>0.5951</v>
      </c>
      <c r="L33" s="26" t="n">
        <f aca="false">+J33*K33</f>
        <v>4418.6175</v>
      </c>
      <c r="M33" s="1"/>
      <c r="N33" s="114"/>
      <c r="O33" s="115"/>
      <c r="P33" s="114"/>
      <c r="Q33" s="201"/>
      <c r="R33" s="205"/>
      <c r="S33" s="20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customFormat="false" ht="15.75" hidden="false" customHeight="true" outlineLevel="0" collapsed="false">
      <c r="A34" s="37" t="n">
        <f aca="false">+'Calc Nodos'!F5</f>
        <v>212</v>
      </c>
      <c r="B34" s="37"/>
      <c r="C34" s="37"/>
      <c r="D34" s="1" t="n">
        <f aca="false">+IF(A34&gt;0,1,IF(A34&lt;&gt;0,-1,0))</f>
        <v>1</v>
      </c>
      <c r="E34" s="1" t="n">
        <f aca="false">+E11</f>
        <v>0</v>
      </c>
      <c r="F34" s="22" t="s">
        <v>83</v>
      </c>
      <c r="G34" s="203" t="n">
        <f aca="false">Utilidad!A9</f>
        <v>0</v>
      </c>
      <c r="H34" s="204" t="n">
        <f aca="false">IF(Utilidad!C$18&gt;1,Utilidad!C9/100,Utilidad!C9)</f>
        <v>59.51</v>
      </c>
      <c r="I34" s="206"/>
      <c r="J34" s="203" t="n">
        <f aca="false">Utilidad!B9</f>
        <v>0</v>
      </c>
      <c r="K34" s="204" t="n">
        <f aca="false">IF(Utilidad!D9&gt;1,Utilidad!D9/100,Utilidad!D9)</f>
        <v>0.59510044082</v>
      </c>
      <c r="L34" s="26" t="n">
        <f aca="false">+J34*K34</f>
        <v>0</v>
      </c>
      <c r="M34" s="1"/>
      <c r="N34" s="114"/>
      <c r="O34" s="115"/>
      <c r="P34" s="114"/>
      <c r="Q34" s="201"/>
      <c r="R34" s="205"/>
      <c r="S34" s="20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customFormat="false" ht="15.75" hidden="false" customHeight="true" outlineLevel="0" collapsed="false">
      <c r="A35" s="1"/>
      <c r="B35" s="1"/>
      <c r="C35" s="1"/>
      <c r="D35" s="1"/>
      <c r="E35" s="1" t="n">
        <f aca="false">+E12</f>
        <v>0</v>
      </c>
      <c r="F35" s="1" t="s">
        <v>84</v>
      </c>
      <c r="G35" s="203" t="n">
        <f aca="false">Utilidad!A10</f>
        <v>0</v>
      </c>
      <c r="H35" s="204" t="n">
        <f aca="false">IF(Utilidad!C$18&gt;1,Utilidad!C10/100,Utilidad!C10)</f>
        <v>0</v>
      </c>
      <c r="I35" s="1"/>
      <c r="J35" s="203" t="n">
        <f aca="false">Utilidad!B10</f>
        <v>0</v>
      </c>
      <c r="K35" s="204" t="n">
        <f aca="false">IF(Utilidad!D10&gt;1,Utilidad!D10/100,Utilidad!D10)</f>
        <v>0</v>
      </c>
      <c r="L35" s="26" t="n">
        <f aca="false">+J35*K35</f>
        <v>0</v>
      </c>
      <c r="M35" s="1"/>
      <c r="N35" s="114"/>
      <c r="O35" s="115"/>
      <c r="P35" s="114"/>
      <c r="Q35" s="201"/>
      <c r="R35" s="205"/>
      <c r="S35" s="20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customFormat="false" ht="15.75" hidden="false" customHeight="true" outlineLevel="0" collapsed="false">
      <c r="A36" s="1"/>
      <c r="B36" s="1"/>
      <c r="C36" s="1"/>
      <c r="D36" s="1"/>
      <c r="E36" s="1" t="n">
        <f aca="false">+E13</f>
        <v>0</v>
      </c>
      <c r="F36" s="1" t="s">
        <v>85</v>
      </c>
      <c r="G36" s="203" t="n">
        <f aca="false">Utilidad!A11</f>
        <v>7425</v>
      </c>
      <c r="H36" s="204" t="n">
        <f aca="false">IF(Utilidad!C$18&gt;1,Utilidad!C11/100,Utilidad!C11)</f>
        <v>59.51</v>
      </c>
      <c r="I36" s="1"/>
      <c r="J36" s="203" t="n">
        <f aca="false">Utilidad!B11</f>
        <v>7425</v>
      </c>
      <c r="K36" s="204" t="n">
        <f aca="false">IF(Utilidad!D11&gt;1,Utilidad!D11/100,Utilidad!D11)</f>
        <v>0.5951</v>
      </c>
      <c r="L36" s="26" t="n">
        <f aca="false">+J36*K36</f>
        <v>4418.6175</v>
      </c>
      <c r="M36" s="1"/>
      <c r="N36" s="114"/>
      <c r="O36" s="115"/>
      <c r="P36" s="114"/>
      <c r="Q36" s="201"/>
      <c r="R36" s="205"/>
      <c r="S36" s="20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customFormat="false" ht="15.75" hidden="false" customHeight="true" outlineLevel="0" collapsed="false">
      <c r="A37" s="1"/>
      <c r="B37" s="1"/>
      <c r="C37" s="1"/>
      <c r="D37" s="1"/>
      <c r="E37" s="1" t="n">
        <f aca="false">+E14</f>
        <v>0</v>
      </c>
      <c r="F37" s="1" t="s">
        <v>86</v>
      </c>
      <c r="G37" s="203" t="n">
        <f aca="false">Utilidad!A12</f>
        <v>10631</v>
      </c>
      <c r="H37" s="204" t="n">
        <f aca="false">IF(Utilidad!C$18&gt;1,Utilidad!C12/100,Utilidad!C12)</f>
        <v>41.54</v>
      </c>
      <c r="I37" s="1"/>
      <c r="J37" s="203" t="n">
        <f aca="false">Utilidad!B12</f>
        <v>10638.011689</v>
      </c>
      <c r="K37" s="204" t="n">
        <f aca="false">IF(Utilidad!D12&gt;1,Utilidad!D12/100,Utilidad!D12)</f>
        <v>0.42934585867</v>
      </c>
      <c r="L37" s="26" t="n">
        <f aca="false">+J37*K37</f>
        <v>4567.3862631552</v>
      </c>
      <c r="M37" s="1"/>
      <c r="N37" s="114"/>
      <c r="O37" s="115"/>
      <c r="P37" s="114"/>
      <c r="Q37" s="201"/>
      <c r="R37" s="205"/>
      <c r="S37" s="20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customFormat="false" ht="15.75" hidden="false" customHeight="true" outlineLevel="0" collapsed="false">
      <c r="A38" s="37" t="n">
        <f aca="false">+'Calc Nodos'!F6</f>
        <v>-478</v>
      </c>
      <c r="B38" s="37"/>
      <c r="C38" s="37"/>
      <c r="D38" s="1" t="n">
        <f aca="false">+IF(A38&gt;0,1,IF(A38&lt;&gt;0,-1,0))</f>
        <v>-1</v>
      </c>
      <c r="E38" s="1" t="n">
        <f aca="false">+E15</f>
        <v>0</v>
      </c>
      <c r="F38" s="22" t="s">
        <v>87</v>
      </c>
      <c r="G38" s="203" t="n">
        <f aca="false">Utilidad!A13</f>
        <v>604</v>
      </c>
      <c r="H38" s="204" t="n">
        <f aca="false">IF(Utilidad!C$18&gt;1,Utilidad!C13/100,Utilidad!C13)</f>
        <v>42.98</v>
      </c>
      <c r="I38" s="206"/>
      <c r="J38" s="203" t="n">
        <f aca="false">Utilidad!B13</f>
        <v>604.88811585</v>
      </c>
      <c r="K38" s="204" t="n">
        <f aca="false">IF(Utilidad!D13&gt;1,Utilidad!D13/100,Utilidad!D13)</f>
        <v>0.42880155208</v>
      </c>
      <c r="L38" s="26" t="n">
        <f aca="false">+J38*K38</f>
        <v>259.376962911227</v>
      </c>
      <c r="M38" s="1"/>
      <c r="N38" s="114"/>
      <c r="O38" s="115"/>
      <c r="P38" s="114"/>
      <c r="Q38" s="201"/>
      <c r="R38" s="205"/>
      <c r="S38" s="20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customFormat="false" ht="15.75" hidden="false" customHeight="true" outlineLevel="0" collapsed="false">
      <c r="A39" s="1"/>
      <c r="B39" s="1"/>
      <c r="C39" s="1"/>
      <c r="D39" s="1"/>
      <c r="E39" s="1" t="n">
        <f aca="false">+E16</f>
        <v>0</v>
      </c>
      <c r="F39" s="1" t="s">
        <v>88</v>
      </c>
      <c r="G39" s="203" t="n">
        <f aca="false">Utilidad!A14</f>
        <v>1593</v>
      </c>
      <c r="H39" s="204" t="n">
        <f aca="false">IF(Utilidad!C$18&gt;1,Utilidad!C14/100,Utilidad!C14)</f>
        <v>42.98</v>
      </c>
      <c r="I39" s="1"/>
      <c r="J39" s="203" t="n">
        <f aca="false">Utilidad!B14</f>
        <v>1599.1235727</v>
      </c>
      <c r="K39" s="204" t="n">
        <f aca="false">IF(Utilidad!D14&gt;1,Utilidad!D14/100,Utilidad!D14)</f>
        <v>0.42715654362</v>
      </c>
      <c r="L39" s="26" t="n">
        <f aca="false">+J39*K39</f>
        <v>683.076098135798</v>
      </c>
      <c r="M39" s="1"/>
      <c r="N39" s="114"/>
      <c r="O39" s="115"/>
      <c r="P39" s="114"/>
      <c r="Q39" s="201"/>
      <c r="R39" s="205"/>
      <c r="S39" s="20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customFormat="false" ht="15.75" hidden="false" customHeight="true" outlineLevel="0" collapsed="false">
      <c r="A40" s="1"/>
      <c r="B40" s="1"/>
      <c r="C40" s="1"/>
      <c r="D40" s="1"/>
      <c r="E40" s="1" t="n">
        <f aca="false">+E17</f>
        <v>0</v>
      </c>
      <c r="F40" s="1" t="s">
        <v>89</v>
      </c>
      <c r="G40" s="203" t="n">
        <f aca="false">Utilidad!A15</f>
        <v>7255</v>
      </c>
      <c r="H40" s="204" t="n">
        <f aca="false">IF(Utilidad!C$18&gt;1,Utilidad!C15/100,Utilidad!C15)</f>
        <v>52.04</v>
      </c>
      <c r="I40" s="1"/>
      <c r="J40" s="203" t="n">
        <f aca="false">Utilidad!B15</f>
        <v>7261.9039016</v>
      </c>
      <c r="K40" s="204" t="n">
        <f aca="false">IF(Utilidad!D15&gt;1,Utilidad!D15/100,Utilidad!D15)</f>
        <v>0.49092018931</v>
      </c>
      <c r="L40" s="26" t="n">
        <f aca="false">+J40*K40</f>
        <v>3565.0152381245</v>
      </c>
      <c r="M40" s="37"/>
      <c r="N40" s="114"/>
      <c r="O40" s="115"/>
      <c r="P40" s="114"/>
      <c r="Q40" s="201"/>
      <c r="R40" s="205"/>
      <c r="S40" s="20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customFormat="false" ht="15.75" hidden="false" customHeight="true" outlineLevel="0" collapsed="false">
      <c r="A41" s="37" t="n">
        <f aca="false">+'Calc Nodos'!F7</f>
        <v>528</v>
      </c>
      <c r="B41" s="37"/>
      <c r="C41" s="37"/>
      <c r="D41" s="1" t="n">
        <f aca="false">+IF(A41&gt;0,1,IF(A41&lt;&gt;0,-1,0))</f>
        <v>1</v>
      </c>
      <c r="E41" s="1" t="n">
        <f aca="false">+E18</f>
        <v>0</v>
      </c>
      <c r="F41" s="22" t="s">
        <v>90</v>
      </c>
      <c r="G41" s="203" t="n">
        <f aca="false">Utilidad!A16</f>
        <v>1705</v>
      </c>
      <c r="H41" s="204" t="n">
        <f aca="false">IF(Utilidad!C$18&gt;1,Utilidad!C16/100,Utilidad!C16)</f>
        <v>48.96</v>
      </c>
      <c r="I41" s="206"/>
      <c r="J41" s="203" t="n">
        <f aca="false">Utilidad!B16</f>
        <v>1711.9039016</v>
      </c>
      <c r="K41" s="204" t="n">
        <f aca="false">IF(Utilidad!D16&gt;1,Utilidad!D16/100,Utilidad!D16)</f>
        <v>0.49520024862</v>
      </c>
      <c r="L41" s="26" t="n">
        <f aca="false">+J41*K41</f>
        <v>847.735237685868</v>
      </c>
      <c r="M41" s="1"/>
      <c r="N41" s="114"/>
      <c r="O41" s="115"/>
      <c r="P41" s="114"/>
      <c r="Q41" s="201"/>
      <c r="R41" s="205"/>
      <c r="S41" s="20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customFormat="false" ht="15.75" hidden="false" customHeight="true" outlineLevel="0" collapsed="false">
      <c r="A42" s="1"/>
      <c r="B42" s="1"/>
      <c r="C42" s="1"/>
      <c r="D42" s="1"/>
      <c r="E42" s="1" t="n">
        <f aca="false">+E19</f>
        <v>0</v>
      </c>
      <c r="F42" s="1" t="s">
        <v>91</v>
      </c>
      <c r="G42" s="203" t="n">
        <f aca="false">Utilidad!A17</f>
        <v>5550</v>
      </c>
      <c r="H42" s="204" t="n">
        <f aca="false">IF(Utilidad!C$18&gt;1,Utilidad!C17/100,Utilidad!C17)</f>
        <v>48.96</v>
      </c>
      <c r="I42" s="1"/>
      <c r="J42" s="203" t="n">
        <f aca="false">Utilidad!B17</f>
        <v>5550</v>
      </c>
      <c r="K42" s="204" t="n">
        <f aca="false">IF(Utilidad!D17&gt;1,Utilidad!D17/100,Utilidad!D17)</f>
        <v>0.4896</v>
      </c>
      <c r="L42" s="26" t="n">
        <f aca="false">+J42*K42</f>
        <v>2717.28</v>
      </c>
      <c r="M42" s="1"/>
      <c r="N42" s="114"/>
      <c r="O42" s="115"/>
      <c r="P42" s="114"/>
      <c r="Q42" s="201"/>
      <c r="R42" s="205"/>
      <c r="S42" s="20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customFormat="false" ht="15.75" hidden="false" customHeight="tru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customFormat="false" ht="15.75" hidden="false" customHeight="true" outlineLevel="0" collapsed="false">
      <c r="A44" s="1"/>
      <c r="B44" s="1"/>
      <c r="C44" s="1"/>
      <c r="D44" s="1"/>
      <c r="E44" s="1"/>
      <c r="F44" s="190"/>
      <c r="G44" s="9"/>
      <c r="H44" s="9"/>
      <c r="I44" s="1"/>
      <c r="J44" s="9"/>
      <c r="K44" s="9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customFormat="false" ht="15.75" hidden="false" customHeight="true" outlineLevel="0" collapsed="false">
      <c r="A45" s="1"/>
      <c r="B45" s="1"/>
      <c r="C45" s="1"/>
      <c r="D45" s="1"/>
      <c r="E45" s="1"/>
      <c r="F45" s="190"/>
      <c r="G45" s="2"/>
      <c r="H45" s="2"/>
      <c r="I45" s="1"/>
      <c r="J45" s="2"/>
      <c r="K45" s="2"/>
      <c r="L45" s="1"/>
      <c r="M45" s="2"/>
      <c r="N45" s="2"/>
      <c r="O45" s="2"/>
      <c r="P45" s="2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customFormat="false" ht="15.75" hidden="false" customHeight="tru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37"/>
      <c r="K46" s="116"/>
      <c r="L46" s="1"/>
      <c r="M46" s="2"/>
      <c r="N46" s="207"/>
      <c r="O46" s="205"/>
      <c r="P46" s="205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customFormat="false" ht="15.75" hidden="false" customHeight="tru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37"/>
      <c r="K47" s="116"/>
      <c r="L47" s="1"/>
      <c r="M47" s="2"/>
      <c r="N47" s="207"/>
      <c r="O47" s="205"/>
      <c r="P47" s="205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customFormat="false" ht="15.75" hidden="false" customHeight="tru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37"/>
      <c r="K48" s="116"/>
      <c r="L48" s="1"/>
      <c r="M48" s="1"/>
      <c r="N48" s="37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customFormat="false" ht="15.75" hidden="false" customHeight="tru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37"/>
      <c r="K49" s="116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customFormat="false" ht="15.7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37"/>
      <c r="K50" s="116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customFormat="false" ht="15.7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37"/>
      <c r="K51" s="116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customFormat="false" ht="15.75" hidden="false" customHeight="tru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37"/>
      <c r="K52" s="116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customFormat="false" ht="15.75" hidden="false" customHeight="tru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37"/>
      <c r="K53" s="116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customFormat="false" ht="15.75" hidden="false" customHeight="tru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37"/>
      <c r="K54" s="116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customFormat="false" ht="15.7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37"/>
      <c r="K55" s="116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customFormat="false" ht="15.7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37"/>
      <c r="K56" s="116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customFormat="false" ht="15.7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37"/>
      <c r="K57" s="116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 customFormat="false" ht="15.7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37"/>
      <c r="K58" s="116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 customFormat="false" ht="15.7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37"/>
      <c r="K59" s="116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  <row r="60" customFormat="false" ht="15.7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37"/>
      <c r="K60" s="116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</row>
    <row r="61" customFormat="false" ht="15.7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37"/>
      <c r="K61" s="116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</row>
    <row r="62" customFormat="false" ht="15.7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37"/>
      <c r="K62" s="116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</row>
    <row r="63" customFormat="false" ht="15.7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 customFormat="false" ht="15.75" hidden="false" customHeight="true" outlineLevel="0" collapsed="false">
      <c r="A64" s="1"/>
      <c r="B64" s="1"/>
      <c r="C64" s="1"/>
      <c r="D64" s="1"/>
      <c r="E64" s="1"/>
      <c r="F64" s="190"/>
      <c r="G64" s="9"/>
      <c r="H64" s="9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</row>
    <row r="65" customFormat="false" ht="15.75" hidden="false" customHeight="true" outlineLevel="0" collapsed="false">
      <c r="A65" s="1"/>
      <c r="B65" s="1"/>
      <c r="C65" s="1"/>
      <c r="D65" s="1"/>
      <c r="E65" s="1"/>
      <c r="F65" s="190"/>
      <c r="G65" s="2"/>
      <c r="H65" s="2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customFormat="false" ht="15.75" hidden="false" customHeight="tru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customFormat="false" ht="15.75" hidden="false" customHeight="tru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customFormat="false" ht="15.7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customFormat="false" ht="15.75" hidden="false" customHeight="tru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customFormat="false" ht="15.75" hidden="false" customHeight="tru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customFormat="false" ht="15.75" hidden="false" customHeight="tru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customFormat="false" ht="15.75" hidden="false" customHeight="tru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customFormat="false" ht="15.7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customFormat="false" ht="15.7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customFormat="false" ht="15.7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customFormat="false" ht="15.7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customFormat="false" ht="15.7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customFormat="false" ht="15.7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customFormat="false" ht="15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customFormat="false" ht="15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customFormat="false" ht="15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customFormat="false" ht="15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customFormat="false" ht="15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customFormat="false" ht="15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customFormat="false" ht="15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customFormat="false" ht="15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customFormat="false" ht="15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customFormat="false" ht="15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customFormat="false" ht="15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customFormat="false" ht="15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customFormat="false" ht="15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customFormat="false" ht="15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customFormat="false" ht="15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customFormat="false" ht="15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customFormat="false" ht="15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customFormat="false" ht="15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customFormat="false" ht="15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customFormat="false" ht="15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customFormat="false" ht="15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customFormat="false" ht="15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customFormat="false" ht="15.7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customFormat="false" ht="15.7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customFormat="false" ht="15.7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customFormat="false" ht="15.7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customFormat="false" ht="15.7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customFormat="false" ht="15.7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customFormat="false" ht="15.7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customFormat="false" ht="15.7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customFormat="false" ht="15.7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customFormat="false" ht="15.7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customFormat="false" ht="15.7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customFormat="false" ht="15.7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customFormat="false" ht="15.75" hidden="false" customHeight="tru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customFormat="false" ht="15.75" hidden="false" customHeight="tru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customFormat="false" ht="15.75" hidden="false" customHeight="tru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customFormat="false" ht="15.75" hidden="false" customHeight="tru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customFormat="false" ht="15.75" hidden="false" customHeight="tru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customFormat="false" ht="15.75" hidden="false" customHeight="tru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customFormat="false" ht="15.75" hidden="false" customHeight="tru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customFormat="false" ht="15.75" hidden="false" customHeight="tru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customFormat="false" ht="15.75" hidden="false" customHeight="tru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customFormat="false" ht="15.75" hidden="false" customHeight="tru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customFormat="false" ht="15.75" hidden="false" customHeight="tru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customFormat="false" ht="15.75" hidden="false" customHeight="tru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customFormat="false" ht="15.7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customFormat="false" ht="15.7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customFormat="false" ht="15.7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customFormat="false" ht="15.7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customFormat="false" ht="15.75" hidden="false" customHeight="tru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customFormat="false" ht="15.75" hidden="false" customHeight="tru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customFormat="false" ht="15.75" hidden="false" customHeight="tru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customFormat="false" ht="15.75" hidden="false" customHeight="tru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customFormat="false" ht="15.75" hidden="false" customHeight="tru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customFormat="false" ht="15.7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customFormat="false" ht="15.75" hidden="false" customHeight="tru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customFormat="false" ht="15.75" hidden="false" customHeight="tru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customFormat="false" ht="15.75" hidden="false" customHeight="tru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customFormat="false" ht="15.75" hidden="false" customHeight="tru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customFormat="false" ht="15.75" hidden="false" customHeight="tru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customFormat="false" ht="15.75" hidden="false" customHeight="tru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customFormat="false" ht="15.75" hidden="false" customHeight="tru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customFormat="false" ht="15.75" hidden="false" customHeight="tru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customFormat="false" ht="15.75" hidden="false" customHeight="tru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customFormat="false" ht="15.75" hidden="false" customHeight="tru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customFormat="false" ht="15.75" hidden="false" customHeight="tru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customFormat="false" ht="15.75" hidden="false" customHeight="tru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customFormat="false" ht="15.75" hidden="false" customHeight="tru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customFormat="false" ht="15.75" hidden="false" customHeight="tru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customFormat="false" ht="15.75" hidden="false" customHeight="tru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customFormat="false" ht="15.75" hidden="false" customHeight="tru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customFormat="false" ht="15.75" hidden="false" customHeight="tru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customFormat="false" ht="15.75" hidden="false" customHeight="tru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customFormat="false" ht="15.75" hidden="false" customHeight="tru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customFormat="false" ht="15.75" hidden="false" customHeight="tru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customFormat="false" ht="15.75" hidden="false" customHeight="tru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customFormat="false" ht="15.75" hidden="false" customHeight="tru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customFormat="false" ht="15.75" hidden="false" customHeight="tru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customFormat="false" ht="15.75" hidden="false" customHeight="tru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customFormat="false" ht="15.75" hidden="false" customHeight="tru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customFormat="false" ht="15.75" hidden="false" customHeight="tru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customFormat="false" ht="15.75" hidden="false" customHeight="true" outlineLevel="0" collapsed="false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customFormat="false" ht="15.75" hidden="false" customHeight="true" outlineLevel="0" collapsed="false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customFormat="false" ht="15.75" hidden="false" customHeight="true" outlineLevel="0" collapsed="false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customFormat="false" ht="15.75" hidden="false" customHeight="true" outlineLevel="0" collapsed="false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customFormat="false" ht="15.75" hidden="false" customHeight="true" outlineLevel="0" collapsed="false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customFormat="false" ht="15.75" hidden="false" customHeight="true" outlineLevel="0" collapsed="false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customFormat="false" ht="15.75" hidden="false" customHeight="true" outlineLevel="0" collapsed="false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customFormat="false" ht="15.75" hidden="false" customHeight="true" outlineLevel="0" collapsed="false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customFormat="false" ht="15.75" hidden="false" customHeight="true" outlineLevel="0" collapsed="false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customFormat="false" ht="15.75" hidden="false" customHeight="true" outlineLevel="0" collapsed="false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customFormat="false" ht="15.75" hidden="false" customHeight="true" outlineLevel="0" collapsed="false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customFormat="false" ht="15.75" hidden="false" customHeight="true" outlineLevel="0" collapsed="false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customFormat="false" ht="15.75" hidden="false" customHeight="true" outlineLevel="0" collapsed="false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customFormat="false" ht="15.75" hidden="false" customHeight="true" outlineLevel="0" collapsed="false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customFormat="false" ht="15.75" hidden="false" customHeight="true" outlineLevel="0" collapsed="false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customFormat="false" ht="15.75" hidden="false" customHeight="true" outlineLevel="0" collapsed="false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customFormat="false" ht="15.75" hidden="false" customHeight="true" outlineLevel="0" collapsed="false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customFormat="false" ht="15.75" hidden="false" customHeight="true" outlineLevel="0" collapsed="false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customFormat="false" ht="15.75" hidden="false" customHeight="true" outlineLevel="0" collapsed="false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customFormat="false" ht="15.75" hidden="false" customHeight="true" outlineLevel="0" collapsed="false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customFormat="false" ht="15.75" hidden="false" customHeight="true" outlineLevel="0" collapsed="false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customFormat="false" ht="15.75" hidden="false" customHeight="true" outlineLevel="0" collapsed="false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customFormat="false" ht="15.75" hidden="false" customHeight="true" outlineLevel="0" collapsed="false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customFormat="false" ht="15.75" hidden="false" customHeight="true" outlineLevel="0" collapsed="false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customFormat="false" ht="15.75" hidden="false" customHeight="true" outlineLevel="0" collapsed="false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customFormat="false" ht="15.75" hidden="false" customHeight="true" outlineLevel="0" collapsed="false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customFormat="false" ht="15.75" hidden="false" customHeight="true" outlineLevel="0" collapsed="false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customFormat="false" ht="15.75" hidden="false" customHeight="true" outlineLevel="0" collapsed="false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customFormat="false" ht="15.75" hidden="false" customHeight="true" outlineLevel="0" collapsed="false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customFormat="false" ht="15.75" hidden="false" customHeight="true" outlineLevel="0" collapsed="false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customFormat="false" ht="15.75" hidden="false" customHeight="true" outlineLevel="0" collapsed="false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customFormat="false" ht="15.75" hidden="false" customHeight="true" outlineLevel="0" collapsed="false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customFormat="false" ht="15.75" hidden="false" customHeight="true" outlineLevel="0" collapsed="false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customFormat="false" ht="15.75" hidden="false" customHeight="true" outlineLevel="0" collapsed="false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customFormat="false" ht="15.75" hidden="false" customHeight="true" outlineLevel="0" collapsed="false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customFormat="false" ht="15.75" hidden="false" customHeight="true" outlineLevel="0" collapsed="false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customFormat="false" ht="15.75" hidden="false" customHeight="tru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customFormat="false" ht="15.75" hidden="false" customHeight="tru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customFormat="false" ht="15.75" hidden="false" customHeight="tru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customFormat="false" ht="15.75" hidden="false" customHeight="tru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customFormat="false" ht="15.75" hidden="false" customHeight="tru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customFormat="false" ht="15.75" hidden="false" customHeight="tru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customFormat="false" ht="15.75" hidden="false" customHeight="tru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customFormat="false" ht="15.75" hidden="false" customHeight="tru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customFormat="false" ht="15.75" hidden="false" customHeight="tru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customFormat="false" ht="15.75" hidden="false" customHeight="tru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customFormat="false" ht="15.75" hidden="false" customHeight="tru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customFormat="false" ht="15.75" hidden="false" customHeight="tru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customFormat="false" ht="15.75" hidden="false" customHeight="tru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customFormat="false" ht="15.75" hidden="false" customHeight="tru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customFormat="false" ht="15.75" hidden="false" customHeight="tru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customFormat="false" ht="15.75" hidden="false" customHeight="tru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customFormat="false" ht="15.75" hidden="false" customHeight="tru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customFormat="false" ht="15.75" hidden="false" customHeight="tru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customFormat="false" ht="15.75" hidden="false" customHeight="tru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customFormat="false" ht="15.75" hidden="false" customHeight="tru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customFormat="false" ht="15.75" hidden="false" customHeight="tru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customFormat="false" ht="15.75" hidden="false" customHeight="tru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customFormat="false" ht="15.75" hidden="false" customHeight="tru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customFormat="false" ht="15.75" hidden="false" customHeight="tru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customFormat="false" ht="15.75" hidden="false" customHeight="tru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customFormat="false" ht="15.75" hidden="false" customHeight="tru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customFormat="false" ht="15.75" hidden="false" customHeight="tru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customFormat="false" ht="15.75" hidden="false" customHeight="tru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customFormat="false" ht="15.75" hidden="false" customHeight="tru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customFormat="false" ht="15.75" hidden="false" customHeight="tru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customFormat="false" ht="15.75" hidden="false" customHeight="tru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customFormat="false" ht="15.75" hidden="false" customHeight="tru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customFormat="false" ht="15.75" hidden="false" customHeight="tru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customFormat="false" ht="15.75" hidden="false" customHeight="tru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customFormat="false" ht="15.75" hidden="false" customHeight="tru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customFormat="false" ht="15.75" hidden="false" customHeight="tru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customFormat="false" ht="15.75" hidden="false" customHeight="tru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customFormat="false" ht="15.75" hidden="false" customHeight="tru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customFormat="false" ht="15.75" hidden="false" customHeight="tru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customFormat="false" ht="15.75" hidden="false" customHeight="tru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customFormat="false" ht="15.75" hidden="false" customHeight="tru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customFormat="false" ht="15.75" hidden="false" customHeight="tru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customFormat="false" ht="15.75" hidden="false" customHeight="tru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customFormat="false" ht="15.75" hidden="false" customHeight="tru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customFormat="false" ht="15.75" hidden="false" customHeight="tru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customFormat="false" ht="15.75" hidden="false" customHeight="tru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customFormat="false" ht="15.75" hidden="false" customHeight="tru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customFormat="false" ht="15.75" hidden="false" customHeight="tru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customFormat="false" ht="15.75" hidden="false" customHeight="tru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customFormat="false" ht="15.75" hidden="false" customHeight="tru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customFormat="false" ht="15.75" hidden="false" customHeight="tru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customFormat="false" ht="15.75" hidden="false" customHeight="tru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customFormat="false" ht="15.75" hidden="false" customHeight="tru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customFormat="false" ht="15.75" hidden="false" customHeight="tru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customFormat="false" ht="15.75" hidden="false" customHeight="tru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customFormat="false" ht="15.75" hidden="false" customHeight="tru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customFormat="false" ht="15.75" hidden="false" customHeight="tru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customFormat="false" ht="15.75" hidden="false" customHeight="tru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customFormat="false" ht="15.75" hidden="false" customHeight="tru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customFormat="false" ht="15.75" hidden="false" customHeight="tru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customFormat="false" ht="15.75" hidden="false" customHeight="tru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customFormat="false" ht="15.75" hidden="false" customHeight="tru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customFormat="false" ht="15.75" hidden="false" customHeight="tru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customFormat="false" ht="15.75" hidden="false" customHeight="tru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customFormat="false" ht="15.75" hidden="false" customHeight="tru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customFormat="false" ht="15.75" hidden="false" customHeight="tru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customFormat="false" ht="15.75" hidden="false" customHeight="tru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customFormat="false" ht="15.75" hidden="false" customHeight="tru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customFormat="false" ht="15.75" hidden="false" customHeight="tru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customFormat="false" ht="15.75" hidden="false" customHeight="tru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customFormat="false" ht="15.75" hidden="false" customHeight="tru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customFormat="false" ht="15.75" hidden="false" customHeight="tru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customFormat="false" ht="15.75" hidden="false" customHeight="tru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customFormat="false" ht="15.75" hidden="false" customHeight="tru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customFormat="false" ht="15.75" hidden="false" customHeight="tru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customFormat="false" ht="15.75" hidden="false" customHeight="tru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customFormat="false" ht="15.75" hidden="false" customHeight="tru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customFormat="false" ht="15.75" hidden="false" customHeight="tru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customFormat="false" ht="15.75" hidden="false" customHeight="tru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customFormat="false" ht="15.75" hidden="false" customHeight="tru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customFormat="false" ht="15.75" hidden="false" customHeight="tru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customFormat="false" ht="15.75" hidden="false" customHeight="tru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customFormat="false" ht="15.75" hidden="false" customHeight="tru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customFormat="false" ht="15.75" hidden="false" customHeight="tru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customFormat="false" ht="15.75" hidden="false" customHeight="tru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customFormat="false" ht="15.75" hidden="false" customHeight="tru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customFormat="false" ht="15.75" hidden="false" customHeight="tru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customFormat="false" ht="15.75" hidden="false" customHeight="tru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customFormat="false" ht="15.75" hidden="false" customHeight="tru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customFormat="false" ht="15.75" hidden="false" customHeight="tru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customFormat="false" ht="15.75" hidden="false" customHeight="tru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customFormat="false" ht="15.75" hidden="false" customHeight="tru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customFormat="false" ht="15.75" hidden="false" customHeight="tru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customFormat="false" ht="15.75" hidden="false" customHeight="tru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customFormat="false" ht="15.75" hidden="false" customHeight="tru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customFormat="false" ht="15.75" hidden="false" customHeight="tru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customFormat="false" ht="15.75" hidden="false" customHeight="tru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customFormat="false" ht="15.75" hidden="false" customHeight="tru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customFormat="false" ht="15.75" hidden="false" customHeight="tru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customFormat="false" ht="15.75" hidden="false" customHeight="tru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customFormat="false" ht="15.75" hidden="false" customHeight="tru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customFormat="false" ht="15.75" hidden="false" customHeight="tru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customFormat="false" ht="15.75" hidden="false" customHeight="tru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customFormat="false" ht="15.75" hidden="false" customHeight="tru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customFormat="false" ht="15.75" hidden="false" customHeight="tru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customFormat="false" ht="15.75" hidden="false" customHeight="tru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customFormat="false" ht="15.75" hidden="false" customHeight="tru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customFormat="false" ht="15.75" hidden="false" customHeight="tru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customFormat="false" ht="15.75" hidden="false" customHeight="tru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customFormat="false" ht="15.75" hidden="false" customHeight="tru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customFormat="false" ht="15.75" hidden="false" customHeight="tru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customFormat="false" ht="15.75" hidden="false" customHeight="tru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customFormat="false" ht="15.75" hidden="false" customHeight="tru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customFormat="false" ht="15.75" hidden="false" customHeight="tru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customFormat="false" ht="15.75" hidden="false" customHeight="tru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customFormat="false" ht="15.75" hidden="false" customHeight="tru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customFormat="false" ht="15.75" hidden="false" customHeight="tru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customFormat="false" ht="15.75" hidden="false" customHeight="tru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customFormat="false" ht="15.75" hidden="false" customHeight="tru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customFormat="false" ht="15.75" hidden="false" customHeight="tru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customFormat="false" ht="15.75" hidden="false" customHeight="tru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customFormat="false" ht="15.75" hidden="false" customHeight="tru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customFormat="false" ht="15.75" hidden="false" customHeight="tru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customFormat="false" ht="15.75" hidden="false" customHeight="tru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customFormat="false" ht="15.75" hidden="false" customHeight="tru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customFormat="false" ht="15.75" hidden="false" customHeight="tru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customFormat="false" ht="15.75" hidden="false" customHeight="tru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customFormat="false" ht="15.75" hidden="false" customHeight="tru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customFormat="false" ht="15.75" hidden="false" customHeight="tru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customFormat="false" ht="15.75" hidden="false" customHeight="tru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customFormat="false" ht="15.75" hidden="false" customHeight="tru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customFormat="false" ht="15.75" hidden="false" customHeight="tru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customFormat="false" ht="15.75" hidden="false" customHeight="tru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customFormat="false" ht="15.75" hidden="false" customHeight="tru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customFormat="false" ht="15.75" hidden="false" customHeight="tru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customFormat="false" ht="15.75" hidden="false" customHeight="tru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customFormat="false" ht="15.75" hidden="false" customHeight="tru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customFormat="false" ht="15.75" hidden="false" customHeight="tru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customFormat="false" ht="15.75" hidden="false" customHeight="tru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customFormat="false" ht="15.75" hidden="false" customHeight="tru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customFormat="false" ht="15.75" hidden="false" customHeight="tru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customFormat="false" ht="15.75" hidden="false" customHeight="tru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customFormat="false" ht="15.75" hidden="false" customHeight="tru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customFormat="false" ht="15.75" hidden="false" customHeight="tru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customFormat="false" ht="15.75" hidden="false" customHeight="tru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customFormat="false" ht="15.75" hidden="false" customHeight="tru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customFormat="false" ht="15.75" hidden="false" customHeight="tru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customFormat="false" ht="15.75" hidden="false" customHeight="tru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customFormat="false" ht="15.75" hidden="false" customHeight="tru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customFormat="false" ht="15.75" hidden="false" customHeight="tru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customFormat="false" ht="15.75" hidden="false" customHeight="tru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customFormat="false" ht="15.75" hidden="false" customHeight="tru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customFormat="false" ht="15.75" hidden="false" customHeight="tru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customFormat="false" ht="15.75" hidden="false" customHeight="tru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customFormat="false" ht="15.75" hidden="false" customHeight="tru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customFormat="false" ht="15.75" hidden="false" customHeight="tru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customFormat="false" ht="15.75" hidden="false" customHeight="tru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customFormat="false" ht="15.75" hidden="false" customHeight="tru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customFormat="false" ht="15.75" hidden="false" customHeight="tru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customFormat="false" ht="15.75" hidden="false" customHeight="tru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customFormat="false" ht="15.75" hidden="false" customHeight="tru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customFormat="false" ht="15.75" hidden="false" customHeight="tru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customFormat="false" ht="15.75" hidden="false" customHeight="tru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customFormat="false" ht="15.75" hidden="false" customHeight="tru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customFormat="false" ht="15.75" hidden="false" customHeight="tru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customFormat="false" ht="15.75" hidden="false" customHeight="tru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customFormat="false" ht="15.75" hidden="false" customHeight="tru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customFormat="false" ht="15.75" hidden="false" customHeight="tru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customFormat="false" ht="15.75" hidden="false" customHeight="tru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customFormat="false" ht="15.75" hidden="false" customHeight="tru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customFormat="false" ht="15.75" hidden="false" customHeight="tru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customFormat="false" ht="15.75" hidden="false" customHeight="tru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customFormat="false" ht="15.75" hidden="false" customHeight="tru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customFormat="false" ht="15.75" hidden="false" customHeight="tru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customFormat="false" ht="15.75" hidden="false" customHeight="tru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customFormat="false" ht="15.75" hidden="false" customHeight="tru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customFormat="false" ht="15.75" hidden="false" customHeight="tru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customFormat="false" ht="15.75" hidden="false" customHeight="tru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customFormat="false" ht="15.75" hidden="false" customHeight="tru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customFormat="false" ht="15.75" hidden="false" customHeight="tru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customFormat="false" ht="15.75" hidden="false" customHeight="tru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customFormat="false" ht="15.75" hidden="false" customHeight="tru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customFormat="false" ht="15.75" hidden="false" customHeight="tru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customFormat="false" ht="15.75" hidden="false" customHeight="tru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customFormat="false" ht="15.75" hidden="false" customHeight="tru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customFormat="false" ht="15.75" hidden="false" customHeight="tru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customFormat="false" ht="15.75" hidden="false" customHeight="tru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customFormat="false" ht="15.75" hidden="false" customHeight="tru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customFormat="false" ht="15.75" hidden="false" customHeight="tru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customFormat="false" ht="15.75" hidden="false" customHeight="tru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customFormat="false" ht="15.75" hidden="false" customHeight="tru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customFormat="false" ht="15.75" hidden="false" customHeight="tru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customFormat="false" ht="15.75" hidden="false" customHeight="tru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customFormat="false" ht="15.75" hidden="false" customHeight="tru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customFormat="false" ht="15.75" hidden="false" customHeight="tru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customFormat="false" ht="15.75" hidden="false" customHeight="tru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customFormat="false" ht="15.75" hidden="false" customHeight="tru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customFormat="false" ht="15.75" hidden="false" customHeight="tru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customFormat="false" ht="15.75" hidden="false" customHeight="tru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customFormat="false" ht="15.75" hidden="false" customHeight="tru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customFormat="false" ht="15.75" hidden="false" customHeight="tru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customFormat="false" ht="15.75" hidden="false" customHeight="tru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customFormat="false" ht="15.75" hidden="false" customHeight="tru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customFormat="false" ht="15.75" hidden="false" customHeight="tru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customFormat="false" ht="15.75" hidden="false" customHeight="tru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customFormat="false" ht="15.75" hidden="false" customHeight="tru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customFormat="false" ht="15.75" hidden="false" customHeight="tru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customFormat="false" ht="15.75" hidden="false" customHeight="tru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customFormat="false" ht="15.75" hidden="false" customHeight="tru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customFormat="false" ht="15.75" hidden="false" customHeight="tru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customFormat="false" ht="15.75" hidden="false" customHeight="tru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customFormat="false" ht="15.75" hidden="false" customHeight="tru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customFormat="false" ht="15.75" hidden="false" customHeight="tru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customFormat="false" ht="15.75" hidden="false" customHeight="tru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customFormat="false" ht="15.75" hidden="false" customHeight="tru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customFormat="false" ht="15.75" hidden="false" customHeight="tru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customFormat="false" ht="15.75" hidden="false" customHeight="tru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customFormat="false" ht="15.75" hidden="false" customHeight="tru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customFormat="false" ht="15.75" hidden="false" customHeight="tru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customFormat="false" ht="15.75" hidden="false" customHeight="tru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customFormat="false" ht="15.75" hidden="false" customHeight="tru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customFormat="false" ht="15.75" hidden="false" customHeight="tru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customFormat="false" ht="15.75" hidden="false" customHeight="tru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customFormat="false" ht="15.75" hidden="false" customHeight="tru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customFormat="false" ht="15.75" hidden="false" customHeight="tru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customFormat="false" ht="15.75" hidden="false" customHeight="tru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customFormat="false" ht="15.75" hidden="false" customHeight="tru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customFormat="false" ht="15.75" hidden="false" customHeight="tru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customFormat="false" ht="15.75" hidden="false" customHeight="tru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customFormat="false" ht="15.75" hidden="false" customHeight="tru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customFormat="false" ht="15.75" hidden="false" customHeight="tru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customFormat="false" ht="15.75" hidden="false" customHeight="tru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customFormat="false" ht="15.75" hidden="false" customHeight="tru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customFormat="false" ht="15.75" hidden="false" customHeight="tru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customFormat="false" ht="15.75" hidden="false" customHeight="tru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customFormat="false" ht="15.75" hidden="false" customHeight="tru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customFormat="false" ht="15.75" hidden="false" customHeight="tru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customFormat="false" ht="15.75" hidden="false" customHeight="tru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customFormat="false" ht="15.75" hidden="false" customHeight="tru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customFormat="false" ht="15.75" hidden="false" customHeight="tru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customFormat="false" ht="15.75" hidden="false" customHeight="tru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customFormat="false" ht="15.75" hidden="false" customHeight="tru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customFormat="false" ht="15.75" hidden="false" customHeight="tru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customFormat="false" ht="15.75" hidden="false" customHeight="tru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customFormat="false" ht="15.75" hidden="false" customHeight="tru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customFormat="false" ht="15.75" hidden="false" customHeight="tru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customFormat="false" ht="15.75" hidden="false" customHeight="tru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customFormat="false" ht="15.75" hidden="false" customHeight="tru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customFormat="false" ht="15.75" hidden="false" customHeight="tru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customFormat="false" ht="15.75" hidden="false" customHeight="tru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customFormat="false" ht="15.75" hidden="false" customHeight="tru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customFormat="false" ht="15.75" hidden="false" customHeight="tru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customFormat="false" ht="15.75" hidden="false" customHeight="tru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customFormat="false" ht="15.75" hidden="false" customHeight="tru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customFormat="false" ht="15.75" hidden="false" customHeight="tru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customFormat="false" ht="15.75" hidden="false" customHeight="tru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customFormat="false" ht="15.75" hidden="false" customHeight="tru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customFormat="false" ht="15.75" hidden="false" customHeight="tru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customFormat="false" ht="15.75" hidden="false" customHeight="tru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customFormat="false" ht="15.75" hidden="false" customHeight="tru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customFormat="false" ht="15.75" hidden="false" customHeight="tru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customFormat="false" ht="15.75" hidden="false" customHeight="tru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customFormat="false" ht="15.75" hidden="false" customHeight="tru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customFormat="false" ht="15.75" hidden="false" customHeight="tru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customFormat="false" ht="15.75" hidden="false" customHeight="tru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customFormat="false" ht="15.75" hidden="false" customHeight="tru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customFormat="false" ht="15.75" hidden="false" customHeight="tru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customFormat="false" ht="15.75" hidden="false" customHeight="tru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customFormat="false" ht="15.75" hidden="false" customHeight="tru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customFormat="false" ht="15.75" hidden="false" customHeight="tru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customFormat="false" ht="15.75" hidden="false" customHeight="tru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customFormat="false" ht="15.75" hidden="false" customHeight="tru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customFormat="false" ht="15.75" hidden="false" customHeight="tru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customFormat="false" ht="15.75" hidden="false" customHeight="tru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customFormat="false" ht="15.75" hidden="false" customHeight="tru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customFormat="false" ht="15.75" hidden="false" customHeight="tru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customFormat="false" ht="15.75" hidden="false" customHeight="tru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customFormat="false" ht="15.75" hidden="false" customHeight="tru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customFormat="false" ht="15.75" hidden="false" customHeight="tru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customFormat="false" ht="15.75" hidden="false" customHeight="tru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customFormat="false" ht="15.75" hidden="false" customHeight="tru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customFormat="false" ht="15.75" hidden="false" customHeight="tru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customFormat="false" ht="15.75" hidden="false" customHeight="tru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customFormat="false" ht="15.75" hidden="false" customHeight="tru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customFormat="false" ht="15.75" hidden="false" customHeight="tru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customFormat="false" ht="15.75" hidden="false" customHeight="tru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customFormat="false" ht="15.75" hidden="false" customHeight="tru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customFormat="false" ht="15.75" hidden="false" customHeight="tru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customFormat="false" ht="15.75" hidden="false" customHeight="tru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customFormat="false" ht="15.75" hidden="false" customHeight="tru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customFormat="false" ht="15.75" hidden="false" customHeight="tru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customFormat="false" ht="15.75" hidden="false" customHeight="tru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customFormat="false" ht="15.75" hidden="false" customHeight="tru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customFormat="false" ht="15.75" hidden="false" customHeight="tru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customFormat="false" ht="15.75" hidden="false" customHeight="tru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customFormat="false" ht="15.75" hidden="false" customHeight="tru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customFormat="false" ht="15.75" hidden="false" customHeight="tru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customFormat="false" ht="15.75" hidden="false" customHeight="tru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customFormat="false" ht="15.75" hidden="false" customHeight="tru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customFormat="false" ht="15.75" hidden="false" customHeight="tru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customFormat="false" ht="15.75" hidden="false" customHeight="tru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customFormat="false" ht="15.75" hidden="false" customHeight="tru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customFormat="false" ht="15.75" hidden="false" customHeight="tru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customFormat="false" ht="15.75" hidden="false" customHeight="tru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customFormat="false" ht="15.75" hidden="false" customHeight="tru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customFormat="false" ht="15.75" hidden="false" customHeight="tru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customFormat="false" ht="15.75" hidden="false" customHeight="tru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customFormat="false" ht="15.75" hidden="false" customHeight="tru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customFormat="false" ht="15.75" hidden="false" customHeight="tru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customFormat="false" ht="15.75" hidden="false" customHeight="tru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customFormat="false" ht="15.75" hidden="false" customHeight="tru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customFormat="false" ht="15.75" hidden="false" customHeight="tru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customFormat="false" ht="15.75" hidden="false" customHeight="tru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customFormat="false" ht="15.75" hidden="false" customHeight="tru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customFormat="false" ht="15.75" hidden="false" customHeight="tru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customFormat="false" ht="15.75" hidden="false" customHeight="tru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customFormat="false" ht="15.75" hidden="false" customHeight="tru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customFormat="false" ht="15.75" hidden="false" customHeight="tru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customFormat="false" ht="15.75" hidden="false" customHeight="tru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customFormat="false" ht="15.75" hidden="false" customHeight="tru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customFormat="false" ht="15.75" hidden="false" customHeight="tru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customFormat="false" ht="15.75" hidden="false" customHeight="tru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customFormat="false" ht="15.75" hidden="false" customHeight="tru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customFormat="false" ht="15.75" hidden="false" customHeight="tru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customFormat="false" ht="15.75" hidden="false" customHeight="tru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customFormat="false" ht="15.75" hidden="false" customHeight="tru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customFormat="false" ht="15.75" hidden="false" customHeight="tru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customFormat="false" ht="15.75" hidden="false" customHeight="tru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customFormat="false" ht="15.75" hidden="false" customHeight="tru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customFormat="false" ht="15.75" hidden="false" customHeight="tru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customFormat="false" ht="15.75" hidden="false" customHeight="tru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customFormat="false" ht="15.75" hidden="false" customHeight="tru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customFormat="false" ht="15.75" hidden="false" customHeight="tru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customFormat="false" ht="15.75" hidden="false" customHeight="tru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customFormat="false" ht="15.75" hidden="false" customHeight="tru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customFormat="false" ht="15.75" hidden="false" customHeight="tru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customFormat="false" ht="15.75" hidden="false" customHeight="tru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customFormat="false" ht="15.75" hidden="false" customHeight="tru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customFormat="false" ht="15.75" hidden="false" customHeight="tru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customFormat="false" ht="15.75" hidden="false" customHeight="tru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customFormat="false" ht="15.75" hidden="false" customHeight="tru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customFormat="false" ht="15.75" hidden="false" customHeight="tru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customFormat="false" ht="15.75" hidden="false" customHeight="tru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customFormat="false" ht="15.75" hidden="false" customHeight="tru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customFormat="false" ht="15.75" hidden="false" customHeight="tru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customFormat="false" ht="15.75" hidden="false" customHeight="tru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customFormat="false" ht="15.75" hidden="false" customHeight="tru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customFormat="false" ht="15.75" hidden="false" customHeight="tru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customFormat="false" ht="15.75" hidden="false" customHeight="tru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customFormat="false" ht="15.75" hidden="false" customHeight="tru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customFormat="false" ht="15.75" hidden="false" customHeight="tru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customFormat="false" ht="15.75" hidden="false" customHeight="tru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customFormat="false" ht="15.75" hidden="false" customHeight="tru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customFormat="false" ht="15.75" hidden="false" customHeight="tru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customFormat="false" ht="15.75" hidden="false" customHeight="tru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customFormat="false" ht="15.75" hidden="false" customHeight="tru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customFormat="false" ht="15.75" hidden="false" customHeight="tru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customFormat="false" ht="15.75" hidden="false" customHeight="tru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customFormat="false" ht="15.75" hidden="false" customHeight="tru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customFormat="false" ht="15.75" hidden="false" customHeight="tru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customFormat="false" ht="15.75" hidden="false" customHeight="tru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customFormat="false" ht="15.75" hidden="false" customHeight="tru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customFormat="false" ht="15.75" hidden="false" customHeight="tru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customFormat="false" ht="15.75" hidden="false" customHeight="tru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customFormat="false" ht="15.75" hidden="false" customHeight="tru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customFormat="false" ht="15.75" hidden="false" customHeight="tru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customFormat="false" ht="15.75" hidden="false" customHeight="tru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customFormat="false" ht="15.75" hidden="false" customHeight="tru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customFormat="false" ht="15.75" hidden="false" customHeight="tru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customFormat="false" ht="15.75" hidden="false" customHeight="tru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customFormat="false" ht="15.75" hidden="false" customHeight="tru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customFormat="false" ht="15.75" hidden="false" customHeight="tru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customFormat="false" ht="15.75" hidden="false" customHeight="tru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customFormat="false" ht="15.75" hidden="false" customHeight="tru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customFormat="false" ht="15.75" hidden="false" customHeight="tru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customFormat="false" ht="15.75" hidden="false" customHeight="tru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customFormat="false" ht="15.75" hidden="false" customHeight="tru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customFormat="false" ht="15.75" hidden="false" customHeight="tru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customFormat="false" ht="15.75" hidden="false" customHeight="tru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customFormat="false" ht="15.75" hidden="false" customHeight="tru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customFormat="false" ht="15.75" hidden="false" customHeight="tru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customFormat="false" ht="15.75" hidden="false" customHeight="tru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customFormat="false" ht="15.75" hidden="false" customHeight="tru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customFormat="false" ht="15.75" hidden="false" customHeight="tru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customFormat="false" ht="15.75" hidden="false" customHeight="tru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customFormat="false" ht="15.75" hidden="false" customHeight="tru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customFormat="false" ht="15.75" hidden="false" customHeight="tru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customFormat="false" ht="15.75" hidden="false" customHeight="tru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customFormat="false" ht="15.75" hidden="false" customHeight="tru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customFormat="false" ht="15.75" hidden="false" customHeight="tru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customFormat="false" ht="15.75" hidden="false" customHeight="tru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customFormat="false" ht="15.75" hidden="false" customHeight="tru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customFormat="false" ht="15.75" hidden="false" customHeight="tru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customFormat="false" ht="15.75" hidden="false" customHeight="tru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customFormat="false" ht="15.75" hidden="false" customHeight="tru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customFormat="false" ht="15.75" hidden="false" customHeight="tru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customFormat="false" ht="15.75" hidden="false" customHeight="tru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customFormat="false" ht="15.75" hidden="false" customHeight="tru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customFormat="false" ht="15.75" hidden="false" customHeight="tru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customFormat="false" ht="15.75" hidden="false" customHeight="tru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customFormat="false" ht="15.75" hidden="false" customHeight="tru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customFormat="false" ht="15.75" hidden="false" customHeight="tru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customFormat="false" ht="15.75" hidden="false" customHeight="tru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customFormat="false" ht="15.75" hidden="false" customHeight="tru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customFormat="false" ht="15.75" hidden="false" customHeight="tru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customFormat="false" ht="15.75" hidden="false" customHeight="tru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customFormat="false" ht="15.75" hidden="false" customHeight="tru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customFormat="false" ht="15.75" hidden="false" customHeight="tru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customFormat="false" ht="15.75" hidden="false" customHeight="tru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customFormat="false" ht="15.75" hidden="false" customHeight="tru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customFormat="false" ht="15.75" hidden="false" customHeight="tru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customFormat="false" ht="15.75" hidden="false" customHeight="tru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customFormat="false" ht="15.75" hidden="false" customHeight="tru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customFormat="false" ht="15.75" hidden="false" customHeight="tru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customFormat="false" ht="15.75" hidden="false" customHeight="tru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customFormat="false" ht="15.75" hidden="false" customHeight="tru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customFormat="false" ht="15.75" hidden="false" customHeight="tru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customFormat="false" ht="15.75" hidden="false" customHeight="tru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customFormat="false" ht="15.75" hidden="false" customHeight="tru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customFormat="false" ht="15.75" hidden="false" customHeight="tru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customFormat="false" ht="15.75" hidden="false" customHeight="tru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customFormat="false" ht="15.75" hidden="false" customHeight="tru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customFormat="false" ht="15.75" hidden="false" customHeight="tru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customFormat="false" ht="15.75" hidden="false" customHeight="tru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customFormat="false" ht="15.75" hidden="false" customHeight="tru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customFormat="false" ht="15.75" hidden="false" customHeight="tru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customFormat="false" ht="15.75" hidden="false" customHeight="tru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customFormat="false" ht="15.75" hidden="false" customHeight="tru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customFormat="false" ht="15.75" hidden="false" customHeight="tru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customFormat="false" ht="15.75" hidden="false" customHeight="tru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customFormat="false" ht="15.75" hidden="false" customHeight="tru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customFormat="false" ht="15.75" hidden="false" customHeight="tru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customFormat="false" ht="15.75" hidden="false" customHeight="tru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customFormat="false" ht="15.75" hidden="false" customHeight="tru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customFormat="false" ht="15.75" hidden="false" customHeight="tru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customFormat="false" ht="15.75" hidden="false" customHeight="tru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customFormat="false" ht="15.75" hidden="false" customHeight="tru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customFormat="false" ht="15.75" hidden="false" customHeight="tru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customFormat="false" ht="15.75" hidden="false" customHeight="tru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customFormat="false" ht="15.75" hidden="false" customHeight="tru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customFormat="false" ht="15.75" hidden="false" customHeight="tru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customFormat="false" ht="15.75" hidden="false" customHeight="tru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customFormat="false" ht="15.75" hidden="false" customHeight="tru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customFormat="false" ht="15.75" hidden="false" customHeight="tru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customFormat="false" ht="15.75" hidden="false" customHeight="tru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customFormat="false" ht="15.75" hidden="false" customHeight="tru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customFormat="false" ht="15.75" hidden="false" customHeight="tru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customFormat="false" ht="15.75" hidden="false" customHeight="tru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customFormat="false" ht="15.75" hidden="false" customHeight="tru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customFormat="false" ht="15.75" hidden="false" customHeight="tru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customFormat="false" ht="15.75" hidden="false" customHeight="tru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customFormat="false" ht="15.75" hidden="false" customHeight="tru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customFormat="false" ht="15.75" hidden="false" customHeight="tru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customFormat="false" ht="15.75" hidden="false" customHeight="tru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customFormat="false" ht="15.75" hidden="false" customHeight="tru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customFormat="false" ht="15.75" hidden="false" customHeight="tru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customFormat="false" ht="15.75" hidden="false" customHeight="tru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customFormat="false" ht="15.75" hidden="false" customHeight="tru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customFormat="false" ht="15.75" hidden="false" customHeight="tru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customFormat="false" ht="15.75" hidden="false" customHeight="tru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customFormat="false" ht="15.75" hidden="false" customHeight="tru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customFormat="false" ht="15.75" hidden="false" customHeight="tru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customFormat="false" ht="15.75" hidden="false" customHeight="tru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customFormat="false" ht="15.75" hidden="false" customHeight="tru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customFormat="false" ht="15.75" hidden="false" customHeight="tru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customFormat="false" ht="15.75" hidden="false" customHeight="tru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customFormat="false" ht="15.75" hidden="false" customHeight="tru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customFormat="false" ht="15.75" hidden="false" customHeight="tru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customFormat="false" ht="15.75" hidden="false" customHeight="tru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customFormat="false" ht="15.75" hidden="false" customHeight="tru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customFormat="false" ht="15.75" hidden="false" customHeight="tru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customFormat="false" ht="15.75" hidden="false" customHeight="tru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customFormat="false" ht="15.75" hidden="false" customHeight="tru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customFormat="false" ht="15.75" hidden="false" customHeight="tru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customFormat="false" ht="15.75" hidden="false" customHeight="tru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customFormat="false" ht="15.75" hidden="false" customHeight="tru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customFormat="false" ht="15.75" hidden="false" customHeight="tru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customFormat="false" ht="15.75" hidden="false" customHeight="tru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customFormat="false" ht="15.75" hidden="false" customHeight="tru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customFormat="false" ht="15.75" hidden="false" customHeight="tru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customFormat="false" ht="15.75" hidden="false" customHeight="tru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customFormat="false" ht="15.75" hidden="false" customHeight="tru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customFormat="false" ht="15.75" hidden="false" customHeight="tru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customFormat="false" ht="15.75" hidden="false" customHeight="tru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customFormat="false" ht="15.75" hidden="false" customHeight="tru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customFormat="false" ht="15.75" hidden="false" customHeight="tru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customFormat="false" ht="15.75" hidden="false" customHeight="tru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customFormat="false" ht="15.75" hidden="false" customHeight="tru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customFormat="false" ht="15.75" hidden="false" customHeight="tru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customFormat="false" ht="15.75" hidden="false" customHeight="tru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customFormat="false" ht="15.75" hidden="false" customHeight="tru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customFormat="false" ht="15.75" hidden="false" customHeight="tru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customFormat="false" ht="15.75" hidden="false" customHeight="tru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customFormat="false" ht="15.75" hidden="false" customHeight="tru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customFormat="false" ht="15.75" hidden="false" customHeight="tru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customFormat="false" ht="15.75" hidden="false" customHeight="tru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customFormat="false" ht="15.75" hidden="false" customHeight="tru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customFormat="false" ht="15.75" hidden="false" customHeight="tru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customFormat="false" ht="15.75" hidden="false" customHeight="tru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customFormat="false" ht="15.75" hidden="false" customHeight="tru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customFormat="false" ht="15.75" hidden="false" customHeight="tru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customFormat="false" ht="15.75" hidden="false" customHeight="tru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customFormat="false" ht="15.75" hidden="false" customHeight="tru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customFormat="false" ht="15.75" hidden="false" customHeight="tru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customFormat="false" ht="15.75" hidden="false" customHeight="tru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customFormat="false" ht="15.75" hidden="false" customHeight="tru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customFormat="false" ht="15.75" hidden="false" customHeight="tru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customFormat="false" ht="15.75" hidden="false" customHeight="tru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customFormat="false" ht="15.75" hidden="false" customHeight="tru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customFormat="false" ht="15.75" hidden="false" customHeight="tru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customFormat="false" ht="15.75" hidden="false" customHeight="tru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customFormat="false" ht="15.75" hidden="false" customHeight="tru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customFormat="false" ht="15.75" hidden="false" customHeight="tru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customFormat="false" ht="15.75" hidden="false" customHeight="tru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customFormat="false" ht="15.75" hidden="false" customHeight="tru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customFormat="false" ht="15.75" hidden="false" customHeight="tru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customFormat="false" ht="15.75" hidden="false" customHeight="tru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customFormat="false" ht="15.75" hidden="false" customHeight="tru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customFormat="false" ht="15.75" hidden="false" customHeight="tru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customFormat="false" ht="15.75" hidden="false" customHeight="tru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customFormat="false" ht="15.75" hidden="false" customHeight="tru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customFormat="false" ht="15.75" hidden="false" customHeight="tru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customFormat="false" ht="15.75" hidden="false" customHeight="tru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customFormat="false" ht="15.75" hidden="false" customHeight="tru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customFormat="false" ht="15.75" hidden="false" customHeight="tru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customFormat="false" ht="15.75" hidden="false" customHeight="tru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customFormat="false" ht="15.75" hidden="false" customHeight="tru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customFormat="false" ht="15.75" hidden="false" customHeight="tru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customFormat="false" ht="15.75" hidden="false" customHeight="tru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customFormat="false" ht="15.75" hidden="false" customHeight="tru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customFormat="false" ht="15.75" hidden="false" customHeight="tru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customFormat="false" ht="15.75" hidden="false" customHeight="tru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customFormat="false" ht="15.75" hidden="false" customHeight="tru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customFormat="false" ht="15.75" hidden="false" customHeight="tru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customFormat="false" ht="15.75" hidden="false" customHeight="tru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customFormat="false" ht="15.75" hidden="false" customHeight="tru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customFormat="false" ht="15.75" hidden="false" customHeight="tru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customFormat="false" ht="15.75" hidden="false" customHeight="tru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customFormat="false" ht="15.75" hidden="false" customHeight="tru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customFormat="false" ht="15.75" hidden="false" customHeight="tru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customFormat="false" ht="15.75" hidden="false" customHeight="tru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customFormat="false" ht="15.75" hidden="false" customHeight="tru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customFormat="false" ht="15.75" hidden="false" customHeight="tru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customFormat="false" ht="15.75" hidden="false" customHeight="tru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customFormat="false" ht="15.75" hidden="false" customHeight="tru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customFormat="false" ht="15.75" hidden="false" customHeight="tru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customFormat="false" ht="15.75" hidden="false" customHeight="tru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customFormat="false" ht="15.75" hidden="false" customHeight="tru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customFormat="false" ht="15.75" hidden="false" customHeight="tru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customFormat="false" ht="15.75" hidden="false" customHeight="tru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customFormat="false" ht="15.75" hidden="false" customHeight="tru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customFormat="false" ht="15.75" hidden="false" customHeight="tru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customFormat="false" ht="15.75" hidden="false" customHeight="tru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customFormat="false" ht="15.75" hidden="false" customHeight="tru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customFormat="false" ht="15.75" hidden="false" customHeight="tru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customFormat="false" ht="15.75" hidden="false" customHeight="tru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customFormat="false" ht="15.75" hidden="false" customHeight="tru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customFormat="false" ht="15.75" hidden="false" customHeight="tru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customFormat="false" ht="15.75" hidden="false" customHeight="tru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customFormat="false" ht="15.75" hidden="false" customHeight="tru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customFormat="false" ht="15.75" hidden="false" customHeight="tru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customFormat="false" ht="15.75" hidden="false" customHeight="tru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customFormat="false" ht="15.75" hidden="false" customHeight="tru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customFormat="false" ht="15.75" hidden="false" customHeight="tru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customFormat="false" ht="15.75" hidden="false" customHeight="tru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customFormat="false" ht="15.75" hidden="false" customHeight="tru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customFormat="false" ht="15.75" hidden="false" customHeight="tru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customFormat="false" ht="15.75" hidden="false" customHeight="tru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customFormat="false" ht="15.75" hidden="false" customHeight="tru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customFormat="false" ht="15.75" hidden="false" customHeight="tru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customFormat="false" ht="15.75" hidden="false" customHeight="tru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customFormat="false" ht="15.75" hidden="false" customHeight="tru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customFormat="false" ht="15.75" hidden="false" customHeight="tru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customFormat="false" ht="15.75" hidden="false" customHeight="tru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customFormat="false" ht="15.75" hidden="false" customHeight="tru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customFormat="false" ht="15.75" hidden="false" customHeight="tru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customFormat="false" ht="15.75" hidden="false" customHeight="tru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customFormat="false" ht="15.75" hidden="false" customHeight="tru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customFormat="false" ht="15.75" hidden="false" customHeight="tru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customFormat="false" ht="15.75" hidden="false" customHeight="tru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customFormat="false" ht="15.75" hidden="false" customHeight="tru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customFormat="false" ht="15.75" hidden="false" customHeight="tru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customFormat="false" ht="15.75" hidden="false" customHeight="tru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customFormat="false" ht="15.75" hidden="false" customHeight="tru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customFormat="false" ht="15.75" hidden="false" customHeight="tru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customFormat="false" ht="15.75" hidden="false" customHeight="tru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customFormat="false" ht="15.75" hidden="false" customHeight="tru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customFormat="false" ht="15.75" hidden="false" customHeight="tru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customFormat="false" ht="15.75" hidden="false" customHeight="tru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customFormat="false" ht="15.75" hidden="false" customHeight="tru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customFormat="false" ht="15.75" hidden="false" customHeight="tru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customFormat="false" ht="15.75" hidden="false" customHeight="tru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customFormat="false" ht="15.75" hidden="false" customHeight="tru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customFormat="false" ht="15.75" hidden="false" customHeight="tru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customFormat="false" ht="15.75" hidden="false" customHeight="tru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customFormat="false" ht="15.75" hidden="false" customHeight="tru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customFormat="false" ht="15.75" hidden="false" customHeight="tru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customFormat="false" ht="15.75" hidden="false" customHeight="tru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customFormat="false" ht="15.75" hidden="false" customHeight="tru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customFormat="false" ht="15.75" hidden="false" customHeight="tru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customFormat="false" ht="15.75" hidden="false" customHeight="tru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customFormat="false" ht="15.75" hidden="false" customHeight="tru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customFormat="false" ht="15.75" hidden="false" customHeight="tru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customFormat="false" ht="15.75" hidden="false" customHeight="tru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customFormat="false" ht="15.75" hidden="false" customHeight="tru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customFormat="false" ht="15.75" hidden="false" customHeight="tru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customFormat="false" ht="15.75" hidden="false" customHeight="tru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customFormat="false" ht="15.75" hidden="false" customHeight="tru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customFormat="false" ht="15.75" hidden="false" customHeight="tru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customFormat="false" ht="15.75" hidden="false" customHeight="tru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customFormat="false" ht="15.75" hidden="false" customHeight="tru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customFormat="false" ht="15.75" hidden="false" customHeight="tru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customFormat="false" ht="15.75" hidden="false" customHeight="tru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customFormat="false" ht="15.75" hidden="false" customHeight="tru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customFormat="false" ht="15.75" hidden="false" customHeight="tru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customFormat="false" ht="15.75" hidden="false" customHeight="tru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customFormat="false" ht="15.75" hidden="false" customHeight="tru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customFormat="false" ht="15.75" hidden="false" customHeight="tru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customFormat="false" ht="15.75" hidden="false" customHeight="tru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customFormat="false" ht="15.75" hidden="false" customHeight="tru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customFormat="false" ht="15.75" hidden="false" customHeight="tru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customFormat="false" ht="15.75" hidden="false" customHeight="tru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customFormat="false" ht="15.75" hidden="false" customHeight="tru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customFormat="false" ht="15.75" hidden="false" customHeight="tru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customFormat="false" ht="15.75" hidden="false" customHeight="tru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customFormat="false" ht="15.75" hidden="false" customHeight="tru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customFormat="false" ht="15.75" hidden="false" customHeight="tru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customFormat="false" ht="15.75" hidden="false" customHeight="tru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customFormat="false" ht="15.75" hidden="false" customHeight="tru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customFormat="false" ht="15.75" hidden="false" customHeight="tru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customFormat="false" ht="15.75" hidden="false" customHeight="tru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customFormat="false" ht="15.75" hidden="false" customHeight="tru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customFormat="false" ht="15.75" hidden="false" customHeight="tru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customFormat="false" ht="15.75" hidden="false" customHeight="tru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customFormat="false" ht="15.75" hidden="false" customHeight="tru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customFormat="false" ht="15.75" hidden="false" customHeight="tru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customFormat="false" ht="15.75" hidden="false" customHeight="tru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customFormat="false" ht="15.75" hidden="false" customHeight="tru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customFormat="false" ht="15.75" hidden="false" customHeight="tru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customFormat="false" ht="15.75" hidden="false" customHeight="tru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customFormat="false" ht="15.75" hidden="false" customHeight="tru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customFormat="false" ht="15.75" hidden="false" customHeight="tru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customFormat="false" ht="15.75" hidden="false" customHeight="tru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customFormat="false" ht="15.75" hidden="false" customHeight="tru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customFormat="false" ht="15.75" hidden="false" customHeight="tru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customFormat="false" ht="15.75" hidden="false" customHeight="tru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customFormat="false" ht="15.75" hidden="false" customHeight="tru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customFormat="false" ht="15.75" hidden="false" customHeight="tru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customFormat="false" ht="15.75" hidden="false" customHeight="tru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customFormat="false" ht="15.75" hidden="false" customHeight="tru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customFormat="false" ht="15.75" hidden="false" customHeight="tru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customFormat="false" ht="15.75" hidden="false" customHeight="tru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customFormat="false" ht="15.75" hidden="false" customHeight="tru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customFormat="false" ht="15.75" hidden="false" customHeight="tru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customFormat="false" ht="15.75" hidden="false" customHeight="tru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customFormat="false" ht="15.75" hidden="false" customHeight="tru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customFormat="false" ht="15.75" hidden="false" customHeight="tru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customFormat="false" ht="15.75" hidden="false" customHeight="tru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customFormat="false" ht="15.75" hidden="false" customHeight="tru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customFormat="false" ht="15.75" hidden="false" customHeight="tru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customFormat="false" ht="15.75" hidden="false" customHeight="tru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customFormat="false" ht="15.75" hidden="false" customHeight="tru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customFormat="false" ht="15.75" hidden="false" customHeight="tru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customFormat="false" ht="15.75" hidden="false" customHeight="tru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customFormat="false" ht="15.75" hidden="false" customHeight="tru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customFormat="false" ht="15.75" hidden="false" customHeight="tru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customFormat="false" ht="15.75" hidden="false" customHeight="tru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customFormat="false" ht="15.75" hidden="false" customHeight="tru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customFormat="false" ht="15.75" hidden="false" customHeight="tru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customFormat="false" ht="15.75" hidden="false" customHeight="tru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customFormat="false" ht="15.75" hidden="false" customHeight="tru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customFormat="false" ht="15.75" hidden="false" customHeight="tru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customFormat="false" ht="15.75" hidden="false" customHeight="tru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customFormat="false" ht="15.75" hidden="false" customHeight="tru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customFormat="false" ht="15.75" hidden="false" customHeight="tru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customFormat="false" ht="15.75" hidden="false" customHeight="tru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customFormat="false" ht="15.75" hidden="false" customHeight="tru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customFormat="false" ht="15.75" hidden="false" customHeight="tru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customFormat="false" ht="15.75" hidden="false" customHeight="tru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customFormat="false" ht="15.75" hidden="false" customHeight="tru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customFormat="false" ht="15.75" hidden="false" customHeight="tru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customFormat="false" ht="15.75" hidden="false" customHeight="tru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customFormat="false" ht="15.75" hidden="false" customHeight="tru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customFormat="false" ht="15.75" hidden="false" customHeight="tru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customFormat="false" ht="15.75" hidden="false" customHeight="tru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customFormat="false" ht="15.75" hidden="false" customHeight="tru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customFormat="false" ht="15.75" hidden="false" customHeight="tru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customFormat="false" ht="15.75" hidden="false" customHeight="tru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customFormat="false" ht="15.75" hidden="false" customHeight="tru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customFormat="false" ht="15.75" hidden="false" customHeight="tru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customFormat="false" ht="15.75" hidden="false" customHeight="tru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customFormat="false" ht="15.75" hidden="false" customHeight="tru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customFormat="false" ht="15.75" hidden="false" customHeight="tru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customFormat="false" ht="15.75" hidden="false" customHeight="tru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customFormat="false" ht="15.75" hidden="false" customHeight="tru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customFormat="false" ht="15.75" hidden="false" customHeight="tru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customFormat="false" ht="15.75" hidden="false" customHeight="tru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customFormat="false" ht="15.75" hidden="false" customHeight="tru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customFormat="false" ht="15.75" hidden="false" customHeight="tru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customFormat="false" ht="15.75" hidden="false" customHeight="tru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customFormat="false" ht="15.75" hidden="false" customHeight="tru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customFormat="false" ht="15.75" hidden="false" customHeight="tru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customFormat="false" ht="15.75" hidden="false" customHeight="tru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customFormat="false" ht="15.75" hidden="false" customHeight="tru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customFormat="false" ht="15.75" hidden="false" customHeight="tru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customFormat="false" ht="15.75" hidden="false" customHeight="tru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customFormat="false" ht="15.75" hidden="false" customHeight="tru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customFormat="false" ht="15.75" hidden="false" customHeight="tru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customFormat="false" ht="15.75" hidden="false" customHeight="tru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customFormat="false" ht="15.75" hidden="false" customHeight="tru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customFormat="false" ht="15.75" hidden="false" customHeight="tru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customFormat="false" ht="15.75" hidden="false" customHeight="tru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customFormat="false" ht="15.75" hidden="false" customHeight="tru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customFormat="false" ht="15.75" hidden="false" customHeight="tru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customFormat="false" ht="15.75" hidden="false" customHeight="tru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customFormat="false" ht="15.75" hidden="false" customHeight="tru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customFormat="false" ht="15.75" hidden="false" customHeight="tru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customFormat="false" ht="15.75" hidden="false" customHeight="tru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customFormat="false" ht="15.75" hidden="false" customHeight="tru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customFormat="false" ht="15.75" hidden="false" customHeight="tru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customFormat="false" ht="15.75" hidden="false" customHeight="tru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customFormat="false" ht="15.75" hidden="false" customHeight="tru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customFormat="false" ht="15.75" hidden="false" customHeight="tru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customFormat="false" ht="15.75" hidden="false" customHeight="tru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customFormat="false" ht="15.75" hidden="false" customHeight="tru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customFormat="false" ht="15.75" hidden="false" customHeight="tru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customFormat="false" ht="15.75" hidden="false" customHeight="tru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customFormat="false" ht="15.75" hidden="false" customHeight="tru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customFormat="false" ht="15.75" hidden="false" customHeight="tru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customFormat="false" ht="15.75" hidden="false" customHeight="tru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customFormat="false" ht="15.75" hidden="false" customHeight="tru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customFormat="false" ht="15.75" hidden="false" customHeight="tru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customFormat="false" ht="15.75" hidden="false" customHeight="tru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customFormat="false" ht="15.75" hidden="false" customHeight="tru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customFormat="false" ht="15.75" hidden="false" customHeight="tru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customFormat="false" ht="15.75" hidden="false" customHeight="tru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customFormat="false" ht="15.75" hidden="false" customHeight="tru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customFormat="false" ht="15.75" hidden="false" customHeight="tru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customFormat="false" ht="15.75" hidden="false" customHeight="tru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customFormat="false" ht="15.75" hidden="false" customHeight="tru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customFormat="false" ht="15.75" hidden="false" customHeight="tru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customFormat="false" ht="15.75" hidden="false" customHeight="tru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customFormat="false" ht="15.75" hidden="false" customHeight="tru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customFormat="false" ht="15.75" hidden="false" customHeight="tru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customFormat="false" ht="15.75" hidden="false" customHeight="tru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customFormat="false" ht="15.75" hidden="false" customHeight="tru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customFormat="false" ht="15.75" hidden="false" customHeight="tru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customFormat="false" ht="15.75" hidden="false" customHeight="tru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customFormat="false" ht="15.75" hidden="false" customHeight="tru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customFormat="false" ht="15.75" hidden="false" customHeight="tru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customFormat="false" ht="15.75" hidden="false" customHeight="tru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customFormat="false" ht="15.75" hidden="false" customHeight="tru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customFormat="false" ht="15.75" hidden="false" customHeight="tru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customFormat="false" ht="15.75" hidden="false" customHeight="tru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customFormat="false" ht="15.75" hidden="false" customHeight="tru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customFormat="false" ht="15.75" hidden="false" customHeight="tru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customFormat="false" ht="15.75" hidden="false" customHeight="tru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customFormat="false" ht="15.75" hidden="false" customHeight="tru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customFormat="false" ht="15.75" hidden="false" customHeight="tru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customFormat="false" ht="15.75" hidden="false" customHeight="tru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customFormat="false" ht="15.75" hidden="false" customHeight="tru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customFormat="false" ht="15.75" hidden="false" customHeight="tru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customFormat="false" ht="15.75" hidden="false" customHeight="tru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customFormat="false" ht="15.75" hidden="false" customHeight="tru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customFormat="false" ht="15.75" hidden="false" customHeight="tru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customFormat="false" ht="15.75" hidden="false" customHeight="tru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customFormat="false" ht="15.75" hidden="false" customHeight="tru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customFormat="false" ht="15.75" hidden="false" customHeight="tru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customFormat="false" ht="15.75" hidden="false" customHeight="tru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customFormat="false" ht="15.75" hidden="false" customHeight="tru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customFormat="false" ht="15.75" hidden="false" customHeight="tru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customFormat="false" ht="15.75" hidden="false" customHeight="tru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customFormat="false" ht="15.75" hidden="false" customHeight="tru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customFormat="false" ht="15.75" hidden="false" customHeight="tru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customFormat="false" ht="15.75" hidden="false" customHeight="tru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customFormat="false" ht="15.75" hidden="false" customHeight="tru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customFormat="false" ht="15.75" hidden="false" customHeight="tru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customFormat="false" ht="15.75" hidden="false" customHeight="tru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customFormat="false" ht="15.75" hidden="false" customHeight="tru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customFormat="false" ht="15.75" hidden="false" customHeight="tru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customFormat="false" ht="15.75" hidden="false" customHeight="tru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customFormat="false" ht="15.75" hidden="false" customHeight="tru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customFormat="false" ht="15.75" hidden="false" customHeight="tru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customFormat="false" ht="15.75" hidden="false" customHeight="tru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customFormat="false" ht="15.75" hidden="false" customHeight="tru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customFormat="false" ht="15.75" hidden="false" customHeight="tru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customFormat="false" ht="15.75" hidden="false" customHeight="tru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customFormat="false" ht="15.75" hidden="false" customHeight="tru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customFormat="false" ht="15.75" hidden="false" customHeight="tru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customFormat="false" ht="15.75" hidden="false" customHeight="tru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customFormat="false" ht="15.75" hidden="false" customHeight="tru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customFormat="false" ht="15.75" hidden="false" customHeight="tru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customFormat="false" ht="15.75" hidden="false" customHeight="tru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customFormat="false" ht="15.75" hidden="false" customHeight="tru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customFormat="false" ht="15.75" hidden="false" customHeight="tru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customFormat="false" ht="15.75" hidden="false" customHeight="tru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customFormat="false" ht="15.75" hidden="false" customHeight="tru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customFormat="false" ht="15.75" hidden="false" customHeight="tru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customFormat="false" ht="15.75" hidden="false" customHeight="tru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customFormat="false" ht="15.75" hidden="false" customHeight="tru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customFormat="false" ht="15.75" hidden="false" customHeight="tru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customFormat="false" ht="15.75" hidden="false" customHeight="tru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customFormat="false" ht="15.75" hidden="false" customHeight="tru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customFormat="false" ht="15.75" hidden="false" customHeight="tru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</sheetData>
  <mergeCells count="6">
    <mergeCell ref="G24:H24"/>
    <mergeCell ref="J24:L24"/>
    <mergeCell ref="N24:O24"/>
    <mergeCell ref="G44:H44"/>
    <mergeCell ref="J44:K44"/>
    <mergeCell ref="G64:H64"/>
  </mergeCells>
  <conditionalFormatting sqref="N26:O42">
    <cfRule type="expression" priority="2" aboveAverage="0" equalAverage="0" bottom="0" percent="0" rank="0" text="" dxfId="3">
      <formula>ABS(N26)&gt;=10%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4.5078125" defaultRowHeight="15" customHeight="true" zeroHeight="false" outlineLevelRow="0" outlineLevelCol="0"/>
  <cols>
    <col collapsed="false" customWidth="true" hidden="false" outlineLevel="0" max="3" min="1" style="0" width="11.5"/>
    <col collapsed="false" customWidth="true" hidden="false" outlineLevel="0" max="4" min="4" style="0" width="8.67"/>
    <col collapsed="false" customWidth="true" hidden="false" outlineLevel="0" max="5" min="5" style="0" width="4.5"/>
    <col collapsed="false" customWidth="true" hidden="false" outlineLevel="0" max="6" min="6" style="0" width="26.5"/>
    <col collapsed="false" customWidth="true" hidden="false" outlineLevel="0" max="7" min="7" style="0" width="7.67"/>
    <col collapsed="false" customWidth="true" hidden="false" outlineLevel="0" max="8" min="8" style="0" width="12.33"/>
    <col collapsed="false" customWidth="true" hidden="false" outlineLevel="0" max="9" min="9" style="0" width="10"/>
    <col collapsed="false" customWidth="true" hidden="false" outlineLevel="0" max="11" min="10" style="0" width="11.67"/>
    <col collapsed="false" customWidth="true" hidden="false" outlineLevel="0" max="20" min="12" style="0" width="11.5"/>
    <col collapsed="false" customWidth="true" hidden="false" outlineLevel="0" max="21" min="21" style="0" width="15"/>
    <col collapsed="false" customWidth="true" hidden="false" outlineLevel="0" max="33" min="22" style="0" width="11.5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</row>
    <row r="5" customFormat="false" ht="15" hidden="false" customHeight="false" outlineLevel="0" collapsed="false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</row>
    <row r="6" customFormat="false" ht="15" hidden="false" customHeight="false" outlineLevel="0" collapsed="false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</row>
    <row r="7" customFormat="false" ht="15" hidden="false" customHeight="false" outlineLevel="0" collapsed="false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</row>
    <row r="8" customFormat="false" ht="15" hidden="false" customHeight="false" outlineLevel="0" collapsed="false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</row>
    <row r="9" customFormat="false" ht="15" hidden="false" customHeight="false" outlineLevel="0" collapsed="false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37"/>
      <c r="AG9" s="37"/>
    </row>
    <row r="10" customFormat="false" ht="15" hidden="false" customHeight="false" outlineLevel="0" collapsed="false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37"/>
      <c r="AG10" s="37"/>
    </row>
    <row r="11" customFormat="false" ht="15" hidden="false" customHeight="false" outlineLevel="0" collapsed="false">
      <c r="A11" s="1" t="s">
        <v>167</v>
      </c>
      <c r="B11" s="37" t="n">
        <f aca="false">+SUM(G26:G28)</f>
        <v>40595</v>
      </c>
      <c r="C11" s="1" t="n">
        <f aca="false">+C21/(B11*B21)</f>
        <v>1.51800303814099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37"/>
      <c r="AG11" s="37"/>
    </row>
    <row r="12" customFormat="false" ht="15" hidden="false" customHeight="false" outlineLevel="0" collapsed="false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37"/>
      <c r="AG12" s="37"/>
    </row>
    <row r="13" customFormat="false" ht="15" hidden="false" customHeight="false" outlineLevel="0" collapsed="false">
      <c r="A13" s="37" t="n">
        <f aca="false">+G29</f>
        <v>11062</v>
      </c>
      <c r="B13" s="115" t="n">
        <f aca="false">+H29</f>
        <v>0.592211590697674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37"/>
      <c r="AG13" s="37"/>
    </row>
    <row r="14" customFormat="false" ht="15" hidden="false" customHeight="false" outlineLevel="0" collapsed="false">
      <c r="A14" s="37" t="n">
        <f aca="false">+G33</f>
        <v>7425</v>
      </c>
      <c r="B14" s="115" t="n">
        <f aca="false">+H33</f>
        <v>0.58622512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37"/>
      <c r="AG14" s="37"/>
    </row>
    <row r="15" customFormat="false" ht="15" hidden="false" customHeight="false" outlineLevel="0" collapsed="false">
      <c r="A15" s="37"/>
      <c r="B15" s="115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37"/>
      <c r="AG15" s="37"/>
    </row>
    <row r="16" customFormat="false" ht="15" hidden="false" customHeight="false" outlineLevel="0" collapsed="false">
      <c r="A16" s="1" t="s">
        <v>168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37"/>
      <c r="AG16" s="37"/>
    </row>
    <row r="17" customFormat="false" ht="15" hidden="false" customHeight="false" outlineLevel="0" collapsed="false">
      <c r="A17" s="37" t="n">
        <f aca="false">+SUM(A13:A15)</f>
        <v>18487</v>
      </c>
      <c r="B17" s="115" t="n">
        <v>0.5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37"/>
      <c r="AG17" s="37"/>
    </row>
    <row r="18" customFormat="false" ht="15" hidden="false" customHeight="fals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37"/>
      <c r="AG18" s="37"/>
    </row>
    <row r="19" customFormat="false" ht="15" hidden="false" customHeight="fals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37"/>
      <c r="AG19" s="37"/>
    </row>
    <row r="20" customFormat="false" ht="15" hidden="false" customHeight="false" outlineLevel="0" collapsed="false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37"/>
      <c r="AG20" s="37"/>
    </row>
    <row r="21" customFormat="false" ht="15.75" hidden="false" customHeight="true" outlineLevel="0" collapsed="false">
      <c r="A21" s="1"/>
      <c r="B21" s="116" t="n">
        <v>0.3</v>
      </c>
      <c r="C21" s="37" t="n">
        <f aca="false">+A17</f>
        <v>18487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37"/>
      <c r="AG21" s="37"/>
    </row>
    <row r="22" customFormat="false" ht="15.75" hidden="false" customHeight="true" outlineLevel="0" collapsed="false">
      <c r="A22" s="1"/>
      <c r="B22" s="116"/>
      <c r="C22" s="37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37"/>
      <c r="AG22" s="37"/>
    </row>
    <row r="23" customFormat="false" ht="15.75" hidden="false" customHeight="true" outlineLevel="0" collapsed="false">
      <c r="A23" s="1"/>
      <c r="B23" s="116"/>
      <c r="C23" s="37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37" t="n">
        <f aca="false">+J40</f>
        <v>7261.9039016</v>
      </c>
      <c r="AG23" s="37" t="n">
        <f aca="false">+L40</f>
        <v>3403.7644633764</v>
      </c>
    </row>
    <row r="24" customFormat="false" ht="15.75" hidden="false" customHeight="true" outlineLevel="0" collapsed="false">
      <c r="A24" s="1"/>
      <c r="B24" s="1"/>
      <c r="C24" s="1"/>
      <c r="D24" s="1"/>
      <c r="E24" s="1"/>
      <c r="F24" s="1"/>
      <c r="G24" s="194" t="s">
        <v>169</v>
      </c>
      <c r="H24" s="194"/>
      <c r="I24" s="1"/>
      <c r="J24" s="208" t="s">
        <v>170</v>
      </c>
      <c r="K24" s="208"/>
      <c r="L24" s="208"/>
      <c r="M24" s="1"/>
      <c r="N24" s="196"/>
      <c r="O24" s="196"/>
      <c r="P24" s="1"/>
      <c r="Q24" s="1"/>
      <c r="R24" s="197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37" t="n">
        <f aca="false">+J41</f>
        <v>1711.9039016</v>
      </c>
      <c r="AG24" s="37" t="n">
        <f aca="false">+L41</f>
        <v>810.249458931548</v>
      </c>
    </row>
    <row r="25" customFormat="false" ht="15.75" hidden="false" customHeight="true" outlineLevel="0" collapsed="false">
      <c r="A25" s="1"/>
      <c r="B25" s="1"/>
      <c r="C25" s="1"/>
      <c r="D25" s="1"/>
      <c r="E25" s="1"/>
      <c r="F25" s="1"/>
      <c r="G25" s="198" t="s">
        <v>70</v>
      </c>
      <c r="H25" s="198" t="s">
        <v>172</v>
      </c>
      <c r="I25" s="1"/>
      <c r="J25" s="209" t="s">
        <v>70</v>
      </c>
      <c r="K25" s="199" t="s">
        <v>172</v>
      </c>
      <c r="L25" s="210" t="s">
        <v>173</v>
      </c>
      <c r="M25" s="1"/>
      <c r="N25" s="2"/>
      <c r="O25" s="2"/>
      <c r="P25" s="200"/>
      <c r="Q25" s="201"/>
      <c r="R25" s="202"/>
      <c r="S25" s="20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37" t="n">
        <f aca="false">+J42</f>
        <v>5550</v>
      </c>
      <c r="AG25" s="37" t="n">
        <f aca="false">+L42</f>
        <v>2593.515</v>
      </c>
    </row>
    <row r="26" customFormat="false" ht="15.75" hidden="false" customHeight="true" outlineLevel="0" collapsed="false">
      <c r="A26" s="1"/>
      <c r="B26" s="1"/>
      <c r="C26" s="1"/>
      <c r="D26" s="1"/>
      <c r="E26" s="1" t="n">
        <f aca="false">+E3</f>
        <v>0</v>
      </c>
      <c r="F26" s="1" t="s">
        <v>75</v>
      </c>
      <c r="G26" s="203" t="n">
        <f aca="false">'Bal AL FeT'!G26</f>
        <v>0</v>
      </c>
      <c r="H26" s="204" t="n">
        <f aca="false">+'Info Planta'!F4</f>
        <v>0</v>
      </c>
      <c r="I26" s="116"/>
      <c r="J26" s="26" t="n">
        <f aca="false">'Bal AL FeT'!J26</f>
        <v>0</v>
      </c>
      <c r="K26" s="27" t="n">
        <f aca="false">IF(Utilidad!F1&gt;1,Utilidad!F1/100,Utilidad!F1)</f>
        <v>0</v>
      </c>
      <c r="L26" s="26" t="n">
        <f aca="false">+J26*K26</f>
        <v>0</v>
      </c>
      <c r="M26" s="1"/>
      <c r="N26" s="114"/>
      <c r="O26" s="115"/>
      <c r="P26" s="114"/>
      <c r="Q26" s="201"/>
      <c r="R26" s="205"/>
      <c r="S26" s="20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37"/>
      <c r="AG26" s="37"/>
    </row>
    <row r="27" customFormat="false" ht="15.75" hidden="false" customHeight="true" outlineLevel="0" collapsed="false">
      <c r="A27" s="1"/>
      <c r="B27" s="1"/>
      <c r="C27" s="1"/>
      <c r="D27" s="1"/>
      <c r="E27" s="1" t="n">
        <f aca="false">+E4</f>
        <v>0</v>
      </c>
      <c r="F27" s="1" t="s">
        <v>76</v>
      </c>
      <c r="G27" s="203" t="n">
        <f aca="false">'Bal AL FeT'!G27</f>
        <v>0</v>
      </c>
      <c r="H27" s="204" t="n">
        <f aca="false">+'Info Planta'!F5</f>
        <v>0.488526582406911</v>
      </c>
      <c r="I27" s="116"/>
      <c r="J27" s="26" t="n">
        <f aca="false">'Bal AL FeT'!J27</f>
        <v>0</v>
      </c>
      <c r="K27" s="27" t="n">
        <f aca="false">IF(Utilidad!F2&gt;1,Utilidad!F2/100,Utilidad!F2)</f>
        <v>0</v>
      </c>
      <c r="L27" s="26" t="n">
        <f aca="false">+J27*K27</f>
        <v>0</v>
      </c>
      <c r="M27" s="1"/>
      <c r="N27" s="114"/>
      <c r="O27" s="115"/>
      <c r="P27" s="114"/>
      <c r="Q27" s="201"/>
      <c r="R27" s="205"/>
      <c r="S27" s="20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  <row r="28" customFormat="false" ht="15.75" hidden="false" customHeight="true" outlineLevel="0" collapsed="false">
      <c r="A28" s="1"/>
      <c r="B28" s="1"/>
      <c r="C28" s="1"/>
      <c r="D28" s="1"/>
      <c r="E28" s="1" t="n">
        <f aca="false">+E5</f>
        <v>0</v>
      </c>
      <c r="F28" s="1" t="s">
        <v>77</v>
      </c>
      <c r="G28" s="203" t="n">
        <f aca="false">'Bal AL FeT'!G28</f>
        <v>40595</v>
      </c>
      <c r="H28" s="204" t="n">
        <f aca="false">+'Info Planta'!F6</f>
        <v>0.503180769804843</v>
      </c>
      <c r="I28" s="116"/>
      <c r="J28" s="26" t="n">
        <f aca="false">'Bal AL FeT'!J28</f>
        <v>36777.591411</v>
      </c>
      <c r="K28" s="27" t="n">
        <f aca="false">IF(Utilidad!F3&gt;1,Utilidad!F3/100,Utilidad!F3)</f>
        <v>0.49928316254</v>
      </c>
      <c r="L28" s="26" t="n">
        <f aca="false">+J28*K28</f>
        <v>18362.432150288</v>
      </c>
      <c r="M28" s="1"/>
      <c r="N28" s="114"/>
      <c r="O28" s="115"/>
      <c r="P28" s="114"/>
      <c r="Q28" s="201"/>
      <c r="R28" s="205"/>
      <c r="S28" s="20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</row>
    <row r="29" customFormat="false" ht="15.75" hidden="false" customHeight="true" outlineLevel="0" collapsed="false">
      <c r="A29" s="1"/>
      <c r="B29" s="1"/>
      <c r="C29" s="1"/>
      <c r="D29" s="1"/>
      <c r="E29" s="1" t="n">
        <f aca="false">+E6</f>
        <v>0</v>
      </c>
      <c r="F29" s="1" t="s">
        <v>78</v>
      </c>
      <c r="G29" s="203" t="n">
        <f aca="false">'Bal AL FeT'!G29</f>
        <v>11062</v>
      </c>
      <c r="H29" s="211" t="n">
        <f aca="false">+'Info Planta'!F7</f>
        <v>0.592211590697674</v>
      </c>
      <c r="I29" s="1"/>
      <c r="J29" s="26" t="n">
        <f aca="false">'Bal AL FeT'!J29</f>
        <v>11452.675821</v>
      </c>
      <c r="K29" s="27" t="n">
        <f aca="false">IF(Utilidad!F4&gt;1,Utilidad!F4/100,Utilidad!F4)</f>
        <v>0.572026</v>
      </c>
      <c r="L29" s="26" t="n">
        <f aca="false">+J29*K29</f>
        <v>6551.22833918335</v>
      </c>
      <c r="M29" s="1"/>
      <c r="N29" s="114"/>
      <c r="O29" s="115"/>
      <c r="P29" s="114"/>
      <c r="Q29" s="201"/>
      <c r="R29" s="205"/>
      <c r="S29" s="201"/>
      <c r="T29" s="1"/>
      <c r="U29" s="1"/>
      <c r="V29" s="1"/>
      <c r="W29" s="1"/>
      <c r="X29" s="37"/>
      <c r="Y29" s="37"/>
      <c r="Z29" s="1"/>
      <c r="AA29" s="1"/>
      <c r="AB29" s="1"/>
      <c r="AC29" s="1"/>
      <c r="AD29" s="1"/>
      <c r="AE29" s="1"/>
      <c r="AF29" s="1"/>
      <c r="AG29" s="1"/>
    </row>
    <row r="30" customFormat="false" ht="15.75" hidden="false" customHeight="true" outlineLevel="0" collapsed="false">
      <c r="A30" s="37" t="n">
        <f aca="false">+'Calc Nodos'!F4</f>
        <v>2867</v>
      </c>
      <c r="B30" s="37"/>
      <c r="C30" s="37"/>
      <c r="D30" s="1" t="n">
        <f aca="false">+IF(A30&gt;0,1,IF(A30&lt;&gt;0,-1,0))</f>
        <v>1</v>
      </c>
      <c r="E30" s="1" t="n">
        <f aca="false">+E7</f>
        <v>0</v>
      </c>
      <c r="F30" s="22" t="s">
        <v>79</v>
      </c>
      <c r="G30" s="203" t="n">
        <f aca="false">'Bal AL FeT'!G30</f>
        <v>745</v>
      </c>
      <c r="H30" s="212" t="n">
        <f aca="false">+IF((G31+G32)&lt;&gt;0,(G31*H31+G32*H32)/(G31+G32),0)</f>
        <v>0.592211590697674</v>
      </c>
      <c r="I30" s="31"/>
      <c r="J30" s="26" t="n">
        <f aca="false">'Bal AL FeT'!J30</f>
        <v>1134.6758208</v>
      </c>
      <c r="K30" s="27" t="n">
        <f aca="false">IF(Utilidad!F5&gt;1,Utilidad!F5/100,Utilidad!F5)</f>
        <v>0.6477372</v>
      </c>
      <c r="L30" s="26" t="n">
        <f aca="false">+J30*K30</f>
        <v>734.971739072694</v>
      </c>
      <c r="M30" s="206"/>
      <c r="N30" s="114"/>
      <c r="O30" s="115"/>
      <c r="P30" s="114"/>
      <c r="Q30" s="201"/>
      <c r="R30" s="205"/>
      <c r="S30" s="201"/>
      <c r="T30" s="1"/>
      <c r="U30" s="1"/>
      <c r="V30" s="1"/>
      <c r="W30" s="1"/>
      <c r="X30" s="37"/>
      <c r="Y30" s="37"/>
      <c r="Z30" s="1"/>
      <c r="AA30" s="1"/>
      <c r="AB30" s="1"/>
      <c r="AC30" s="1"/>
      <c r="AD30" s="1"/>
      <c r="AE30" s="1"/>
      <c r="AF30" s="1"/>
      <c r="AG30" s="1"/>
    </row>
    <row r="31" customFormat="false" ht="15.75" hidden="false" customHeight="true" outlineLevel="0" collapsed="false">
      <c r="A31" s="1"/>
      <c r="B31" s="1"/>
      <c r="C31" s="1"/>
      <c r="D31" s="1"/>
      <c r="E31" s="1" t="n">
        <f aca="false">+E8</f>
        <v>0</v>
      </c>
      <c r="F31" s="1" t="s">
        <v>80</v>
      </c>
      <c r="G31" s="203" t="n">
        <f aca="false">'Bal AL FeT'!G31</f>
        <v>0</v>
      </c>
      <c r="H31" s="213" t="n">
        <f aca="false">+'Info Planta'!F11</f>
        <v>0</v>
      </c>
      <c r="I31" s="1"/>
      <c r="J31" s="26" t="n">
        <f aca="false">'Bal AL FeT'!J31</f>
        <v>0</v>
      </c>
      <c r="K31" s="27" t="n">
        <f aca="false">IF(Utilidad!F6&gt;1,Utilidad!F6/100,Utilidad!F6)</f>
        <v>0</v>
      </c>
      <c r="L31" s="26" t="n">
        <f aca="false">+J31*K31</f>
        <v>0</v>
      </c>
      <c r="M31" s="1"/>
      <c r="N31" s="114"/>
      <c r="O31" s="115"/>
      <c r="P31" s="114"/>
      <c r="Q31" s="201"/>
      <c r="R31" s="205"/>
      <c r="S31" s="201"/>
      <c r="T31" s="1"/>
      <c r="U31" s="1"/>
      <c r="V31" s="1"/>
      <c r="W31" s="1"/>
      <c r="X31" s="37"/>
      <c r="Y31" s="37"/>
      <c r="Z31" s="1"/>
      <c r="AA31" s="1"/>
      <c r="AB31" s="1"/>
      <c r="AC31" s="1"/>
      <c r="AD31" s="1"/>
      <c r="AE31" s="1"/>
      <c r="AF31" s="1"/>
      <c r="AG31" s="1"/>
    </row>
    <row r="32" customFormat="false" ht="15.75" hidden="false" customHeight="true" outlineLevel="0" collapsed="false">
      <c r="A32" s="1"/>
      <c r="B32" s="1"/>
      <c r="C32" s="1"/>
      <c r="D32" s="1"/>
      <c r="E32" s="1" t="n">
        <f aca="false">+E9</f>
        <v>0</v>
      </c>
      <c r="F32" s="1" t="s">
        <v>81</v>
      </c>
      <c r="G32" s="203" t="n">
        <f aca="false">'Bal AL FeT'!G32</f>
        <v>10318</v>
      </c>
      <c r="H32" s="204" t="n">
        <f aca="false">+'Info Planta'!F12</f>
        <v>0.592211590697674</v>
      </c>
      <c r="I32" s="1"/>
      <c r="J32" s="26" t="n">
        <f aca="false">'Bal AL FeT'!J32</f>
        <v>10318</v>
      </c>
      <c r="K32" s="27" t="n">
        <f aca="false">IF(Utilidad!F7&gt;1,Utilidad!F7/100,Utilidad!F7)</f>
        <v>0.5637</v>
      </c>
      <c r="L32" s="26" t="n">
        <f aca="false">+J32*K32</f>
        <v>5816.2566</v>
      </c>
      <c r="M32" s="1"/>
      <c r="N32" s="114"/>
      <c r="O32" s="115"/>
      <c r="P32" s="114"/>
      <c r="Q32" s="201"/>
      <c r="R32" s="205"/>
      <c r="S32" s="201"/>
      <c r="T32" s="1"/>
      <c r="U32" s="1"/>
      <c r="V32" s="1"/>
      <c r="W32" s="1"/>
      <c r="X32" s="37"/>
      <c r="Y32" s="37"/>
      <c r="Z32" s="1"/>
      <c r="AA32" s="1"/>
      <c r="AB32" s="1"/>
      <c r="AC32" s="1"/>
      <c r="AD32" s="1"/>
      <c r="AE32" s="1"/>
      <c r="AF32" s="1"/>
      <c r="AG32" s="1"/>
    </row>
    <row r="33" customFormat="false" ht="15.75" hidden="false" customHeight="true" outlineLevel="0" collapsed="false">
      <c r="A33" s="1"/>
      <c r="B33" s="1"/>
      <c r="C33" s="1"/>
      <c r="D33" s="1"/>
      <c r="E33" s="1" t="n">
        <f aca="false">+E10</f>
        <v>0</v>
      </c>
      <c r="F33" s="1" t="s">
        <v>82</v>
      </c>
      <c r="G33" s="203" t="n">
        <f aca="false">'Bal AL FeT'!G33</f>
        <v>7425</v>
      </c>
      <c r="H33" s="211" t="n">
        <f aca="false">+'Info Planta'!F8</f>
        <v>0.58622512</v>
      </c>
      <c r="I33" s="1"/>
      <c r="J33" s="26" t="n">
        <f aca="false">'Bal AL FeT'!J33</f>
        <v>7425</v>
      </c>
      <c r="K33" s="27" t="n">
        <f aca="false">IF(Utilidad!F8&gt;1,Utilidad!F8/100,Utilidad!F8)</f>
        <v>0.5585</v>
      </c>
      <c r="L33" s="26" t="n">
        <f aca="false">+J33*K33</f>
        <v>4146.8625</v>
      </c>
      <c r="M33" s="1"/>
      <c r="N33" s="114"/>
      <c r="O33" s="115"/>
      <c r="P33" s="114"/>
      <c r="Q33" s="201"/>
      <c r="R33" s="205"/>
      <c r="S33" s="20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</row>
    <row r="34" customFormat="false" ht="15.75" hidden="false" customHeight="true" outlineLevel="0" collapsed="false">
      <c r="A34" s="37" t="n">
        <f aca="false">+'Calc Nodos'!F5</f>
        <v>212</v>
      </c>
      <c r="B34" s="37"/>
      <c r="C34" s="37"/>
      <c r="D34" s="1" t="n">
        <f aca="false">+IF(A34&gt;0,1,IF(A34&lt;&gt;0,-1,0))</f>
        <v>1</v>
      </c>
      <c r="E34" s="1" t="n">
        <f aca="false">+E11</f>
        <v>0</v>
      </c>
      <c r="F34" s="22" t="s">
        <v>83</v>
      </c>
      <c r="G34" s="203" t="n">
        <f aca="false">'Bal AL FeT'!G34</f>
        <v>0</v>
      </c>
      <c r="H34" s="212" t="n">
        <f aca="false">+IF((G35+G36)&lt;&gt;0,(G35*H35+G36*H36)/(G35+G36),0)</f>
        <v>0.58622512</v>
      </c>
      <c r="I34" s="31"/>
      <c r="J34" s="26" t="n">
        <f aca="false">'Bal AL FeT'!J34</f>
        <v>0</v>
      </c>
      <c r="K34" s="27" t="n">
        <f aca="false">IF(Utilidad!F9&gt;1,Utilidad!F9/100,Utilidad!F9)</f>
        <v>0.55849949313</v>
      </c>
      <c r="L34" s="26" t="n">
        <f aca="false">+J34*K34</f>
        <v>0</v>
      </c>
      <c r="M34" s="206"/>
      <c r="N34" s="114"/>
      <c r="O34" s="115"/>
      <c r="P34" s="114"/>
      <c r="Q34" s="201"/>
      <c r="R34" s="205"/>
      <c r="S34" s="20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</row>
    <row r="35" customFormat="false" ht="15.75" hidden="false" customHeight="true" outlineLevel="0" collapsed="false">
      <c r="A35" s="1"/>
      <c r="B35" s="1"/>
      <c r="C35" s="1"/>
      <c r="D35" s="1"/>
      <c r="E35" s="1" t="n">
        <f aca="false">+E12</f>
        <v>0</v>
      </c>
      <c r="F35" s="1" t="s">
        <v>84</v>
      </c>
      <c r="G35" s="203" t="n">
        <f aca="false">'Bal AL FeT'!G35</f>
        <v>0</v>
      </c>
      <c r="H35" s="213" t="n">
        <f aca="false">+'Info Planta'!F13</f>
        <v>0</v>
      </c>
      <c r="I35" s="1"/>
      <c r="J35" s="26" t="n">
        <f aca="false">'Bal AL FeT'!J35</f>
        <v>0</v>
      </c>
      <c r="K35" s="27" t="n">
        <f aca="false">IF(Utilidad!F10&gt;1,Utilidad!F10/100,Utilidad!F10)</f>
        <v>0</v>
      </c>
      <c r="L35" s="26" t="n">
        <f aca="false">+J35*K35</f>
        <v>0</v>
      </c>
      <c r="M35" s="1"/>
      <c r="N35" s="114"/>
      <c r="O35" s="115"/>
      <c r="P35" s="114"/>
      <c r="Q35" s="201"/>
      <c r="R35" s="205"/>
      <c r="S35" s="20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</row>
    <row r="36" customFormat="false" ht="15.75" hidden="false" customHeight="true" outlineLevel="0" collapsed="false">
      <c r="A36" s="1"/>
      <c r="B36" s="1"/>
      <c r="C36" s="1"/>
      <c r="D36" s="1"/>
      <c r="E36" s="1" t="n">
        <f aca="false">+E13</f>
        <v>0</v>
      </c>
      <c r="F36" s="1" t="s">
        <v>85</v>
      </c>
      <c r="G36" s="203" t="n">
        <f aca="false">'Bal AL FeT'!G36</f>
        <v>7425</v>
      </c>
      <c r="H36" s="204" t="n">
        <f aca="false">+'Info Planta'!F14</f>
        <v>0.58622512</v>
      </c>
      <c r="I36" s="1"/>
      <c r="J36" s="26" t="n">
        <f aca="false">'Bal AL FeT'!J36</f>
        <v>7425</v>
      </c>
      <c r="K36" s="27" t="n">
        <f aca="false">IF(Utilidad!F11&gt;1,Utilidad!F11/100,Utilidad!F11)</f>
        <v>0.5585</v>
      </c>
      <c r="L36" s="26" t="n">
        <f aca="false">+J36*K36</f>
        <v>4146.8625</v>
      </c>
      <c r="M36" s="1"/>
      <c r="N36" s="114"/>
      <c r="O36" s="115"/>
      <c r="P36" s="114"/>
      <c r="Q36" s="201"/>
      <c r="R36" s="205"/>
      <c r="S36" s="20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</row>
    <row r="37" customFormat="false" ht="15.75" hidden="false" customHeight="true" outlineLevel="0" collapsed="false">
      <c r="A37" s="1"/>
      <c r="B37" s="1"/>
      <c r="C37" s="1"/>
      <c r="D37" s="1"/>
      <c r="E37" s="1" t="n">
        <f aca="false">+E14</f>
        <v>0</v>
      </c>
      <c r="F37" s="1" t="s">
        <v>86</v>
      </c>
      <c r="G37" s="203" t="n">
        <f aca="false">'Bal AL FeT'!G37</f>
        <v>10631</v>
      </c>
      <c r="H37" s="211" t="n">
        <f aca="false">+'Info Planta'!F9</f>
        <v>0.321851323255814</v>
      </c>
      <c r="I37" s="1"/>
      <c r="J37" s="26" t="n">
        <f aca="false">'Bal AL FeT'!J37</f>
        <v>10638.011689</v>
      </c>
      <c r="K37" s="27" t="n">
        <f aca="false">IF(Utilidad!F12&gt;1,Utilidad!F12/100,Utilidad!F12)</f>
        <v>0.40050499832</v>
      </c>
      <c r="L37" s="26" t="n">
        <f aca="false">+J37*K37</f>
        <v>4260.57685363109</v>
      </c>
      <c r="M37" s="1"/>
      <c r="N37" s="114"/>
      <c r="O37" s="115"/>
      <c r="P37" s="114"/>
      <c r="Q37" s="201"/>
      <c r="R37" s="205"/>
      <c r="S37" s="20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</row>
    <row r="38" customFormat="false" ht="15.75" hidden="false" customHeight="true" outlineLevel="0" collapsed="false">
      <c r="A38" s="37" t="n">
        <f aca="false">+'Calc Nodos'!F6</f>
        <v>-478</v>
      </c>
      <c r="B38" s="37"/>
      <c r="C38" s="37"/>
      <c r="D38" s="1" t="n">
        <f aca="false">+IF(A38&gt;0,1,IF(A38&lt;&gt;0,-1,0))</f>
        <v>-1</v>
      </c>
      <c r="E38" s="1" t="n">
        <f aca="false">+E15</f>
        <v>0</v>
      </c>
      <c r="F38" s="22" t="s">
        <v>87</v>
      </c>
      <c r="G38" s="203" t="n">
        <f aca="false">'Bal AL FeT'!G38</f>
        <v>604</v>
      </c>
      <c r="H38" s="212" t="n">
        <f aca="false">+H37</f>
        <v>0.321851323255814</v>
      </c>
      <c r="I38" s="31"/>
      <c r="J38" s="26" t="n">
        <f aca="false">'Bal AL FeT'!J38</f>
        <v>604.88811585</v>
      </c>
      <c r="K38" s="27" t="n">
        <f aca="false">IF(Utilidad!F13&gt;1,Utilidad!F13/100,Utilidad!F13)</f>
        <v>0.40061194316</v>
      </c>
      <c r="L38" s="26" t="n">
        <f aca="false">+J38*K38</f>
        <v>242.32540348506</v>
      </c>
      <c r="M38" s="206"/>
      <c r="N38" s="114"/>
      <c r="O38" s="115"/>
      <c r="P38" s="114"/>
      <c r="Q38" s="201"/>
      <c r="R38" s="205"/>
      <c r="S38" s="20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</row>
    <row r="39" customFormat="false" ht="15.75" hidden="false" customHeight="true" outlineLevel="0" collapsed="false">
      <c r="A39" s="1"/>
      <c r="B39" s="1"/>
      <c r="C39" s="1"/>
      <c r="D39" s="1"/>
      <c r="E39" s="1" t="n">
        <f aca="false">+E16</f>
        <v>0</v>
      </c>
      <c r="F39" s="1" t="s">
        <v>88</v>
      </c>
      <c r="G39" s="203" t="n">
        <f aca="false">'Bal AL FeT'!G39</f>
        <v>1593</v>
      </c>
      <c r="H39" s="213" t="n">
        <f aca="false">+'Info Planta'!F15</f>
        <v>0.321851323255814</v>
      </c>
      <c r="I39" s="1"/>
      <c r="J39" s="26" t="n">
        <f aca="false">'Bal AL FeT'!J39</f>
        <v>1599.1235727</v>
      </c>
      <c r="K39" s="27" t="n">
        <f aca="false">IF(Utilidad!F14&gt;1,Utilidad!F14/100,Utilidad!F14)</f>
        <v>0.40101828571</v>
      </c>
      <c r="L39" s="26" t="n">
        <f aca="false">+J39*K39</f>
        <v>641.277793762605</v>
      </c>
      <c r="M39" s="1"/>
      <c r="N39" s="114"/>
      <c r="O39" s="115"/>
      <c r="P39" s="114"/>
      <c r="Q39" s="201"/>
      <c r="R39" s="205"/>
      <c r="S39" s="20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</row>
    <row r="40" customFormat="false" ht="15.75" hidden="false" customHeight="true" outlineLevel="0" collapsed="false">
      <c r="A40" s="1"/>
      <c r="B40" s="1"/>
      <c r="C40" s="1"/>
      <c r="D40" s="1"/>
      <c r="E40" s="1" t="n">
        <f aca="false">+E17</f>
        <v>0</v>
      </c>
      <c r="F40" s="1" t="s">
        <v>89</v>
      </c>
      <c r="G40" s="203" t="n">
        <f aca="false">'Bal AL FeT'!G40</f>
        <v>7255</v>
      </c>
      <c r="H40" s="211" t="n">
        <f aca="false">+IF(G40&lt;&gt;0,(G42*H42+A41*H41)/G40,0)</f>
        <v>0.315000413507926</v>
      </c>
      <c r="I40" s="1"/>
      <c r="J40" s="26" t="n">
        <f aca="false">'Bal AL FeT'!J40</f>
        <v>7261.9039016</v>
      </c>
      <c r="K40" s="27" t="n">
        <f aca="false">IF(Utilidad!F15&gt;1,Utilidad!F15/100,Utilidad!F15)</f>
        <v>0.46871516196</v>
      </c>
      <c r="L40" s="26" t="n">
        <f aca="false">+J40*K40</f>
        <v>3403.7644633764</v>
      </c>
      <c r="M40" s="1"/>
      <c r="N40" s="114"/>
      <c r="O40" s="115"/>
      <c r="P40" s="114"/>
      <c r="Q40" s="201"/>
      <c r="R40" s="205"/>
      <c r="S40" s="20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</row>
    <row r="41" customFormat="false" ht="15.75" hidden="false" customHeight="true" outlineLevel="0" collapsed="false">
      <c r="A41" s="37" t="n">
        <f aca="false">+'Calc Nodos'!F7</f>
        <v>528</v>
      </c>
      <c r="B41" s="37"/>
      <c r="C41" s="37"/>
      <c r="D41" s="1" t="n">
        <f aca="false">+IF(A41&gt;0,1,IF(A41&lt;&gt;0,-1,0))</f>
        <v>1</v>
      </c>
      <c r="E41" s="1" t="n">
        <f aca="false">+E18</f>
        <v>0</v>
      </c>
      <c r="F41" s="22" t="s">
        <v>90</v>
      </c>
      <c r="G41" s="203" t="n">
        <f aca="false">'Bal AL FeT'!G41</f>
        <v>1705</v>
      </c>
      <c r="H41" s="212" t="n">
        <f aca="false">+H42</f>
        <v>0.376</v>
      </c>
      <c r="I41" s="31"/>
      <c r="J41" s="26" t="n">
        <f aca="false">'Bal AL FeT'!J41</f>
        <v>1711.9039016</v>
      </c>
      <c r="K41" s="27" t="n">
        <f aca="false">IF(Utilidad!F16&gt;1,Utilidad!F16/100,Utilidad!F16)</f>
        <v>0.47330312068</v>
      </c>
      <c r="L41" s="26" t="n">
        <f aca="false">+J41*K41</f>
        <v>810.249458931548</v>
      </c>
      <c r="M41" s="206"/>
      <c r="N41" s="114"/>
      <c r="O41" s="115"/>
      <c r="P41" s="114"/>
      <c r="Q41" s="201"/>
      <c r="R41" s="205"/>
      <c r="S41" s="20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</row>
    <row r="42" customFormat="false" ht="15.75" hidden="false" customHeight="true" outlineLevel="0" collapsed="false">
      <c r="A42" s="1"/>
      <c r="B42" s="1"/>
      <c r="C42" s="1"/>
      <c r="D42" s="1"/>
      <c r="E42" s="1" t="n">
        <f aca="false">+E19</f>
        <v>0</v>
      </c>
      <c r="F42" s="1" t="s">
        <v>91</v>
      </c>
      <c r="G42" s="203" t="n">
        <f aca="false">'Bal AL FeT'!G42</f>
        <v>5550</v>
      </c>
      <c r="H42" s="213" t="n">
        <f aca="false">+'Info Planta'!F16</f>
        <v>0.376</v>
      </c>
      <c r="I42" s="1"/>
      <c r="J42" s="26" t="n">
        <f aca="false">'Bal AL FeT'!J42</f>
        <v>5550</v>
      </c>
      <c r="K42" s="27" t="n">
        <f aca="false">IF(Utilidad!F17&gt;1,Utilidad!F17/100,Utilidad!F17)</f>
        <v>0.4673</v>
      </c>
      <c r="L42" s="26" t="n">
        <f aca="false">+J42*K42</f>
        <v>2593.515</v>
      </c>
      <c r="M42" s="1"/>
      <c r="N42" s="114"/>
      <c r="O42" s="115"/>
      <c r="P42" s="114"/>
      <c r="Q42" s="201"/>
      <c r="R42" s="205"/>
      <c r="S42" s="20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</row>
    <row r="43" customFormat="false" ht="15.75" hidden="false" customHeight="tru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</row>
    <row r="44" customFormat="false" ht="15.75" hidden="false" customHeight="true" outlineLevel="0" collapsed="false">
      <c r="A44" s="1"/>
      <c r="B44" s="1"/>
      <c r="C44" s="1"/>
      <c r="D44" s="1"/>
      <c r="E44" s="1"/>
      <c r="F44" s="190"/>
      <c r="G44" s="9"/>
      <c r="H44" s="9"/>
      <c r="I44" s="1"/>
      <c r="J44" s="9"/>
      <c r="K44" s="9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</row>
    <row r="45" customFormat="false" ht="15.75" hidden="false" customHeight="true" outlineLevel="0" collapsed="false">
      <c r="A45" s="1"/>
      <c r="B45" s="1"/>
      <c r="C45" s="1"/>
      <c r="D45" s="1"/>
      <c r="E45" s="1"/>
      <c r="F45" s="190"/>
      <c r="G45" s="2"/>
      <c r="H45" s="2"/>
      <c r="I45" s="1"/>
      <c r="J45" s="2"/>
      <c r="K45" s="2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</row>
    <row r="46" customFormat="false" ht="15.75" hidden="false" customHeight="tru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37"/>
      <c r="K46" s="116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</row>
    <row r="47" customFormat="false" ht="15.75" hidden="false" customHeight="tru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37"/>
      <c r="K47" s="116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</row>
    <row r="48" customFormat="false" ht="15.75" hidden="false" customHeight="tru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37"/>
      <c r="K48" s="116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</row>
    <row r="49" customFormat="false" ht="15.75" hidden="false" customHeight="tru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37"/>
      <c r="K49" s="116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</row>
    <row r="50" customFormat="false" ht="15.7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37"/>
      <c r="K50" s="116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</row>
    <row r="51" customFormat="false" ht="15.7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37"/>
      <c r="K51" s="116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</row>
    <row r="52" customFormat="false" ht="15.75" hidden="false" customHeight="tru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37"/>
      <c r="K52" s="116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</row>
    <row r="53" customFormat="false" ht="15.75" hidden="false" customHeight="tru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37"/>
      <c r="K53" s="116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</row>
    <row r="54" customFormat="false" ht="15.75" hidden="false" customHeight="tru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37"/>
      <c r="K54" s="116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</row>
    <row r="55" customFormat="false" ht="15.7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37"/>
      <c r="K55" s="116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</row>
    <row r="56" customFormat="false" ht="15.7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37"/>
      <c r="K56" s="116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</row>
    <row r="57" customFormat="false" ht="15.7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37"/>
      <c r="K57" s="116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</row>
    <row r="58" customFormat="false" ht="15.7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37"/>
      <c r="K58" s="116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</row>
    <row r="59" customFormat="false" ht="15.7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37"/>
      <c r="K59" s="116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</row>
    <row r="60" customFormat="false" ht="15.7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37"/>
      <c r="K60" s="116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</row>
    <row r="61" customFormat="false" ht="15.7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37"/>
      <c r="K61" s="116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</row>
    <row r="62" customFormat="false" ht="15.7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37"/>
      <c r="K62" s="116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</row>
    <row r="63" customFormat="false" ht="15.7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</row>
    <row r="64" customFormat="false" ht="15.75" hidden="false" customHeight="true" outlineLevel="0" collapsed="false">
      <c r="A64" s="1"/>
      <c r="B64" s="1"/>
      <c r="C64" s="1"/>
      <c r="D64" s="1"/>
      <c r="E64" s="1"/>
      <c r="F64" s="190"/>
      <c r="G64" s="9"/>
      <c r="H64" s="9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</row>
    <row r="65" customFormat="false" ht="15.75" hidden="false" customHeight="true" outlineLevel="0" collapsed="false">
      <c r="A65" s="1"/>
      <c r="B65" s="1"/>
      <c r="C65" s="1"/>
      <c r="D65" s="1"/>
      <c r="E65" s="1"/>
      <c r="F65" s="190"/>
      <c r="G65" s="2"/>
      <c r="H65" s="2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</row>
    <row r="66" customFormat="false" ht="15.75" hidden="false" customHeight="tru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</row>
    <row r="67" customFormat="false" ht="15.75" hidden="false" customHeight="tru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</row>
    <row r="68" customFormat="false" ht="15.7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</row>
    <row r="69" customFormat="false" ht="15.75" hidden="false" customHeight="tru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</row>
    <row r="70" customFormat="false" ht="15.75" hidden="false" customHeight="tru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</row>
    <row r="71" customFormat="false" ht="15.75" hidden="false" customHeight="tru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</row>
    <row r="72" customFormat="false" ht="15.75" hidden="false" customHeight="tru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</row>
    <row r="73" customFormat="false" ht="15.7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</row>
    <row r="74" customFormat="false" ht="15.7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</row>
    <row r="75" customFormat="false" ht="15.7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</row>
    <row r="76" customFormat="false" ht="15.7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</row>
    <row r="77" customFormat="false" ht="15.7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</row>
    <row r="78" customFormat="false" ht="15.7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</row>
    <row r="79" customFormat="false" ht="15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</row>
    <row r="80" customFormat="false" ht="15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</row>
    <row r="81" customFormat="false" ht="15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</row>
    <row r="82" customFormat="false" ht="15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</row>
    <row r="83" customFormat="false" ht="15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</row>
    <row r="84" customFormat="false" ht="15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</row>
    <row r="85" customFormat="false" ht="15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</row>
    <row r="86" customFormat="false" ht="15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</row>
    <row r="87" customFormat="false" ht="15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</row>
    <row r="88" customFormat="false" ht="15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</row>
    <row r="89" customFormat="false" ht="15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</row>
    <row r="90" customFormat="false" ht="15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</row>
    <row r="91" customFormat="false" ht="15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</row>
    <row r="92" customFormat="false" ht="15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</row>
    <row r="93" customFormat="false" ht="15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</row>
    <row r="94" customFormat="false" ht="15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</row>
    <row r="95" customFormat="false" ht="15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</row>
    <row r="96" customFormat="false" ht="15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</row>
    <row r="97" customFormat="false" ht="15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</row>
    <row r="98" customFormat="false" ht="15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</row>
    <row r="99" customFormat="false" ht="15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</row>
    <row r="100" customFormat="false" ht="15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</row>
    <row r="101" customFormat="false" ht="15.7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</row>
    <row r="102" customFormat="false" ht="15.7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</row>
    <row r="103" customFormat="false" ht="15.7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</row>
    <row r="104" customFormat="false" ht="15.7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</row>
    <row r="105" customFormat="false" ht="15.7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</row>
    <row r="106" customFormat="false" ht="15.7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</row>
    <row r="107" customFormat="false" ht="15.7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</row>
    <row r="108" customFormat="false" ht="15.7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</row>
    <row r="109" customFormat="false" ht="15.7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customFormat="false" ht="15.7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</row>
    <row r="111" customFormat="false" ht="15.7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</row>
    <row r="112" customFormat="false" ht="15.7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</row>
    <row r="113" customFormat="false" ht="15.75" hidden="false" customHeight="tru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</row>
    <row r="114" customFormat="false" ht="15.75" hidden="false" customHeight="tru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</row>
    <row r="115" customFormat="false" ht="15.75" hidden="false" customHeight="tru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</row>
    <row r="116" customFormat="false" ht="15.75" hidden="false" customHeight="tru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</row>
    <row r="117" customFormat="false" ht="15.75" hidden="false" customHeight="tru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</row>
    <row r="118" customFormat="false" ht="15.75" hidden="false" customHeight="tru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</row>
    <row r="119" customFormat="false" ht="15.75" hidden="false" customHeight="tru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</row>
    <row r="120" customFormat="false" ht="15.75" hidden="false" customHeight="tru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</row>
    <row r="121" customFormat="false" ht="15.75" hidden="false" customHeight="tru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</row>
    <row r="122" customFormat="false" ht="15.75" hidden="false" customHeight="tru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</row>
    <row r="123" customFormat="false" ht="15.75" hidden="false" customHeight="tru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</row>
    <row r="124" customFormat="false" ht="15.75" hidden="false" customHeight="tru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</row>
    <row r="125" customFormat="false" ht="15.7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</row>
    <row r="126" customFormat="false" ht="15.7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</row>
    <row r="127" customFormat="false" ht="15.7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</row>
    <row r="128" customFormat="false" ht="15.7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</row>
    <row r="129" customFormat="false" ht="15.75" hidden="false" customHeight="tru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</row>
    <row r="130" customFormat="false" ht="15.75" hidden="false" customHeight="tru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</row>
    <row r="131" customFormat="false" ht="15.75" hidden="false" customHeight="tru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</row>
    <row r="132" customFormat="false" ht="15.75" hidden="false" customHeight="tru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</row>
    <row r="133" customFormat="false" ht="15.75" hidden="false" customHeight="tru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</row>
    <row r="134" customFormat="false" ht="15.7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</row>
    <row r="135" customFormat="false" ht="15.75" hidden="false" customHeight="tru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</row>
    <row r="136" customFormat="false" ht="15.75" hidden="false" customHeight="tru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</row>
    <row r="137" customFormat="false" ht="15.75" hidden="false" customHeight="tru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</row>
    <row r="138" customFormat="false" ht="15.75" hidden="false" customHeight="tru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</row>
    <row r="139" customFormat="false" ht="15.75" hidden="false" customHeight="tru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</row>
    <row r="140" customFormat="false" ht="15.75" hidden="false" customHeight="tru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</row>
    <row r="141" customFormat="false" ht="15.75" hidden="false" customHeight="tru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</row>
    <row r="142" customFormat="false" ht="15.75" hidden="false" customHeight="tru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</row>
    <row r="143" customFormat="false" ht="15.75" hidden="false" customHeight="tru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</row>
    <row r="144" customFormat="false" ht="15.75" hidden="false" customHeight="tru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</row>
    <row r="145" customFormat="false" ht="15.75" hidden="false" customHeight="tru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</row>
    <row r="146" customFormat="false" ht="15.75" hidden="false" customHeight="tru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</row>
    <row r="147" customFormat="false" ht="15.75" hidden="false" customHeight="tru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</row>
    <row r="148" customFormat="false" ht="15.75" hidden="false" customHeight="tru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</row>
    <row r="149" customFormat="false" ht="15.75" hidden="false" customHeight="tru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</row>
    <row r="150" customFormat="false" ht="15.75" hidden="false" customHeight="tru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</row>
    <row r="151" customFormat="false" ht="15.75" hidden="false" customHeight="tru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</row>
    <row r="152" customFormat="false" ht="15.75" hidden="false" customHeight="tru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</row>
    <row r="153" customFormat="false" ht="15.75" hidden="false" customHeight="tru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</row>
    <row r="154" customFormat="false" ht="15.75" hidden="false" customHeight="tru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</row>
    <row r="155" customFormat="false" ht="15.75" hidden="false" customHeight="tru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</row>
    <row r="156" customFormat="false" ht="15.75" hidden="false" customHeight="tru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</row>
    <row r="157" customFormat="false" ht="15.75" hidden="false" customHeight="tru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</row>
    <row r="158" customFormat="false" ht="15.75" hidden="false" customHeight="tru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</row>
    <row r="159" customFormat="false" ht="15.75" hidden="false" customHeight="tru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</row>
    <row r="160" customFormat="false" ht="15.75" hidden="false" customHeight="tru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</row>
    <row r="161" customFormat="false" ht="15.75" hidden="false" customHeight="true" outlineLevel="0" collapsed="false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</row>
    <row r="162" customFormat="false" ht="15.75" hidden="false" customHeight="true" outlineLevel="0" collapsed="false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</row>
    <row r="163" customFormat="false" ht="15.75" hidden="false" customHeight="true" outlineLevel="0" collapsed="false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</row>
    <row r="164" customFormat="false" ht="15.75" hidden="false" customHeight="true" outlineLevel="0" collapsed="false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</row>
    <row r="165" customFormat="false" ht="15.75" hidden="false" customHeight="true" outlineLevel="0" collapsed="false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</row>
    <row r="166" customFormat="false" ht="15.75" hidden="false" customHeight="true" outlineLevel="0" collapsed="false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</row>
    <row r="167" customFormat="false" ht="15.75" hidden="false" customHeight="true" outlineLevel="0" collapsed="false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</row>
    <row r="168" customFormat="false" ht="15.75" hidden="false" customHeight="true" outlineLevel="0" collapsed="false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</row>
    <row r="169" customFormat="false" ht="15.75" hidden="false" customHeight="true" outlineLevel="0" collapsed="false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</row>
    <row r="170" customFormat="false" ht="15.75" hidden="false" customHeight="true" outlineLevel="0" collapsed="false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</row>
    <row r="171" customFormat="false" ht="15.75" hidden="false" customHeight="true" outlineLevel="0" collapsed="false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</row>
    <row r="172" customFormat="false" ht="15.75" hidden="false" customHeight="true" outlineLevel="0" collapsed="false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</row>
    <row r="173" customFormat="false" ht="15.75" hidden="false" customHeight="true" outlineLevel="0" collapsed="false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</row>
    <row r="174" customFormat="false" ht="15.75" hidden="false" customHeight="true" outlineLevel="0" collapsed="false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</row>
    <row r="175" customFormat="false" ht="15.75" hidden="false" customHeight="true" outlineLevel="0" collapsed="false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</row>
    <row r="176" customFormat="false" ht="15.75" hidden="false" customHeight="true" outlineLevel="0" collapsed="false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</row>
    <row r="177" customFormat="false" ht="15.75" hidden="false" customHeight="true" outlineLevel="0" collapsed="false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</row>
    <row r="178" customFormat="false" ht="15.75" hidden="false" customHeight="true" outlineLevel="0" collapsed="false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</row>
    <row r="179" customFormat="false" ht="15.75" hidden="false" customHeight="true" outlineLevel="0" collapsed="false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</row>
    <row r="180" customFormat="false" ht="15.75" hidden="false" customHeight="true" outlineLevel="0" collapsed="false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</row>
    <row r="181" customFormat="false" ht="15.75" hidden="false" customHeight="true" outlineLevel="0" collapsed="false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</row>
    <row r="182" customFormat="false" ht="15.75" hidden="false" customHeight="true" outlineLevel="0" collapsed="false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</row>
    <row r="183" customFormat="false" ht="15.75" hidden="false" customHeight="true" outlineLevel="0" collapsed="false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</row>
    <row r="184" customFormat="false" ht="15.75" hidden="false" customHeight="true" outlineLevel="0" collapsed="false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</row>
    <row r="185" customFormat="false" ht="15.75" hidden="false" customHeight="true" outlineLevel="0" collapsed="false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</row>
    <row r="186" customFormat="false" ht="15.75" hidden="false" customHeight="true" outlineLevel="0" collapsed="false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</row>
    <row r="187" customFormat="false" ht="15.75" hidden="false" customHeight="true" outlineLevel="0" collapsed="false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</row>
    <row r="188" customFormat="false" ht="15.75" hidden="false" customHeight="true" outlineLevel="0" collapsed="false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</row>
    <row r="189" customFormat="false" ht="15.75" hidden="false" customHeight="true" outlineLevel="0" collapsed="false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</row>
    <row r="190" customFormat="false" ht="15.75" hidden="false" customHeight="true" outlineLevel="0" collapsed="false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</row>
    <row r="191" customFormat="false" ht="15.75" hidden="false" customHeight="true" outlineLevel="0" collapsed="false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</row>
    <row r="192" customFormat="false" ht="15.75" hidden="false" customHeight="true" outlineLevel="0" collapsed="false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</row>
    <row r="193" customFormat="false" ht="15.75" hidden="false" customHeight="true" outlineLevel="0" collapsed="false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</row>
    <row r="194" customFormat="false" ht="15.75" hidden="false" customHeight="true" outlineLevel="0" collapsed="false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</row>
    <row r="195" customFormat="false" ht="15.75" hidden="false" customHeight="true" outlineLevel="0" collapsed="false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</row>
    <row r="196" customFormat="false" ht="15.75" hidden="false" customHeight="true" outlineLevel="0" collapsed="false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</row>
    <row r="197" customFormat="false" ht="15.75" hidden="false" customHeight="tru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</row>
    <row r="198" customFormat="false" ht="15.75" hidden="false" customHeight="tru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</row>
    <row r="199" customFormat="false" ht="15.75" hidden="false" customHeight="tru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</row>
    <row r="200" customFormat="false" ht="15.75" hidden="false" customHeight="tru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</row>
    <row r="201" customFormat="false" ht="15.75" hidden="false" customHeight="tru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</row>
    <row r="202" customFormat="false" ht="15.75" hidden="false" customHeight="tru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</row>
    <row r="203" customFormat="false" ht="15.75" hidden="false" customHeight="tru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</row>
    <row r="204" customFormat="false" ht="15.75" hidden="false" customHeight="tru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</row>
    <row r="205" customFormat="false" ht="15.75" hidden="false" customHeight="tru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</row>
    <row r="206" customFormat="false" ht="15.75" hidden="false" customHeight="tru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</row>
    <row r="207" customFormat="false" ht="15.75" hidden="false" customHeight="tru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</row>
    <row r="208" customFormat="false" ht="15.75" hidden="false" customHeight="tru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</row>
    <row r="209" customFormat="false" ht="15.75" hidden="false" customHeight="tru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</row>
    <row r="210" customFormat="false" ht="15.75" hidden="false" customHeight="tru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</row>
    <row r="211" customFormat="false" ht="15.75" hidden="false" customHeight="tru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</row>
    <row r="212" customFormat="false" ht="15.75" hidden="false" customHeight="tru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</row>
    <row r="213" customFormat="false" ht="15.75" hidden="false" customHeight="tru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</row>
    <row r="214" customFormat="false" ht="15.75" hidden="false" customHeight="tru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</row>
    <row r="215" customFormat="false" ht="15.75" hidden="false" customHeight="tru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</row>
    <row r="216" customFormat="false" ht="15.75" hidden="false" customHeight="tru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</row>
    <row r="217" customFormat="false" ht="15.75" hidden="false" customHeight="tru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</row>
    <row r="218" customFormat="false" ht="15.75" hidden="false" customHeight="tru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</row>
    <row r="219" customFormat="false" ht="15.75" hidden="false" customHeight="tru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</row>
    <row r="220" customFormat="false" ht="15.75" hidden="false" customHeight="tru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</row>
    <row r="221" customFormat="false" ht="15.75" hidden="false" customHeight="tru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</row>
    <row r="222" customFormat="false" ht="15.75" hidden="false" customHeight="tru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</row>
    <row r="223" customFormat="false" ht="15.75" hidden="false" customHeight="tru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</row>
    <row r="224" customFormat="false" ht="15.75" hidden="false" customHeight="tru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</row>
    <row r="225" customFormat="false" ht="15.75" hidden="false" customHeight="tru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</row>
    <row r="226" customFormat="false" ht="15.75" hidden="false" customHeight="tru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</row>
    <row r="227" customFormat="false" ht="15.75" hidden="false" customHeight="tru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</row>
    <row r="228" customFormat="false" ht="15.75" hidden="false" customHeight="tru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</row>
    <row r="229" customFormat="false" ht="15.75" hidden="false" customHeight="tru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</row>
    <row r="230" customFormat="false" ht="15.75" hidden="false" customHeight="tru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</row>
    <row r="231" customFormat="false" ht="15.75" hidden="false" customHeight="tru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</row>
    <row r="232" customFormat="false" ht="15.75" hidden="false" customHeight="tru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</row>
    <row r="233" customFormat="false" ht="15.75" hidden="false" customHeight="tru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</row>
    <row r="234" customFormat="false" ht="15.75" hidden="false" customHeight="tru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</row>
    <row r="235" customFormat="false" ht="15.75" hidden="false" customHeight="tru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</row>
    <row r="236" customFormat="false" ht="15.75" hidden="false" customHeight="tru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</row>
    <row r="237" customFormat="false" ht="15.75" hidden="false" customHeight="tru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</row>
    <row r="238" customFormat="false" ht="15.75" hidden="false" customHeight="tru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</row>
    <row r="239" customFormat="false" ht="15.75" hidden="false" customHeight="tru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</row>
    <row r="240" customFormat="false" ht="15.75" hidden="false" customHeight="tru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</row>
    <row r="241" customFormat="false" ht="15.75" hidden="false" customHeight="tru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</row>
    <row r="242" customFormat="false" ht="15.75" hidden="false" customHeight="tru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</row>
    <row r="243" customFormat="false" ht="15.75" hidden="false" customHeight="tru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</row>
    <row r="244" customFormat="false" ht="15.75" hidden="false" customHeight="tru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</row>
    <row r="245" customFormat="false" ht="15.75" hidden="false" customHeight="tru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</row>
    <row r="246" customFormat="false" ht="15.75" hidden="false" customHeight="tru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</row>
    <row r="247" customFormat="false" ht="15.75" hidden="false" customHeight="tru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</row>
    <row r="248" customFormat="false" ht="15.75" hidden="false" customHeight="tru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</row>
    <row r="249" customFormat="false" ht="15.75" hidden="false" customHeight="tru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</row>
    <row r="250" customFormat="false" ht="15.75" hidden="false" customHeight="tru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</row>
    <row r="251" customFormat="false" ht="15.75" hidden="false" customHeight="tru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</row>
    <row r="252" customFormat="false" ht="15.75" hidden="false" customHeight="tru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</row>
    <row r="253" customFormat="false" ht="15.75" hidden="false" customHeight="tru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</row>
    <row r="254" customFormat="false" ht="15.75" hidden="false" customHeight="tru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</row>
    <row r="255" customFormat="false" ht="15.75" hidden="false" customHeight="tru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</row>
    <row r="256" customFormat="false" ht="15.75" hidden="false" customHeight="tru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</row>
    <row r="257" customFormat="false" ht="15.75" hidden="false" customHeight="tru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</row>
    <row r="258" customFormat="false" ht="15.75" hidden="false" customHeight="tru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</row>
    <row r="259" customFormat="false" ht="15.75" hidden="false" customHeight="tru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</row>
    <row r="260" customFormat="false" ht="15.75" hidden="false" customHeight="tru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</row>
    <row r="261" customFormat="false" ht="15.75" hidden="false" customHeight="tru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</row>
    <row r="262" customFormat="false" ht="15.75" hidden="false" customHeight="tru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</row>
    <row r="263" customFormat="false" ht="15.75" hidden="false" customHeight="tru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</row>
    <row r="264" customFormat="false" ht="15.75" hidden="false" customHeight="tru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</row>
    <row r="265" customFormat="false" ht="15.75" hidden="false" customHeight="tru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</row>
    <row r="266" customFormat="false" ht="15.75" hidden="false" customHeight="tru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</row>
    <row r="267" customFormat="false" ht="15.75" hidden="false" customHeight="tru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</row>
    <row r="268" customFormat="false" ht="15.75" hidden="false" customHeight="tru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</row>
    <row r="269" customFormat="false" ht="15.75" hidden="false" customHeight="tru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</row>
    <row r="270" customFormat="false" ht="15.75" hidden="false" customHeight="tru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</row>
    <row r="271" customFormat="false" ht="15.75" hidden="false" customHeight="tru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</row>
    <row r="272" customFormat="false" ht="15.75" hidden="false" customHeight="tru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</row>
    <row r="273" customFormat="false" ht="15.75" hidden="false" customHeight="tru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</row>
    <row r="274" customFormat="false" ht="15.75" hidden="false" customHeight="tru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</row>
    <row r="275" customFormat="false" ht="15.75" hidden="false" customHeight="tru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</row>
    <row r="276" customFormat="false" ht="15.75" hidden="false" customHeight="tru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</row>
    <row r="277" customFormat="false" ht="15.75" hidden="false" customHeight="tru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</row>
    <row r="278" customFormat="false" ht="15.75" hidden="false" customHeight="tru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</row>
    <row r="279" customFormat="false" ht="15.75" hidden="false" customHeight="tru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</row>
    <row r="280" customFormat="false" ht="15.75" hidden="false" customHeight="tru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</row>
    <row r="281" customFormat="false" ht="15.75" hidden="false" customHeight="tru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</row>
    <row r="282" customFormat="false" ht="15.75" hidden="false" customHeight="tru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</row>
    <row r="283" customFormat="false" ht="15.75" hidden="false" customHeight="tru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</row>
    <row r="284" customFormat="false" ht="15.75" hidden="false" customHeight="tru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</row>
    <row r="285" customFormat="false" ht="15.75" hidden="false" customHeight="tru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</row>
    <row r="286" customFormat="false" ht="15.75" hidden="false" customHeight="tru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</row>
    <row r="287" customFormat="false" ht="15.75" hidden="false" customHeight="tru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</row>
    <row r="288" customFormat="false" ht="15.75" hidden="false" customHeight="tru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</row>
    <row r="289" customFormat="false" ht="15.75" hidden="false" customHeight="tru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</row>
    <row r="290" customFormat="false" ht="15.75" hidden="false" customHeight="tru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</row>
    <row r="291" customFormat="false" ht="15.75" hidden="false" customHeight="tru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</row>
    <row r="292" customFormat="false" ht="15.75" hidden="false" customHeight="tru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</row>
    <row r="293" customFormat="false" ht="15.75" hidden="false" customHeight="tru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</row>
    <row r="294" customFormat="false" ht="15.75" hidden="false" customHeight="tru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</row>
    <row r="295" customFormat="false" ht="15.75" hidden="false" customHeight="tru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</row>
    <row r="296" customFormat="false" ht="15.75" hidden="false" customHeight="tru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</row>
    <row r="297" customFormat="false" ht="15.75" hidden="false" customHeight="tru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</row>
    <row r="298" customFormat="false" ht="15.75" hidden="false" customHeight="tru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</row>
    <row r="299" customFormat="false" ht="15.75" hidden="false" customHeight="tru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</row>
    <row r="300" customFormat="false" ht="15.75" hidden="false" customHeight="tru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</row>
    <row r="301" customFormat="false" ht="15.75" hidden="false" customHeight="tru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</row>
    <row r="302" customFormat="false" ht="15.75" hidden="false" customHeight="tru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</row>
    <row r="303" customFormat="false" ht="15.75" hidden="false" customHeight="tru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</row>
    <row r="304" customFormat="false" ht="15.75" hidden="false" customHeight="tru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</row>
    <row r="305" customFormat="false" ht="15.75" hidden="false" customHeight="tru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</row>
    <row r="306" customFormat="false" ht="15.75" hidden="false" customHeight="tru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</row>
    <row r="307" customFormat="false" ht="15.75" hidden="false" customHeight="tru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</row>
    <row r="308" customFormat="false" ht="15.75" hidden="false" customHeight="tru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</row>
    <row r="309" customFormat="false" ht="15.75" hidden="false" customHeight="tru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</row>
    <row r="310" customFormat="false" ht="15.75" hidden="false" customHeight="tru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</row>
    <row r="311" customFormat="false" ht="15.75" hidden="false" customHeight="tru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</row>
    <row r="312" customFormat="false" ht="15.75" hidden="false" customHeight="tru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</row>
    <row r="313" customFormat="false" ht="15.75" hidden="false" customHeight="tru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</row>
    <row r="314" customFormat="false" ht="15.75" hidden="false" customHeight="tru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</row>
    <row r="315" customFormat="false" ht="15.75" hidden="false" customHeight="tru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</row>
    <row r="316" customFormat="false" ht="15.75" hidden="false" customHeight="tru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</row>
    <row r="317" customFormat="false" ht="15.75" hidden="false" customHeight="tru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</row>
    <row r="318" customFormat="false" ht="15.75" hidden="false" customHeight="tru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</row>
    <row r="319" customFormat="false" ht="15.75" hidden="false" customHeight="tru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</row>
    <row r="320" customFormat="false" ht="15.75" hidden="false" customHeight="tru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</row>
    <row r="321" customFormat="false" ht="15.75" hidden="false" customHeight="tru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</row>
    <row r="322" customFormat="false" ht="15.75" hidden="false" customHeight="tru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</row>
    <row r="323" customFormat="false" ht="15.75" hidden="false" customHeight="tru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</row>
    <row r="324" customFormat="false" ht="15.75" hidden="false" customHeight="tru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</row>
    <row r="325" customFormat="false" ht="15.75" hidden="false" customHeight="tru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</row>
    <row r="326" customFormat="false" ht="15.75" hidden="false" customHeight="tru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</row>
    <row r="327" customFormat="false" ht="15.75" hidden="false" customHeight="tru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</row>
    <row r="328" customFormat="false" ht="15.75" hidden="false" customHeight="tru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</row>
    <row r="329" customFormat="false" ht="15.75" hidden="false" customHeight="tru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</row>
    <row r="330" customFormat="false" ht="15.75" hidden="false" customHeight="tru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</row>
    <row r="331" customFormat="false" ht="15.75" hidden="false" customHeight="tru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</row>
    <row r="332" customFormat="false" ht="15.75" hidden="false" customHeight="tru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</row>
    <row r="333" customFormat="false" ht="15.75" hidden="false" customHeight="tru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</row>
    <row r="334" customFormat="false" ht="15.75" hidden="false" customHeight="tru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</row>
    <row r="335" customFormat="false" ht="15.75" hidden="false" customHeight="tru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</row>
    <row r="336" customFormat="false" ht="15.75" hidden="false" customHeight="tru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</row>
    <row r="337" customFormat="false" ht="15.75" hidden="false" customHeight="tru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</row>
    <row r="338" customFormat="false" ht="15.75" hidden="false" customHeight="tru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</row>
    <row r="339" customFormat="false" ht="15.75" hidden="false" customHeight="tru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</row>
    <row r="340" customFormat="false" ht="15.75" hidden="false" customHeight="tru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</row>
    <row r="341" customFormat="false" ht="15.75" hidden="false" customHeight="tru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</row>
    <row r="342" customFormat="false" ht="15.75" hidden="false" customHeight="tru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</row>
    <row r="343" customFormat="false" ht="15.75" hidden="false" customHeight="tru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</row>
    <row r="344" customFormat="false" ht="15.75" hidden="false" customHeight="tru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</row>
    <row r="345" customFormat="false" ht="15.75" hidden="false" customHeight="tru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</row>
    <row r="346" customFormat="false" ht="15.75" hidden="false" customHeight="tru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</row>
    <row r="347" customFormat="false" ht="15.75" hidden="false" customHeight="tru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</row>
    <row r="348" customFormat="false" ht="15.75" hidden="false" customHeight="tru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</row>
    <row r="349" customFormat="false" ht="15.75" hidden="false" customHeight="tru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</row>
    <row r="350" customFormat="false" ht="15.75" hidden="false" customHeight="tru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</row>
    <row r="351" customFormat="false" ht="15.75" hidden="false" customHeight="tru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</row>
    <row r="352" customFormat="false" ht="15.75" hidden="false" customHeight="tru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</row>
    <row r="353" customFormat="false" ht="15.75" hidden="false" customHeight="tru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</row>
    <row r="354" customFormat="false" ht="15.75" hidden="false" customHeight="tru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</row>
    <row r="355" customFormat="false" ht="15.75" hidden="false" customHeight="tru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</row>
    <row r="356" customFormat="false" ht="15.75" hidden="false" customHeight="tru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</row>
    <row r="357" customFormat="false" ht="15.75" hidden="false" customHeight="tru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</row>
    <row r="358" customFormat="false" ht="15.75" hidden="false" customHeight="tru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</row>
    <row r="359" customFormat="false" ht="15.75" hidden="false" customHeight="tru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</row>
    <row r="360" customFormat="false" ht="15.75" hidden="false" customHeight="tru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</row>
    <row r="361" customFormat="false" ht="15.75" hidden="false" customHeight="tru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</row>
    <row r="362" customFormat="false" ht="15.75" hidden="false" customHeight="tru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</row>
    <row r="363" customFormat="false" ht="15.75" hidden="false" customHeight="tru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</row>
    <row r="364" customFormat="false" ht="15.75" hidden="false" customHeight="tru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</row>
    <row r="365" customFormat="false" ht="15.75" hidden="false" customHeight="tru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</row>
    <row r="366" customFormat="false" ht="15.75" hidden="false" customHeight="tru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</row>
    <row r="367" customFormat="false" ht="15.75" hidden="false" customHeight="tru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</row>
    <row r="368" customFormat="false" ht="15.75" hidden="false" customHeight="tru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</row>
    <row r="369" customFormat="false" ht="15.75" hidden="false" customHeight="tru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</row>
    <row r="370" customFormat="false" ht="15.75" hidden="false" customHeight="tru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</row>
    <row r="371" customFormat="false" ht="15.75" hidden="false" customHeight="tru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</row>
    <row r="372" customFormat="false" ht="15.75" hidden="false" customHeight="tru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</row>
    <row r="373" customFormat="false" ht="15.75" hidden="false" customHeight="tru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</row>
    <row r="374" customFormat="false" ht="15.75" hidden="false" customHeight="tru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</row>
    <row r="375" customFormat="false" ht="15.75" hidden="false" customHeight="tru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</row>
    <row r="376" customFormat="false" ht="15.75" hidden="false" customHeight="tru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</row>
    <row r="377" customFormat="false" ht="15.75" hidden="false" customHeight="tru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</row>
    <row r="378" customFormat="false" ht="15.75" hidden="false" customHeight="tru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</row>
    <row r="379" customFormat="false" ht="15.75" hidden="false" customHeight="tru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</row>
    <row r="380" customFormat="false" ht="15.75" hidden="false" customHeight="tru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</row>
    <row r="381" customFormat="false" ht="15.75" hidden="false" customHeight="tru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</row>
    <row r="382" customFormat="false" ht="15.75" hidden="false" customHeight="tru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</row>
    <row r="383" customFormat="false" ht="15.75" hidden="false" customHeight="tru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</row>
    <row r="384" customFormat="false" ht="15.75" hidden="false" customHeight="tru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</row>
    <row r="385" customFormat="false" ht="15.75" hidden="false" customHeight="tru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</row>
    <row r="386" customFormat="false" ht="15.75" hidden="false" customHeight="tru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</row>
    <row r="387" customFormat="false" ht="15.75" hidden="false" customHeight="tru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</row>
    <row r="388" customFormat="false" ht="15.75" hidden="false" customHeight="tru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</row>
    <row r="389" customFormat="false" ht="15.75" hidden="false" customHeight="tru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</row>
    <row r="390" customFormat="false" ht="15.75" hidden="false" customHeight="tru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</row>
    <row r="391" customFormat="false" ht="15.75" hidden="false" customHeight="tru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</row>
    <row r="392" customFormat="false" ht="15.75" hidden="false" customHeight="tru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</row>
    <row r="393" customFormat="false" ht="15.75" hidden="false" customHeight="tru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</row>
    <row r="394" customFormat="false" ht="15.75" hidden="false" customHeight="tru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</row>
    <row r="395" customFormat="false" ht="15.75" hidden="false" customHeight="tru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</row>
    <row r="396" customFormat="false" ht="15.75" hidden="false" customHeight="tru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</row>
    <row r="397" customFormat="false" ht="15.75" hidden="false" customHeight="tru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</row>
    <row r="398" customFormat="false" ht="15.75" hidden="false" customHeight="tru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</row>
    <row r="399" customFormat="false" ht="15.75" hidden="false" customHeight="tru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</row>
    <row r="400" customFormat="false" ht="15.75" hidden="false" customHeight="tru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</row>
    <row r="401" customFormat="false" ht="15.75" hidden="false" customHeight="tru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</row>
    <row r="402" customFormat="false" ht="15.75" hidden="false" customHeight="tru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</row>
    <row r="403" customFormat="false" ht="15.75" hidden="false" customHeight="tru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</row>
    <row r="404" customFormat="false" ht="15.75" hidden="false" customHeight="tru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</row>
    <row r="405" customFormat="false" ht="15.75" hidden="false" customHeight="tru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</row>
    <row r="406" customFormat="false" ht="15.75" hidden="false" customHeight="tru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</row>
    <row r="407" customFormat="false" ht="15.75" hidden="false" customHeight="tru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</row>
    <row r="408" customFormat="false" ht="15.75" hidden="false" customHeight="tru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</row>
    <row r="409" customFormat="false" ht="15.75" hidden="false" customHeight="tru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</row>
    <row r="410" customFormat="false" ht="15.75" hidden="false" customHeight="tru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</row>
    <row r="411" customFormat="false" ht="15.75" hidden="false" customHeight="tru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</row>
    <row r="412" customFormat="false" ht="15.75" hidden="false" customHeight="tru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</row>
    <row r="413" customFormat="false" ht="15.75" hidden="false" customHeight="tru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</row>
    <row r="414" customFormat="false" ht="15.75" hidden="false" customHeight="tru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</row>
    <row r="415" customFormat="false" ht="15.75" hidden="false" customHeight="tru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</row>
    <row r="416" customFormat="false" ht="15.75" hidden="false" customHeight="tru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</row>
    <row r="417" customFormat="false" ht="15.75" hidden="false" customHeight="tru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</row>
    <row r="418" customFormat="false" ht="15.75" hidden="false" customHeight="tru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</row>
    <row r="419" customFormat="false" ht="15.75" hidden="false" customHeight="tru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</row>
    <row r="420" customFormat="false" ht="15.75" hidden="false" customHeight="tru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</row>
    <row r="421" customFormat="false" ht="15.75" hidden="false" customHeight="tru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</row>
    <row r="422" customFormat="false" ht="15.75" hidden="false" customHeight="tru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</row>
    <row r="423" customFormat="false" ht="15.75" hidden="false" customHeight="tru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</row>
    <row r="424" customFormat="false" ht="15.75" hidden="false" customHeight="tru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</row>
    <row r="425" customFormat="false" ht="15.75" hidden="false" customHeight="tru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</row>
    <row r="426" customFormat="false" ht="15.75" hidden="false" customHeight="tru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</row>
    <row r="427" customFormat="false" ht="15.75" hidden="false" customHeight="tru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</row>
    <row r="428" customFormat="false" ht="15.75" hidden="false" customHeight="tru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</row>
    <row r="429" customFormat="false" ht="15.75" hidden="false" customHeight="tru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</row>
    <row r="430" customFormat="false" ht="15.75" hidden="false" customHeight="tru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</row>
    <row r="431" customFormat="false" ht="15.75" hidden="false" customHeight="tru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</row>
    <row r="432" customFormat="false" ht="15.75" hidden="false" customHeight="tru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</row>
    <row r="433" customFormat="false" ht="15.75" hidden="false" customHeight="tru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</row>
    <row r="434" customFormat="false" ht="15.75" hidden="false" customHeight="tru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</row>
    <row r="435" customFormat="false" ht="15.75" hidden="false" customHeight="tru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</row>
    <row r="436" customFormat="false" ht="15.75" hidden="false" customHeight="tru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</row>
    <row r="437" customFormat="false" ht="15.75" hidden="false" customHeight="tru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</row>
    <row r="438" customFormat="false" ht="15.75" hidden="false" customHeight="tru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</row>
    <row r="439" customFormat="false" ht="15.75" hidden="false" customHeight="tru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</row>
    <row r="440" customFormat="false" ht="15.75" hidden="false" customHeight="tru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</row>
    <row r="441" customFormat="false" ht="15.75" hidden="false" customHeight="tru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</row>
    <row r="442" customFormat="false" ht="15.75" hidden="false" customHeight="tru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</row>
    <row r="443" customFormat="false" ht="15.75" hidden="false" customHeight="tru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</row>
    <row r="444" customFormat="false" ht="15.75" hidden="false" customHeight="tru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</row>
    <row r="445" customFormat="false" ht="15.75" hidden="false" customHeight="tru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</row>
    <row r="446" customFormat="false" ht="15.75" hidden="false" customHeight="tru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</row>
    <row r="447" customFormat="false" ht="15.75" hidden="false" customHeight="tru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</row>
    <row r="448" customFormat="false" ht="15.75" hidden="false" customHeight="tru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</row>
    <row r="449" customFormat="false" ht="15.75" hidden="false" customHeight="tru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</row>
    <row r="450" customFormat="false" ht="15.75" hidden="false" customHeight="tru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</row>
    <row r="451" customFormat="false" ht="15.75" hidden="false" customHeight="tru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</row>
    <row r="452" customFormat="false" ht="15.75" hidden="false" customHeight="tru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</row>
    <row r="453" customFormat="false" ht="15.75" hidden="false" customHeight="tru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</row>
    <row r="454" customFormat="false" ht="15.75" hidden="false" customHeight="tru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</row>
    <row r="455" customFormat="false" ht="15.75" hidden="false" customHeight="tru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</row>
    <row r="456" customFormat="false" ht="15.75" hidden="false" customHeight="tru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</row>
    <row r="457" customFormat="false" ht="15.75" hidden="false" customHeight="tru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</row>
    <row r="458" customFormat="false" ht="15.75" hidden="false" customHeight="tru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</row>
    <row r="459" customFormat="false" ht="15.75" hidden="false" customHeight="tru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</row>
    <row r="460" customFormat="false" ht="15.75" hidden="false" customHeight="tru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</row>
    <row r="461" customFormat="false" ht="15.75" hidden="false" customHeight="tru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</row>
    <row r="462" customFormat="false" ht="15.75" hidden="false" customHeight="tru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</row>
    <row r="463" customFormat="false" ht="15.75" hidden="false" customHeight="tru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</row>
    <row r="464" customFormat="false" ht="15.75" hidden="false" customHeight="tru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</row>
    <row r="465" customFormat="false" ht="15.75" hidden="false" customHeight="tru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</row>
    <row r="466" customFormat="false" ht="15.75" hidden="false" customHeight="tru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</row>
    <row r="467" customFormat="false" ht="15.75" hidden="false" customHeight="tru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</row>
    <row r="468" customFormat="false" ht="15.75" hidden="false" customHeight="tru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</row>
    <row r="469" customFormat="false" ht="15.75" hidden="false" customHeight="tru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</row>
    <row r="470" customFormat="false" ht="15.75" hidden="false" customHeight="tru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</row>
    <row r="471" customFormat="false" ht="15.75" hidden="false" customHeight="tru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</row>
    <row r="472" customFormat="false" ht="15.75" hidden="false" customHeight="tru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</row>
    <row r="473" customFormat="false" ht="15.75" hidden="false" customHeight="tru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</row>
    <row r="474" customFormat="false" ht="15.75" hidden="false" customHeight="tru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</row>
    <row r="475" customFormat="false" ht="15.75" hidden="false" customHeight="tru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</row>
    <row r="476" customFormat="false" ht="15.75" hidden="false" customHeight="tru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</row>
    <row r="477" customFormat="false" ht="15.75" hidden="false" customHeight="tru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</row>
    <row r="478" customFormat="false" ht="15.75" hidden="false" customHeight="tru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</row>
    <row r="479" customFormat="false" ht="15.75" hidden="false" customHeight="tru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</row>
    <row r="480" customFormat="false" ht="15.75" hidden="false" customHeight="tru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</row>
    <row r="481" customFormat="false" ht="15.75" hidden="false" customHeight="tru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</row>
    <row r="482" customFormat="false" ht="15.75" hidden="false" customHeight="tru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</row>
    <row r="483" customFormat="false" ht="15.75" hidden="false" customHeight="tru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</row>
    <row r="484" customFormat="false" ht="15.75" hidden="false" customHeight="tru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</row>
    <row r="485" customFormat="false" ht="15.75" hidden="false" customHeight="tru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</row>
    <row r="486" customFormat="false" ht="15.75" hidden="false" customHeight="tru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</row>
    <row r="487" customFormat="false" ht="15.75" hidden="false" customHeight="tru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</row>
    <row r="488" customFormat="false" ht="15.75" hidden="false" customHeight="tru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</row>
    <row r="489" customFormat="false" ht="15.75" hidden="false" customHeight="tru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</row>
    <row r="490" customFormat="false" ht="15.75" hidden="false" customHeight="tru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</row>
    <row r="491" customFormat="false" ht="15.75" hidden="false" customHeight="tru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</row>
    <row r="492" customFormat="false" ht="15.75" hidden="false" customHeight="tru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</row>
    <row r="493" customFormat="false" ht="15.75" hidden="false" customHeight="tru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</row>
    <row r="494" customFormat="false" ht="15.75" hidden="false" customHeight="tru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</row>
    <row r="495" customFormat="false" ht="15.75" hidden="false" customHeight="tru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</row>
    <row r="496" customFormat="false" ht="15.75" hidden="false" customHeight="tru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</row>
    <row r="497" customFormat="false" ht="15.75" hidden="false" customHeight="tru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</row>
    <row r="498" customFormat="false" ht="15.75" hidden="false" customHeight="tru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</row>
    <row r="499" customFormat="false" ht="15.75" hidden="false" customHeight="tru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</row>
    <row r="500" customFormat="false" ht="15.75" hidden="false" customHeight="tru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</row>
    <row r="501" customFormat="false" ht="15.75" hidden="false" customHeight="tru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</row>
    <row r="502" customFormat="false" ht="15.75" hidden="false" customHeight="tru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</row>
    <row r="503" customFormat="false" ht="15.75" hidden="false" customHeight="tru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</row>
    <row r="504" customFormat="false" ht="15.75" hidden="false" customHeight="tru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</row>
    <row r="505" customFormat="false" ht="15.75" hidden="false" customHeight="tru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</row>
    <row r="506" customFormat="false" ht="15.75" hidden="false" customHeight="tru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</row>
    <row r="507" customFormat="false" ht="15.75" hidden="false" customHeight="tru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</row>
    <row r="508" customFormat="false" ht="15.75" hidden="false" customHeight="tru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</row>
    <row r="509" customFormat="false" ht="15.75" hidden="false" customHeight="tru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</row>
    <row r="510" customFormat="false" ht="15.75" hidden="false" customHeight="tru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</row>
    <row r="511" customFormat="false" ht="15.75" hidden="false" customHeight="tru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</row>
    <row r="512" customFormat="false" ht="15.75" hidden="false" customHeight="tru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</row>
    <row r="513" customFormat="false" ht="15.75" hidden="false" customHeight="tru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</row>
    <row r="514" customFormat="false" ht="15.75" hidden="false" customHeight="tru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</row>
    <row r="515" customFormat="false" ht="15.75" hidden="false" customHeight="tru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</row>
    <row r="516" customFormat="false" ht="15.75" hidden="false" customHeight="tru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</row>
    <row r="517" customFormat="false" ht="15.75" hidden="false" customHeight="tru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</row>
    <row r="518" customFormat="false" ht="15.75" hidden="false" customHeight="tru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</row>
    <row r="519" customFormat="false" ht="15.75" hidden="false" customHeight="tru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</row>
    <row r="520" customFormat="false" ht="15.75" hidden="false" customHeight="tru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</row>
    <row r="521" customFormat="false" ht="15.75" hidden="false" customHeight="tru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</row>
    <row r="522" customFormat="false" ht="15.75" hidden="false" customHeight="tru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</row>
    <row r="523" customFormat="false" ht="15.75" hidden="false" customHeight="tru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</row>
    <row r="524" customFormat="false" ht="15.75" hidden="false" customHeight="tru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</row>
    <row r="525" customFormat="false" ht="15.75" hidden="false" customHeight="tru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</row>
    <row r="526" customFormat="false" ht="15.75" hidden="false" customHeight="tru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</row>
    <row r="527" customFormat="false" ht="15.75" hidden="false" customHeight="tru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</row>
    <row r="528" customFormat="false" ht="15.75" hidden="false" customHeight="tru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</row>
    <row r="529" customFormat="false" ht="15.75" hidden="false" customHeight="tru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</row>
    <row r="530" customFormat="false" ht="15.75" hidden="false" customHeight="tru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</row>
    <row r="531" customFormat="false" ht="15.75" hidden="false" customHeight="tru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</row>
    <row r="532" customFormat="false" ht="15.75" hidden="false" customHeight="tru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</row>
    <row r="533" customFormat="false" ht="15.75" hidden="false" customHeight="tru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</row>
    <row r="534" customFormat="false" ht="15.75" hidden="false" customHeight="tru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</row>
    <row r="535" customFormat="false" ht="15.75" hidden="false" customHeight="tru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</row>
    <row r="536" customFormat="false" ht="15.75" hidden="false" customHeight="tru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</row>
    <row r="537" customFormat="false" ht="15.75" hidden="false" customHeight="tru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</row>
    <row r="538" customFormat="false" ht="15.75" hidden="false" customHeight="tru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</row>
    <row r="539" customFormat="false" ht="15.75" hidden="false" customHeight="tru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</row>
    <row r="540" customFormat="false" ht="15.75" hidden="false" customHeight="tru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</row>
    <row r="541" customFormat="false" ht="15.75" hidden="false" customHeight="tru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</row>
    <row r="542" customFormat="false" ht="15.75" hidden="false" customHeight="tru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</row>
    <row r="543" customFormat="false" ht="15.75" hidden="false" customHeight="tru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</row>
    <row r="544" customFormat="false" ht="15.75" hidden="false" customHeight="tru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</row>
    <row r="545" customFormat="false" ht="15.75" hidden="false" customHeight="tru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</row>
    <row r="546" customFormat="false" ht="15.75" hidden="false" customHeight="tru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</row>
    <row r="547" customFormat="false" ht="15.75" hidden="false" customHeight="tru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</row>
    <row r="548" customFormat="false" ht="15.75" hidden="false" customHeight="tru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</row>
    <row r="549" customFormat="false" ht="15.75" hidden="false" customHeight="tru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</row>
    <row r="550" customFormat="false" ht="15.75" hidden="false" customHeight="tru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</row>
    <row r="551" customFormat="false" ht="15.75" hidden="false" customHeight="tru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</row>
    <row r="552" customFormat="false" ht="15.75" hidden="false" customHeight="tru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</row>
    <row r="553" customFormat="false" ht="15.75" hidden="false" customHeight="tru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</row>
    <row r="554" customFormat="false" ht="15.75" hidden="false" customHeight="tru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</row>
    <row r="555" customFormat="false" ht="15.75" hidden="false" customHeight="tru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</row>
    <row r="556" customFormat="false" ht="15.75" hidden="false" customHeight="tru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</row>
    <row r="557" customFormat="false" ht="15.75" hidden="false" customHeight="tru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</row>
    <row r="558" customFormat="false" ht="15.75" hidden="false" customHeight="tru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</row>
    <row r="559" customFormat="false" ht="15.75" hidden="false" customHeight="tru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</row>
    <row r="560" customFormat="false" ht="15.75" hidden="false" customHeight="tru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</row>
    <row r="561" customFormat="false" ht="15.75" hidden="false" customHeight="tru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</row>
    <row r="562" customFormat="false" ht="15.75" hidden="false" customHeight="tru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</row>
    <row r="563" customFormat="false" ht="15.75" hidden="false" customHeight="tru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</row>
    <row r="564" customFormat="false" ht="15.75" hidden="false" customHeight="tru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</row>
    <row r="565" customFormat="false" ht="15.75" hidden="false" customHeight="tru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</row>
    <row r="566" customFormat="false" ht="15.75" hidden="false" customHeight="tru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</row>
    <row r="567" customFormat="false" ht="15.75" hidden="false" customHeight="tru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</row>
    <row r="568" customFormat="false" ht="15.75" hidden="false" customHeight="tru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</row>
    <row r="569" customFormat="false" ht="15.75" hidden="false" customHeight="tru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</row>
    <row r="570" customFormat="false" ht="15.75" hidden="false" customHeight="tru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</row>
    <row r="571" customFormat="false" ht="15.75" hidden="false" customHeight="tru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</row>
    <row r="572" customFormat="false" ht="15.75" hidden="false" customHeight="tru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</row>
    <row r="573" customFormat="false" ht="15.75" hidden="false" customHeight="tru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</row>
    <row r="574" customFormat="false" ht="15.75" hidden="false" customHeight="tru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</row>
    <row r="575" customFormat="false" ht="15.75" hidden="false" customHeight="tru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</row>
    <row r="576" customFormat="false" ht="15.75" hidden="false" customHeight="tru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</row>
    <row r="577" customFormat="false" ht="15.75" hidden="false" customHeight="tru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</row>
    <row r="578" customFormat="false" ht="15.75" hidden="false" customHeight="tru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</row>
    <row r="579" customFormat="false" ht="15.75" hidden="false" customHeight="tru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</row>
    <row r="580" customFormat="false" ht="15.75" hidden="false" customHeight="tru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</row>
    <row r="581" customFormat="false" ht="15.75" hidden="false" customHeight="tru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</row>
    <row r="582" customFormat="false" ht="15.75" hidden="false" customHeight="tru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</row>
    <row r="583" customFormat="false" ht="15.75" hidden="false" customHeight="tru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</row>
    <row r="584" customFormat="false" ht="15.75" hidden="false" customHeight="tru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</row>
    <row r="585" customFormat="false" ht="15.75" hidden="false" customHeight="tru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</row>
    <row r="586" customFormat="false" ht="15.75" hidden="false" customHeight="tru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</row>
    <row r="587" customFormat="false" ht="15.75" hidden="false" customHeight="tru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</row>
    <row r="588" customFormat="false" ht="15.75" hidden="false" customHeight="tru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</row>
    <row r="589" customFormat="false" ht="15.75" hidden="false" customHeight="tru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</row>
    <row r="590" customFormat="false" ht="15.75" hidden="false" customHeight="tru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</row>
    <row r="591" customFormat="false" ht="15.75" hidden="false" customHeight="tru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</row>
    <row r="592" customFormat="false" ht="15.75" hidden="false" customHeight="tru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</row>
    <row r="593" customFormat="false" ht="15.75" hidden="false" customHeight="tru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</row>
    <row r="594" customFormat="false" ht="15.75" hidden="false" customHeight="tru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</row>
    <row r="595" customFormat="false" ht="15.75" hidden="false" customHeight="tru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</row>
    <row r="596" customFormat="false" ht="15.75" hidden="false" customHeight="tru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</row>
    <row r="597" customFormat="false" ht="15.75" hidden="false" customHeight="tru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</row>
    <row r="598" customFormat="false" ht="15.75" hidden="false" customHeight="tru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</row>
    <row r="599" customFormat="false" ht="15.75" hidden="false" customHeight="tru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</row>
    <row r="600" customFormat="false" ht="15.75" hidden="false" customHeight="tru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</row>
    <row r="601" customFormat="false" ht="15.75" hidden="false" customHeight="tru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</row>
    <row r="602" customFormat="false" ht="15.75" hidden="false" customHeight="tru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</row>
    <row r="603" customFormat="false" ht="15.75" hidden="false" customHeight="tru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</row>
    <row r="604" customFormat="false" ht="15.75" hidden="false" customHeight="tru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</row>
    <row r="605" customFormat="false" ht="15.75" hidden="false" customHeight="tru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</row>
    <row r="606" customFormat="false" ht="15.75" hidden="false" customHeight="tru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</row>
    <row r="607" customFormat="false" ht="15.75" hidden="false" customHeight="tru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</row>
    <row r="608" customFormat="false" ht="15.75" hidden="false" customHeight="tru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</row>
    <row r="609" customFormat="false" ht="15.75" hidden="false" customHeight="tru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</row>
    <row r="610" customFormat="false" ht="15.75" hidden="false" customHeight="tru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</row>
    <row r="611" customFormat="false" ht="15.75" hidden="false" customHeight="tru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</row>
    <row r="612" customFormat="false" ht="15.75" hidden="false" customHeight="tru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</row>
    <row r="613" customFormat="false" ht="15.75" hidden="false" customHeight="tru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</row>
    <row r="614" customFormat="false" ht="15.75" hidden="false" customHeight="tru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</row>
    <row r="615" customFormat="false" ht="15.75" hidden="false" customHeight="tru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</row>
    <row r="616" customFormat="false" ht="15.75" hidden="false" customHeight="tru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</row>
    <row r="617" customFormat="false" ht="15.75" hidden="false" customHeight="tru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</row>
    <row r="618" customFormat="false" ht="15.75" hidden="false" customHeight="tru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</row>
    <row r="619" customFormat="false" ht="15.75" hidden="false" customHeight="tru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</row>
    <row r="620" customFormat="false" ht="15.75" hidden="false" customHeight="tru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</row>
    <row r="621" customFormat="false" ht="15.75" hidden="false" customHeight="tru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</row>
    <row r="622" customFormat="false" ht="15.75" hidden="false" customHeight="tru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</row>
    <row r="623" customFormat="false" ht="15.75" hidden="false" customHeight="tru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</row>
    <row r="624" customFormat="false" ht="15.75" hidden="false" customHeight="tru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</row>
    <row r="625" customFormat="false" ht="15.75" hidden="false" customHeight="tru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</row>
    <row r="626" customFormat="false" ht="15.75" hidden="false" customHeight="tru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</row>
    <row r="627" customFormat="false" ht="15.75" hidden="false" customHeight="tru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</row>
    <row r="628" customFormat="false" ht="15.75" hidden="false" customHeight="tru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</row>
    <row r="629" customFormat="false" ht="15.75" hidden="false" customHeight="tru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</row>
    <row r="630" customFormat="false" ht="15.75" hidden="false" customHeight="tru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</row>
    <row r="631" customFormat="false" ht="15.75" hidden="false" customHeight="tru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</row>
    <row r="632" customFormat="false" ht="15.75" hidden="false" customHeight="tru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</row>
    <row r="633" customFormat="false" ht="15.75" hidden="false" customHeight="tru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</row>
    <row r="634" customFormat="false" ht="15.75" hidden="false" customHeight="tru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</row>
    <row r="635" customFormat="false" ht="15.75" hidden="false" customHeight="tru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</row>
    <row r="636" customFormat="false" ht="15.75" hidden="false" customHeight="tru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</row>
    <row r="637" customFormat="false" ht="15.75" hidden="false" customHeight="tru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</row>
    <row r="638" customFormat="false" ht="15.75" hidden="false" customHeight="tru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</row>
    <row r="639" customFormat="false" ht="15.75" hidden="false" customHeight="tru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</row>
    <row r="640" customFormat="false" ht="15.75" hidden="false" customHeight="tru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</row>
    <row r="641" customFormat="false" ht="15.75" hidden="false" customHeight="tru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</row>
    <row r="642" customFormat="false" ht="15.75" hidden="false" customHeight="tru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</row>
    <row r="643" customFormat="false" ht="15.75" hidden="false" customHeight="tru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</row>
    <row r="644" customFormat="false" ht="15.75" hidden="false" customHeight="tru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</row>
    <row r="645" customFormat="false" ht="15.75" hidden="false" customHeight="tru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</row>
    <row r="646" customFormat="false" ht="15.75" hidden="false" customHeight="tru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</row>
    <row r="647" customFormat="false" ht="15.75" hidden="false" customHeight="tru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</row>
    <row r="648" customFormat="false" ht="15.75" hidden="false" customHeight="tru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</row>
    <row r="649" customFormat="false" ht="15.75" hidden="false" customHeight="tru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</row>
    <row r="650" customFormat="false" ht="15.75" hidden="false" customHeight="tru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</row>
    <row r="651" customFormat="false" ht="15.75" hidden="false" customHeight="tru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</row>
    <row r="652" customFormat="false" ht="15.75" hidden="false" customHeight="tru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</row>
    <row r="653" customFormat="false" ht="15.75" hidden="false" customHeight="tru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</row>
    <row r="654" customFormat="false" ht="15.75" hidden="false" customHeight="tru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</row>
    <row r="655" customFormat="false" ht="15.75" hidden="false" customHeight="tru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</row>
    <row r="656" customFormat="false" ht="15.75" hidden="false" customHeight="tru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</row>
    <row r="657" customFormat="false" ht="15.75" hidden="false" customHeight="tru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</row>
    <row r="658" customFormat="false" ht="15.75" hidden="false" customHeight="tru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</row>
    <row r="659" customFormat="false" ht="15.75" hidden="false" customHeight="tru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</row>
    <row r="660" customFormat="false" ht="15.75" hidden="false" customHeight="tru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</row>
    <row r="661" customFormat="false" ht="15.75" hidden="false" customHeight="tru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</row>
    <row r="662" customFormat="false" ht="15.75" hidden="false" customHeight="tru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</row>
    <row r="663" customFormat="false" ht="15.75" hidden="false" customHeight="tru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</row>
    <row r="664" customFormat="false" ht="15.75" hidden="false" customHeight="tru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</row>
    <row r="665" customFormat="false" ht="15.75" hidden="false" customHeight="tru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</row>
    <row r="666" customFormat="false" ht="15.75" hidden="false" customHeight="tru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</row>
    <row r="667" customFormat="false" ht="15.75" hidden="false" customHeight="tru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</row>
    <row r="668" customFormat="false" ht="15.75" hidden="false" customHeight="tru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</row>
    <row r="669" customFormat="false" ht="15.75" hidden="false" customHeight="tru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</row>
    <row r="670" customFormat="false" ht="15.75" hidden="false" customHeight="tru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</row>
    <row r="671" customFormat="false" ht="15.75" hidden="false" customHeight="tru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</row>
    <row r="672" customFormat="false" ht="15.75" hidden="false" customHeight="tru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</row>
    <row r="673" customFormat="false" ht="15.75" hidden="false" customHeight="tru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</row>
    <row r="674" customFormat="false" ht="15.75" hidden="false" customHeight="tru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</row>
    <row r="675" customFormat="false" ht="15.75" hidden="false" customHeight="tru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</row>
    <row r="676" customFormat="false" ht="15.75" hidden="false" customHeight="tru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</row>
    <row r="677" customFormat="false" ht="15.75" hidden="false" customHeight="tru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</row>
    <row r="678" customFormat="false" ht="15.75" hidden="false" customHeight="tru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</row>
    <row r="679" customFormat="false" ht="15.75" hidden="false" customHeight="tru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</row>
    <row r="680" customFormat="false" ht="15.75" hidden="false" customHeight="tru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</row>
    <row r="681" customFormat="false" ht="15.75" hidden="false" customHeight="tru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</row>
    <row r="682" customFormat="false" ht="15.75" hidden="false" customHeight="tru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</row>
    <row r="683" customFormat="false" ht="15.75" hidden="false" customHeight="tru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</row>
    <row r="684" customFormat="false" ht="15.75" hidden="false" customHeight="tru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</row>
    <row r="685" customFormat="false" ht="15.75" hidden="false" customHeight="tru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</row>
    <row r="686" customFormat="false" ht="15.75" hidden="false" customHeight="tru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</row>
    <row r="687" customFormat="false" ht="15.75" hidden="false" customHeight="tru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</row>
    <row r="688" customFormat="false" ht="15.75" hidden="false" customHeight="tru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</row>
    <row r="689" customFormat="false" ht="15.75" hidden="false" customHeight="tru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</row>
    <row r="690" customFormat="false" ht="15.75" hidden="false" customHeight="tru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</row>
    <row r="691" customFormat="false" ht="15.75" hidden="false" customHeight="tru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</row>
    <row r="692" customFormat="false" ht="15.75" hidden="false" customHeight="tru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</row>
    <row r="693" customFormat="false" ht="15.75" hidden="false" customHeight="tru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</row>
    <row r="694" customFormat="false" ht="15.75" hidden="false" customHeight="tru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</row>
    <row r="695" customFormat="false" ht="15.75" hidden="false" customHeight="tru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</row>
    <row r="696" customFormat="false" ht="15.75" hidden="false" customHeight="tru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</row>
    <row r="697" customFormat="false" ht="15.75" hidden="false" customHeight="tru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</row>
    <row r="698" customFormat="false" ht="15.75" hidden="false" customHeight="tru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</row>
    <row r="699" customFormat="false" ht="15.75" hidden="false" customHeight="tru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</row>
    <row r="700" customFormat="false" ht="15.75" hidden="false" customHeight="tru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</row>
    <row r="701" customFormat="false" ht="15.75" hidden="false" customHeight="tru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</row>
    <row r="702" customFormat="false" ht="15.75" hidden="false" customHeight="tru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</row>
    <row r="703" customFormat="false" ht="15.75" hidden="false" customHeight="tru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</row>
    <row r="704" customFormat="false" ht="15.75" hidden="false" customHeight="tru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</row>
    <row r="705" customFormat="false" ht="15.75" hidden="false" customHeight="tru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</row>
    <row r="706" customFormat="false" ht="15.75" hidden="false" customHeight="tru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</row>
    <row r="707" customFormat="false" ht="15.75" hidden="false" customHeight="tru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</row>
    <row r="708" customFormat="false" ht="15.75" hidden="false" customHeight="tru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</row>
    <row r="709" customFormat="false" ht="15.75" hidden="false" customHeight="tru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</row>
    <row r="710" customFormat="false" ht="15.75" hidden="false" customHeight="tru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</row>
    <row r="711" customFormat="false" ht="15.75" hidden="false" customHeight="tru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</row>
    <row r="712" customFormat="false" ht="15.75" hidden="false" customHeight="tru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</row>
    <row r="713" customFormat="false" ht="15.75" hidden="false" customHeight="tru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</row>
    <row r="714" customFormat="false" ht="15.75" hidden="false" customHeight="tru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</row>
    <row r="715" customFormat="false" ht="15.75" hidden="false" customHeight="tru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</row>
    <row r="716" customFormat="false" ht="15.75" hidden="false" customHeight="tru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</row>
    <row r="717" customFormat="false" ht="15.75" hidden="false" customHeight="tru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</row>
    <row r="718" customFormat="false" ht="15.75" hidden="false" customHeight="tru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</row>
    <row r="719" customFormat="false" ht="15.75" hidden="false" customHeight="tru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</row>
    <row r="720" customFormat="false" ht="15.75" hidden="false" customHeight="tru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</row>
    <row r="721" customFormat="false" ht="15.75" hidden="false" customHeight="tru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</row>
    <row r="722" customFormat="false" ht="15.75" hidden="false" customHeight="tru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</row>
    <row r="723" customFormat="false" ht="15.75" hidden="false" customHeight="tru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</row>
    <row r="724" customFormat="false" ht="15.75" hidden="false" customHeight="tru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</row>
    <row r="725" customFormat="false" ht="15.75" hidden="false" customHeight="tru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</row>
    <row r="726" customFormat="false" ht="15.75" hidden="false" customHeight="tru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</row>
    <row r="727" customFormat="false" ht="15.75" hidden="false" customHeight="tru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</row>
    <row r="728" customFormat="false" ht="15.75" hidden="false" customHeight="tru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</row>
    <row r="729" customFormat="false" ht="15.75" hidden="false" customHeight="tru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</row>
    <row r="730" customFormat="false" ht="15.75" hidden="false" customHeight="tru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</row>
    <row r="731" customFormat="false" ht="15.75" hidden="false" customHeight="tru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</row>
    <row r="732" customFormat="false" ht="15.75" hidden="false" customHeight="tru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</row>
    <row r="733" customFormat="false" ht="15.75" hidden="false" customHeight="tru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</row>
    <row r="734" customFormat="false" ht="15.75" hidden="false" customHeight="tru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</row>
    <row r="735" customFormat="false" ht="15.75" hidden="false" customHeight="tru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</row>
    <row r="736" customFormat="false" ht="15.75" hidden="false" customHeight="tru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</row>
    <row r="737" customFormat="false" ht="15.75" hidden="false" customHeight="tru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</row>
    <row r="738" customFormat="false" ht="15.75" hidden="false" customHeight="tru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</row>
    <row r="739" customFormat="false" ht="15.75" hidden="false" customHeight="tru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</row>
    <row r="740" customFormat="false" ht="15.75" hidden="false" customHeight="tru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</row>
    <row r="741" customFormat="false" ht="15.75" hidden="false" customHeight="tru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</row>
    <row r="742" customFormat="false" ht="15.75" hidden="false" customHeight="tru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</row>
    <row r="743" customFormat="false" ht="15.75" hidden="false" customHeight="tru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</row>
    <row r="744" customFormat="false" ht="15.75" hidden="false" customHeight="tru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</row>
    <row r="745" customFormat="false" ht="15.75" hidden="false" customHeight="tru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</row>
    <row r="746" customFormat="false" ht="15.75" hidden="false" customHeight="tru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</row>
    <row r="747" customFormat="false" ht="15.75" hidden="false" customHeight="tru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</row>
    <row r="748" customFormat="false" ht="15.75" hidden="false" customHeight="tru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</row>
    <row r="749" customFormat="false" ht="15.75" hidden="false" customHeight="tru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</row>
    <row r="750" customFormat="false" ht="15.75" hidden="false" customHeight="tru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</row>
    <row r="751" customFormat="false" ht="15.75" hidden="false" customHeight="tru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</row>
    <row r="752" customFormat="false" ht="15.75" hidden="false" customHeight="tru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</row>
    <row r="753" customFormat="false" ht="15.75" hidden="false" customHeight="tru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</row>
    <row r="754" customFormat="false" ht="15.75" hidden="false" customHeight="tru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</row>
    <row r="755" customFormat="false" ht="15.75" hidden="false" customHeight="tru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</row>
    <row r="756" customFormat="false" ht="15.75" hidden="false" customHeight="tru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</row>
    <row r="757" customFormat="false" ht="15.75" hidden="false" customHeight="tru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</row>
    <row r="758" customFormat="false" ht="15.75" hidden="false" customHeight="tru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</row>
    <row r="759" customFormat="false" ht="15.75" hidden="false" customHeight="tru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</row>
    <row r="760" customFormat="false" ht="15.75" hidden="false" customHeight="tru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</row>
    <row r="761" customFormat="false" ht="15.75" hidden="false" customHeight="tru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</row>
    <row r="762" customFormat="false" ht="15.75" hidden="false" customHeight="tru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</row>
    <row r="763" customFormat="false" ht="15.75" hidden="false" customHeight="tru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</row>
    <row r="764" customFormat="false" ht="15.75" hidden="false" customHeight="tru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</row>
    <row r="765" customFormat="false" ht="15.75" hidden="false" customHeight="tru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</row>
    <row r="766" customFormat="false" ht="15.75" hidden="false" customHeight="tru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</row>
    <row r="767" customFormat="false" ht="15.75" hidden="false" customHeight="tru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</row>
    <row r="768" customFormat="false" ht="15.75" hidden="false" customHeight="tru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</row>
    <row r="769" customFormat="false" ht="15.75" hidden="false" customHeight="tru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</row>
    <row r="770" customFormat="false" ht="15.75" hidden="false" customHeight="tru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</row>
    <row r="771" customFormat="false" ht="15.75" hidden="false" customHeight="tru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</row>
    <row r="772" customFormat="false" ht="15.75" hidden="false" customHeight="tru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</row>
    <row r="773" customFormat="false" ht="15.75" hidden="false" customHeight="tru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</row>
    <row r="774" customFormat="false" ht="15.75" hidden="false" customHeight="tru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</row>
    <row r="775" customFormat="false" ht="15.75" hidden="false" customHeight="tru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</row>
    <row r="776" customFormat="false" ht="15.75" hidden="false" customHeight="tru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</row>
    <row r="777" customFormat="false" ht="15.75" hidden="false" customHeight="tru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</row>
    <row r="778" customFormat="false" ht="15.75" hidden="false" customHeight="tru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</row>
    <row r="779" customFormat="false" ht="15.75" hidden="false" customHeight="tru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</row>
    <row r="780" customFormat="false" ht="15.75" hidden="false" customHeight="tru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</row>
    <row r="781" customFormat="false" ht="15.75" hidden="false" customHeight="tru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</row>
    <row r="782" customFormat="false" ht="15.75" hidden="false" customHeight="tru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</row>
    <row r="783" customFormat="false" ht="15.75" hidden="false" customHeight="tru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</row>
    <row r="784" customFormat="false" ht="15.75" hidden="false" customHeight="tru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</row>
    <row r="785" customFormat="false" ht="15.75" hidden="false" customHeight="tru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</row>
    <row r="786" customFormat="false" ht="15.75" hidden="false" customHeight="tru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</row>
    <row r="787" customFormat="false" ht="15.75" hidden="false" customHeight="tru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</row>
    <row r="788" customFormat="false" ht="15.75" hidden="false" customHeight="tru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</row>
    <row r="789" customFormat="false" ht="15.75" hidden="false" customHeight="tru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</row>
    <row r="790" customFormat="false" ht="15.75" hidden="false" customHeight="tru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</row>
    <row r="791" customFormat="false" ht="15.75" hidden="false" customHeight="tru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</row>
    <row r="792" customFormat="false" ht="15.75" hidden="false" customHeight="tru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</row>
    <row r="793" customFormat="false" ht="15.75" hidden="false" customHeight="tru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</row>
    <row r="794" customFormat="false" ht="15.75" hidden="false" customHeight="tru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</row>
    <row r="795" customFormat="false" ht="15.75" hidden="false" customHeight="tru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</row>
    <row r="796" customFormat="false" ht="15.75" hidden="false" customHeight="tru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</row>
    <row r="797" customFormat="false" ht="15.75" hidden="false" customHeight="tru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</row>
    <row r="798" customFormat="false" ht="15.75" hidden="false" customHeight="tru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</row>
    <row r="799" customFormat="false" ht="15.75" hidden="false" customHeight="tru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</row>
    <row r="800" customFormat="false" ht="15.75" hidden="false" customHeight="tru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</row>
    <row r="801" customFormat="false" ht="15.75" hidden="false" customHeight="tru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</row>
    <row r="802" customFormat="false" ht="15.75" hidden="false" customHeight="tru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</row>
    <row r="803" customFormat="false" ht="15.75" hidden="false" customHeight="tru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</row>
    <row r="804" customFormat="false" ht="15.75" hidden="false" customHeight="tru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</row>
    <row r="805" customFormat="false" ht="15.75" hidden="false" customHeight="tru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</row>
    <row r="806" customFormat="false" ht="15.75" hidden="false" customHeight="tru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</row>
    <row r="807" customFormat="false" ht="15.75" hidden="false" customHeight="tru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</row>
    <row r="808" customFormat="false" ht="15.75" hidden="false" customHeight="tru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</row>
    <row r="809" customFormat="false" ht="15.75" hidden="false" customHeight="tru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</row>
    <row r="810" customFormat="false" ht="15.75" hidden="false" customHeight="tru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</row>
    <row r="811" customFormat="false" ht="15.75" hidden="false" customHeight="tru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</row>
    <row r="812" customFormat="false" ht="15.75" hidden="false" customHeight="tru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</row>
    <row r="813" customFormat="false" ht="15.75" hidden="false" customHeight="tru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</row>
    <row r="814" customFormat="false" ht="15.75" hidden="false" customHeight="tru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</row>
    <row r="815" customFormat="false" ht="15.75" hidden="false" customHeight="tru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</row>
    <row r="816" customFormat="false" ht="15.75" hidden="false" customHeight="tru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</row>
    <row r="817" customFormat="false" ht="15.75" hidden="false" customHeight="tru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</row>
    <row r="818" customFormat="false" ht="15.75" hidden="false" customHeight="tru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</row>
    <row r="819" customFormat="false" ht="15.75" hidden="false" customHeight="tru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</row>
    <row r="820" customFormat="false" ht="15.75" hidden="false" customHeight="tru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</row>
    <row r="821" customFormat="false" ht="15.75" hidden="false" customHeight="tru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</row>
    <row r="822" customFormat="false" ht="15.75" hidden="false" customHeight="tru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</row>
    <row r="823" customFormat="false" ht="15.75" hidden="false" customHeight="tru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</row>
    <row r="824" customFormat="false" ht="15.75" hidden="false" customHeight="tru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</row>
    <row r="825" customFormat="false" ht="15.75" hidden="false" customHeight="tru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</row>
    <row r="826" customFormat="false" ht="15.75" hidden="false" customHeight="tru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</row>
    <row r="827" customFormat="false" ht="15.75" hidden="false" customHeight="tru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</row>
    <row r="828" customFormat="false" ht="15.75" hidden="false" customHeight="tru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</row>
    <row r="829" customFormat="false" ht="15.75" hidden="false" customHeight="tru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</row>
    <row r="830" customFormat="false" ht="15.75" hidden="false" customHeight="tru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</row>
    <row r="831" customFormat="false" ht="15.75" hidden="false" customHeight="tru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</row>
    <row r="832" customFormat="false" ht="15.75" hidden="false" customHeight="tru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</row>
    <row r="833" customFormat="false" ht="15.75" hidden="false" customHeight="tru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</row>
    <row r="834" customFormat="false" ht="15.75" hidden="false" customHeight="tru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</row>
    <row r="835" customFormat="false" ht="15.75" hidden="false" customHeight="tru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</row>
    <row r="836" customFormat="false" ht="15.75" hidden="false" customHeight="tru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</row>
    <row r="837" customFormat="false" ht="15.75" hidden="false" customHeight="tru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</row>
    <row r="838" customFormat="false" ht="15.75" hidden="false" customHeight="tru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</row>
    <row r="839" customFormat="false" ht="15.75" hidden="false" customHeight="tru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</row>
    <row r="840" customFormat="false" ht="15.75" hidden="false" customHeight="tru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</row>
    <row r="841" customFormat="false" ht="15.75" hidden="false" customHeight="tru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</row>
    <row r="842" customFormat="false" ht="15.75" hidden="false" customHeight="tru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</row>
    <row r="843" customFormat="false" ht="15.75" hidden="false" customHeight="tru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</row>
    <row r="844" customFormat="false" ht="15.75" hidden="false" customHeight="tru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</row>
    <row r="845" customFormat="false" ht="15.75" hidden="false" customHeight="tru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</row>
    <row r="846" customFormat="false" ht="15.75" hidden="false" customHeight="tru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</row>
    <row r="847" customFormat="false" ht="15.75" hidden="false" customHeight="tru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</row>
    <row r="848" customFormat="false" ht="15.75" hidden="false" customHeight="tru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</row>
    <row r="849" customFormat="false" ht="15.75" hidden="false" customHeight="tru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</row>
    <row r="850" customFormat="false" ht="15.75" hidden="false" customHeight="tru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</row>
    <row r="851" customFormat="false" ht="15.75" hidden="false" customHeight="tru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</row>
    <row r="852" customFormat="false" ht="15.75" hidden="false" customHeight="tru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</row>
    <row r="853" customFormat="false" ht="15.75" hidden="false" customHeight="tru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</row>
    <row r="854" customFormat="false" ht="15.75" hidden="false" customHeight="tru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</row>
    <row r="855" customFormat="false" ht="15.75" hidden="false" customHeight="tru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</row>
    <row r="856" customFormat="false" ht="15.75" hidden="false" customHeight="tru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</row>
    <row r="857" customFormat="false" ht="15.75" hidden="false" customHeight="tru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</row>
    <row r="858" customFormat="false" ht="15.75" hidden="false" customHeight="tru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</row>
    <row r="859" customFormat="false" ht="15.75" hidden="false" customHeight="tru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</row>
    <row r="860" customFormat="false" ht="15.75" hidden="false" customHeight="tru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</row>
    <row r="861" customFormat="false" ht="15.75" hidden="false" customHeight="tru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</row>
    <row r="862" customFormat="false" ht="15.75" hidden="false" customHeight="tru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</row>
    <row r="863" customFormat="false" ht="15.75" hidden="false" customHeight="tru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</row>
    <row r="864" customFormat="false" ht="15.75" hidden="false" customHeight="tru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</row>
    <row r="865" customFormat="false" ht="15.75" hidden="false" customHeight="tru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</row>
    <row r="866" customFormat="false" ht="15.75" hidden="false" customHeight="tru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</row>
    <row r="867" customFormat="false" ht="15.75" hidden="false" customHeight="tru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</row>
    <row r="868" customFormat="false" ht="15.75" hidden="false" customHeight="tru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</row>
    <row r="869" customFormat="false" ht="15.75" hidden="false" customHeight="tru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</row>
    <row r="870" customFormat="false" ht="15.75" hidden="false" customHeight="tru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</row>
    <row r="871" customFormat="false" ht="15.75" hidden="false" customHeight="tru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</row>
    <row r="872" customFormat="false" ht="15.75" hidden="false" customHeight="tru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</row>
    <row r="873" customFormat="false" ht="15.75" hidden="false" customHeight="tru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</row>
    <row r="874" customFormat="false" ht="15.75" hidden="false" customHeight="tru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</row>
    <row r="875" customFormat="false" ht="15.75" hidden="false" customHeight="tru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</row>
    <row r="876" customFormat="false" ht="15.75" hidden="false" customHeight="tru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</row>
    <row r="877" customFormat="false" ht="15.75" hidden="false" customHeight="tru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</row>
    <row r="878" customFormat="false" ht="15.75" hidden="false" customHeight="tru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</row>
    <row r="879" customFormat="false" ht="15.75" hidden="false" customHeight="tru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</row>
    <row r="880" customFormat="false" ht="15.75" hidden="false" customHeight="tru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</row>
    <row r="881" customFormat="false" ht="15.75" hidden="false" customHeight="tru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</row>
    <row r="882" customFormat="false" ht="15.75" hidden="false" customHeight="tru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</row>
    <row r="883" customFormat="false" ht="15.75" hidden="false" customHeight="tru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</row>
    <row r="884" customFormat="false" ht="15.75" hidden="false" customHeight="tru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</row>
    <row r="885" customFormat="false" ht="15.75" hidden="false" customHeight="tru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</row>
    <row r="886" customFormat="false" ht="15.75" hidden="false" customHeight="tru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</row>
    <row r="887" customFormat="false" ht="15.75" hidden="false" customHeight="tru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</row>
    <row r="888" customFormat="false" ht="15.75" hidden="false" customHeight="tru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</row>
    <row r="889" customFormat="false" ht="15.75" hidden="false" customHeight="tru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</row>
    <row r="890" customFormat="false" ht="15.75" hidden="false" customHeight="tru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</row>
    <row r="891" customFormat="false" ht="15.75" hidden="false" customHeight="tru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</row>
    <row r="892" customFormat="false" ht="15.75" hidden="false" customHeight="tru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</row>
    <row r="893" customFormat="false" ht="15.75" hidden="false" customHeight="tru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</row>
    <row r="894" customFormat="false" ht="15.75" hidden="false" customHeight="tru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</row>
    <row r="895" customFormat="false" ht="15.75" hidden="false" customHeight="tru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</row>
    <row r="896" customFormat="false" ht="15.75" hidden="false" customHeight="tru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</row>
    <row r="897" customFormat="false" ht="15.75" hidden="false" customHeight="tru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</row>
    <row r="898" customFormat="false" ht="15.75" hidden="false" customHeight="tru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</row>
    <row r="899" customFormat="false" ht="15.75" hidden="false" customHeight="tru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</row>
    <row r="900" customFormat="false" ht="15.75" hidden="false" customHeight="tru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</row>
    <row r="901" customFormat="false" ht="15.75" hidden="false" customHeight="tru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</row>
    <row r="902" customFormat="false" ht="15.75" hidden="false" customHeight="tru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</row>
    <row r="903" customFormat="false" ht="15.75" hidden="false" customHeight="tru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</row>
    <row r="904" customFormat="false" ht="15.75" hidden="false" customHeight="tru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</row>
    <row r="905" customFormat="false" ht="15.75" hidden="false" customHeight="tru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</row>
    <row r="906" customFormat="false" ht="15.75" hidden="false" customHeight="tru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</row>
    <row r="907" customFormat="false" ht="15.75" hidden="false" customHeight="tru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</row>
    <row r="908" customFormat="false" ht="15.75" hidden="false" customHeight="tru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</row>
    <row r="909" customFormat="false" ht="15.75" hidden="false" customHeight="tru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</row>
    <row r="910" customFormat="false" ht="15.75" hidden="false" customHeight="tru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</row>
    <row r="911" customFormat="false" ht="15.75" hidden="false" customHeight="tru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</row>
    <row r="912" customFormat="false" ht="15.75" hidden="false" customHeight="tru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</row>
    <row r="913" customFormat="false" ht="15.75" hidden="false" customHeight="tru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</row>
    <row r="914" customFormat="false" ht="15.75" hidden="false" customHeight="tru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</row>
    <row r="915" customFormat="false" ht="15.75" hidden="false" customHeight="tru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</row>
    <row r="916" customFormat="false" ht="15.75" hidden="false" customHeight="tru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</row>
    <row r="917" customFormat="false" ht="15.75" hidden="false" customHeight="tru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</row>
    <row r="918" customFormat="false" ht="15.75" hidden="false" customHeight="tru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</row>
    <row r="919" customFormat="false" ht="15.75" hidden="false" customHeight="tru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</row>
    <row r="920" customFormat="false" ht="15.75" hidden="false" customHeight="tru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</row>
    <row r="921" customFormat="false" ht="15.75" hidden="false" customHeight="tru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</row>
    <row r="922" customFormat="false" ht="15.75" hidden="false" customHeight="tru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</row>
    <row r="923" customFormat="false" ht="15.75" hidden="false" customHeight="tru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</row>
    <row r="924" customFormat="false" ht="15.75" hidden="false" customHeight="tru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</row>
    <row r="925" customFormat="false" ht="15.75" hidden="false" customHeight="tru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</row>
    <row r="926" customFormat="false" ht="15.75" hidden="false" customHeight="tru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</row>
    <row r="927" customFormat="false" ht="15.75" hidden="false" customHeight="tru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</row>
    <row r="928" customFormat="false" ht="15.75" hidden="false" customHeight="tru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</row>
    <row r="929" customFormat="false" ht="15.75" hidden="false" customHeight="tru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</row>
    <row r="930" customFormat="false" ht="15.75" hidden="false" customHeight="tru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</row>
    <row r="931" customFormat="false" ht="15.75" hidden="false" customHeight="tru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</row>
    <row r="932" customFormat="false" ht="15.75" hidden="false" customHeight="tru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</row>
    <row r="933" customFormat="false" ht="15.75" hidden="false" customHeight="tru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</row>
    <row r="934" customFormat="false" ht="15.75" hidden="false" customHeight="tru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</row>
    <row r="935" customFormat="false" ht="15.75" hidden="false" customHeight="tru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</row>
    <row r="936" customFormat="false" ht="15.75" hidden="false" customHeight="tru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</row>
    <row r="937" customFormat="false" ht="15.75" hidden="false" customHeight="tru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</row>
    <row r="938" customFormat="false" ht="15.75" hidden="false" customHeight="tru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</row>
    <row r="939" customFormat="false" ht="15.75" hidden="false" customHeight="tru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</row>
    <row r="940" customFormat="false" ht="15.75" hidden="false" customHeight="tru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</row>
    <row r="941" customFormat="false" ht="15.75" hidden="false" customHeight="tru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</row>
    <row r="942" customFormat="false" ht="15.75" hidden="false" customHeight="tru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</row>
    <row r="943" customFormat="false" ht="15.75" hidden="false" customHeight="tru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</row>
    <row r="944" customFormat="false" ht="15.75" hidden="false" customHeight="tru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</row>
    <row r="945" customFormat="false" ht="15.75" hidden="false" customHeight="tru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</row>
    <row r="946" customFormat="false" ht="15.75" hidden="false" customHeight="tru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</row>
    <row r="947" customFormat="false" ht="15.75" hidden="false" customHeight="tru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</row>
    <row r="948" customFormat="false" ht="15.75" hidden="false" customHeight="tru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</row>
    <row r="949" customFormat="false" ht="15.75" hidden="false" customHeight="tru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</row>
    <row r="950" customFormat="false" ht="15.75" hidden="false" customHeight="tru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</row>
    <row r="951" customFormat="false" ht="15.75" hidden="false" customHeight="tru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</row>
    <row r="952" customFormat="false" ht="15.75" hidden="false" customHeight="tru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</row>
    <row r="953" customFormat="false" ht="15.75" hidden="false" customHeight="tru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</row>
    <row r="954" customFormat="false" ht="15.75" hidden="false" customHeight="tru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</row>
    <row r="955" customFormat="false" ht="15.75" hidden="false" customHeight="tru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</row>
    <row r="956" customFormat="false" ht="15.75" hidden="false" customHeight="tru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</row>
    <row r="957" customFormat="false" ht="15.75" hidden="false" customHeight="tru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</row>
    <row r="958" customFormat="false" ht="15.75" hidden="false" customHeight="tru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</row>
    <row r="959" customFormat="false" ht="15.75" hidden="false" customHeight="tru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</row>
    <row r="960" customFormat="false" ht="15.75" hidden="false" customHeight="tru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</row>
    <row r="961" customFormat="false" ht="15.75" hidden="false" customHeight="tru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</row>
    <row r="962" customFormat="false" ht="15.75" hidden="false" customHeight="tru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</row>
    <row r="963" customFormat="false" ht="15.75" hidden="false" customHeight="tru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</row>
    <row r="964" customFormat="false" ht="15.75" hidden="false" customHeight="tru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</row>
    <row r="965" customFormat="false" ht="15.75" hidden="false" customHeight="tru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</row>
    <row r="966" customFormat="false" ht="15.75" hidden="false" customHeight="tru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</row>
    <row r="967" customFormat="false" ht="15.75" hidden="false" customHeight="tru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</row>
    <row r="968" customFormat="false" ht="15.75" hidden="false" customHeight="tru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</row>
    <row r="969" customFormat="false" ht="15.75" hidden="false" customHeight="tru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</row>
    <row r="970" customFormat="false" ht="15.75" hidden="false" customHeight="tru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</row>
    <row r="971" customFormat="false" ht="15.75" hidden="false" customHeight="tru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</row>
    <row r="972" customFormat="false" ht="15.75" hidden="false" customHeight="tru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</row>
    <row r="973" customFormat="false" ht="15.75" hidden="false" customHeight="tru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</row>
    <row r="974" customFormat="false" ht="15.75" hidden="false" customHeight="tru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</row>
    <row r="975" customFormat="false" ht="15.75" hidden="false" customHeight="tru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</row>
    <row r="976" customFormat="false" ht="15.75" hidden="false" customHeight="tru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</row>
    <row r="977" customFormat="false" ht="15.75" hidden="false" customHeight="tru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</row>
    <row r="978" customFormat="false" ht="15.75" hidden="false" customHeight="tru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</row>
    <row r="979" customFormat="false" ht="15.75" hidden="false" customHeight="tru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</row>
    <row r="980" customFormat="false" ht="15.75" hidden="false" customHeight="tru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</row>
    <row r="981" customFormat="false" ht="15.75" hidden="false" customHeight="tru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</row>
    <row r="982" customFormat="false" ht="15.75" hidden="false" customHeight="tru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</row>
    <row r="983" customFormat="false" ht="15.75" hidden="false" customHeight="tru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</row>
    <row r="984" customFormat="false" ht="15.75" hidden="false" customHeight="tru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</row>
    <row r="985" customFormat="false" ht="15.75" hidden="false" customHeight="tru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</row>
    <row r="986" customFormat="false" ht="15.75" hidden="false" customHeight="tru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</row>
    <row r="987" customFormat="false" ht="15.75" hidden="false" customHeight="tru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</row>
    <row r="988" customFormat="false" ht="15.75" hidden="false" customHeight="tru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</row>
    <row r="989" customFormat="false" ht="15.75" hidden="false" customHeight="tru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</row>
    <row r="990" customFormat="false" ht="15.75" hidden="false" customHeight="tru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</row>
    <row r="991" customFormat="false" ht="15.75" hidden="false" customHeight="tru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</row>
    <row r="992" customFormat="false" ht="15.75" hidden="false" customHeight="tru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</row>
    <row r="993" customFormat="false" ht="15.75" hidden="false" customHeight="tru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</row>
    <row r="994" customFormat="false" ht="15.75" hidden="false" customHeight="tru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</row>
    <row r="995" customFormat="false" ht="15.75" hidden="false" customHeight="tru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</row>
    <row r="996" customFormat="false" ht="15.75" hidden="false" customHeight="tru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</row>
    <row r="997" customFormat="false" ht="15.75" hidden="false" customHeight="tru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</row>
    <row r="998" customFormat="false" ht="15.75" hidden="false" customHeight="tru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</row>
    <row r="999" customFormat="false" ht="15.75" hidden="false" customHeight="tru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</row>
    <row r="1000" customFormat="false" ht="15.75" hidden="false" customHeight="tru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</row>
  </sheetData>
  <mergeCells count="6">
    <mergeCell ref="G24:H24"/>
    <mergeCell ref="J24:L24"/>
    <mergeCell ref="N24:O24"/>
    <mergeCell ref="G44:H44"/>
    <mergeCell ref="J44:K44"/>
    <mergeCell ref="G64:H64"/>
  </mergeCells>
  <conditionalFormatting sqref="N26:O42">
    <cfRule type="expression" priority="2" aboveAverage="0" equalAverage="0" bottom="0" percent="0" rank="0" text="" dxfId="4">
      <formula>ABS(N26)&gt;=10%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false" showRowColHeaders="true" showZeros="true" rightToLeft="false" tabSelected="false" showOutlineSymbols="true" defaultGridColor="true" view="normal" topLeftCell="B1" colorId="64" zoomScale="110" zoomScaleNormal="110" zoomScalePageLayoutView="100" workbookViewId="0">
      <selection pane="topLeft" activeCell="L22" activeCellId="0" sqref="L22"/>
    </sheetView>
  </sheetViews>
  <sheetFormatPr defaultColWidth="14.5078125" defaultRowHeight="15" customHeight="true" zeroHeight="false" outlineLevelRow="0" outlineLevelCol="0"/>
  <cols>
    <col collapsed="false" customWidth="true" hidden="false" outlineLevel="0" max="23" min="1" style="0" width="11.5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37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214" t="n">
        <f aca="false">Flujos!H7</f>
        <v>11452.675821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215" t="n">
        <f aca="false">Flujos!I7</f>
        <v>0.6006929912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15" hidden="false" customHeight="false" outlineLevel="0" collapsed="false">
      <c r="A5" s="216"/>
      <c r="B5" s="214" t="n">
        <f aca="false">Flujos!H4</f>
        <v>0</v>
      </c>
      <c r="C5" s="216"/>
      <c r="D5" s="216"/>
      <c r="E5" s="216"/>
      <c r="F5" s="1"/>
      <c r="G5" s="217" t="n">
        <f aca="false">G3*G4</f>
        <v>6879.54209616041</v>
      </c>
      <c r="H5" s="216"/>
      <c r="I5" s="216"/>
      <c r="J5" s="214" t="n">
        <f aca="false">Flujos!H9</f>
        <v>0</v>
      </c>
      <c r="K5" s="216"/>
      <c r="L5" s="216"/>
      <c r="M5" s="1"/>
      <c r="N5" s="1"/>
      <c r="O5" s="1"/>
      <c r="P5" s="1"/>
      <c r="Q5" s="1"/>
      <c r="R5" s="1"/>
      <c r="S5" s="216"/>
      <c r="T5" s="1"/>
      <c r="U5" s="1"/>
      <c r="V5" s="1"/>
      <c r="W5" s="1"/>
      <c r="X5" s="1"/>
      <c r="Y5" s="1"/>
      <c r="Z5" s="1"/>
    </row>
    <row r="6" customFormat="false" ht="15" hidden="false" customHeight="false" outlineLevel="0" collapsed="false">
      <c r="A6" s="218"/>
      <c r="B6" s="215" t="n">
        <f aca="false">Flujos!I4</f>
        <v>0</v>
      </c>
      <c r="C6" s="216"/>
      <c r="D6" s="216"/>
      <c r="E6" s="216"/>
      <c r="F6" s="1"/>
      <c r="G6" s="216"/>
      <c r="H6" s="216"/>
      <c r="I6" s="216"/>
      <c r="J6" s="215" t="n">
        <f aca="false">Flujos!I9</f>
        <v>0</v>
      </c>
      <c r="K6" s="216"/>
      <c r="L6" s="216"/>
      <c r="M6" s="1"/>
      <c r="N6" s="1"/>
      <c r="O6" s="1"/>
      <c r="P6" s="1"/>
      <c r="Q6" s="1"/>
      <c r="R6" s="1"/>
      <c r="S6" s="216"/>
      <c r="T6" s="1"/>
      <c r="U6" s="1"/>
      <c r="V6" s="1"/>
      <c r="W6" s="1"/>
      <c r="X6" s="1"/>
      <c r="Y6" s="1"/>
      <c r="Z6" s="1"/>
    </row>
    <row r="7" customFormat="false" ht="15" hidden="false" customHeight="false" outlineLevel="0" collapsed="false">
      <c r="A7" s="218"/>
      <c r="B7" s="217" t="n">
        <f aca="false">B5*B6</f>
        <v>0</v>
      </c>
      <c r="C7" s="216"/>
      <c r="D7" s="216"/>
      <c r="E7" s="216"/>
      <c r="F7" s="216"/>
      <c r="G7" s="216"/>
      <c r="H7" s="216"/>
      <c r="I7" s="216"/>
      <c r="J7" s="217" t="n">
        <f aca="false">J5*J6</f>
        <v>0</v>
      </c>
      <c r="K7" s="216"/>
      <c r="L7" s="216"/>
      <c r="M7" s="1"/>
      <c r="N7" s="1"/>
      <c r="O7" s="1"/>
      <c r="P7" s="1"/>
      <c r="Q7" s="1"/>
      <c r="R7" s="1"/>
      <c r="S7" s="216"/>
      <c r="T7" s="1"/>
      <c r="U7" s="1"/>
      <c r="V7" s="1"/>
      <c r="W7" s="1"/>
      <c r="X7" s="1"/>
      <c r="Y7" s="1"/>
      <c r="Z7" s="1"/>
    </row>
    <row r="8" customFormat="false" ht="15" hidden="false" customHeight="false" outlineLevel="0" collapsed="false">
      <c r="A8" s="218"/>
      <c r="B8" s="216"/>
      <c r="C8" s="216"/>
      <c r="D8" s="216"/>
      <c r="E8" s="216"/>
      <c r="F8" s="216"/>
      <c r="G8" s="216"/>
      <c r="H8" s="219" t="n">
        <f aca="false">Flujos!H8</f>
        <v>1134.6758208</v>
      </c>
      <c r="I8" s="216"/>
      <c r="J8" s="1"/>
      <c r="K8" s="1"/>
      <c r="L8" s="1"/>
      <c r="M8" s="1"/>
      <c r="N8" s="1"/>
      <c r="O8" s="1"/>
      <c r="P8" s="1"/>
      <c r="Q8" s="1"/>
      <c r="R8" s="1"/>
      <c r="S8" s="216"/>
      <c r="T8" s="1"/>
      <c r="U8" s="1"/>
      <c r="V8" s="1"/>
      <c r="W8" s="1"/>
      <c r="X8" s="1"/>
      <c r="Y8" s="1"/>
      <c r="Z8" s="1"/>
    </row>
    <row r="9" customFormat="false" ht="15" hidden="false" customHeight="false" outlineLevel="0" collapsed="false">
      <c r="A9" s="1"/>
      <c r="B9" s="216"/>
      <c r="C9" s="216"/>
      <c r="D9" s="216"/>
      <c r="E9" s="216"/>
      <c r="F9" s="216"/>
      <c r="G9" s="216"/>
      <c r="H9" s="220" t="n">
        <f aca="false">Flujos!H8*Flujos!I8</f>
        <v>742.395696033024</v>
      </c>
      <c r="I9" s="216"/>
      <c r="J9" s="214" t="n">
        <f aca="false">Flujos!H10</f>
        <v>10318</v>
      </c>
      <c r="K9" s="216"/>
      <c r="L9" s="216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5" hidden="false" customHeight="false" outlineLevel="0" collapsed="false">
      <c r="A10" s="218"/>
      <c r="B10" s="214" t="n">
        <f aca="false">Flujos!H5</f>
        <v>0</v>
      </c>
      <c r="C10" s="216"/>
      <c r="D10" s="216"/>
      <c r="E10" s="216"/>
      <c r="F10" s="216"/>
      <c r="G10" s="216"/>
      <c r="H10" s="216"/>
      <c r="I10" s="216"/>
      <c r="J10" s="215" t="n">
        <f aca="false">Flujos!I10</f>
        <v>0.5948</v>
      </c>
      <c r="K10" s="216"/>
      <c r="L10" s="216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" hidden="false" customHeight="false" outlineLevel="0" collapsed="false">
      <c r="A11" s="218"/>
      <c r="B11" s="215" t="n">
        <f aca="false">Flujos!I5</f>
        <v>0</v>
      </c>
      <c r="C11" s="216"/>
      <c r="D11" s="216"/>
      <c r="E11" s="216"/>
      <c r="F11" s="1"/>
      <c r="G11" s="1"/>
      <c r="H11" s="1"/>
      <c r="I11" s="1"/>
      <c r="J11" s="217" t="n">
        <f aca="false">J9*J10</f>
        <v>6137.1464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" hidden="false" customHeight="false" outlineLevel="0" collapsed="false">
      <c r="A12" s="218"/>
      <c r="B12" s="217" t="n">
        <f aca="false">B10*B11</f>
        <v>0</v>
      </c>
      <c r="C12" s="216"/>
      <c r="D12" s="216"/>
      <c r="E12" s="216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" hidden="false" customHeight="false" outlineLevel="0" collapsed="false">
      <c r="A13" s="218"/>
      <c r="B13" s="216"/>
      <c r="C13" s="216"/>
      <c r="D13" s="216"/>
      <c r="E13" s="216"/>
      <c r="F13" s="216"/>
      <c r="G13" s="216"/>
      <c r="H13" s="216"/>
      <c r="I13" s="216"/>
      <c r="J13" s="216"/>
      <c r="K13" s="216"/>
      <c r="L13" s="216"/>
      <c r="M13" s="1"/>
      <c r="N13" s="221" t="s">
        <v>174</v>
      </c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7.35" hidden="false" customHeight="false" outlineLevel="0" collapsed="false">
      <c r="A14" s="1"/>
      <c r="B14" s="1"/>
      <c r="C14" s="216"/>
      <c r="D14" s="216"/>
      <c r="E14" s="216"/>
      <c r="F14" s="216"/>
      <c r="G14" s="216"/>
      <c r="H14" s="216"/>
      <c r="I14" s="216"/>
      <c r="J14" s="216"/>
      <c r="K14" s="216"/>
      <c r="L14" s="216"/>
      <c r="M14" s="1"/>
      <c r="N14" s="222" t="s">
        <v>175</v>
      </c>
      <c r="O14" s="222"/>
      <c r="P14" s="222"/>
      <c r="Q14" s="223" t="s">
        <v>176</v>
      </c>
      <c r="R14" s="223"/>
      <c r="S14" s="223"/>
      <c r="T14" s="224" t="s">
        <v>177</v>
      </c>
      <c r="U14" s="224"/>
      <c r="V14" s="224"/>
      <c r="W14" s="224"/>
      <c r="X14" s="1"/>
      <c r="Y14" s="1"/>
      <c r="Z14" s="1"/>
    </row>
    <row r="15" customFormat="false" ht="15" hidden="false" customHeight="true" outlineLevel="0" collapsed="false">
      <c r="A15" s="1"/>
      <c r="B15" s="1"/>
      <c r="C15" s="216"/>
      <c r="D15" s="216"/>
      <c r="E15" s="216"/>
      <c r="F15" s="216"/>
      <c r="G15" s="216"/>
      <c r="H15" s="216"/>
      <c r="I15" s="216"/>
      <c r="J15" s="214" t="n">
        <f aca="false">Flujos!H13</f>
        <v>0</v>
      </c>
      <c r="K15" s="216"/>
      <c r="L15" s="216"/>
      <c r="M15" s="1"/>
      <c r="N15" s="225" t="s">
        <v>178</v>
      </c>
      <c r="O15" s="225"/>
      <c r="P15" s="226" t="n">
        <f aca="false">+B5</f>
        <v>0</v>
      </c>
      <c r="Q15" s="225" t="s">
        <v>179</v>
      </c>
      <c r="R15" s="225"/>
      <c r="S15" s="227" t="n">
        <f aca="false">+H8</f>
        <v>1134.6758208</v>
      </c>
      <c r="T15" s="228" t="s">
        <v>80</v>
      </c>
      <c r="U15" s="228"/>
      <c r="V15" s="228"/>
      <c r="W15" s="227" t="n">
        <f aca="false">+J5</f>
        <v>0</v>
      </c>
      <c r="X15" s="1"/>
      <c r="Y15" s="1"/>
      <c r="Z15" s="1"/>
    </row>
    <row r="16" customFormat="false" ht="15" hidden="false" customHeight="true" outlineLevel="0" collapsed="false">
      <c r="A16" s="1"/>
      <c r="B16" s="214" t="n">
        <f aca="false">Flujos!H6</f>
        <v>36777.591411</v>
      </c>
      <c r="C16" s="216"/>
      <c r="D16" s="216"/>
      <c r="E16" s="216"/>
      <c r="F16" s="216"/>
      <c r="G16" s="216"/>
      <c r="H16" s="216"/>
      <c r="I16" s="216"/>
      <c r="J16" s="215" t="n">
        <f aca="false">Flujos!I13</f>
        <v>0</v>
      </c>
      <c r="K16" s="216"/>
      <c r="L16" s="216"/>
      <c r="M16" s="1"/>
      <c r="N16" s="225" t="s">
        <v>180</v>
      </c>
      <c r="O16" s="225"/>
      <c r="P16" s="226" t="n">
        <f aca="false">+B10</f>
        <v>0</v>
      </c>
      <c r="Q16" s="228" t="s">
        <v>181</v>
      </c>
      <c r="R16" s="228"/>
      <c r="S16" s="227" t="n">
        <f aca="false">+H19</f>
        <v>0</v>
      </c>
      <c r="T16" s="228" t="s">
        <v>81</v>
      </c>
      <c r="U16" s="228"/>
      <c r="V16" s="228"/>
      <c r="W16" s="227" t="n">
        <f aca="false">+J9</f>
        <v>10318</v>
      </c>
      <c r="X16" s="1"/>
      <c r="Y16" s="1"/>
      <c r="Z16" s="1"/>
    </row>
    <row r="17" customFormat="false" ht="15" hidden="false" customHeight="true" outlineLevel="0" collapsed="false">
      <c r="A17" s="1"/>
      <c r="B17" s="215" t="n">
        <f aca="false">Flujos!I6</f>
        <v>0.52832609075</v>
      </c>
      <c r="C17" s="216"/>
      <c r="D17" s="216"/>
      <c r="E17" s="216"/>
      <c r="F17" s="214" t="n">
        <f aca="false">Flujos!H11</f>
        <v>7425</v>
      </c>
      <c r="G17" s="216"/>
      <c r="H17" s="216"/>
      <c r="I17" s="216"/>
      <c r="J17" s="217" t="n">
        <f aca="false">J15*J16</f>
        <v>0</v>
      </c>
      <c r="K17" s="216"/>
      <c r="L17" s="216"/>
      <c r="M17" s="1"/>
      <c r="N17" s="225" t="s">
        <v>182</v>
      </c>
      <c r="O17" s="225"/>
      <c r="P17" s="226" t="n">
        <f aca="false">+B16</f>
        <v>36777.591411</v>
      </c>
      <c r="Q17" s="228" t="s">
        <v>183</v>
      </c>
      <c r="R17" s="228"/>
      <c r="S17" s="227" t="n">
        <f aca="false">+G29</f>
        <v>604.88811585</v>
      </c>
      <c r="T17" s="228" t="s">
        <v>84</v>
      </c>
      <c r="U17" s="228"/>
      <c r="V17" s="228"/>
      <c r="W17" s="227" t="n">
        <f aca="false">+J15</f>
        <v>0</v>
      </c>
      <c r="X17" s="1"/>
      <c r="Y17" s="1"/>
      <c r="Z17" s="1"/>
    </row>
    <row r="18" customFormat="false" ht="15" hidden="false" customHeight="false" outlineLevel="0" collapsed="false">
      <c r="A18" s="218"/>
      <c r="B18" s="217" t="n">
        <f aca="false">B16*B17</f>
        <v>19430.5610973744</v>
      </c>
      <c r="C18" s="216"/>
      <c r="D18" s="216"/>
      <c r="E18" s="216"/>
      <c r="F18" s="215" t="n">
        <f aca="false">Flujos!I11</f>
        <v>0.5951</v>
      </c>
      <c r="G18" s="1"/>
      <c r="H18" s="216"/>
      <c r="I18" s="216"/>
      <c r="J18" s="216"/>
      <c r="K18" s="216"/>
      <c r="L18" s="216"/>
      <c r="M18" s="1"/>
      <c r="N18" s="228"/>
      <c r="O18" s="228"/>
      <c r="P18" s="226"/>
      <c r="Q18" s="228" t="s">
        <v>161</v>
      </c>
      <c r="R18" s="228"/>
      <c r="S18" s="227" t="n">
        <f aca="false">+G39</f>
        <v>1711.9039016</v>
      </c>
      <c r="T18" s="228" t="s">
        <v>85</v>
      </c>
      <c r="U18" s="228"/>
      <c r="V18" s="228"/>
      <c r="W18" s="227" t="n">
        <f aca="false">+J19</f>
        <v>7425</v>
      </c>
      <c r="X18" s="1"/>
      <c r="Y18" s="1"/>
      <c r="Z18" s="1"/>
    </row>
    <row r="19" customFormat="false" ht="15" hidden="false" customHeight="false" outlineLevel="0" collapsed="false">
      <c r="A19" s="218"/>
      <c r="B19" s="216"/>
      <c r="C19" s="216"/>
      <c r="D19" s="216"/>
      <c r="E19" s="216"/>
      <c r="F19" s="217" t="n">
        <f aca="false">F17*F18</f>
        <v>4418.6175</v>
      </c>
      <c r="G19" s="1"/>
      <c r="H19" s="219" t="n">
        <f aca="false">Flujos!H12</f>
        <v>0</v>
      </c>
      <c r="I19" s="216"/>
      <c r="J19" s="214" t="n">
        <f aca="false">Flujos!H14</f>
        <v>7425</v>
      </c>
      <c r="K19" s="216"/>
      <c r="L19" s="216"/>
      <c r="M19" s="1"/>
      <c r="N19" s="229"/>
      <c r="O19" s="230"/>
      <c r="P19" s="226"/>
      <c r="Q19" s="228"/>
      <c r="R19" s="228"/>
      <c r="S19" s="227"/>
      <c r="T19" s="228" t="s">
        <v>102</v>
      </c>
      <c r="U19" s="228"/>
      <c r="V19" s="228"/>
      <c r="W19" s="227" t="n">
        <f aca="false">I24</f>
        <v>8434</v>
      </c>
      <c r="X19" s="1"/>
      <c r="Y19" s="1"/>
      <c r="Z19" s="1"/>
    </row>
    <row r="20" customFormat="false" ht="15" hidden="false" customHeight="false" outlineLevel="0" collapsed="false">
      <c r="A20" s="218"/>
      <c r="B20" s="216"/>
      <c r="C20" s="1"/>
      <c r="D20" s="1"/>
      <c r="E20" s="1"/>
      <c r="F20" s="1"/>
      <c r="G20" s="1"/>
      <c r="H20" s="220" t="n">
        <f aca="false">Flujos!H12*Flujos!I12</f>
        <v>0</v>
      </c>
      <c r="I20" s="216"/>
      <c r="J20" s="215" t="n">
        <f aca="false">Flujos!I14</f>
        <v>0.5951</v>
      </c>
      <c r="K20" s="216"/>
      <c r="L20" s="216"/>
      <c r="M20" s="1"/>
      <c r="N20" s="229"/>
      <c r="O20" s="230"/>
      <c r="P20" s="226"/>
      <c r="Q20" s="228"/>
      <c r="R20" s="228"/>
      <c r="S20" s="227"/>
      <c r="T20" s="228" t="s">
        <v>91</v>
      </c>
      <c r="U20" s="228"/>
      <c r="V20" s="228"/>
      <c r="W20" s="227" t="n">
        <f aca="false">+H38</f>
        <v>5550</v>
      </c>
      <c r="X20" s="1"/>
      <c r="Y20" s="1"/>
      <c r="Z20" s="1"/>
    </row>
    <row r="21" customFormat="false" ht="15.75" hidden="false" customHeight="true" outlineLevel="0" collapsed="false">
      <c r="A21" s="1"/>
      <c r="B21" s="1"/>
      <c r="C21" s="1"/>
      <c r="D21" s="1"/>
      <c r="E21" s="1"/>
      <c r="F21" s="216"/>
      <c r="G21" s="216"/>
      <c r="H21" s="216"/>
      <c r="I21" s="216"/>
      <c r="J21" s="217" t="n">
        <f aca="false">J19*J20</f>
        <v>4418.6175</v>
      </c>
      <c r="K21" s="216"/>
      <c r="L21" s="216"/>
      <c r="N21" s="229"/>
      <c r="O21" s="230"/>
      <c r="P21" s="226"/>
      <c r="Q21" s="228"/>
      <c r="R21" s="228"/>
      <c r="S21" s="227"/>
      <c r="T21" s="228" t="s">
        <v>88</v>
      </c>
      <c r="U21" s="228"/>
      <c r="V21" s="228"/>
      <c r="W21" s="227" t="n">
        <f aca="false">H28</f>
        <v>1599.1235727</v>
      </c>
      <c r="X21" s="1"/>
      <c r="Y21" s="1"/>
      <c r="Z21" s="1"/>
    </row>
    <row r="22" customFormat="false" ht="15.75" hidden="false" customHeight="tru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216"/>
      <c r="M22" s="1"/>
      <c r="N22" s="231" t="s">
        <v>184</v>
      </c>
      <c r="O22" s="231"/>
      <c r="P22" s="232" t="n">
        <f aca="false">+SUM(P15:P20)</f>
        <v>36777.591411</v>
      </c>
      <c r="Q22" s="233" t="s">
        <v>185</v>
      </c>
      <c r="R22" s="233"/>
      <c r="S22" s="234" t="n">
        <f aca="false">+SUM(S15:S20)</f>
        <v>3451.46783825</v>
      </c>
      <c r="T22" s="233"/>
      <c r="U22" s="233"/>
      <c r="V22" s="233"/>
      <c r="W22" s="232" t="n">
        <f aca="false">+SUM(W15:W21)</f>
        <v>33326.1235727</v>
      </c>
      <c r="X22" s="1"/>
      <c r="Y22" s="1"/>
      <c r="Z22" s="1"/>
    </row>
    <row r="23" customFormat="false" ht="15.75" hidden="false" customHeight="true" outlineLevel="0" collapsed="false">
      <c r="A23" s="1"/>
      <c r="B23" s="1"/>
      <c r="C23" s="216"/>
      <c r="D23" s="216"/>
      <c r="E23" s="216"/>
      <c r="F23" s="216"/>
      <c r="G23" s="216"/>
      <c r="H23" s="216"/>
      <c r="I23" s="216"/>
      <c r="J23" s="216"/>
      <c r="K23" s="216"/>
      <c r="L23" s="216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.75" hidden="false" customHeight="true" outlineLevel="0" collapsed="false">
      <c r="A24" s="1"/>
      <c r="B24" s="1"/>
      <c r="C24" s="216"/>
      <c r="D24" s="216"/>
      <c r="E24" s="216"/>
      <c r="F24" s="216"/>
      <c r="G24" s="216"/>
      <c r="H24" s="216"/>
      <c r="I24" s="214" t="n">
        <f aca="false">Flujos!H33</f>
        <v>8434</v>
      </c>
      <c r="J24" s="216"/>
      <c r="K24" s="216"/>
      <c r="L24" s="216"/>
      <c r="M24" s="1"/>
      <c r="N24" s="1"/>
      <c r="O24" s="1"/>
      <c r="P24" s="1"/>
      <c r="Q24" s="1"/>
      <c r="R24" s="1"/>
      <c r="S24" s="235" t="s">
        <v>186</v>
      </c>
      <c r="T24" s="236"/>
      <c r="U24" s="237"/>
      <c r="V24" s="236"/>
      <c r="W24" s="238" t="n">
        <f aca="false">+P22-S22-W22</f>
        <v>5.00003807246685E-008</v>
      </c>
      <c r="X24" s="1"/>
      <c r="Y24" s="1"/>
      <c r="Z24" s="1"/>
    </row>
    <row r="25" customFormat="false" ht="15.75" hidden="false" customHeight="true" outlineLevel="0" collapsed="false">
      <c r="A25" s="218"/>
      <c r="B25" s="216"/>
      <c r="C25" s="216"/>
      <c r="D25" s="216"/>
      <c r="E25" s="1"/>
      <c r="F25" s="1"/>
      <c r="G25" s="1"/>
      <c r="H25" s="1"/>
      <c r="I25" s="215" t="n">
        <f aca="false">Flujos!I33</f>
        <v>0.4298</v>
      </c>
      <c r="J25" s="1"/>
      <c r="K25" s="216"/>
      <c r="L25" s="216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.75" hidden="false" customHeight="true" outlineLevel="0" collapsed="false">
      <c r="A26" s="218"/>
      <c r="B26" s="216"/>
      <c r="C26" s="216"/>
      <c r="D26" s="216"/>
      <c r="E26" s="1"/>
      <c r="F26" s="1"/>
      <c r="G26" s="1"/>
      <c r="H26" s="1"/>
      <c r="I26" s="217" t="n">
        <f aca="false">I25*I24</f>
        <v>3624.9332</v>
      </c>
      <c r="J26" s="1"/>
      <c r="K26" s="216"/>
      <c r="L26" s="216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.75" hidden="false" customHeight="true" outlineLevel="0" collapsed="false">
      <c r="A27" s="218"/>
      <c r="B27" s="216"/>
      <c r="C27" s="216"/>
      <c r="D27" s="216"/>
      <c r="E27" s="216"/>
      <c r="F27" s="216"/>
      <c r="G27" s="216"/>
      <c r="H27" s="216"/>
      <c r="I27" s="216"/>
      <c r="J27" s="216"/>
      <c r="K27" s="216"/>
      <c r="L27" s="216"/>
      <c r="M27" s="1"/>
      <c r="N27" s="221" t="s">
        <v>187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5.75" hidden="false" customHeight="true" outlineLevel="0" collapsed="false">
      <c r="A28" s="218"/>
      <c r="B28" s="216"/>
      <c r="C28" s="216"/>
      <c r="D28" s="216"/>
      <c r="E28" s="214" t="n">
        <f aca="false">Flujos!H15</f>
        <v>10638.011689</v>
      </c>
      <c r="F28" s="216"/>
      <c r="G28" s="216"/>
      <c r="H28" s="214" t="n">
        <f aca="false">Flujos!H17</f>
        <v>1599.1235727</v>
      </c>
      <c r="I28" s="216"/>
      <c r="J28" s="216"/>
      <c r="K28" s="216"/>
      <c r="L28" s="216"/>
      <c r="M28" s="1"/>
      <c r="N28" s="239" t="s">
        <v>175</v>
      </c>
      <c r="O28" s="240"/>
      <c r="P28" s="240"/>
      <c r="Q28" s="241" t="s">
        <v>176</v>
      </c>
      <c r="R28" s="240"/>
      <c r="S28" s="242"/>
      <c r="T28" s="243" t="s">
        <v>177</v>
      </c>
      <c r="U28" s="240"/>
      <c r="V28" s="240"/>
      <c r="W28" s="242"/>
      <c r="X28" s="1"/>
      <c r="Y28" s="1"/>
      <c r="Z28" s="1"/>
    </row>
    <row r="29" customFormat="false" ht="15.75" hidden="false" customHeight="true" outlineLevel="0" collapsed="false">
      <c r="A29" s="216"/>
      <c r="B29" s="216"/>
      <c r="C29" s="216"/>
      <c r="D29" s="216"/>
      <c r="E29" s="215" t="n">
        <f aca="false">Flujos!I15</f>
        <v>0.42934585867</v>
      </c>
      <c r="F29" s="216"/>
      <c r="G29" s="219" t="n">
        <f aca="false">Flujos!H16</f>
        <v>604.88811585</v>
      </c>
      <c r="H29" s="215" t="n">
        <f aca="false">Flujos!I17</f>
        <v>0.42715654362</v>
      </c>
      <c r="I29" s="216"/>
      <c r="J29" s="216"/>
      <c r="K29" s="216"/>
      <c r="L29" s="216"/>
      <c r="M29" s="1"/>
      <c r="N29" s="244" t="s">
        <v>178</v>
      </c>
      <c r="O29" s="242"/>
      <c r="P29" s="226" t="n">
        <f aca="false">+B7</f>
        <v>0</v>
      </c>
      <c r="Q29" s="244" t="s">
        <v>179</v>
      </c>
      <c r="R29" s="242"/>
      <c r="S29" s="227" t="n">
        <f aca="false">+H9</f>
        <v>742.395696033024</v>
      </c>
      <c r="T29" s="229" t="s">
        <v>80</v>
      </c>
      <c r="U29" s="240"/>
      <c r="V29" s="242"/>
      <c r="W29" s="227" t="n">
        <f aca="false">J7</f>
        <v>0</v>
      </c>
      <c r="X29" s="1"/>
      <c r="Y29" s="1"/>
      <c r="Z29" s="1"/>
    </row>
    <row r="30" customFormat="false" ht="15.75" hidden="false" customHeight="true" outlineLevel="0" collapsed="false">
      <c r="A30" s="216"/>
      <c r="B30" s="1"/>
      <c r="C30" s="216"/>
      <c r="D30" s="216"/>
      <c r="E30" s="217" t="n">
        <f aca="false">E29*E28</f>
        <v>4567.3862631552</v>
      </c>
      <c r="F30" s="216"/>
      <c r="G30" s="220" t="n">
        <f aca="false">Flujos!H16*Flujos!I16</f>
        <v>259.376962911227</v>
      </c>
      <c r="H30" s="217" t="n">
        <f aca="false">H29*H28</f>
        <v>683.076098135798</v>
      </c>
      <c r="I30" s="216"/>
      <c r="J30" s="216"/>
      <c r="K30" s="216"/>
      <c r="L30" s="216"/>
      <c r="M30" s="1"/>
      <c r="N30" s="244" t="s">
        <v>180</v>
      </c>
      <c r="O30" s="242"/>
      <c r="P30" s="226" t="n">
        <f aca="false">+B12</f>
        <v>0</v>
      </c>
      <c r="Q30" s="229" t="s">
        <v>181</v>
      </c>
      <c r="R30" s="242"/>
      <c r="S30" s="227" t="n">
        <f aca="false">+H20</f>
        <v>0</v>
      </c>
      <c r="T30" s="229" t="s">
        <v>81</v>
      </c>
      <c r="U30" s="240"/>
      <c r="V30" s="242"/>
      <c r="W30" s="227" t="n">
        <f aca="false">J11</f>
        <v>6137.1464</v>
      </c>
      <c r="X30" s="1"/>
      <c r="Y30" s="1"/>
      <c r="Z30" s="1"/>
    </row>
    <row r="31" customFormat="false" ht="15.75" hidden="false" customHeight="true" outlineLevel="0" collapsed="false">
      <c r="A31" s="216"/>
      <c r="B31" s="1"/>
      <c r="C31" s="216"/>
      <c r="D31" s="216"/>
      <c r="E31" s="216"/>
      <c r="F31" s="216"/>
      <c r="G31" s="216"/>
      <c r="H31" s="216"/>
      <c r="I31" s="216"/>
      <c r="J31" s="216"/>
      <c r="K31" s="216"/>
      <c r="L31" s="216"/>
      <c r="M31" s="1"/>
      <c r="N31" s="244" t="s">
        <v>182</v>
      </c>
      <c r="O31" s="242"/>
      <c r="P31" s="226" t="n">
        <f aca="false">+B18</f>
        <v>19430.5610973744</v>
      </c>
      <c r="Q31" s="229" t="s">
        <v>183</v>
      </c>
      <c r="R31" s="242"/>
      <c r="S31" s="227" t="n">
        <f aca="false">+G30</f>
        <v>259.376962911227</v>
      </c>
      <c r="T31" s="229" t="s">
        <v>84</v>
      </c>
      <c r="U31" s="240"/>
      <c r="V31" s="242"/>
      <c r="W31" s="227" t="n">
        <f aca="false">J17</f>
        <v>0</v>
      </c>
      <c r="X31" s="1"/>
      <c r="Y31" s="1"/>
      <c r="Z31" s="1"/>
    </row>
    <row r="32" customFormat="false" ht="15.75" hidden="false" customHeight="true" outlineLevel="0" collapsed="false">
      <c r="A32" s="216"/>
      <c r="B32" s="1"/>
      <c r="C32" s="216"/>
      <c r="D32" s="216"/>
      <c r="E32" s="216"/>
      <c r="F32" s="216"/>
      <c r="G32" s="216"/>
      <c r="H32" s="216"/>
      <c r="I32" s="216"/>
      <c r="J32" s="216"/>
      <c r="K32" s="216"/>
      <c r="L32" s="216"/>
      <c r="M32" s="1"/>
      <c r="N32" s="229"/>
      <c r="O32" s="242"/>
      <c r="P32" s="226"/>
      <c r="Q32" s="229" t="s">
        <v>161</v>
      </c>
      <c r="R32" s="242"/>
      <c r="S32" s="227" t="n">
        <f aca="false">+G40</f>
        <v>847.735237685868</v>
      </c>
      <c r="T32" s="229" t="s">
        <v>85</v>
      </c>
      <c r="U32" s="240"/>
      <c r="V32" s="242"/>
      <c r="W32" s="227" t="n">
        <f aca="false">J21</f>
        <v>4418.6175</v>
      </c>
      <c r="X32" s="1"/>
      <c r="Y32" s="1"/>
      <c r="Z32" s="1"/>
    </row>
    <row r="33" customFormat="false" ht="15.75" hidden="false" customHeight="true" outlineLevel="0" collapsed="false">
      <c r="A33" s="216"/>
      <c r="B33" s="1"/>
      <c r="C33" s="216"/>
      <c r="D33" s="216"/>
      <c r="E33" s="1"/>
      <c r="F33" s="1"/>
      <c r="G33" s="1"/>
      <c r="H33" s="1"/>
      <c r="I33" s="1"/>
      <c r="J33" s="216"/>
      <c r="K33" s="216"/>
      <c r="L33" s="216"/>
      <c r="M33" s="1"/>
      <c r="N33" s="229"/>
      <c r="O33" s="230"/>
      <c r="P33" s="226"/>
      <c r="Q33" s="229"/>
      <c r="R33" s="242"/>
      <c r="S33" s="227"/>
      <c r="T33" s="229" t="s">
        <v>102</v>
      </c>
      <c r="U33" s="240"/>
      <c r="V33" s="242"/>
      <c r="W33" s="227" t="n">
        <f aca="false">I26</f>
        <v>3624.9332</v>
      </c>
      <c r="X33" s="1"/>
      <c r="Y33" s="1"/>
      <c r="Z33" s="1"/>
    </row>
    <row r="34" customFormat="false" ht="15.75" hidden="false" customHeight="true" outlineLevel="0" collapsed="false">
      <c r="A34" s="216"/>
      <c r="B34" s="1"/>
      <c r="C34" s="216"/>
      <c r="D34" s="216"/>
      <c r="E34" s="1"/>
      <c r="F34" s="1"/>
      <c r="G34" s="1"/>
      <c r="H34" s="1"/>
      <c r="I34" s="1"/>
      <c r="J34" s="216"/>
      <c r="K34" s="216"/>
      <c r="L34" s="216"/>
      <c r="M34" s="1"/>
      <c r="N34" s="229"/>
      <c r="O34" s="230"/>
      <c r="P34" s="226"/>
      <c r="Q34" s="229"/>
      <c r="R34" s="242"/>
      <c r="S34" s="227"/>
      <c r="T34" s="229" t="s">
        <v>91</v>
      </c>
      <c r="U34" s="240"/>
      <c r="V34" s="242"/>
      <c r="W34" s="227" t="n">
        <f aca="false">H40</f>
        <v>2717.28</v>
      </c>
      <c r="X34" s="1"/>
      <c r="Y34" s="1"/>
      <c r="Z34" s="1"/>
    </row>
    <row r="35" customFormat="false" ht="15.75" hidden="false" customHeight="true" outlineLevel="0" collapsed="false">
      <c r="A35" s="216"/>
      <c r="B35" s="216"/>
      <c r="C35" s="216"/>
      <c r="D35" s="216"/>
      <c r="E35" s="216"/>
      <c r="F35" s="216"/>
      <c r="G35" s="216"/>
      <c r="H35" s="216"/>
      <c r="I35" s="216"/>
      <c r="J35" s="216"/>
      <c r="K35" s="216"/>
      <c r="L35" s="216"/>
      <c r="N35" s="229"/>
      <c r="O35" s="230"/>
      <c r="P35" s="226"/>
      <c r="Q35" s="228"/>
      <c r="R35" s="228"/>
      <c r="S35" s="227"/>
      <c r="T35" s="228" t="s">
        <v>88</v>
      </c>
      <c r="U35" s="228"/>
      <c r="V35" s="228"/>
      <c r="W35" s="227" t="n">
        <f aca="false">H30</f>
        <v>683.076098135798</v>
      </c>
      <c r="X35" s="1"/>
      <c r="Y35" s="1"/>
      <c r="Z35" s="1"/>
    </row>
    <row r="36" customFormat="false" ht="15.75" hidden="false" customHeight="true" outlineLevel="0" collapsed="false">
      <c r="A36" s="1"/>
      <c r="B36" s="1"/>
      <c r="C36" s="1"/>
      <c r="D36" s="1"/>
      <c r="E36" s="216"/>
      <c r="F36" s="216"/>
      <c r="G36" s="216"/>
      <c r="H36" s="1"/>
      <c r="I36" s="216"/>
      <c r="J36" s="1"/>
      <c r="K36" s="1"/>
      <c r="L36" s="1"/>
      <c r="M36" s="1"/>
      <c r="N36" s="245" t="s">
        <v>184</v>
      </c>
      <c r="O36" s="242"/>
      <c r="P36" s="232" t="n">
        <f aca="false">+SUM(P29:P34)</f>
        <v>19430.5610973744</v>
      </c>
      <c r="Q36" s="246" t="s">
        <v>185</v>
      </c>
      <c r="R36" s="242"/>
      <c r="S36" s="234" t="n">
        <f aca="false">+SUM(S29:S34)</f>
        <v>1849.50789663012</v>
      </c>
      <c r="T36" s="246"/>
      <c r="U36" s="240"/>
      <c r="V36" s="242"/>
      <c r="W36" s="232" t="n">
        <f aca="false">+SUM(W29:W35)</f>
        <v>17581.0531981358</v>
      </c>
      <c r="X36" s="1"/>
      <c r="Y36" s="1"/>
      <c r="Z36" s="1"/>
    </row>
    <row r="37" customFormat="false" ht="15.75" hidden="false" customHeight="true" outlineLevel="0" collapsed="false">
      <c r="A37" s="1"/>
      <c r="B37" s="1"/>
      <c r="C37" s="1"/>
      <c r="D37" s="1"/>
      <c r="E37" s="216"/>
      <c r="F37" s="216"/>
      <c r="G37" s="216"/>
      <c r="H37" s="216"/>
      <c r="I37" s="216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.75" hidden="false" customHeight="true" outlineLevel="0" collapsed="false">
      <c r="A38" s="1"/>
      <c r="B38" s="1"/>
      <c r="C38" s="1"/>
      <c r="D38" s="1"/>
      <c r="E38" s="214" t="n">
        <f aca="false">Flujos!H18</f>
        <v>7261.9039016</v>
      </c>
      <c r="F38" s="216"/>
      <c r="G38" s="216"/>
      <c r="H38" s="214" t="n">
        <f aca="false">Flujos!H20</f>
        <v>5550</v>
      </c>
      <c r="I38" s="216"/>
      <c r="J38" s="1"/>
      <c r="K38" s="1"/>
      <c r="L38" s="1"/>
      <c r="M38" s="1"/>
      <c r="N38" s="1"/>
      <c r="O38" s="1"/>
      <c r="P38" s="1"/>
      <c r="Q38" s="1"/>
      <c r="R38" s="1"/>
      <c r="S38" s="235" t="s">
        <v>186</v>
      </c>
      <c r="T38" s="236"/>
      <c r="U38" s="237"/>
      <c r="V38" s="236"/>
      <c r="W38" s="238" t="n">
        <f aca="false">+P36-S36-W36</f>
        <v>2.60849265032448E-006</v>
      </c>
      <c r="X38" s="1"/>
      <c r="Y38" s="1"/>
      <c r="Z38" s="1"/>
    </row>
    <row r="39" customFormat="false" ht="15.75" hidden="false" customHeight="true" outlineLevel="0" collapsed="false">
      <c r="A39" s="1"/>
      <c r="B39" s="1"/>
      <c r="C39" s="1"/>
      <c r="D39" s="1"/>
      <c r="E39" s="215" t="n">
        <f aca="false">Flujos!I18</f>
        <v>0.49092018931</v>
      </c>
      <c r="F39" s="216"/>
      <c r="G39" s="219" t="n">
        <f aca="false">Flujos!H19</f>
        <v>1711.9039016</v>
      </c>
      <c r="H39" s="215" t="n">
        <f aca="false">Flujos!I20</f>
        <v>0.4896</v>
      </c>
      <c r="I39" s="216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5.75" hidden="false" customHeight="true" outlineLevel="0" collapsed="false">
      <c r="A40" s="1"/>
      <c r="B40" s="1"/>
      <c r="C40" s="1"/>
      <c r="D40" s="1"/>
      <c r="E40" s="217" t="n">
        <f aca="false">E38*E39</f>
        <v>3565.0152381245</v>
      </c>
      <c r="F40" s="216"/>
      <c r="G40" s="220" t="n">
        <f aca="false">Flujos!H19*Flujos!I19</f>
        <v>847.735237685868</v>
      </c>
      <c r="H40" s="217" t="n">
        <f aca="false">H38*H39</f>
        <v>2717.28</v>
      </c>
      <c r="I40" s="216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5.75" hidden="false" customHeight="true" outlineLevel="0" collapsed="false">
      <c r="A41" s="1"/>
      <c r="B41" s="1"/>
      <c r="C41" s="1"/>
      <c r="D41" s="1"/>
      <c r="E41" s="216"/>
      <c r="F41" s="216"/>
      <c r="G41" s="216"/>
      <c r="H41" s="216"/>
      <c r="I41" s="216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5.75" hidden="false" customHeight="tru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247"/>
      <c r="N42" s="248" t="s">
        <v>188</v>
      </c>
      <c r="O42" s="248" t="s">
        <v>189</v>
      </c>
      <c r="P42" s="248" t="str">
        <f aca="false">+'Calc Nodos'!J3</f>
        <v>Cub final Balanceada</v>
      </c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5.75" hidden="false" customHeight="tru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37" t="str">
        <f aca="false">+'Calc Nodos'!C4</f>
        <v>stock Granzas</v>
      </c>
      <c r="N43" s="207" t="n">
        <f aca="false">+'Calc Nodos'!F4</f>
        <v>2867</v>
      </c>
      <c r="O43" s="207" t="n">
        <f aca="false">+S15</f>
        <v>1134.6758208</v>
      </c>
      <c r="P43" s="207" t="n">
        <f aca="false">+'Calc Nodos'!J4</f>
        <v>1134.6758208</v>
      </c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5.75" hidden="false" customHeight="tru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37" t="str">
        <f aca="false">+'Calc Nodos'!C5</f>
        <v>Stock Finos</v>
      </c>
      <c r="N44" s="207" t="n">
        <f aca="false">+'Calc Nodos'!F5</f>
        <v>212</v>
      </c>
      <c r="O44" s="207" t="n">
        <f aca="false">+S16</f>
        <v>0</v>
      </c>
      <c r="P44" s="207" t="n">
        <f aca="false">+'Calc Nodos'!J5</f>
        <v>226</v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5.75" hidden="false" customHeight="tru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37" t="str">
        <f aca="false">+'Calc Nodos'!C6</f>
        <v>Stock Mixto 1</v>
      </c>
      <c r="N45" s="207" t="n">
        <f aca="false">+'Calc Nodos'!F6</f>
        <v>-478</v>
      </c>
      <c r="O45" s="207" t="n">
        <f aca="false">+S17</f>
        <v>604.88811585</v>
      </c>
      <c r="P45" s="207" t="n">
        <f aca="false">+'Calc Nodos'!J6</f>
        <v>2160.88811585</v>
      </c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5.75" hidden="false" customHeight="tru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37" t="str">
        <f aca="false">+'Calc Nodos'!C7</f>
        <v>Stock Mixto 2</v>
      </c>
      <c r="N46" s="207" t="n">
        <f aca="false">+'Calc Nodos'!F7</f>
        <v>528</v>
      </c>
      <c r="O46" s="207" t="n">
        <f aca="false">+S18</f>
        <v>1711.9039016</v>
      </c>
      <c r="P46" s="207" t="n">
        <f aca="false">+'Calc Nodos'!J7</f>
        <v>2093.9039016</v>
      </c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5.75" hidden="false" customHeight="tru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37"/>
      <c r="N47" s="37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5.75" hidden="false" customHeight="tru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37"/>
      <c r="N48" s="37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5.75" hidden="false" customHeight="tru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5.7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5.7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5.75" hidden="false" customHeight="tru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5.75" hidden="false" customHeight="tru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5.75" hidden="false" customHeight="tru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.7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.7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.7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.7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.7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.7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.7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.7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.7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.7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.7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.75" hidden="false" customHeight="tru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.75" hidden="false" customHeight="tru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.7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.75" hidden="false" customHeight="tru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.75" hidden="false" customHeight="tru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.75" hidden="false" customHeight="tru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.75" hidden="false" customHeight="tru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.7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.7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5.75" hidden="false" customHeight="tru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5.75" hidden="false" customHeight="tru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5.75" hidden="false" customHeight="tru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5.75" hidden="false" customHeight="tru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5.75" hidden="false" customHeight="tru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5.75" hidden="false" customHeight="tru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5.75" hidden="false" customHeight="tru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5.75" hidden="false" customHeight="tru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5.75" hidden="false" customHeight="tru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5.75" hidden="false" customHeight="tru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5.75" hidden="false" customHeight="tru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5.75" hidden="false" customHeight="tru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5.75" hidden="false" customHeight="tru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5.75" hidden="false" customHeight="tru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5.75" hidden="false" customHeight="tru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5.75" hidden="false" customHeight="tru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5.75" hidden="false" customHeight="tru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5.75" hidden="false" customHeight="tru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5.75" hidden="false" customHeight="tru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5.75" hidden="false" customHeight="tru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5.75" hidden="false" customHeight="tru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5.75" hidden="false" customHeight="tru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5.75" hidden="false" customHeight="tru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5.75" hidden="false" customHeight="tru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5.75" hidden="false" customHeight="tru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5.75" hidden="false" customHeight="tru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5.75" hidden="false" customHeight="tru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5.75" hidden="false" customHeight="tru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5.75" hidden="false" customHeight="tru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5.75" hidden="false" customHeight="tru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5.75" hidden="false" customHeight="tru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5.75" hidden="false" customHeight="tru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5.75" hidden="false" customHeight="tru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5.75" hidden="false" customHeight="tru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5.75" hidden="false" customHeight="tru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5.75" hidden="false" customHeight="tru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5.75" hidden="false" customHeight="tru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5.75" hidden="false" customHeight="tru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5.75" hidden="false" customHeight="tru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5.75" hidden="false" customHeight="tru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5.75" hidden="false" customHeight="tru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5.75" hidden="false" customHeight="tru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5.75" hidden="false" customHeight="tru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5.75" hidden="false" customHeight="tru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5.75" hidden="false" customHeight="tru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5.75" hidden="false" customHeight="tru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5.75" hidden="false" customHeight="tru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5.75" hidden="false" customHeight="tru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5.75" hidden="false" customHeight="tru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5.75" hidden="false" customHeight="tru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5.75" hidden="false" customHeight="tru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5.75" hidden="false" customHeight="tru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5.75" hidden="false" customHeight="tru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5.75" hidden="false" customHeight="tru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5.75" hidden="false" customHeight="tru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5.75" hidden="false" customHeight="tru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5.75" hidden="false" customHeight="tru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5.75" hidden="false" customHeight="tru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5.75" hidden="false" customHeight="tru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5.75" hidden="false" customHeight="tru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5.75" hidden="false" customHeight="tru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5.75" hidden="false" customHeight="tru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5.75" hidden="false" customHeight="tru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5.75" hidden="false" customHeight="tru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5.75" hidden="false" customHeight="tru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5.75" hidden="false" customHeight="tru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5.75" hidden="false" customHeight="tru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5.75" hidden="false" customHeight="tru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5.75" hidden="false" customHeight="tru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5.75" hidden="false" customHeight="tru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5.75" hidden="false" customHeight="tru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5.75" hidden="false" customHeight="tru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5.75" hidden="false" customHeight="tru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5.75" hidden="false" customHeight="tru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5.75" hidden="false" customHeight="tru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5.75" hidden="false" customHeight="tru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5.75" hidden="false" customHeight="tru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5.75" hidden="false" customHeight="tru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5.75" hidden="false" customHeight="tru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5.75" hidden="false" customHeight="tru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5.75" hidden="false" customHeight="tru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5.75" hidden="false" customHeight="tru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5.75" hidden="false" customHeight="tru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5.75" hidden="false" customHeight="tru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5.75" hidden="false" customHeight="tru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5.75" hidden="false" customHeight="tru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5.75" hidden="false" customHeight="tru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5.75" hidden="false" customHeight="tru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5.75" hidden="false" customHeight="tru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5.75" hidden="false" customHeight="tru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5.75" hidden="false" customHeight="tru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5.75" hidden="false" customHeight="tru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5.75" hidden="false" customHeight="tru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5.75" hidden="false" customHeight="tru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5.75" hidden="false" customHeight="tru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5.75" hidden="false" customHeight="tru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5.75" hidden="false" customHeight="tru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5.75" hidden="false" customHeight="tru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5.75" hidden="false" customHeight="tru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5.75" hidden="false" customHeight="tru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5.75" hidden="false" customHeight="tru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5.75" hidden="false" customHeight="tru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5.75" hidden="false" customHeight="tru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5.75" hidden="false" customHeight="tru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5.75" hidden="false" customHeight="tru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5.75" hidden="false" customHeight="tru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5.75" hidden="false" customHeight="tru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5.75" hidden="false" customHeight="tru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5.75" hidden="false" customHeight="tru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5.75" hidden="false" customHeight="tru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5.75" hidden="false" customHeight="tru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5.75" hidden="false" customHeight="tru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5.75" hidden="false" customHeight="tru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5.75" hidden="false" customHeight="tru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5.75" hidden="false" customHeight="tru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5.75" hidden="false" customHeight="tru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5.75" hidden="false" customHeight="tru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5.75" hidden="false" customHeight="tru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5.75" hidden="false" customHeight="tru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5.75" hidden="false" customHeight="tru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5.75" hidden="false" customHeight="tru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5.75" hidden="false" customHeight="tru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5.75" hidden="false" customHeight="tru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5.75" hidden="false" customHeight="tru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5.75" hidden="false" customHeight="tru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5.75" hidden="false" customHeight="tru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5.75" hidden="false" customHeight="tru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5.75" hidden="false" customHeight="tru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5.75" hidden="false" customHeight="tru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5.75" hidden="false" customHeight="tru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5.75" hidden="false" customHeight="tru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5.75" hidden="false" customHeight="tru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5.75" hidden="false" customHeight="tru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5.75" hidden="false" customHeight="tru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5.75" hidden="false" customHeight="tru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5.75" hidden="false" customHeight="tru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5.75" hidden="false" customHeight="tru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5.75" hidden="false" customHeight="tru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customFormat="false" ht="15.75" hidden="false" customHeight="tru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customFormat="false" ht="15.75" hidden="false" customHeight="tru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customFormat="false" ht="15.75" hidden="false" customHeight="tru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customFormat="false" ht="15.75" hidden="false" customHeight="tru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customFormat="false" ht="15.75" hidden="false" customHeight="tru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customFormat="false" ht="15.75" hidden="false" customHeight="tru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customFormat="false" ht="15.75" hidden="false" customHeight="tru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customFormat="false" ht="15.75" hidden="false" customHeight="tru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customFormat="false" ht="15.75" hidden="false" customHeight="tru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customFormat="false" ht="15.75" hidden="false" customHeight="tru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customFormat="false" ht="15.75" hidden="false" customHeight="tru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customFormat="false" ht="15.75" hidden="false" customHeight="tru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customFormat="false" ht="15.75" hidden="false" customHeight="tru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customFormat="false" ht="15.75" hidden="false" customHeight="tru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customFormat="false" ht="15.75" hidden="false" customHeight="tru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customFormat="false" ht="15.75" hidden="false" customHeight="tru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customFormat="false" ht="15.75" hidden="false" customHeight="tru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customFormat="false" ht="15.75" hidden="false" customHeight="tru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customFormat="false" ht="15.75" hidden="false" customHeight="tru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customFormat="false" ht="15.75" hidden="false" customHeight="tru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customFormat="false" ht="15.75" hidden="false" customHeight="tru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customFormat="false" ht="15.75" hidden="false" customHeight="tru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customFormat="false" ht="15.75" hidden="false" customHeight="tru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customFormat="false" ht="15.75" hidden="false" customHeight="tru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customFormat="false" ht="15.75" hidden="false" customHeight="tru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customFormat="false" ht="15.75" hidden="false" customHeight="tru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customFormat="false" ht="15.75" hidden="false" customHeight="tru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customFormat="false" ht="15.75" hidden="false" customHeight="tru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customFormat="false" ht="15.75" hidden="false" customHeight="tru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customFormat="false" ht="15.75" hidden="false" customHeight="tru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customFormat="false" ht="15.75" hidden="false" customHeight="tru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customFormat="false" ht="15.75" hidden="false" customHeight="tru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customFormat="false" ht="15.75" hidden="false" customHeight="tru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customFormat="false" ht="15.75" hidden="false" customHeight="tru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customFormat="false" ht="15.75" hidden="false" customHeight="tru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customFormat="false" ht="15.75" hidden="false" customHeight="tru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customFormat="false" ht="15.75" hidden="false" customHeight="tru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customFormat="false" ht="15.75" hidden="false" customHeight="tru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customFormat="false" ht="15.75" hidden="false" customHeight="tru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customFormat="false" ht="15.75" hidden="false" customHeight="tru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customFormat="false" ht="15.75" hidden="false" customHeight="tru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customFormat="false" ht="15.75" hidden="false" customHeight="tru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customFormat="false" ht="15.75" hidden="false" customHeight="tru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customFormat="false" ht="15.75" hidden="false" customHeight="tru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customFormat="false" ht="15.75" hidden="false" customHeight="tru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customFormat="false" ht="15.75" hidden="false" customHeight="tru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customFormat="false" ht="15.75" hidden="false" customHeight="tru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customFormat="false" ht="15.75" hidden="false" customHeight="tru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customFormat="false" ht="15.75" hidden="false" customHeight="tru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customFormat="false" ht="15.75" hidden="false" customHeight="tru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customFormat="false" ht="15.75" hidden="false" customHeight="tru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customFormat="false" ht="15.75" hidden="false" customHeight="tru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customFormat="false" ht="15.75" hidden="false" customHeight="tru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customFormat="false" ht="15.75" hidden="false" customHeight="tru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customFormat="false" ht="15.75" hidden="false" customHeight="tru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customFormat="false" ht="15.75" hidden="false" customHeight="tru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customFormat="false" ht="15.75" hidden="false" customHeight="tru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customFormat="false" ht="15.75" hidden="false" customHeight="tru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customFormat="false" ht="15.75" hidden="false" customHeight="tru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customFormat="false" ht="15.75" hidden="false" customHeight="tru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customFormat="false" ht="15.75" hidden="false" customHeight="tru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customFormat="false" ht="15.75" hidden="false" customHeight="tru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customFormat="false" ht="15.75" hidden="false" customHeight="tru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customFormat="false" ht="15.75" hidden="false" customHeight="tru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customFormat="false" ht="15.75" hidden="false" customHeight="tru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customFormat="false" ht="15.75" hidden="false" customHeight="tru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customFormat="false" ht="15.75" hidden="false" customHeight="tru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customFormat="false" ht="15.75" hidden="false" customHeight="tru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customFormat="false" ht="15.75" hidden="false" customHeight="tru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customFormat="false" ht="15.75" hidden="false" customHeight="tru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customFormat="false" ht="15.75" hidden="false" customHeight="tru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customFormat="false" ht="15.75" hidden="false" customHeight="tru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customFormat="false" ht="15.75" hidden="false" customHeight="tru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customFormat="false" ht="15.75" hidden="false" customHeight="tru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customFormat="false" ht="15.75" hidden="false" customHeight="tru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customFormat="false" ht="15.75" hidden="false" customHeight="tru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customFormat="false" ht="15.75" hidden="false" customHeight="tru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customFormat="false" ht="15.75" hidden="false" customHeight="tru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customFormat="false" ht="15.75" hidden="false" customHeight="tru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customFormat="false" ht="15.75" hidden="false" customHeight="tru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customFormat="false" ht="15.75" hidden="false" customHeight="tru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customFormat="false" ht="15.75" hidden="false" customHeight="tru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customFormat="false" ht="15.75" hidden="false" customHeight="tru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customFormat="false" ht="15.75" hidden="false" customHeight="tru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customFormat="false" ht="15.75" hidden="false" customHeight="tru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customFormat="false" ht="15.75" hidden="false" customHeight="tru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customFormat="false" ht="15.75" hidden="false" customHeight="tru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customFormat="false" ht="15.75" hidden="false" customHeight="tru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customFormat="false" ht="15.75" hidden="false" customHeight="tru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customFormat="false" ht="15.75" hidden="false" customHeight="tru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customFormat="false" ht="15.75" hidden="false" customHeight="tru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customFormat="false" ht="15.75" hidden="false" customHeight="tru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customFormat="false" ht="15.75" hidden="false" customHeight="tru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customFormat="false" ht="15.75" hidden="false" customHeight="tru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customFormat="false" ht="15.75" hidden="false" customHeight="tru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customFormat="false" ht="15.75" hidden="false" customHeight="tru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customFormat="false" ht="15.75" hidden="false" customHeight="tru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customFormat="false" ht="15.75" hidden="false" customHeight="tru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customFormat="false" ht="15.75" hidden="false" customHeight="tru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customFormat="false" ht="15.75" hidden="false" customHeight="tru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customFormat="false" ht="15.75" hidden="false" customHeight="tru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customFormat="false" ht="15.75" hidden="false" customHeight="tru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customFormat="false" ht="15.75" hidden="false" customHeight="tru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customFormat="false" ht="15.75" hidden="false" customHeight="tru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customFormat="false" ht="15.75" hidden="false" customHeight="tru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customFormat="false" ht="15.75" hidden="false" customHeight="tru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customFormat="false" ht="15.75" hidden="false" customHeight="tru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customFormat="false" ht="15.75" hidden="false" customHeight="tru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customFormat="false" ht="15.75" hidden="false" customHeight="tru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customFormat="false" ht="15.75" hidden="false" customHeight="tru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customFormat="false" ht="15.75" hidden="false" customHeight="tru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customFormat="false" ht="15.75" hidden="false" customHeight="tru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customFormat="false" ht="15.75" hidden="false" customHeight="tru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customFormat="false" ht="15.75" hidden="false" customHeight="tru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customFormat="false" ht="15.75" hidden="false" customHeight="tru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customFormat="false" ht="15.75" hidden="false" customHeight="tru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customFormat="false" ht="15.75" hidden="false" customHeight="tru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customFormat="false" ht="15.75" hidden="false" customHeight="tru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customFormat="false" ht="15.75" hidden="false" customHeight="tru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customFormat="false" ht="15.75" hidden="false" customHeight="tru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customFormat="false" ht="15.75" hidden="false" customHeight="tru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customFormat="false" ht="15.75" hidden="false" customHeight="tru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customFormat="false" ht="15.75" hidden="false" customHeight="tru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customFormat="false" ht="15.75" hidden="false" customHeight="tru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customFormat="false" ht="15.75" hidden="false" customHeight="tru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customFormat="false" ht="15.75" hidden="false" customHeight="tru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customFormat="false" ht="15.75" hidden="false" customHeight="tru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customFormat="false" ht="15.75" hidden="false" customHeight="tru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customFormat="false" ht="15.75" hidden="false" customHeight="tru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customFormat="false" ht="15.75" hidden="false" customHeight="tru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customFormat="false" ht="15.75" hidden="false" customHeight="tru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customFormat="false" ht="15.75" hidden="false" customHeight="tru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customFormat="false" ht="15.75" hidden="false" customHeight="tru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customFormat="false" ht="15.75" hidden="false" customHeight="tru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customFormat="false" ht="15.75" hidden="false" customHeight="tru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customFormat="false" ht="15.75" hidden="false" customHeight="tru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customFormat="false" ht="15.75" hidden="false" customHeight="tru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customFormat="false" ht="15.75" hidden="false" customHeight="tru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customFormat="false" ht="15.75" hidden="false" customHeight="tru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customFormat="false" ht="15.75" hidden="false" customHeight="tru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customFormat="false" ht="15.75" hidden="false" customHeight="tru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customFormat="false" ht="15.75" hidden="false" customHeight="tru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customFormat="false" ht="15.75" hidden="false" customHeight="tru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customFormat="false" ht="15.75" hidden="false" customHeight="tru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customFormat="false" ht="15.75" hidden="false" customHeight="tru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customFormat="false" ht="15.75" hidden="false" customHeight="tru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customFormat="false" ht="15.75" hidden="false" customHeight="tru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customFormat="false" ht="15.75" hidden="false" customHeight="tru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customFormat="false" ht="15.75" hidden="false" customHeight="tru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customFormat="false" ht="15.75" hidden="false" customHeight="tru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customFormat="false" ht="15.75" hidden="false" customHeight="tru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customFormat="false" ht="15.75" hidden="false" customHeight="tru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customFormat="false" ht="15.75" hidden="false" customHeight="tru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customFormat="false" ht="15.75" hidden="false" customHeight="tru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customFormat="false" ht="15.75" hidden="false" customHeight="tru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customFormat="false" ht="15.75" hidden="false" customHeight="tru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customFormat="false" ht="15.75" hidden="false" customHeight="tru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customFormat="false" ht="15.75" hidden="false" customHeight="tru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customFormat="false" ht="15.75" hidden="false" customHeight="tru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customFormat="false" ht="15.75" hidden="false" customHeight="tru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customFormat="false" ht="15.75" hidden="false" customHeight="tru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customFormat="false" ht="15.75" hidden="false" customHeight="tru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customFormat="false" ht="15.75" hidden="false" customHeight="tru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customFormat="false" ht="15.75" hidden="false" customHeight="tru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customFormat="false" ht="15.75" hidden="false" customHeight="tru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customFormat="false" ht="15.75" hidden="false" customHeight="tru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customFormat="false" ht="15.75" hidden="false" customHeight="tru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customFormat="false" ht="15.75" hidden="false" customHeight="tru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customFormat="false" ht="15.75" hidden="false" customHeight="tru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customFormat="false" ht="15.75" hidden="false" customHeight="tru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customFormat="false" ht="15.75" hidden="false" customHeight="tru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customFormat="false" ht="15.75" hidden="false" customHeight="tru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customFormat="false" ht="15.75" hidden="false" customHeight="tru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customFormat="false" ht="15.75" hidden="false" customHeight="tru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customFormat="false" ht="15.75" hidden="false" customHeight="tru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customFormat="false" ht="15.75" hidden="false" customHeight="tru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customFormat="false" ht="15.75" hidden="false" customHeight="tru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customFormat="false" ht="15.75" hidden="false" customHeight="tru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customFormat="false" ht="15.75" hidden="false" customHeight="tru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customFormat="false" ht="15.75" hidden="false" customHeight="tru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customFormat="false" ht="15.75" hidden="false" customHeight="tru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customFormat="false" ht="15.75" hidden="false" customHeight="tru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customFormat="false" ht="15.75" hidden="false" customHeight="tru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customFormat="false" ht="15.75" hidden="false" customHeight="tru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customFormat="false" ht="15.75" hidden="false" customHeight="tru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customFormat="false" ht="15.75" hidden="false" customHeight="tru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customFormat="false" ht="15.75" hidden="false" customHeight="tru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customFormat="false" ht="15.75" hidden="false" customHeight="tru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customFormat="false" ht="15.75" hidden="false" customHeight="tru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customFormat="false" ht="15.75" hidden="false" customHeight="tru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customFormat="false" ht="15.75" hidden="false" customHeight="tru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customFormat="false" ht="15.75" hidden="false" customHeight="tru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customFormat="false" ht="15.75" hidden="false" customHeight="tru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customFormat="false" ht="15.75" hidden="false" customHeight="tru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customFormat="false" ht="15.75" hidden="false" customHeight="tru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customFormat="false" ht="15.75" hidden="false" customHeight="tru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customFormat="false" ht="15.75" hidden="false" customHeight="tru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customFormat="false" ht="15.75" hidden="false" customHeight="tru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customFormat="false" ht="15.75" hidden="false" customHeight="tru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customFormat="false" ht="15.75" hidden="false" customHeight="tru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customFormat="false" ht="15.75" hidden="false" customHeight="tru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customFormat="false" ht="15.75" hidden="false" customHeight="tru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customFormat="false" ht="15.75" hidden="false" customHeight="tru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customFormat="false" ht="15.75" hidden="false" customHeight="tru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customFormat="false" ht="15.75" hidden="false" customHeight="tru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customFormat="false" ht="15.75" hidden="false" customHeight="tru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customFormat="false" ht="15.75" hidden="false" customHeight="tru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customFormat="false" ht="15.75" hidden="false" customHeight="tru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customFormat="false" ht="15.75" hidden="false" customHeight="tru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customFormat="false" ht="15.75" hidden="false" customHeight="tru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customFormat="false" ht="15.75" hidden="false" customHeight="tru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customFormat="false" ht="15.75" hidden="false" customHeight="tru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customFormat="false" ht="15.75" hidden="false" customHeight="tru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customFormat="false" ht="15.75" hidden="false" customHeight="tru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customFormat="false" ht="15.75" hidden="false" customHeight="tru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customFormat="false" ht="15.75" hidden="false" customHeight="tru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customFormat="false" ht="15.75" hidden="false" customHeight="tru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customFormat="false" ht="15.75" hidden="false" customHeight="tru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customFormat="false" ht="15.75" hidden="false" customHeight="tru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customFormat="false" ht="15.75" hidden="false" customHeight="tru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customFormat="false" ht="15.75" hidden="false" customHeight="tru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customFormat="false" ht="15.75" hidden="false" customHeight="tru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customFormat="false" ht="15.75" hidden="false" customHeight="tru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customFormat="false" ht="15.75" hidden="false" customHeight="tru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customFormat="false" ht="15.75" hidden="false" customHeight="tru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customFormat="false" ht="15.75" hidden="false" customHeight="tru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customFormat="false" ht="15.75" hidden="false" customHeight="tru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customFormat="false" ht="15.75" hidden="false" customHeight="tru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customFormat="false" ht="15.75" hidden="false" customHeight="tru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customFormat="false" ht="15.75" hidden="false" customHeight="tru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customFormat="false" ht="15.75" hidden="false" customHeight="tru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customFormat="false" ht="15.75" hidden="false" customHeight="tru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customFormat="false" ht="15.75" hidden="false" customHeight="tru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customFormat="false" ht="15.75" hidden="false" customHeight="tru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customFormat="false" ht="15.75" hidden="false" customHeight="tru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customFormat="false" ht="15.75" hidden="false" customHeight="tru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customFormat="false" ht="15.75" hidden="false" customHeight="tru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customFormat="false" ht="15.75" hidden="false" customHeight="tru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customFormat="false" ht="15.75" hidden="false" customHeight="tru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customFormat="false" ht="15.75" hidden="false" customHeight="tru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customFormat="false" ht="15.75" hidden="false" customHeight="tru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customFormat="false" ht="15.75" hidden="false" customHeight="tru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customFormat="false" ht="15.75" hidden="false" customHeight="tru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customFormat="false" ht="15.75" hidden="false" customHeight="tru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customFormat="false" ht="15.75" hidden="false" customHeight="tru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customFormat="false" ht="15.75" hidden="false" customHeight="tru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customFormat="false" ht="15.75" hidden="false" customHeight="tru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customFormat="false" ht="15.75" hidden="false" customHeight="tru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customFormat="false" ht="15.75" hidden="false" customHeight="tru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customFormat="false" ht="15.75" hidden="false" customHeight="tru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customFormat="false" ht="15.75" hidden="false" customHeight="tru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customFormat="false" ht="15.75" hidden="false" customHeight="tru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customFormat="false" ht="15.75" hidden="false" customHeight="tru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customFormat="false" ht="15.75" hidden="false" customHeight="tru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customFormat="false" ht="15.75" hidden="false" customHeight="tru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customFormat="false" ht="15.75" hidden="false" customHeight="tru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customFormat="false" ht="15.75" hidden="false" customHeight="tru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customFormat="false" ht="15.75" hidden="false" customHeight="tru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customFormat="false" ht="15.75" hidden="false" customHeight="tru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customFormat="false" ht="15.75" hidden="false" customHeight="tru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customFormat="false" ht="15.75" hidden="false" customHeight="tru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customFormat="false" ht="15.75" hidden="false" customHeight="tru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customFormat="false" ht="15.75" hidden="false" customHeight="tru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customFormat="false" ht="15.75" hidden="false" customHeight="tru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customFormat="false" ht="15.75" hidden="false" customHeight="tru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customFormat="false" ht="15.75" hidden="false" customHeight="tru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customFormat="false" ht="15.75" hidden="false" customHeight="tru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customFormat="false" ht="15.75" hidden="false" customHeight="tru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customFormat="false" ht="15.75" hidden="false" customHeight="tru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customFormat="false" ht="15.75" hidden="false" customHeight="tru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customFormat="false" ht="15.75" hidden="false" customHeight="tru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customFormat="false" ht="15.75" hidden="false" customHeight="tru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customFormat="false" ht="15.75" hidden="false" customHeight="tru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customFormat="false" ht="15.75" hidden="false" customHeight="tru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customFormat="false" ht="15.75" hidden="false" customHeight="tru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customFormat="false" ht="15.75" hidden="false" customHeight="tru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customFormat="false" ht="15.75" hidden="false" customHeight="tru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customFormat="false" ht="15.75" hidden="false" customHeight="tru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customFormat="false" ht="15.75" hidden="false" customHeight="tru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customFormat="false" ht="15.75" hidden="false" customHeight="tru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customFormat="false" ht="15.75" hidden="false" customHeight="tru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customFormat="false" ht="15.75" hidden="false" customHeight="tru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customFormat="false" ht="15.75" hidden="false" customHeight="tru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customFormat="false" ht="15.75" hidden="false" customHeight="tru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customFormat="false" ht="15.75" hidden="false" customHeight="tru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customFormat="false" ht="15.75" hidden="false" customHeight="tru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customFormat="false" ht="15.75" hidden="false" customHeight="tru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customFormat="false" ht="15.75" hidden="false" customHeight="tru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customFormat="false" ht="15.75" hidden="false" customHeight="tru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customFormat="false" ht="15.75" hidden="false" customHeight="tru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customFormat="false" ht="15.75" hidden="false" customHeight="tru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customFormat="false" ht="15.75" hidden="false" customHeight="tru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customFormat="false" ht="15.75" hidden="false" customHeight="tru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customFormat="false" ht="15.75" hidden="false" customHeight="tru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customFormat="false" ht="15.75" hidden="false" customHeight="tru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customFormat="false" ht="15.75" hidden="false" customHeight="tru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customFormat="false" ht="15.75" hidden="false" customHeight="tru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customFormat="false" ht="15.75" hidden="false" customHeight="tru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customFormat="false" ht="15.75" hidden="false" customHeight="tru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customFormat="false" ht="15.75" hidden="false" customHeight="tru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customFormat="false" ht="15.75" hidden="false" customHeight="tru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customFormat="false" ht="15.75" hidden="false" customHeight="tru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customFormat="false" ht="15.75" hidden="false" customHeight="tru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customFormat="false" ht="15.75" hidden="false" customHeight="tru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customFormat="false" ht="15.75" hidden="false" customHeight="tru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customFormat="false" ht="15.75" hidden="false" customHeight="tru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customFormat="false" ht="15.75" hidden="false" customHeight="tru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customFormat="false" ht="15.75" hidden="false" customHeight="tru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customFormat="false" ht="15.75" hidden="false" customHeight="tru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customFormat="false" ht="15.75" hidden="false" customHeight="tru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customFormat="false" ht="15.75" hidden="false" customHeight="tru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customFormat="false" ht="15.75" hidden="false" customHeight="tru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customFormat="false" ht="15.75" hidden="false" customHeight="tru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customFormat="false" ht="15.75" hidden="false" customHeight="tru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customFormat="false" ht="15.75" hidden="false" customHeight="tru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customFormat="false" ht="15.75" hidden="false" customHeight="tru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customFormat="false" ht="15.75" hidden="false" customHeight="tru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customFormat="false" ht="15.75" hidden="false" customHeight="tru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customFormat="false" ht="15.75" hidden="false" customHeight="tru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customFormat="false" ht="15.75" hidden="false" customHeight="tru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customFormat="false" ht="15.75" hidden="false" customHeight="tru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customFormat="false" ht="15.75" hidden="false" customHeight="tru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customFormat="false" ht="15.75" hidden="false" customHeight="tru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customFormat="false" ht="15.75" hidden="false" customHeight="tru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customFormat="false" ht="15.75" hidden="false" customHeight="tru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customFormat="false" ht="15.75" hidden="false" customHeight="tru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customFormat="false" ht="15.75" hidden="false" customHeight="tru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customFormat="false" ht="15.75" hidden="false" customHeight="tru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customFormat="false" ht="15.75" hidden="false" customHeight="tru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customFormat="false" ht="15.75" hidden="false" customHeight="tru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customFormat="false" ht="15.75" hidden="false" customHeight="tru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customFormat="false" ht="15.75" hidden="false" customHeight="tru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customFormat="false" ht="15.75" hidden="false" customHeight="tru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customFormat="false" ht="15.75" hidden="false" customHeight="tru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customFormat="false" ht="15.75" hidden="false" customHeight="tru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customFormat="false" ht="15.75" hidden="false" customHeight="tru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customFormat="false" ht="15.75" hidden="false" customHeight="tru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customFormat="false" ht="15.75" hidden="false" customHeight="tru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customFormat="false" ht="15.75" hidden="false" customHeight="tru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customFormat="false" ht="15.75" hidden="false" customHeight="tru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customFormat="false" ht="15.75" hidden="false" customHeight="tru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customFormat="false" ht="15.75" hidden="false" customHeight="tru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customFormat="false" ht="15.75" hidden="false" customHeight="tru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customFormat="false" ht="15.75" hidden="false" customHeight="tru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customFormat="false" ht="15.75" hidden="false" customHeight="tru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customFormat="false" ht="15.75" hidden="false" customHeight="tru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customFormat="false" ht="15.75" hidden="false" customHeight="tru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customFormat="false" ht="15.75" hidden="false" customHeight="tru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customFormat="false" ht="15.75" hidden="false" customHeight="tru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customFormat="false" ht="15.75" hidden="false" customHeight="tru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customFormat="false" ht="15.75" hidden="false" customHeight="tru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customFormat="false" ht="15.75" hidden="false" customHeight="tru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customFormat="false" ht="15.75" hidden="false" customHeight="tru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customFormat="false" ht="15.75" hidden="false" customHeight="tru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customFormat="false" ht="15.75" hidden="false" customHeight="tru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customFormat="false" ht="15.75" hidden="false" customHeight="tru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customFormat="false" ht="15.75" hidden="false" customHeight="tru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customFormat="false" ht="15.75" hidden="false" customHeight="tru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customFormat="false" ht="15.75" hidden="false" customHeight="tru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customFormat="false" ht="15.75" hidden="false" customHeight="tru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customFormat="false" ht="15.75" hidden="false" customHeight="tru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customFormat="false" ht="15.75" hidden="false" customHeight="tru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customFormat="false" ht="15.75" hidden="false" customHeight="tru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customFormat="false" ht="15.75" hidden="false" customHeight="tru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customFormat="false" ht="15.75" hidden="false" customHeight="tru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customFormat="false" ht="15.75" hidden="false" customHeight="tru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customFormat="false" ht="15.75" hidden="false" customHeight="tru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customFormat="false" ht="15.75" hidden="false" customHeight="tru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customFormat="false" ht="15.75" hidden="false" customHeight="tru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customFormat="false" ht="15.75" hidden="false" customHeight="tru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customFormat="false" ht="15.75" hidden="false" customHeight="tru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customFormat="false" ht="15.75" hidden="false" customHeight="tru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customFormat="false" ht="15.75" hidden="false" customHeight="tru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customFormat="false" ht="15.75" hidden="false" customHeight="tru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customFormat="false" ht="15.75" hidden="false" customHeight="tru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customFormat="false" ht="15.75" hidden="false" customHeight="tru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customFormat="false" ht="15.75" hidden="false" customHeight="tru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customFormat="false" ht="15.75" hidden="false" customHeight="tru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customFormat="false" ht="15.75" hidden="false" customHeight="tru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customFormat="false" ht="15.75" hidden="false" customHeight="tru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customFormat="false" ht="15.75" hidden="false" customHeight="tru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customFormat="false" ht="15.75" hidden="false" customHeight="tru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customFormat="false" ht="15.75" hidden="false" customHeight="tru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customFormat="false" ht="15.75" hidden="false" customHeight="tru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customFormat="false" ht="15.75" hidden="false" customHeight="tru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customFormat="false" ht="15.75" hidden="false" customHeight="tru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customFormat="false" ht="15.75" hidden="false" customHeight="tru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customFormat="false" ht="15.75" hidden="false" customHeight="tru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customFormat="false" ht="15.75" hidden="false" customHeight="tru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customFormat="false" ht="15.75" hidden="false" customHeight="tru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customFormat="false" ht="15.75" hidden="false" customHeight="tru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customFormat="false" ht="15.75" hidden="false" customHeight="tru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customFormat="false" ht="15.75" hidden="false" customHeight="tru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customFormat="false" ht="15.75" hidden="false" customHeight="tru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customFormat="false" ht="15.75" hidden="false" customHeight="tru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customFormat="false" ht="15.75" hidden="false" customHeight="tru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customFormat="false" ht="15.75" hidden="false" customHeight="tru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customFormat="false" ht="15.75" hidden="false" customHeight="tru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customFormat="false" ht="15.75" hidden="false" customHeight="tru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customFormat="false" ht="15.75" hidden="false" customHeight="tru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customFormat="false" ht="15.75" hidden="false" customHeight="tru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customFormat="false" ht="15.75" hidden="false" customHeight="tru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customFormat="false" ht="15.75" hidden="false" customHeight="tru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customFormat="false" ht="15.75" hidden="false" customHeight="tru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customFormat="false" ht="15.75" hidden="false" customHeight="tru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customFormat="false" ht="15.75" hidden="false" customHeight="tru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customFormat="false" ht="15.75" hidden="false" customHeight="tru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customFormat="false" ht="15.75" hidden="false" customHeight="tru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customFormat="false" ht="15.75" hidden="false" customHeight="tru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customFormat="false" ht="15.75" hidden="false" customHeight="tru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customFormat="false" ht="15.75" hidden="false" customHeight="tru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customFormat="false" ht="15.75" hidden="false" customHeight="tru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customFormat="false" ht="15.75" hidden="false" customHeight="tru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customFormat="false" ht="15.75" hidden="false" customHeight="tru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customFormat="false" ht="15.75" hidden="false" customHeight="tru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customFormat="false" ht="15.75" hidden="false" customHeight="tru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customFormat="false" ht="15.75" hidden="false" customHeight="tru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customFormat="false" ht="15.75" hidden="false" customHeight="tru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customFormat="false" ht="15.75" hidden="false" customHeight="tru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customFormat="false" ht="15.75" hidden="false" customHeight="tru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customFormat="false" ht="15.75" hidden="false" customHeight="tru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customFormat="false" ht="15.75" hidden="false" customHeight="tru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customFormat="false" ht="15.75" hidden="false" customHeight="tru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customFormat="false" ht="15.75" hidden="false" customHeight="tru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customFormat="false" ht="15.75" hidden="false" customHeight="tru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customFormat="false" ht="15.75" hidden="false" customHeight="tru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customFormat="false" ht="15.75" hidden="false" customHeight="tru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customFormat="false" ht="15.75" hidden="false" customHeight="tru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customFormat="false" ht="15.75" hidden="false" customHeight="tru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customFormat="false" ht="15.75" hidden="false" customHeight="tru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customFormat="false" ht="15.75" hidden="false" customHeight="tru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customFormat="false" ht="15.75" hidden="false" customHeight="tru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customFormat="false" ht="15.75" hidden="false" customHeight="tru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customFormat="false" ht="15.75" hidden="false" customHeight="tru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customFormat="false" ht="15.75" hidden="false" customHeight="tru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customFormat="false" ht="15.75" hidden="false" customHeight="tru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customFormat="false" ht="15.75" hidden="false" customHeight="tru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customFormat="false" ht="15.75" hidden="false" customHeight="tru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customFormat="false" ht="15.75" hidden="false" customHeight="tru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customFormat="false" ht="15.75" hidden="false" customHeight="tru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customFormat="false" ht="15.75" hidden="false" customHeight="tru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customFormat="false" ht="15.75" hidden="false" customHeight="tru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customFormat="false" ht="15.75" hidden="false" customHeight="tru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customFormat="false" ht="15.75" hidden="false" customHeight="tru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customFormat="false" ht="15.75" hidden="false" customHeight="tru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customFormat="false" ht="15.75" hidden="false" customHeight="tru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customFormat="false" ht="15.75" hidden="false" customHeight="tru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customFormat="false" ht="15.75" hidden="false" customHeight="tru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customFormat="false" ht="15.75" hidden="false" customHeight="tru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customFormat="false" ht="15.75" hidden="false" customHeight="tru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customFormat="false" ht="15.75" hidden="false" customHeight="tru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customFormat="false" ht="15.75" hidden="false" customHeight="tru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customFormat="false" ht="15.75" hidden="false" customHeight="tru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customFormat="false" ht="15.75" hidden="false" customHeight="tru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customFormat="false" ht="15.75" hidden="false" customHeight="tru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customFormat="false" ht="15.75" hidden="false" customHeight="tru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customFormat="false" ht="15.75" hidden="false" customHeight="tru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customFormat="false" ht="15.75" hidden="false" customHeight="tru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customFormat="false" ht="15.75" hidden="false" customHeight="tru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customFormat="false" ht="15.75" hidden="false" customHeight="tru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customFormat="false" ht="15.75" hidden="false" customHeight="tru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customFormat="false" ht="15.75" hidden="false" customHeight="tru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customFormat="false" ht="15.75" hidden="false" customHeight="tru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customFormat="false" ht="15.75" hidden="false" customHeight="tru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customFormat="false" ht="15.75" hidden="false" customHeight="tru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customFormat="false" ht="15.75" hidden="false" customHeight="tru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customFormat="false" ht="15.75" hidden="false" customHeight="tru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customFormat="false" ht="15.75" hidden="false" customHeight="tru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customFormat="false" ht="15.75" hidden="false" customHeight="tru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customFormat="false" ht="15.75" hidden="false" customHeight="tru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customFormat="false" ht="15.75" hidden="false" customHeight="tru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customFormat="false" ht="15.75" hidden="false" customHeight="tru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customFormat="false" ht="15.75" hidden="false" customHeight="tru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customFormat="false" ht="15.75" hidden="false" customHeight="tru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customFormat="false" ht="15.75" hidden="false" customHeight="tru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customFormat="false" ht="15.75" hidden="false" customHeight="tru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customFormat="false" ht="15.75" hidden="false" customHeight="tru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customFormat="false" ht="15.75" hidden="false" customHeight="tru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customFormat="false" ht="15.75" hidden="false" customHeight="tru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customFormat="false" ht="15.75" hidden="false" customHeight="tru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customFormat="false" ht="15.75" hidden="false" customHeight="tru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customFormat="false" ht="15.75" hidden="false" customHeight="tru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customFormat="false" ht="15.75" hidden="false" customHeight="tru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customFormat="false" ht="15.75" hidden="false" customHeight="tru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customFormat="false" ht="15.75" hidden="false" customHeight="tru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customFormat="false" ht="15.75" hidden="false" customHeight="tru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customFormat="false" ht="15.75" hidden="false" customHeight="tru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customFormat="false" ht="15.75" hidden="false" customHeight="tru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customFormat="false" ht="15.75" hidden="false" customHeight="tru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customFormat="false" ht="15.75" hidden="false" customHeight="tru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customFormat="false" ht="15.75" hidden="false" customHeight="tru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customFormat="false" ht="15.75" hidden="false" customHeight="tru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customFormat="false" ht="15.75" hidden="false" customHeight="tru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customFormat="false" ht="15.75" hidden="false" customHeight="tru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customFormat="false" ht="15.75" hidden="false" customHeight="tru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customFormat="false" ht="15.75" hidden="false" customHeight="tru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customFormat="false" ht="15.75" hidden="false" customHeight="tru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customFormat="false" ht="15.75" hidden="false" customHeight="tru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customFormat="false" ht="15.75" hidden="false" customHeight="tru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customFormat="false" ht="15.75" hidden="false" customHeight="tru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customFormat="false" ht="15.75" hidden="false" customHeight="tru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customFormat="false" ht="15.75" hidden="false" customHeight="tru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customFormat="false" ht="15.75" hidden="false" customHeight="tru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customFormat="false" ht="15.75" hidden="false" customHeight="tru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customFormat="false" ht="15.75" hidden="false" customHeight="tru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customFormat="false" ht="15.75" hidden="false" customHeight="tru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customFormat="false" ht="15.75" hidden="false" customHeight="tru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customFormat="false" ht="15.75" hidden="false" customHeight="tru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customFormat="false" ht="15.75" hidden="false" customHeight="tru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customFormat="false" ht="15.75" hidden="false" customHeight="tru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customFormat="false" ht="15.75" hidden="false" customHeight="tru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customFormat="false" ht="15.75" hidden="false" customHeight="tru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customFormat="false" ht="15.75" hidden="false" customHeight="tru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customFormat="false" ht="15.75" hidden="false" customHeight="tru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customFormat="false" ht="15.75" hidden="false" customHeight="tru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customFormat="false" ht="15.75" hidden="false" customHeight="tru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customFormat="false" ht="15.75" hidden="false" customHeight="tru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customFormat="false" ht="15.75" hidden="false" customHeight="tru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customFormat="false" ht="15.75" hidden="false" customHeight="tru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customFormat="false" ht="15.75" hidden="false" customHeight="tru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customFormat="false" ht="15.75" hidden="false" customHeight="tru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customFormat="false" ht="15.75" hidden="false" customHeight="tru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customFormat="false" ht="15.75" hidden="false" customHeight="tru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customFormat="false" ht="15.75" hidden="false" customHeight="tru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customFormat="false" ht="15.75" hidden="false" customHeight="tru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customFormat="false" ht="15.75" hidden="false" customHeight="tru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customFormat="false" ht="15.75" hidden="false" customHeight="tru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customFormat="false" ht="15.75" hidden="false" customHeight="tru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customFormat="false" ht="15.75" hidden="false" customHeight="tru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customFormat="false" ht="15.75" hidden="false" customHeight="tru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customFormat="false" ht="15.75" hidden="false" customHeight="tru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customFormat="false" ht="15.75" hidden="false" customHeight="tru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customFormat="false" ht="15.75" hidden="false" customHeight="tru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customFormat="false" ht="15.75" hidden="false" customHeight="tru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customFormat="false" ht="15.75" hidden="false" customHeight="tru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customFormat="false" ht="15.75" hidden="false" customHeight="tru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customFormat="false" ht="15.75" hidden="false" customHeight="tru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customFormat="false" ht="15.75" hidden="false" customHeight="tru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customFormat="false" ht="15.75" hidden="false" customHeight="tru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customFormat="false" ht="15.75" hidden="false" customHeight="tru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customFormat="false" ht="15.75" hidden="false" customHeight="tru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customFormat="false" ht="15.75" hidden="false" customHeight="tru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customFormat="false" ht="15.75" hidden="false" customHeight="tru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customFormat="false" ht="15.75" hidden="false" customHeight="tru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customFormat="false" ht="15.75" hidden="false" customHeight="tru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customFormat="false" ht="15.75" hidden="false" customHeight="tru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customFormat="false" ht="15.75" hidden="false" customHeight="tru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customFormat="false" ht="15.75" hidden="false" customHeight="tru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customFormat="false" ht="15.75" hidden="false" customHeight="tru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customFormat="false" ht="15.75" hidden="false" customHeight="tru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customFormat="false" ht="15.75" hidden="false" customHeight="tru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customFormat="false" ht="15.75" hidden="false" customHeight="tru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customFormat="false" ht="15.75" hidden="false" customHeight="tru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customFormat="false" ht="15.75" hidden="false" customHeight="tru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customFormat="false" ht="15.75" hidden="false" customHeight="tru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customFormat="false" ht="15.75" hidden="false" customHeight="tru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customFormat="false" ht="15.75" hidden="false" customHeight="tru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customFormat="false" ht="15.75" hidden="false" customHeight="tru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customFormat="false" ht="15.75" hidden="false" customHeight="tru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customFormat="false" ht="15.75" hidden="false" customHeight="tru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customFormat="false" ht="15.75" hidden="false" customHeight="tru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customFormat="false" ht="15.75" hidden="false" customHeight="tru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customFormat="false" ht="15.75" hidden="false" customHeight="tru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customFormat="false" ht="15.75" hidden="false" customHeight="tru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customFormat="false" ht="15.75" hidden="false" customHeight="tru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customFormat="false" ht="15.75" hidden="false" customHeight="tru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customFormat="false" ht="15.75" hidden="false" customHeight="tru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customFormat="false" ht="15.75" hidden="false" customHeight="tru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customFormat="false" ht="15.75" hidden="false" customHeight="tru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customFormat="false" ht="15.75" hidden="false" customHeight="tru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customFormat="false" ht="15.75" hidden="false" customHeight="tru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customFormat="false" ht="15.75" hidden="false" customHeight="tru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customFormat="false" ht="15.75" hidden="false" customHeight="tru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customFormat="false" ht="15.75" hidden="false" customHeight="tru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customFormat="false" ht="15.75" hidden="false" customHeight="tru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customFormat="false" ht="15.75" hidden="false" customHeight="tru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customFormat="false" ht="15.75" hidden="false" customHeight="tru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customFormat="false" ht="15.75" hidden="false" customHeight="tru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customFormat="false" ht="15.75" hidden="false" customHeight="tru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customFormat="false" ht="15.75" hidden="false" customHeight="tru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customFormat="false" ht="15.75" hidden="false" customHeight="tru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customFormat="false" ht="15.75" hidden="false" customHeight="tru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customFormat="false" ht="15.75" hidden="false" customHeight="tru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customFormat="false" ht="15.75" hidden="false" customHeight="tru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customFormat="false" ht="15.75" hidden="false" customHeight="tru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customFormat="false" ht="15.75" hidden="false" customHeight="tru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customFormat="false" ht="15.75" hidden="false" customHeight="tru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6">
    <mergeCell ref="N14:P14"/>
    <mergeCell ref="Q14:S14"/>
    <mergeCell ref="T14:W14"/>
    <mergeCell ref="N15:O15"/>
    <mergeCell ref="Q15:R15"/>
    <mergeCell ref="T15:V15"/>
    <mergeCell ref="N16:O16"/>
    <mergeCell ref="Q16:R16"/>
    <mergeCell ref="T16:V16"/>
    <mergeCell ref="N17:O17"/>
    <mergeCell ref="Q17:R17"/>
    <mergeCell ref="T17:V17"/>
    <mergeCell ref="N18:O18"/>
    <mergeCell ref="Q18:R18"/>
    <mergeCell ref="T18:V18"/>
    <mergeCell ref="Q19:R19"/>
    <mergeCell ref="T19:V19"/>
    <mergeCell ref="Q20:R20"/>
    <mergeCell ref="T20:V20"/>
    <mergeCell ref="Q21:R21"/>
    <mergeCell ref="T21:V21"/>
    <mergeCell ref="N22:O22"/>
    <mergeCell ref="Q22:R22"/>
    <mergeCell ref="T22:V22"/>
    <mergeCell ref="Q35:R35"/>
    <mergeCell ref="T35:V3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false" showRowColHeaders="true" showZeros="true" rightToLeft="false" tabSelected="false" showOutlineSymbols="true" defaultGridColor="true" view="normal" topLeftCell="A7" colorId="64" zoomScale="110" zoomScaleNormal="110" zoomScalePageLayoutView="100" workbookViewId="0">
      <selection pane="topLeft" activeCell="G43" activeCellId="0" sqref="G43"/>
    </sheetView>
  </sheetViews>
  <sheetFormatPr defaultColWidth="14.5078125" defaultRowHeight="15" customHeight="true" zeroHeight="false" outlineLevelRow="0" outlineLevelCol="0"/>
  <cols>
    <col collapsed="false" customWidth="true" hidden="false" outlineLevel="0" max="13" min="1" style="0" width="11.5"/>
    <col collapsed="false" customWidth="true" hidden="false" outlineLevel="0" max="14" min="14" style="0" width="17.67"/>
    <col collapsed="false" customWidth="true" hidden="false" outlineLevel="0" max="25" min="15" style="0" width="11.5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15" hidden="false" customHeight="false" outlineLevel="0" collapsed="false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5" hidden="false" customHeight="false" outlineLevel="0" collapsed="false">
      <c r="A6" s="1"/>
      <c r="B6" s="1"/>
      <c r="C6" s="214" t="n">
        <f aca="false">Flujos!H21</f>
        <v>0</v>
      </c>
      <c r="D6" s="216"/>
      <c r="E6" s="216"/>
      <c r="F6" s="1"/>
      <c r="G6" s="1"/>
      <c r="H6" s="214" t="n">
        <f aca="false">Flujos!H24</f>
        <v>34506.647325</v>
      </c>
      <c r="I6" s="1"/>
      <c r="J6" s="1"/>
      <c r="K6" s="214" t="n">
        <f aca="false">Flujos!H26</f>
        <v>32738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5" hidden="false" customHeight="false" outlineLevel="0" collapsed="false">
      <c r="A7" s="1"/>
      <c r="B7" s="1"/>
      <c r="C7" s="215" t="n">
        <f aca="false">Flujos!I21</f>
        <v>0</v>
      </c>
      <c r="D7" s="249" t="n">
        <f aca="false">Flujos!J21</f>
        <v>0</v>
      </c>
      <c r="E7" s="216"/>
      <c r="F7" s="1"/>
      <c r="G7" s="1"/>
      <c r="H7" s="215" t="n">
        <f aca="false">Flujos!I24</f>
        <v>0.42791370343</v>
      </c>
      <c r="I7" s="250" t="n">
        <f aca="false">Flujos!J24</f>
        <v>0.40018</v>
      </c>
      <c r="J7" s="219" t="n">
        <f aca="false">Flujos!H25</f>
        <v>703.19995276</v>
      </c>
      <c r="K7" s="215" t="n">
        <f aca="false">Flujos!I26</f>
        <v>0.4419</v>
      </c>
      <c r="L7" s="114" t="n">
        <f aca="false">Flujos!J26</f>
        <v>0.4138</v>
      </c>
      <c r="M7" s="1"/>
      <c r="N7" s="1"/>
      <c r="O7" s="1"/>
      <c r="P7" s="251" t="s">
        <v>190</v>
      </c>
      <c r="Q7" s="252" t="n">
        <f aca="false">+H6/(C6+C14)</f>
        <v>0.434468869383609</v>
      </c>
      <c r="R7" s="1"/>
      <c r="S7" s="1"/>
      <c r="T7" s="1"/>
      <c r="U7" s="1"/>
      <c r="V7" s="1"/>
      <c r="W7" s="1"/>
      <c r="X7" s="1"/>
      <c r="Y7" s="1"/>
      <c r="Z7" s="1"/>
    </row>
    <row r="8" customFormat="false" ht="15" hidden="false" customHeight="false" outlineLevel="0" collapsed="false">
      <c r="A8" s="1"/>
      <c r="B8" s="1"/>
      <c r="C8" s="217" t="n">
        <f aca="false">C6*C7</f>
        <v>0</v>
      </c>
      <c r="D8" s="253" t="n">
        <f aca="false">D7*C6</f>
        <v>0</v>
      </c>
      <c r="E8" s="216"/>
      <c r="F8" s="1"/>
      <c r="G8" s="1"/>
      <c r="H8" s="217" t="n">
        <f aca="false">H7*H6</f>
        <v>14765.8672497937</v>
      </c>
      <c r="I8" s="254" t="n">
        <f aca="false">I7*H6</f>
        <v>13808.8701265185</v>
      </c>
      <c r="J8" s="255" t="n">
        <f aca="false">Flujos!H25*Flujos!I25</f>
        <v>298.945049832629</v>
      </c>
      <c r="K8" s="217" t="n">
        <f aca="false">K7*K6</f>
        <v>14466.9222</v>
      </c>
      <c r="L8" s="37" t="n">
        <f aca="false">K6*L7</f>
        <v>13546.9844</v>
      </c>
      <c r="M8" s="1"/>
      <c r="N8" s="1"/>
      <c r="O8" s="1"/>
      <c r="P8" s="251" t="s">
        <v>191</v>
      </c>
      <c r="Q8" s="252" t="n">
        <f aca="false">+H17/(C6+C14)</f>
        <v>0.223743445678721</v>
      </c>
      <c r="R8" s="1"/>
      <c r="S8" s="1"/>
      <c r="T8" s="1"/>
      <c r="U8" s="1"/>
      <c r="V8" s="1"/>
      <c r="W8" s="1"/>
      <c r="X8" s="1"/>
      <c r="Y8" s="1"/>
      <c r="Z8" s="1"/>
    </row>
    <row r="9" customFormat="false" ht="15" hidden="false" customHeight="false" outlineLevel="0" collapsed="false">
      <c r="A9" s="1"/>
      <c r="B9" s="1"/>
      <c r="C9" s="216"/>
      <c r="D9" s="216"/>
      <c r="E9" s="216"/>
      <c r="F9" s="1"/>
      <c r="G9" s="1"/>
      <c r="H9" s="1"/>
      <c r="I9" s="1"/>
      <c r="J9" s="254" t="n">
        <f aca="false">Flujos!H25*Flujos!J25</f>
        <v>261.885726406879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5" hidden="false" customHeight="false" outlineLevel="0" collapsed="false">
      <c r="A10" s="1"/>
      <c r="B10" s="1"/>
      <c r="C10" s="216"/>
      <c r="D10" s="216"/>
      <c r="E10" s="216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" hidden="false" customHeight="false" outlineLevel="0" collapsed="false">
      <c r="A11" s="214" t="n">
        <f aca="false">Flujos!H23</f>
        <v>0</v>
      </c>
      <c r="B11" s="216"/>
      <c r="C11" s="216"/>
      <c r="D11" s="216"/>
      <c r="E11" s="216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" hidden="false" customHeight="false" outlineLevel="0" collapsed="false">
      <c r="A12" s="215" t="n">
        <f aca="false">Flujos!I23</f>
        <v>0</v>
      </c>
      <c r="B12" s="249" t="n">
        <f aca="false">Flujos!J23</f>
        <v>0</v>
      </c>
      <c r="C12" s="216"/>
      <c r="D12" s="216"/>
      <c r="E12" s="216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" hidden="false" customHeight="false" outlineLevel="0" collapsed="false">
      <c r="A13" s="217" t="n">
        <f aca="false">A12*A11</f>
        <v>0</v>
      </c>
      <c r="B13" s="253" t="n">
        <f aca="false">B12*A11</f>
        <v>0</v>
      </c>
      <c r="C13" s="216"/>
      <c r="D13" s="216"/>
      <c r="E13" s="216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" hidden="false" customHeight="false" outlineLevel="0" collapsed="false">
      <c r="A14" s="1"/>
      <c r="B14" s="1"/>
      <c r="C14" s="214" t="n">
        <f aca="false">Flujos!H22</f>
        <v>79422.600229</v>
      </c>
      <c r="D14" s="216"/>
      <c r="E14" s="216"/>
      <c r="F14" s="1"/>
      <c r="G14" s="1"/>
      <c r="H14" s="1"/>
      <c r="I14" s="1"/>
      <c r="J14" s="1"/>
      <c r="K14" s="1"/>
      <c r="L14" s="1"/>
      <c r="M14" s="1"/>
      <c r="N14" s="1"/>
      <c r="O14" s="1"/>
      <c r="P14" s="221" t="s">
        <v>174</v>
      </c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7.35" hidden="false" customHeight="false" outlineLevel="0" collapsed="false">
      <c r="A15" s="1"/>
      <c r="B15" s="1"/>
      <c r="C15" s="215" t="n">
        <f aca="false">Flujos!I22</f>
        <v>0.3542</v>
      </c>
      <c r="D15" s="249" t="n">
        <f aca="false">Flujos!J22</f>
        <v>0.30384766077</v>
      </c>
      <c r="E15" s="216"/>
      <c r="F15" s="1"/>
      <c r="G15" s="1"/>
      <c r="H15" s="1"/>
      <c r="I15" s="1"/>
      <c r="J15" s="1"/>
      <c r="K15" s="1"/>
      <c r="L15" s="1"/>
      <c r="M15" s="1"/>
      <c r="N15" s="1"/>
      <c r="O15" s="1"/>
      <c r="P15" s="222" t="s">
        <v>175</v>
      </c>
      <c r="Q15" s="222"/>
      <c r="R15" s="222"/>
      <c r="S15" s="223" t="s">
        <v>176</v>
      </c>
      <c r="T15" s="223"/>
      <c r="U15" s="223"/>
      <c r="V15" s="224" t="s">
        <v>177</v>
      </c>
      <c r="W15" s="224"/>
      <c r="X15" s="224"/>
      <c r="Y15" s="224"/>
      <c r="Z15" s="1"/>
    </row>
    <row r="16" customFormat="false" ht="13.5" hidden="false" customHeight="true" outlineLevel="0" collapsed="false">
      <c r="A16" s="1"/>
      <c r="B16" s="1"/>
      <c r="C16" s="217" t="n">
        <f aca="false">C15*C14</f>
        <v>28131.4850011118</v>
      </c>
      <c r="D16" s="253" t="n">
        <f aca="false">D15*C14</f>
        <v>24132.3712918525</v>
      </c>
      <c r="E16" s="216"/>
      <c r="F16" s="1"/>
      <c r="G16" s="1"/>
      <c r="H16" s="1"/>
      <c r="I16" s="1"/>
      <c r="J16" s="1"/>
      <c r="K16" s="1"/>
      <c r="L16" s="1"/>
      <c r="M16" s="1"/>
      <c r="N16" s="1"/>
      <c r="O16" s="1"/>
      <c r="P16" s="225" t="s">
        <v>192</v>
      </c>
      <c r="Q16" s="225"/>
      <c r="R16" s="226" t="n">
        <f aca="false">+C6</f>
        <v>0</v>
      </c>
      <c r="S16" s="225" t="s">
        <v>193</v>
      </c>
      <c r="T16" s="225"/>
      <c r="U16" s="227" t="n">
        <f aca="false">+J7</f>
        <v>703.19995276</v>
      </c>
      <c r="V16" s="228" t="s">
        <v>194</v>
      </c>
      <c r="W16" s="228"/>
      <c r="X16" s="228"/>
      <c r="Y16" s="227" t="n">
        <f aca="false">+K6</f>
        <v>32738</v>
      </c>
      <c r="Z16" s="1"/>
    </row>
    <row r="17" customFormat="false" ht="13.5" hidden="false" customHeight="true" outlineLevel="0" collapsed="false">
      <c r="A17" s="1"/>
      <c r="B17" s="1"/>
      <c r="C17" s="216"/>
      <c r="D17" s="216"/>
      <c r="E17" s="214" t="n">
        <f aca="false">Flujos!H29</f>
        <v>16148</v>
      </c>
      <c r="F17" s="1"/>
      <c r="G17" s="1"/>
      <c r="H17" s="214" t="n">
        <f aca="false">Flujos!H27</f>
        <v>17770.28624</v>
      </c>
      <c r="I17" s="1"/>
      <c r="J17" s="1"/>
      <c r="K17" s="214" t="n">
        <f aca="false">Flujos!H29</f>
        <v>16148</v>
      </c>
      <c r="L17" s="1"/>
      <c r="M17" s="1"/>
      <c r="N17" s="1"/>
      <c r="O17" s="1"/>
      <c r="P17" s="225" t="s">
        <v>195</v>
      </c>
      <c r="Q17" s="225"/>
      <c r="R17" s="226" t="n">
        <f aca="false">+C14</f>
        <v>79422.600229</v>
      </c>
      <c r="S17" s="228" t="s">
        <v>196</v>
      </c>
      <c r="T17" s="228"/>
      <c r="U17" s="227" t="n">
        <f aca="false">+J18</f>
        <v>1605.599982</v>
      </c>
      <c r="V17" s="228" t="s">
        <v>197</v>
      </c>
      <c r="W17" s="228"/>
      <c r="X17" s="228"/>
      <c r="Y17" s="227" t="n">
        <f aca="false">+K17</f>
        <v>16148</v>
      </c>
      <c r="Z17" s="1"/>
    </row>
    <row r="18" customFormat="false" ht="13.5" hidden="false" customHeight="true" outlineLevel="0" collapsed="false">
      <c r="A18" s="1"/>
      <c r="B18" s="1"/>
      <c r="C18" s="216"/>
      <c r="D18" s="216"/>
      <c r="E18" s="215" t="n">
        <f aca="false">Flujos!I29</f>
        <v>0.4578</v>
      </c>
      <c r="F18" s="114" t="n">
        <f aca="false">Flujos!J29</f>
        <v>0.4281</v>
      </c>
      <c r="G18" s="1"/>
      <c r="H18" s="215" t="n">
        <f aca="false">Flujos!I27</f>
        <v>0.45355083764</v>
      </c>
      <c r="I18" s="250" t="n">
        <f aca="false">Flujos!J27</f>
        <v>0.42383</v>
      </c>
      <c r="J18" s="219" t="n">
        <f aca="false">Flujos!H28</f>
        <v>1605.599982</v>
      </c>
      <c r="K18" s="215" t="n">
        <f aca="false">Flujos!I29</f>
        <v>0.4578</v>
      </c>
      <c r="L18" s="250" t="n">
        <f aca="false">Flujos!J29</f>
        <v>0.4281</v>
      </c>
      <c r="M18" s="1"/>
      <c r="N18" s="1"/>
      <c r="O18" s="1"/>
      <c r="P18" s="225" t="s">
        <v>124</v>
      </c>
      <c r="Q18" s="225"/>
      <c r="R18" s="226" t="n">
        <f aca="false">A11</f>
        <v>0</v>
      </c>
      <c r="S18" s="228" t="s">
        <v>164</v>
      </c>
      <c r="T18" s="228"/>
      <c r="U18" s="227" t="n">
        <f aca="false">+E27</f>
        <v>3882.4666641</v>
      </c>
      <c r="V18" s="228" t="s">
        <v>198</v>
      </c>
      <c r="W18" s="228"/>
      <c r="X18" s="228"/>
      <c r="Y18" s="227" t="n">
        <f aca="false">+H26</f>
        <v>23263.2</v>
      </c>
      <c r="Z18" s="1"/>
    </row>
    <row r="19" customFormat="false" ht="17.35" hidden="false" customHeight="false" outlineLevel="0" collapsed="false">
      <c r="A19" s="1"/>
      <c r="B19" s="1"/>
      <c r="C19" s="216"/>
      <c r="D19" s="216"/>
      <c r="E19" s="217" t="n">
        <f aca="false">E17*E18</f>
        <v>7392.5544</v>
      </c>
      <c r="F19" s="37" t="n">
        <f aca="false">F18*E17</f>
        <v>6912.9588</v>
      </c>
      <c r="G19" s="1"/>
      <c r="H19" s="217" t="n">
        <f aca="false">H18*H17</f>
        <v>8059.72820925457</v>
      </c>
      <c r="I19" s="254" t="n">
        <f aca="false">I18*H17</f>
        <v>7531.5804170992</v>
      </c>
      <c r="J19" s="255" t="n">
        <f aca="false">Flujos!H28*Flujos!I28</f>
        <v>667.173809289217</v>
      </c>
      <c r="K19" s="217" t="n">
        <f aca="false">K18*K17</f>
        <v>7392.5544</v>
      </c>
      <c r="L19" s="254" t="n">
        <f aca="false">L18*K17</f>
        <v>6912.9588</v>
      </c>
      <c r="M19" s="1"/>
      <c r="N19" s="1"/>
      <c r="O19" s="1"/>
      <c r="P19" s="231" t="s">
        <v>184</v>
      </c>
      <c r="Q19" s="231"/>
      <c r="R19" s="232" t="n">
        <f aca="false">+SUM(R16:R18)</f>
        <v>79422.600229</v>
      </c>
      <c r="S19" s="233" t="s">
        <v>185</v>
      </c>
      <c r="T19" s="233"/>
      <c r="U19" s="234" t="n">
        <f aca="false">+SUM(U16:U18)</f>
        <v>6191.26659886</v>
      </c>
      <c r="V19" s="233"/>
      <c r="W19" s="233"/>
      <c r="X19" s="233"/>
      <c r="Y19" s="232" t="n">
        <f aca="false">+SUM(Y16:Y18)</f>
        <v>72149.2</v>
      </c>
      <c r="Z19" s="1"/>
    </row>
    <row r="20" customFormat="false" ht="15" hidden="false" customHeight="false" outlineLevel="0" collapsed="false">
      <c r="A20" s="1"/>
      <c r="B20" s="1"/>
      <c r="C20" s="216"/>
      <c r="D20" s="216"/>
      <c r="E20" s="216"/>
      <c r="F20" s="1"/>
      <c r="G20" s="1"/>
      <c r="H20" s="1"/>
      <c r="I20" s="1"/>
      <c r="J20" s="254" t="n">
        <f aca="false">Flujos!H28*Flujos!J28</f>
        <v>618.62161706478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.75" hidden="false" customHeight="true" outlineLevel="0" collapsed="false">
      <c r="A21" s="1"/>
      <c r="B21" s="1"/>
      <c r="C21" s="216"/>
      <c r="D21" s="216"/>
      <c r="E21" s="216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235" t="s">
        <v>186</v>
      </c>
      <c r="V21" s="236"/>
      <c r="W21" s="237"/>
      <c r="X21" s="236"/>
      <c r="Y21" s="238" t="n">
        <f aca="false">+R19-U19-Y19</f>
        <v>1082.13363014</v>
      </c>
      <c r="Z21" s="1"/>
    </row>
    <row r="22" customFormat="false" ht="15.75" hidden="false" customHeight="true" outlineLevel="0" collapsed="false">
      <c r="A22" s="1"/>
      <c r="B22" s="1"/>
      <c r="C22" s="216"/>
      <c r="D22" s="216"/>
      <c r="E22" s="216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.75" hidden="false" customHeight="true" outlineLevel="0" collapsed="false">
      <c r="A23" s="1"/>
      <c r="B23" s="1"/>
      <c r="C23" s="216"/>
      <c r="D23" s="216"/>
      <c r="E23" s="216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.75" hidden="false" customHeight="true" outlineLevel="0" collapsed="false">
      <c r="A24" s="1"/>
      <c r="B24" s="1"/>
      <c r="C24" s="216"/>
      <c r="D24" s="216"/>
      <c r="E24" s="216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.75" hidden="false" customHeight="true" outlineLevel="0" collapsed="false">
      <c r="A25" s="1"/>
      <c r="B25" s="1"/>
      <c r="C25" s="216"/>
      <c r="D25" s="216"/>
      <c r="E25" s="216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.75" hidden="false" customHeight="true" outlineLevel="0" collapsed="false">
      <c r="A26" s="1"/>
      <c r="B26" s="1"/>
      <c r="C26" s="216"/>
      <c r="D26" s="216"/>
      <c r="E26" s="216"/>
      <c r="F26" s="1"/>
      <c r="G26" s="1"/>
      <c r="H26" s="214" t="n">
        <f aca="false">Flujos!H32</f>
        <v>23263.2</v>
      </c>
      <c r="I26" s="1"/>
      <c r="J26" s="1"/>
      <c r="K26" s="1"/>
      <c r="L26" s="1"/>
      <c r="M26" s="1"/>
      <c r="N26" s="1"/>
      <c r="O26" s="1"/>
      <c r="P26" s="221" t="s">
        <v>199</v>
      </c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.75" hidden="false" customHeight="true" outlineLevel="0" collapsed="false">
      <c r="A27" s="1"/>
      <c r="B27" s="1"/>
      <c r="C27" s="216"/>
      <c r="D27" s="216"/>
      <c r="E27" s="219" t="n">
        <f aca="false">Flujos!H31</f>
        <v>3882.4666641</v>
      </c>
      <c r="F27" s="1"/>
      <c r="G27" s="1"/>
      <c r="H27" s="215" t="n">
        <f aca="false">Flujos!I32</f>
        <v>0.19521</v>
      </c>
      <c r="I27" s="114" t="n">
        <f aca="false">Flujos!J32</f>
        <v>0.10281550827</v>
      </c>
      <c r="J27" s="1"/>
      <c r="K27" s="1"/>
      <c r="L27" s="1"/>
      <c r="M27" s="1"/>
      <c r="N27" s="1"/>
      <c r="O27" s="1"/>
      <c r="P27" s="239" t="s">
        <v>175</v>
      </c>
      <c r="Q27" s="239"/>
      <c r="R27" s="239"/>
      <c r="S27" s="256" t="s">
        <v>176</v>
      </c>
      <c r="T27" s="256"/>
      <c r="U27" s="256"/>
      <c r="V27" s="257" t="s">
        <v>177</v>
      </c>
      <c r="W27" s="257"/>
      <c r="X27" s="257"/>
      <c r="Y27" s="257"/>
      <c r="Z27" s="1"/>
    </row>
    <row r="28" customFormat="false" ht="15.75" hidden="false" customHeight="true" outlineLevel="0" collapsed="false">
      <c r="A28" s="1"/>
      <c r="B28" s="1"/>
      <c r="C28" s="216"/>
      <c r="D28" s="216"/>
      <c r="E28" s="255" t="n">
        <f aca="false">Flujos!H31*Flujos!I31</f>
        <v>764.680322019079</v>
      </c>
      <c r="F28" s="1"/>
      <c r="G28" s="1"/>
      <c r="H28" s="217" t="n">
        <f aca="false">H27*H26</f>
        <v>4541.209272</v>
      </c>
      <c r="I28" s="37" t="n">
        <f aca="false">I27*H26</f>
        <v>2391.81773198666</v>
      </c>
      <c r="J28" s="1"/>
      <c r="K28" s="1"/>
      <c r="L28" s="1"/>
      <c r="M28" s="1"/>
      <c r="N28" s="1"/>
      <c r="O28" s="1"/>
      <c r="P28" s="225" t="s">
        <v>192</v>
      </c>
      <c r="Q28" s="225"/>
      <c r="R28" s="226" t="n">
        <f aca="false">+C8</f>
        <v>0</v>
      </c>
      <c r="S28" s="225" t="s">
        <v>193</v>
      </c>
      <c r="T28" s="225"/>
      <c r="U28" s="227" t="n">
        <f aca="false">+J8</f>
        <v>298.945049832629</v>
      </c>
      <c r="V28" s="228" t="s">
        <v>194</v>
      </c>
      <c r="W28" s="228"/>
      <c r="X28" s="228"/>
      <c r="Y28" s="227" t="n">
        <f aca="false">+K8</f>
        <v>14466.9222</v>
      </c>
      <c r="Z28" s="1"/>
    </row>
    <row r="29" customFormat="false" ht="15.75" hidden="false" customHeight="true" outlineLevel="0" collapsed="false">
      <c r="A29" s="1"/>
      <c r="B29" s="1"/>
      <c r="C29" s="216"/>
      <c r="D29" s="216"/>
      <c r="E29" s="254" t="n">
        <f aca="false">Flujos!H31*Flujos!J31</f>
        <v>400.103027630128</v>
      </c>
      <c r="F29" s="1"/>
      <c r="G29" s="1"/>
      <c r="H29" s="1"/>
      <c r="I29" s="1"/>
      <c r="J29" s="1"/>
      <c r="K29" s="1"/>
      <c r="L29" s="1"/>
      <c r="M29" s="1"/>
      <c r="N29" s="1"/>
      <c r="O29" s="1"/>
      <c r="P29" s="225" t="s">
        <v>195</v>
      </c>
      <c r="Q29" s="225"/>
      <c r="R29" s="226" t="n">
        <f aca="false">+C16</f>
        <v>28131.4850011118</v>
      </c>
      <c r="S29" s="228" t="s">
        <v>196</v>
      </c>
      <c r="T29" s="228"/>
      <c r="U29" s="227" t="n">
        <f aca="false">+J19</f>
        <v>667.173809289217</v>
      </c>
      <c r="V29" s="228" t="s">
        <v>197</v>
      </c>
      <c r="W29" s="228"/>
      <c r="X29" s="228"/>
      <c r="Y29" s="227" t="n">
        <f aca="false">+K19</f>
        <v>7392.5544</v>
      </c>
      <c r="Z29" s="1"/>
    </row>
    <row r="30" customFormat="false" ht="15.75" hidden="false" customHeight="true" outlineLevel="0" collapsed="false">
      <c r="A30" s="1"/>
      <c r="B30" s="1"/>
      <c r="C30" s="216"/>
      <c r="D30" s="216"/>
      <c r="E30" s="216"/>
      <c r="F30" s="1"/>
      <c r="G30" s="1"/>
      <c r="H30" s="1"/>
      <c r="I30" s="1"/>
      <c r="J30" s="1"/>
      <c r="K30" s="1"/>
      <c r="L30" s="1"/>
      <c r="M30" s="1"/>
      <c r="N30" s="1"/>
      <c r="O30" s="1"/>
      <c r="P30" s="225" t="s">
        <v>124</v>
      </c>
      <c r="Q30" s="225"/>
      <c r="R30" s="226" t="n">
        <f aca="false">A13</f>
        <v>0</v>
      </c>
      <c r="S30" s="228" t="s">
        <v>164</v>
      </c>
      <c r="T30" s="228"/>
      <c r="U30" s="227" t="n">
        <f aca="false">+E28</f>
        <v>764.680322019079</v>
      </c>
      <c r="V30" s="228" t="s">
        <v>198</v>
      </c>
      <c r="W30" s="228"/>
      <c r="X30" s="228"/>
      <c r="Y30" s="227" t="n">
        <f aca="false">+H28</f>
        <v>4541.209272</v>
      </c>
      <c r="Z30" s="1"/>
    </row>
    <row r="31" customFormat="false" ht="15.75" hidden="false" customHeight="true" outlineLevel="0" collapsed="false">
      <c r="A31" s="1"/>
      <c r="B31" s="1"/>
      <c r="C31" s="216"/>
      <c r="D31" s="216"/>
      <c r="E31" s="216"/>
      <c r="F31" s="1"/>
      <c r="G31" s="1"/>
      <c r="H31" s="1"/>
      <c r="I31" s="1"/>
      <c r="J31" s="1"/>
      <c r="K31" s="1"/>
      <c r="L31" s="1"/>
      <c r="M31" s="1"/>
      <c r="N31" s="1"/>
      <c r="O31" s="1"/>
      <c r="P31" s="231" t="s">
        <v>184</v>
      </c>
      <c r="Q31" s="231"/>
      <c r="R31" s="232" t="n">
        <f aca="false">+SUM(R28:R30)</f>
        <v>28131.4850011118</v>
      </c>
      <c r="S31" s="233" t="s">
        <v>185</v>
      </c>
      <c r="T31" s="233"/>
      <c r="U31" s="234" t="n">
        <f aca="false">+SUM(U28:U30)</f>
        <v>1730.79918114092</v>
      </c>
      <c r="V31" s="233"/>
      <c r="W31" s="233"/>
      <c r="X31" s="233"/>
      <c r="Y31" s="232" t="n">
        <f aca="false">+SUM(Y28:Y30)</f>
        <v>26400.685872</v>
      </c>
      <c r="Z31" s="1"/>
    </row>
    <row r="32" customFormat="false" ht="15.75" hidden="false" customHeight="true" outlineLevel="0" collapsed="false">
      <c r="A32" s="1"/>
      <c r="B32" s="1"/>
      <c r="C32" s="216"/>
      <c r="D32" s="216"/>
      <c r="E32" s="216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.75" hidden="false" customHeight="true" outlineLevel="0" collapsed="false">
      <c r="A33" s="1"/>
      <c r="B33" s="1"/>
      <c r="C33" s="216"/>
      <c r="D33" s="216"/>
      <c r="E33" s="216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235" t="s">
        <v>186</v>
      </c>
      <c r="V33" s="236"/>
      <c r="W33" s="237"/>
      <c r="X33" s="236"/>
      <c r="Y33" s="238" t="n">
        <f aca="false">+R31-U31-Y31</f>
        <v>-5.20291177963372E-005</v>
      </c>
      <c r="Z33" s="1"/>
    </row>
    <row r="34" customFormat="false" ht="15.75" hidden="false" customHeight="true" outlineLevel="0" collapsed="false">
      <c r="A34" s="1"/>
      <c r="B34" s="1"/>
      <c r="C34" s="216"/>
      <c r="D34" s="216"/>
      <c r="E34" s="216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.75" hidden="false" customHeight="true" outlineLevel="0" collapsed="false">
      <c r="A35" s="1"/>
      <c r="B35" s="1"/>
      <c r="C35" s="216"/>
      <c r="D35" s="216"/>
      <c r="E35" s="216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.75" hidden="false" customHeight="true" outlineLevel="0" collapsed="false">
      <c r="A36" s="1"/>
      <c r="B36" s="1"/>
      <c r="C36" s="216"/>
      <c r="D36" s="216"/>
      <c r="E36" s="216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.75" hidden="false" customHeight="true" outlineLevel="0" collapsed="false">
      <c r="A37" s="1"/>
      <c r="B37" s="1"/>
      <c r="C37" s="216"/>
      <c r="D37" s="216"/>
      <c r="E37" s="216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.75" hidden="false" customHeight="true" outlineLevel="0" collapsed="false">
      <c r="A38" s="1"/>
      <c r="B38" s="1"/>
      <c r="C38" s="216"/>
      <c r="D38" s="216"/>
      <c r="E38" s="216"/>
      <c r="F38" s="1"/>
      <c r="G38" s="1"/>
      <c r="H38" s="1"/>
      <c r="I38" s="1"/>
      <c r="J38" s="1"/>
      <c r="K38" s="1"/>
      <c r="L38" s="1"/>
      <c r="M38" s="1"/>
      <c r="N38" s="1"/>
      <c r="O38" s="1"/>
      <c r="P38" s="221" t="s">
        <v>200</v>
      </c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.75" hidden="false" customHeight="true" outlineLevel="0" collapsed="false">
      <c r="A39" s="1"/>
      <c r="B39" s="1"/>
      <c r="C39" s="216"/>
      <c r="D39" s="216"/>
      <c r="E39" s="216"/>
      <c r="F39" s="1"/>
      <c r="G39" s="1"/>
      <c r="H39" s="1"/>
      <c r="I39" s="1"/>
      <c r="J39" s="1"/>
      <c r="K39" s="1"/>
      <c r="L39" s="1"/>
      <c r="M39" s="1"/>
      <c r="N39" s="1"/>
      <c r="O39" s="1"/>
      <c r="P39" s="239" t="s">
        <v>175</v>
      </c>
      <c r="Q39" s="239"/>
      <c r="R39" s="239"/>
      <c r="S39" s="256" t="s">
        <v>176</v>
      </c>
      <c r="T39" s="256"/>
      <c r="U39" s="256"/>
      <c r="V39" s="257" t="s">
        <v>177</v>
      </c>
      <c r="W39" s="257"/>
      <c r="X39" s="257"/>
      <c r="Y39" s="257"/>
      <c r="Z39" s="1"/>
    </row>
    <row r="40" customFormat="false" ht="15.75" hidden="false" customHeight="true" outlineLevel="0" collapsed="false">
      <c r="A40" s="1"/>
      <c r="B40" s="1"/>
      <c r="C40" s="216"/>
      <c r="D40" s="216"/>
      <c r="E40" s="216"/>
      <c r="F40" s="1"/>
      <c r="G40" s="1"/>
      <c r="H40" s="1"/>
      <c r="I40" s="1"/>
      <c r="J40" s="1"/>
      <c r="K40" s="1"/>
      <c r="L40" s="1"/>
      <c r="M40" s="1"/>
      <c r="N40" s="1"/>
      <c r="O40" s="1"/>
      <c r="P40" s="225" t="s">
        <v>192</v>
      </c>
      <c r="Q40" s="225"/>
      <c r="R40" s="226" t="n">
        <f aca="false">+D8</f>
        <v>0</v>
      </c>
      <c r="S40" s="225" t="s">
        <v>193</v>
      </c>
      <c r="T40" s="225"/>
      <c r="U40" s="227" t="n">
        <f aca="false">+J9</f>
        <v>261.885726406879</v>
      </c>
      <c r="V40" s="228" t="s">
        <v>194</v>
      </c>
      <c r="W40" s="228"/>
      <c r="X40" s="228"/>
      <c r="Y40" s="227" t="n">
        <f aca="false">+L8</f>
        <v>13546.9844</v>
      </c>
      <c r="Z40" s="1"/>
    </row>
    <row r="41" customFormat="false" ht="15.75" hidden="false" customHeight="true" outlineLevel="0" collapsed="false">
      <c r="A41" s="1"/>
      <c r="B41" s="1"/>
      <c r="C41" s="216"/>
      <c r="D41" s="216"/>
      <c r="E41" s="216"/>
      <c r="F41" s="1"/>
      <c r="G41" s="1"/>
      <c r="H41" s="1"/>
      <c r="I41" s="1"/>
      <c r="J41" s="1"/>
      <c r="K41" s="1"/>
      <c r="L41" s="1"/>
      <c r="M41" s="1"/>
      <c r="N41" s="1"/>
      <c r="O41" s="1"/>
      <c r="P41" s="225" t="s">
        <v>195</v>
      </c>
      <c r="Q41" s="225"/>
      <c r="R41" s="226" t="n">
        <f aca="false">+D16</f>
        <v>24132.3712918525</v>
      </c>
      <c r="S41" s="228" t="s">
        <v>196</v>
      </c>
      <c r="T41" s="228"/>
      <c r="U41" s="227" t="n">
        <f aca="false">+J20</f>
        <v>618.62161706478</v>
      </c>
      <c r="V41" s="228" t="s">
        <v>197</v>
      </c>
      <c r="W41" s="228"/>
      <c r="X41" s="228"/>
      <c r="Y41" s="227" t="n">
        <f aca="false">+L19</f>
        <v>6912.9588</v>
      </c>
      <c r="Z41" s="1"/>
    </row>
    <row r="42" customFormat="false" ht="15.75" hidden="false" customHeight="true" outlineLevel="0" collapsed="false">
      <c r="A42" s="1"/>
      <c r="B42" s="1"/>
      <c r="C42" s="216"/>
      <c r="D42" s="216"/>
      <c r="E42" s="216"/>
      <c r="F42" s="1"/>
      <c r="G42" s="1"/>
      <c r="H42" s="1"/>
      <c r="I42" s="1"/>
      <c r="J42" s="1"/>
      <c r="K42" s="1"/>
      <c r="L42" s="1"/>
      <c r="M42" s="1"/>
      <c r="N42" s="1"/>
      <c r="O42" s="1"/>
      <c r="P42" s="225" t="s">
        <v>124</v>
      </c>
      <c r="Q42" s="225"/>
      <c r="R42" s="226" t="n">
        <f aca="false">B13</f>
        <v>0</v>
      </c>
      <c r="S42" s="228" t="s">
        <v>164</v>
      </c>
      <c r="T42" s="228"/>
      <c r="U42" s="227" t="n">
        <f aca="false">+E29</f>
        <v>400.103027630128</v>
      </c>
      <c r="V42" s="228" t="s">
        <v>198</v>
      </c>
      <c r="W42" s="228"/>
      <c r="X42" s="228"/>
      <c r="Y42" s="227" t="n">
        <f aca="false">+I28</f>
        <v>2391.81773198666</v>
      </c>
      <c r="Z42" s="1"/>
    </row>
    <row r="43" customFormat="false" ht="15.75" hidden="false" customHeight="true" outlineLevel="0" collapsed="false">
      <c r="A43" s="1"/>
      <c r="B43" s="1"/>
      <c r="C43" s="216"/>
      <c r="D43" s="216"/>
      <c r="E43" s="216"/>
      <c r="F43" s="1"/>
      <c r="G43" s="1"/>
      <c r="H43" s="1"/>
      <c r="I43" s="1"/>
      <c r="J43" s="1"/>
      <c r="K43" s="1"/>
      <c r="L43" s="1"/>
      <c r="M43" s="1"/>
      <c r="N43" s="1"/>
      <c r="O43" s="1"/>
      <c r="P43" s="231" t="s">
        <v>184</v>
      </c>
      <c r="Q43" s="231"/>
      <c r="R43" s="232" t="n">
        <f aca="false">+SUM(R40:R42)</f>
        <v>24132.3712918525</v>
      </c>
      <c r="S43" s="233" t="s">
        <v>185</v>
      </c>
      <c r="T43" s="233"/>
      <c r="U43" s="234" t="n">
        <f aca="false">+SUM(U40:U42)</f>
        <v>1280.61037110179</v>
      </c>
      <c r="V43" s="233"/>
      <c r="W43" s="233"/>
      <c r="X43" s="233"/>
      <c r="Y43" s="232" t="n">
        <f aca="false">+SUM(Y40:Y42)</f>
        <v>22851.7609319867</v>
      </c>
      <c r="Z43" s="1"/>
    </row>
    <row r="44" customFormat="false" ht="15.75" hidden="false" customHeight="tru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5.75" hidden="false" customHeight="tru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235" t="s">
        <v>186</v>
      </c>
      <c r="V45" s="236"/>
      <c r="W45" s="237"/>
      <c r="X45" s="236"/>
      <c r="Y45" s="238" t="n">
        <f aca="false">+R43-U43-Y43</f>
        <v>-1.12359339254908E-005</v>
      </c>
      <c r="Z45" s="1"/>
    </row>
    <row r="46" customFormat="false" ht="15.75" hidden="false" customHeight="tru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5.75" hidden="false" customHeight="tru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5.75" hidden="false" customHeight="tru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5.75" hidden="false" customHeight="tru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5.7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5.7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5.75" hidden="false" customHeight="tru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5.75" hidden="false" customHeight="tru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5.75" hidden="false" customHeight="tru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.7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.7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.7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.7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.7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.7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.7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.7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.7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.7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.7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.75" hidden="false" customHeight="tru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.75" hidden="false" customHeight="tru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.7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.75" hidden="false" customHeight="tru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.75" hidden="false" customHeight="tru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.75" hidden="false" customHeight="tru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.75" hidden="false" customHeight="tru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.7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.7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5.75" hidden="false" customHeight="tru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5.75" hidden="false" customHeight="tru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5.75" hidden="false" customHeight="tru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5.75" hidden="false" customHeight="tru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5.75" hidden="false" customHeight="tru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5.75" hidden="false" customHeight="tru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5.75" hidden="false" customHeight="tru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5.75" hidden="false" customHeight="tru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5.75" hidden="false" customHeight="tru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5.75" hidden="false" customHeight="tru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5.75" hidden="false" customHeight="tru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5.75" hidden="false" customHeight="tru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5.75" hidden="false" customHeight="tru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5.75" hidden="false" customHeight="tru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5.75" hidden="false" customHeight="tru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5.75" hidden="false" customHeight="tru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5.75" hidden="false" customHeight="tru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5.75" hidden="false" customHeight="tru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5.75" hidden="false" customHeight="tru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5.75" hidden="false" customHeight="tru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5.75" hidden="false" customHeight="tru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5.75" hidden="false" customHeight="tru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5.75" hidden="false" customHeight="tru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5.75" hidden="false" customHeight="tru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5.75" hidden="false" customHeight="tru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5.75" hidden="false" customHeight="tru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5.75" hidden="false" customHeight="tru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5.75" hidden="false" customHeight="tru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5.75" hidden="false" customHeight="tru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5.75" hidden="false" customHeight="tru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5.75" hidden="false" customHeight="tru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5.75" hidden="false" customHeight="tru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5.75" hidden="false" customHeight="tru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5.75" hidden="false" customHeight="tru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5.75" hidden="false" customHeight="tru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5.75" hidden="false" customHeight="tru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5.75" hidden="false" customHeight="tru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5.75" hidden="false" customHeight="tru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5.75" hidden="false" customHeight="tru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5.75" hidden="false" customHeight="tru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5.75" hidden="false" customHeight="tru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5.75" hidden="false" customHeight="tru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5.75" hidden="false" customHeight="tru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5.75" hidden="false" customHeight="tru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5.75" hidden="false" customHeight="tru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5.75" hidden="false" customHeight="tru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5.75" hidden="false" customHeight="tru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5.75" hidden="false" customHeight="tru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5.75" hidden="false" customHeight="tru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5.75" hidden="false" customHeight="tru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5.75" hidden="false" customHeight="tru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5.75" hidden="false" customHeight="tru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5.75" hidden="false" customHeight="tru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5.75" hidden="false" customHeight="tru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5.75" hidden="false" customHeight="tru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5.75" hidden="false" customHeight="tru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5.75" hidden="false" customHeight="tru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5.75" hidden="false" customHeight="tru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5.75" hidden="false" customHeight="tru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5.75" hidden="false" customHeight="tru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5.75" hidden="false" customHeight="tru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5.75" hidden="false" customHeight="tru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5.75" hidden="false" customHeight="tru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5.75" hidden="false" customHeight="tru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5.75" hidden="false" customHeight="tru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5.75" hidden="false" customHeight="tru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5.75" hidden="false" customHeight="tru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5.75" hidden="false" customHeight="tru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5.75" hidden="false" customHeight="tru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5.75" hidden="false" customHeight="tru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5.75" hidden="false" customHeight="tru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5.75" hidden="false" customHeight="tru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5.75" hidden="false" customHeight="tru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5.75" hidden="false" customHeight="tru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5.75" hidden="false" customHeight="tru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5.75" hidden="false" customHeight="tru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5.75" hidden="false" customHeight="tru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5.75" hidden="false" customHeight="tru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5.75" hidden="false" customHeight="tru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5.75" hidden="false" customHeight="tru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5.75" hidden="false" customHeight="tru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5.75" hidden="false" customHeight="tru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5.75" hidden="false" customHeight="tru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5.75" hidden="false" customHeight="tru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5.75" hidden="false" customHeight="tru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5.75" hidden="false" customHeight="tru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5.75" hidden="false" customHeight="tru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5.75" hidden="false" customHeight="tru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5.75" hidden="false" customHeight="tru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5.75" hidden="false" customHeight="tru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5.75" hidden="false" customHeight="tru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5.75" hidden="false" customHeight="tru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5.75" hidden="false" customHeight="tru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5.75" hidden="false" customHeight="tru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5.75" hidden="false" customHeight="tru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5.75" hidden="false" customHeight="tru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5.75" hidden="false" customHeight="tru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5.75" hidden="false" customHeight="tru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5.75" hidden="false" customHeight="tru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5.75" hidden="false" customHeight="tru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5.75" hidden="false" customHeight="tru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5.75" hidden="false" customHeight="tru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5.75" hidden="false" customHeight="tru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5.75" hidden="false" customHeight="tru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5.75" hidden="false" customHeight="tru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5.75" hidden="false" customHeight="tru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5.75" hidden="false" customHeight="tru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5.75" hidden="false" customHeight="tru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5.75" hidden="false" customHeight="tru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5.75" hidden="false" customHeight="tru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5.75" hidden="false" customHeight="tru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5.75" hidden="false" customHeight="tru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5.75" hidden="false" customHeight="tru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5.75" hidden="false" customHeight="tru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5.75" hidden="false" customHeight="tru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5.75" hidden="false" customHeight="tru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5.75" hidden="false" customHeight="tru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5.75" hidden="false" customHeight="tru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5.75" hidden="false" customHeight="tru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5.75" hidden="false" customHeight="tru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5.75" hidden="false" customHeight="tru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5.75" hidden="false" customHeight="tru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5.75" hidden="false" customHeight="tru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5.75" hidden="false" customHeight="tru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5.75" hidden="false" customHeight="tru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5.75" hidden="false" customHeight="tru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5.75" hidden="false" customHeight="tru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5.75" hidden="false" customHeight="tru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5.75" hidden="false" customHeight="tru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5.75" hidden="false" customHeight="tru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5.75" hidden="false" customHeight="tru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5.75" hidden="false" customHeight="tru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5.75" hidden="false" customHeight="tru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5.75" hidden="false" customHeight="tru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5.75" hidden="false" customHeight="tru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5.75" hidden="false" customHeight="tru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5.75" hidden="false" customHeight="tru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5.75" hidden="false" customHeight="tru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customFormat="false" ht="15.75" hidden="false" customHeight="tru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customFormat="false" ht="15.75" hidden="false" customHeight="tru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customFormat="false" ht="15.75" hidden="false" customHeight="tru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customFormat="false" ht="15.75" hidden="false" customHeight="tru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customFormat="false" ht="15.75" hidden="false" customHeight="tru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customFormat="false" ht="15.75" hidden="false" customHeight="tru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customFormat="false" ht="15.75" hidden="false" customHeight="tru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customFormat="false" ht="15.75" hidden="false" customHeight="tru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customFormat="false" ht="15.75" hidden="false" customHeight="tru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customFormat="false" ht="15.75" hidden="false" customHeight="tru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customFormat="false" ht="15.75" hidden="false" customHeight="tru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customFormat="false" ht="15.75" hidden="false" customHeight="tru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customFormat="false" ht="15.75" hidden="false" customHeight="tru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customFormat="false" ht="15.75" hidden="false" customHeight="tru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customFormat="false" ht="15.75" hidden="false" customHeight="tru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customFormat="false" ht="15.75" hidden="false" customHeight="tru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customFormat="false" ht="15.75" hidden="false" customHeight="tru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customFormat="false" ht="15.75" hidden="false" customHeight="tru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customFormat="false" ht="15.75" hidden="false" customHeight="tru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customFormat="false" ht="15.75" hidden="false" customHeight="tru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customFormat="false" ht="15.75" hidden="false" customHeight="tru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customFormat="false" ht="15.75" hidden="false" customHeight="tru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customFormat="false" ht="15.75" hidden="false" customHeight="tru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customFormat="false" ht="15.75" hidden="false" customHeight="tru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customFormat="false" ht="15.75" hidden="false" customHeight="tru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customFormat="false" ht="15.75" hidden="false" customHeight="tru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customFormat="false" ht="15.75" hidden="false" customHeight="tru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customFormat="false" ht="15.75" hidden="false" customHeight="tru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customFormat="false" ht="15.75" hidden="false" customHeight="tru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customFormat="false" ht="15.75" hidden="false" customHeight="tru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customFormat="false" ht="15.75" hidden="false" customHeight="tru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customFormat="false" ht="15.75" hidden="false" customHeight="tru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customFormat="false" ht="15.75" hidden="false" customHeight="tru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customFormat="false" ht="15.75" hidden="false" customHeight="tru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customFormat="false" ht="15.75" hidden="false" customHeight="tru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customFormat="false" ht="15.75" hidden="false" customHeight="tru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customFormat="false" ht="15.75" hidden="false" customHeight="tru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customFormat="false" ht="15.75" hidden="false" customHeight="tru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customFormat="false" ht="15.75" hidden="false" customHeight="tru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customFormat="false" ht="15.75" hidden="false" customHeight="tru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customFormat="false" ht="15.75" hidden="false" customHeight="tru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customFormat="false" ht="15.75" hidden="false" customHeight="tru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customFormat="false" ht="15.75" hidden="false" customHeight="tru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customFormat="false" ht="15.75" hidden="false" customHeight="tru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customFormat="false" ht="15.75" hidden="false" customHeight="tru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customFormat="false" ht="15.75" hidden="false" customHeight="tru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customFormat="false" ht="15.75" hidden="false" customHeight="tru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customFormat="false" ht="15.75" hidden="false" customHeight="tru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customFormat="false" ht="15.75" hidden="false" customHeight="tru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customFormat="false" ht="15.75" hidden="false" customHeight="tru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customFormat="false" ht="15.75" hidden="false" customHeight="tru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customFormat="false" ht="15.75" hidden="false" customHeight="tru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customFormat="false" ht="15.75" hidden="false" customHeight="tru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customFormat="false" ht="15.75" hidden="false" customHeight="tru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customFormat="false" ht="15.75" hidden="false" customHeight="tru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customFormat="false" ht="15.75" hidden="false" customHeight="tru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customFormat="false" ht="15.75" hidden="false" customHeight="tru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customFormat="false" ht="15.75" hidden="false" customHeight="tru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customFormat="false" ht="15.75" hidden="false" customHeight="tru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customFormat="false" ht="15.75" hidden="false" customHeight="tru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customFormat="false" ht="15.75" hidden="false" customHeight="tru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customFormat="false" ht="15.75" hidden="false" customHeight="tru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customFormat="false" ht="15.75" hidden="false" customHeight="tru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customFormat="false" ht="15.75" hidden="false" customHeight="tru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customFormat="false" ht="15.75" hidden="false" customHeight="tru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customFormat="false" ht="15.75" hidden="false" customHeight="tru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customFormat="false" ht="15.75" hidden="false" customHeight="tru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customFormat="false" ht="15.75" hidden="false" customHeight="tru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customFormat="false" ht="15.75" hidden="false" customHeight="tru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customFormat="false" ht="15.75" hidden="false" customHeight="tru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customFormat="false" ht="15.75" hidden="false" customHeight="tru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customFormat="false" ht="15.75" hidden="false" customHeight="tru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customFormat="false" ht="15.75" hidden="false" customHeight="tru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customFormat="false" ht="15.75" hidden="false" customHeight="tru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customFormat="false" ht="15.75" hidden="false" customHeight="tru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customFormat="false" ht="15.75" hidden="false" customHeight="tru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customFormat="false" ht="15.75" hidden="false" customHeight="tru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customFormat="false" ht="15.75" hidden="false" customHeight="tru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customFormat="false" ht="15.75" hidden="false" customHeight="tru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customFormat="false" ht="15.75" hidden="false" customHeight="tru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customFormat="false" ht="15.75" hidden="false" customHeight="tru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customFormat="false" ht="15.75" hidden="false" customHeight="tru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customFormat="false" ht="15.75" hidden="false" customHeight="tru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customFormat="false" ht="15.75" hidden="false" customHeight="tru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customFormat="false" ht="15.75" hidden="false" customHeight="tru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customFormat="false" ht="15.75" hidden="false" customHeight="tru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customFormat="false" ht="15.75" hidden="false" customHeight="tru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customFormat="false" ht="15.75" hidden="false" customHeight="tru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customFormat="false" ht="15.75" hidden="false" customHeight="tru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customFormat="false" ht="15.75" hidden="false" customHeight="tru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customFormat="false" ht="15.75" hidden="false" customHeight="tru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customFormat="false" ht="15.75" hidden="false" customHeight="tru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customFormat="false" ht="15.75" hidden="false" customHeight="tru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customFormat="false" ht="15.75" hidden="false" customHeight="tru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customFormat="false" ht="15.75" hidden="false" customHeight="tru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customFormat="false" ht="15.75" hidden="false" customHeight="tru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customFormat="false" ht="15.75" hidden="false" customHeight="tru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customFormat="false" ht="15.75" hidden="false" customHeight="tru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customFormat="false" ht="15.75" hidden="false" customHeight="tru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customFormat="false" ht="15.75" hidden="false" customHeight="tru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customFormat="false" ht="15.75" hidden="false" customHeight="tru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customFormat="false" ht="15.75" hidden="false" customHeight="tru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customFormat="false" ht="15.75" hidden="false" customHeight="tru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customFormat="false" ht="15.75" hidden="false" customHeight="tru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customFormat="false" ht="15.75" hidden="false" customHeight="tru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customFormat="false" ht="15.75" hidden="false" customHeight="tru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customFormat="false" ht="15.75" hidden="false" customHeight="tru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customFormat="false" ht="15.75" hidden="false" customHeight="tru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customFormat="false" ht="15.75" hidden="false" customHeight="tru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customFormat="false" ht="15.75" hidden="false" customHeight="tru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customFormat="false" ht="15.75" hidden="false" customHeight="tru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customFormat="false" ht="15.75" hidden="false" customHeight="tru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customFormat="false" ht="15.75" hidden="false" customHeight="tru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customFormat="false" ht="15.75" hidden="false" customHeight="tru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customFormat="false" ht="15.75" hidden="false" customHeight="tru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customFormat="false" ht="15.75" hidden="false" customHeight="tru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customFormat="false" ht="15.75" hidden="false" customHeight="tru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customFormat="false" ht="15.75" hidden="false" customHeight="tru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customFormat="false" ht="15.75" hidden="false" customHeight="tru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customFormat="false" ht="15.75" hidden="false" customHeight="tru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customFormat="false" ht="15.75" hidden="false" customHeight="tru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customFormat="false" ht="15.75" hidden="false" customHeight="tru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customFormat="false" ht="15.75" hidden="false" customHeight="tru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customFormat="false" ht="15.75" hidden="false" customHeight="tru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customFormat="false" ht="15.75" hidden="false" customHeight="tru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customFormat="false" ht="15.75" hidden="false" customHeight="tru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customFormat="false" ht="15.75" hidden="false" customHeight="tru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customFormat="false" ht="15.75" hidden="false" customHeight="tru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customFormat="false" ht="15.75" hidden="false" customHeight="tru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customFormat="false" ht="15.75" hidden="false" customHeight="tru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customFormat="false" ht="15.75" hidden="false" customHeight="tru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customFormat="false" ht="15.75" hidden="false" customHeight="tru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customFormat="false" ht="15.75" hidden="false" customHeight="tru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customFormat="false" ht="15.75" hidden="false" customHeight="tru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customFormat="false" ht="15.75" hidden="false" customHeight="tru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customFormat="false" ht="15.75" hidden="false" customHeight="tru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customFormat="false" ht="15.75" hidden="false" customHeight="tru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customFormat="false" ht="15.75" hidden="false" customHeight="tru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customFormat="false" ht="15.75" hidden="false" customHeight="tru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customFormat="false" ht="15.75" hidden="false" customHeight="tru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customFormat="false" ht="15.75" hidden="false" customHeight="tru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customFormat="false" ht="15.75" hidden="false" customHeight="tru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customFormat="false" ht="15.75" hidden="false" customHeight="tru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customFormat="false" ht="15.75" hidden="false" customHeight="tru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customFormat="false" ht="15.75" hidden="false" customHeight="tru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customFormat="false" ht="15.75" hidden="false" customHeight="tru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customFormat="false" ht="15.75" hidden="false" customHeight="tru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customFormat="false" ht="15.75" hidden="false" customHeight="tru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customFormat="false" ht="15.75" hidden="false" customHeight="tru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customFormat="false" ht="15.75" hidden="false" customHeight="tru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customFormat="false" ht="15.75" hidden="false" customHeight="tru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customFormat="false" ht="15.75" hidden="false" customHeight="tru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customFormat="false" ht="15.75" hidden="false" customHeight="tru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customFormat="false" ht="15.75" hidden="false" customHeight="tru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customFormat="false" ht="15.75" hidden="false" customHeight="tru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customFormat="false" ht="15.75" hidden="false" customHeight="tru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customFormat="false" ht="15.75" hidden="false" customHeight="tru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customFormat="false" ht="15.75" hidden="false" customHeight="tru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customFormat="false" ht="15.75" hidden="false" customHeight="tru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customFormat="false" ht="15.75" hidden="false" customHeight="tru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customFormat="false" ht="15.75" hidden="false" customHeight="tru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customFormat="false" ht="15.75" hidden="false" customHeight="tru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customFormat="false" ht="15.75" hidden="false" customHeight="tru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customFormat="false" ht="15.75" hidden="false" customHeight="tru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customFormat="false" ht="15.75" hidden="false" customHeight="tru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customFormat="false" ht="15.75" hidden="false" customHeight="tru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customFormat="false" ht="15.75" hidden="false" customHeight="tru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customFormat="false" ht="15.75" hidden="false" customHeight="tru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customFormat="false" ht="15.75" hidden="false" customHeight="tru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customFormat="false" ht="15.75" hidden="false" customHeight="tru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customFormat="false" ht="15.75" hidden="false" customHeight="tru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customFormat="false" ht="15.75" hidden="false" customHeight="tru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customFormat="false" ht="15.75" hidden="false" customHeight="tru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customFormat="false" ht="15.75" hidden="false" customHeight="tru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customFormat="false" ht="15.75" hidden="false" customHeight="tru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customFormat="false" ht="15.75" hidden="false" customHeight="tru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customFormat="false" ht="15.75" hidden="false" customHeight="tru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customFormat="false" ht="15.75" hidden="false" customHeight="tru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customFormat="false" ht="15.75" hidden="false" customHeight="tru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customFormat="false" ht="15.75" hidden="false" customHeight="tru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customFormat="false" ht="15.75" hidden="false" customHeight="tru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customFormat="false" ht="15.75" hidden="false" customHeight="tru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customFormat="false" ht="15.75" hidden="false" customHeight="tru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customFormat="false" ht="15.75" hidden="false" customHeight="tru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customFormat="false" ht="15.75" hidden="false" customHeight="tru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customFormat="false" ht="15.75" hidden="false" customHeight="tru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customFormat="false" ht="15.75" hidden="false" customHeight="tru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customFormat="false" ht="15.75" hidden="false" customHeight="tru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customFormat="false" ht="15.75" hidden="false" customHeight="tru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customFormat="false" ht="15.75" hidden="false" customHeight="tru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customFormat="false" ht="15.75" hidden="false" customHeight="tru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customFormat="false" ht="15.75" hidden="false" customHeight="tru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customFormat="false" ht="15.75" hidden="false" customHeight="tru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customFormat="false" ht="15.75" hidden="false" customHeight="tru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customFormat="false" ht="15.75" hidden="false" customHeight="tru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customFormat="false" ht="15.75" hidden="false" customHeight="tru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customFormat="false" ht="15.75" hidden="false" customHeight="tru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customFormat="false" ht="15.75" hidden="false" customHeight="tru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customFormat="false" ht="15.75" hidden="false" customHeight="tru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customFormat="false" ht="15.75" hidden="false" customHeight="tru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customFormat="false" ht="15.75" hidden="false" customHeight="tru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customFormat="false" ht="15.75" hidden="false" customHeight="tru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customFormat="false" ht="15.75" hidden="false" customHeight="tru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customFormat="false" ht="15.75" hidden="false" customHeight="tru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customFormat="false" ht="15.75" hidden="false" customHeight="tru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customFormat="false" ht="15.75" hidden="false" customHeight="tru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customFormat="false" ht="15.75" hidden="false" customHeight="tru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customFormat="false" ht="15.75" hidden="false" customHeight="tru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customFormat="false" ht="15.75" hidden="false" customHeight="tru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customFormat="false" ht="15.75" hidden="false" customHeight="tru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customFormat="false" ht="15.75" hidden="false" customHeight="tru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customFormat="false" ht="15.75" hidden="false" customHeight="tru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customFormat="false" ht="15.75" hidden="false" customHeight="tru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customFormat="false" ht="15.75" hidden="false" customHeight="tru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customFormat="false" ht="15.75" hidden="false" customHeight="tru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customFormat="false" ht="15.75" hidden="false" customHeight="tru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customFormat="false" ht="15.75" hidden="false" customHeight="tru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customFormat="false" ht="15.75" hidden="false" customHeight="tru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customFormat="false" ht="15.75" hidden="false" customHeight="tru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customFormat="false" ht="15.75" hidden="false" customHeight="tru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customFormat="false" ht="15.75" hidden="false" customHeight="tru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customFormat="false" ht="15.75" hidden="false" customHeight="tru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customFormat="false" ht="15.75" hidden="false" customHeight="tru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customFormat="false" ht="15.75" hidden="false" customHeight="tru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customFormat="false" ht="15.75" hidden="false" customHeight="tru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customFormat="false" ht="15.75" hidden="false" customHeight="tru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customFormat="false" ht="15.75" hidden="false" customHeight="tru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customFormat="false" ht="15.75" hidden="false" customHeight="tru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customFormat="false" ht="15.75" hidden="false" customHeight="tru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customFormat="false" ht="15.75" hidden="false" customHeight="tru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customFormat="false" ht="15.75" hidden="false" customHeight="tru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customFormat="false" ht="15.75" hidden="false" customHeight="tru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customFormat="false" ht="15.75" hidden="false" customHeight="tru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customFormat="false" ht="15.75" hidden="false" customHeight="tru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customFormat="false" ht="15.75" hidden="false" customHeight="tru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customFormat="false" ht="15.75" hidden="false" customHeight="tru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customFormat="false" ht="15.75" hidden="false" customHeight="tru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customFormat="false" ht="15.75" hidden="false" customHeight="tru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customFormat="false" ht="15.75" hidden="false" customHeight="tru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customFormat="false" ht="15.75" hidden="false" customHeight="tru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customFormat="false" ht="15.75" hidden="false" customHeight="tru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customFormat="false" ht="15.75" hidden="false" customHeight="tru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customFormat="false" ht="15.75" hidden="false" customHeight="tru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customFormat="false" ht="15.75" hidden="false" customHeight="tru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customFormat="false" ht="15.75" hidden="false" customHeight="tru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customFormat="false" ht="15.75" hidden="false" customHeight="tru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customFormat="false" ht="15.75" hidden="false" customHeight="tru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customFormat="false" ht="15.75" hidden="false" customHeight="tru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customFormat="false" ht="15.75" hidden="false" customHeight="tru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customFormat="false" ht="15.75" hidden="false" customHeight="tru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customFormat="false" ht="15.75" hidden="false" customHeight="tru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customFormat="false" ht="15.75" hidden="false" customHeight="tru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customFormat="false" ht="15.75" hidden="false" customHeight="tru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customFormat="false" ht="15.75" hidden="false" customHeight="tru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customFormat="false" ht="15.75" hidden="false" customHeight="tru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customFormat="false" ht="15.75" hidden="false" customHeight="tru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customFormat="false" ht="15.75" hidden="false" customHeight="tru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customFormat="false" ht="15.75" hidden="false" customHeight="tru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customFormat="false" ht="15.75" hidden="false" customHeight="tru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customFormat="false" ht="15.75" hidden="false" customHeight="tru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customFormat="false" ht="15.75" hidden="false" customHeight="tru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customFormat="false" ht="15.75" hidden="false" customHeight="tru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customFormat="false" ht="15.75" hidden="false" customHeight="tru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customFormat="false" ht="15.75" hidden="false" customHeight="tru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customFormat="false" ht="15.75" hidden="false" customHeight="tru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customFormat="false" ht="15.75" hidden="false" customHeight="tru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customFormat="false" ht="15.75" hidden="false" customHeight="tru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customFormat="false" ht="15.75" hidden="false" customHeight="tru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customFormat="false" ht="15.75" hidden="false" customHeight="tru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customFormat="false" ht="15.75" hidden="false" customHeight="tru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customFormat="false" ht="15.75" hidden="false" customHeight="tru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customFormat="false" ht="15.75" hidden="false" customHeight="tru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customFormat="false" ht="15.75" hidden="false" customHeight="tru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customFormat="false" ht="15.75" hidden="false" customHeight="tru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customFormat="false" ht="15.75" hidden="false" customHeight="tru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customFormat="false" ht="15.75" hidden="false" customHeight="tru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customFormat="false" ht="15.75" hidden="false" customHeight="tru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customFormat="false" ht="15.75" hidden="false" customHeight="tru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customFormat="false" ht="15.75" hidden="false" customHeight="tru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customFormat="false" ht="15.75" hidden="false" customHeight="tru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customFormat="false" ht="15.75" hidden="false" customHeight="tru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customFormat="false" ht="15.75" hidden="false" customHeight="tru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customFormat="false" ht="15.75" hidden="false" customHeight="tru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customFormat="false" ht="15.75" hidden="false" customHeight="tru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customFormat="false" ht="15.75" hidden="false" customHeight="tru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customFormat="false" ht="15.75" hidden="false" customHeight="tru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customFormat="false" ht="15.75" hidden="false" customHeight="tru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customFormat="false" ht="15.75" hidden="false" customHeight="tru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customFormat="false" ht="15.75" hidden="false" customHeight="tru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customFormat="false" ht="15.75" hidden="false" customHeight="tru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customFormat="false" ht="15.75" hidden="false" customHeight="tru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customFormat="false" ht="15.75" hidden="false" customHeight="tru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customFormat="false" ht="15.75" hidden="false" customHeight="tru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customFormat="false" ht="15.75" hidden="false" customHeight="tru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customFormat="false" ht="15.75" hidden="false" customHeight="tru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customFormat="false" ht="15.75" hidden="false" customHeight="tru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customFormat="false" ht="15.75" hidden="false" customHeight="tru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customFormat="false" ht="15.75" hidden="false" customHeight="tru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customFormat="false" ht="15.75" hidden="false" customHeight="tru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customFormat="false" ht="15.75" hidden="false" customHeight="tru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customFormat="false" ht="15.75" hidden="false" customHeight="tru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customFormat="false" ht="15.75" hidden="false" customHeight="tru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customFormat="false" ht="15.75" hidden="false" customHeight="tru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customFormat="false" ht="15.75" hidden="false" customHeight="tru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customFormat="false" ht="15.75" hidden="false" customHeight="tru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customFormat="false" ht="15.75" hidden="false" customHeight="tru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customFormat="false" ht="15.75" hidden="false" customHeight="tru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customFormat="false" ht="15.75" hidden="false" customHeight="tru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customFormat="false" ht="15.75" hidden="false" customHeight="tru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customFormat="false" ht="15.75" hidden="false" customHeight="tru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customFormat="false" ht="15.75" hidden="false" customHeight="tru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customFormat="false" ht="15.75" hidden="false" customHeight="tru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customFormat="false" ht="15.75" hidden="false" customHeight="tru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customFormat="false" ht="15.75" hidden="false" customHeight="tru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customFormat="false" ht="15.75" hidden="false" customHeight="tru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customFormat="false" ht="15.75" hidden="false" customHeight="tru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customFormat="false" ht="15.75" hidden="false" customHeight="tru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customFormat="false" ht="15.75" hidden="false" customHeight="tru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customFormat="false" ht="15.75" hidden="false" customHeight="tru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customFormat="false" ht="15.75" hidden="false" customHeight="tru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customFormat="false" ht="15.75" hidden="false" customHeight="tru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customFormat="false" ht="15.75" hidden="false" customHeight="tru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customFormat="false" ht="15.75" hidden="false" customHeight="tru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customFormat="false" ht="15.75" hidden="false" customHeight="tru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customFormat="false" ht="15.75" hidden="false" customHeight="tru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customFormat="false" ht="15.75" hidden="false" customHeight="tru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customFormat="false" ht="15.75" hidden="false" customHeight="tru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customFormat="false" ht="15.75" hidden="false" customHeight="tru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customFormat="false" ht="15.75" hidden="false" customHeight="tru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customFormat="false" ht="15.75" hidden="false" customHeight="tru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customFormat="false" ht="15.75" hidden="false" customHeight="tru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customFormat="false" ht="15.75" hidden="false" customHeight="tru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customFormat="false" ht="15.75" hidden="false" customHeight="tru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customFormat="false" ht="15.75" hidden="false" customHeight="tru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customFormat="false" ht="15.75" hidden="false" customHeight="tru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customFormat="false" ht="15.75" hidden="false" customHeight="tru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customFormat="false" ht="15.75" hidden="false" customHeight="tru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customFormat="false" ht="15.75" hidden="false" customHeight="tru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customFormat="false" ht="15.75" hidden="false" customHeight="tru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customFormat="false" ht="15.75" hidden="false" customHeight="tru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customFormat="false" ht="15.75" hidden="false" customHeight="tru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customFormat="false" ht="15.75" hidden="false" customHeight="tru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customFormat="false" ht="15.75" hidden="false" customHeight="tru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customFormat="false" ht="15.75" hidden="false" customHeight="tru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customFormat="false" ht="15.75" hidden="false" customHeight="tru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customFormat="false" ht="15.75" hidden="false" customHeight="tru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customFormat="false" ht="15.75" hidden="false" customHeight="tru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customFormat="false" ht="15.75" hidden="false" customHeight="tru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customFormat="false" ht="15.75" hidden="false" customHeight="tru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customFormat="false" ht="15.75" hidden="false" customHeight="tru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customFormat="false" ht="15.75" hidden="false" customHeight="tru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customFormat="false" ht="15.75" hidden="false" customHeight="tru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customFormat="false" ht="15.75" hidden="false" customHeight="tru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customFormat="false" ht="15.75" hidden="false" customHeight="tru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customFormat="false" ht="15.75" hidden="false" customHeight="tru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customFormat="false" ht="15.75" hidden="false" customHeight="tru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customFormat="false" ht="15.75" hidden="false" customHeight="tru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customFormat="false" ht="15.75" hidden="false" customHeight="tru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customFormat="false" ht="15.75" hidden="false" customHeight="tru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customFormat="false" ht="15.75" hidden="false" customHeight="tru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customFormat="false" ht="15.75" hidden="false" customHeight="tru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customFormat="false" ht="15.75" hidden="false" customHeight="tru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customFormat="false" ht="15.75" hidden="false" customHeight="tru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customFormat="false" ht="15.75" hidden="false" customHeight="tru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customFormat="false" ht="15.75" hidden="false" customHeight="tru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customFormat="false" ht="15.75" hidden="false" customHeight="tru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customFormat="false" ht="15.75" hidden="false" customHeight="tru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customFormat="false" ht="15.75" hidden="false" customHeight="tru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customFormat="false" ht="15.75" hidden="false" customHeight="tru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customFormat="false" ht="15.75" hidden="false" customHeight="tru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customFormat="false" ht="15.75" hidden="false" customHeight="tru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customFormat="false" ht="15.75" hidden="false" customHeight="tru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customFormat="false" ht="15.75" hidden="false" customHeight="tru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customFormat="false" ht="15.75" hidden="false" customHeight="tru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customFormat="false" ht="15.75" hidden="false" customHeight="tru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customFormat="false" ht="15.75" hidden="false" customHeight="tru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customFormat="false" ht="15.75" hidden="false" customHeight="tru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customFormat="false" ht="15.75" hidden="false" customHeight="tru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customFormat="false" ht="15.75" hidden="false" customHeight="tru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customFormat="false" ht="15.75" hidden="false" customHeight="tru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customFormat="false" ht="15.75" hidden="false" customHeight="tru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customFormat="false" ht="15.75" hidden="false" customHeight="tru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customFormat="false" ht="15.75" hidden="false" customHeight="tru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customFormat="false" ht="15.75" hidden="false" customHeight="tru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customFormat="false" ht="15.75" hidden="false" customHeight="tru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customFormat="false" ht="15.75" hidden="false" customHeight="tru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customFormat="false" ht="15.75" hidden="false" customHeight="tru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customFormat="false" ht="15.75" hidden="false" customHeight="tru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customFormat="false" ht="15.75" hidden="false" customHeight="tru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customFormat="false" ht="15.75" hidden="false" customHeight="tru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customFormat="false" ht="15.75" hidden="false" customHeight="tru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customFormat="false" ht="15.75" hidden="false" customHeight="tru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customFormat="false" ht="15.75" hidden="false" customHeight="tru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customFormat="false" ht="15.75" hidden="false" customHeight="tru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customFormat="false" ht="15.75" hidden="false" customHeight="tru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customFormat="false" ht="15.75" hidden="false" customHeight="tru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customFormat="false" ht="15.75" hidden="false" customHeight="tru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customFormat="false" ht="15.75" hidden="false" customHeight="tru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customFormat="false" ht="15.75" hidden="false" customHeight="tru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customFormat="false" ht="15.75" hidden="false" customHeight="tru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customFormat="false" ht="15.75" hidden="false" customHeight="tru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customFormat="false" ht="15.75" hidden="false" customHeight="tru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customFormat="false" ht="15.75" hidden="false" customHeight="tru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customFormat="false" ht="15.75" hidden="false" customHeight="tru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customFormat="false" ht="15.75" hidden="false" customHeight="tru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customFormat="false" ht="15.75" hidden="false" customHeight="tru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customFormat="false" ht="15.75" hidden="false" customHeight="tru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customFormat="false" ht="15.75" hidden="false" customHeight="tru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customFormat="false" ht="15.75" hidden="false" customHeight="tru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customFormat="false" ht="15.75" hidden="false" customHeight="tru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customFormat="false" ht="15.75" hidden="false" customHeight="tru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customFormat="false" ht="15.75" hidden="false" customHeight="tru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customFormat="false" ht="15.75" hidden="false" customHeight="tru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customFormat="false" ht="15.75" hidden="false" customHeight="tru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customFormat="false" ht="15.75" hidden="false" customHeight="tru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customFormat="false" ht="15.75" hidden="false" customHeight="tru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customFormat="false" ht="15.75" hidden="false" customHeight="tru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customFormat="false" ht="15.75" hidden="false" customHeight="tru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customFormat="false" ht="15.75" hidden="false" customHeight="tru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customFormat="false" ht="15.75" hidden="false" customHeight="tru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customFormat="false" ht="15.75" hidden="false" customHeight="tru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customFormat="false" ht="15.75" hidden="false" customHeight="tru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customFormat="false" ht="15.75" hidden="false" customHeight="tru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customFormat="false" ht="15.75" hidden="false" customHeight="tru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customFormat="false" ht="15.75" hidden="false" customHeight="tru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customFormat="false" ht="15.75" hidden="false" customHeight="tru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customFormat="false" ht="15.75" hidden="false" customHeight="tru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customFormat="false" ht="15.75" hidden="false" customHeight="tru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customFormat="false" ht="15.75" hidden="false" customHeight="tru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customFormat="false" ht="15.75" hidden="false" customHeight="tru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customFormat="false" ht="15.75" hidden="false" customHeight="tru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customFormat="false" ht="15.75" hidden="false" customHeight="tru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customFormat="false" ht="15.75" hidden="false" customHeight="tru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customFormat="false" ht="15.75" hidden="false" customHeight="tru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customFormat="false" ht="15.75" hidden="false" customHeight="tru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customFormat="false" ht="15.75" hidden="false" customHeight="tru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customFormat="false" ht="15.75" hidden="false" customHeight="tru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customFormat="false" ht="15.75" hidden="false" customHeight="tru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customFormat="false" ht="15.75" hidden="false" customHeight="tru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customFormat="false" ht="15.75" hidden="false" customHeight="tru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customFormat="false" ht="15.75" hidden="false" customHeight="tru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customFormat="false" ht="15.75" hidden="false" customHeight="tru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customFormat="false" ht="15.75" hidden="false" customHeight="tru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customFormat="false" ht="15.75" hidden="false" customHeight="tru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customFormat="false" ht="15.75" hidden="false" customHeight="tru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customFormat="false" ht="15.75" hidden="false" customHeight="tru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customFormat="false" ht="15.75" hidden="false" customHeight="tru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customFormat="false" ht="15.75" hidden="false" customHeight="tru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customFormat="false" ht="15.75" hidden="false" customHeight="tru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customFormat="false" ht="15.75" hidden="false" customHeight="tru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customFormat="false" ht="15.75" hidden="false" customHeight="tru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customFormat="false" ht="15.75" hidden="false" customHeight="tru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customFormat="false" ht="15.75" hidden="false" customHeight="tru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customFormat="false" ht="15.75" hidden="false" customHeight="tru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customFormat="false" ht="15.75" hidden="false" customHeight="tru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customFormat="false" ht="15.75" hidden="false" customHeight="tru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customFormat="false" ht="15.75" hidden="false" customHeight="tru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customFormat="false" ht="15.75" hidden="false" customHeight="tru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customFormat="false" ht="15.75" hidden="false" customHeight="tru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customFormat="false" ht="15.75" hidden="false" customHeight="tru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customFormat="false" ht="15.75" hidden="false" customHeight="tru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customFormat="false" ht="15.75" hidden="false" customHeight="tru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customFormat="false" ht="15.75" hidden="false" customHeight="tru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customFormat="false" ht="15.75" hidden="false" customHeight="tru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customFormat="false" ht="15.75" hidden="false" customHeight="tru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customFormat="false" ht="15.75" hidden="false" customHeight="tru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customFormat="false" ht="15.75" hidden="false" customHeight="tru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customFormat="false" ht="15.75" hidden="false" customHeight="tru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customFormat="false" ht="15.75" hidden="false" customHeight="tru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customFormat="false" ht="15.75" hidden="false" customHeight="tru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customFormat="false" ht="15.75" hidden="false" customHeight="tru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customFormat="false" ht="15.75" hidden="false" customHeight="tru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customFormat="false" ht="15.75" hidden="false" customHeight="tru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customFormat="false" ht="15.75" hidden="false" customHeight="tru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customFormat="false" ht="15.75" hidden="false" customHeight="tru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customFormat="false" ht="15.75" hidden="false" customHeight="tru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customFormat="false" ht="15.75" hidden="false" customHeight="tru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customFormat="false" ht="15.75" hidden="false" customHeight="tru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customFormat="false" ht="15.75" hidden="false" customHeight="tru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customFormat="false" ht="15.75" hidden="false" customHeight="tru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customFormat="false" ht="15.75" hidden="false" customHeight="tru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customFormat="false" ht="15.75" hidden="false" customHeight="tru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customFormat="false" ht="15.75" hidden="false" customHeight="tru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customFormat="false" ht="15.75" hidden="false" customHeight="tru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customFormat="false" ht="15.75" hidden="false" customHeight="tru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customFormat="false" ht="15.75" hidden="false" customHeight="tru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customFormat="false" ht="15.75" hidden="false" customHeight="tru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customFormat="false" ht="15.75" hidden="false" customHeight="tru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customFormat="false" ht="15.75" hidden="false" customHeight="tru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customFormat="false" ht="15.75" hidden="false" customHeight="tru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customFormat="false" ht="15.75" hidden="false" customHeight="tru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customFormat="false" ht="15.75" hidden="false" customHeight="tru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customFormat="false" ht="15.75" hidden="false" customHeight="tru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customFormat="false" ht="15.75" hidden="false" customHeight="tru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customFormat="false" ht="15.75" hidden="false" customHeight="tru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customFormat="false" ht="15.75" hidden="false" customHeight="tru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customFormat="false" ht="15.75" hidden="false" customHeight="tru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customFormat="false" ht="15.75" hidden="false" customHeight="tru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customFormat="false" ht="15.75" hidden="false" customHeight="tru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customFormat="false" ht="15.75" hidden="false" customHeight="tru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customFormat="false" ht="15.75" hidden="false" customHeight="tru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customFormat="false" ht="15.75" hidden="false" customHeight="tru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customFormat="false" ht="15.75" hidden="false" customHeight="tru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customFormat="false" ht="15.75" hidden="false" customHeight="tru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customFormat="false" ht="15.75" hidden="false" customHeight="tru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customFormat="false" ht="15.75" hidden="false" customHeight="tru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customFormat="false" ht="15.75" hidden="false" customHeight="tru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customFormat="false" ht="15.75" hidden="false" customHeight="tru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customFormat="false" ht="15.75" hidden="false" customHeight="tru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customFormat="false" ht="15.75" hidden="false" customHeight="tru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customFormat="false" ht="15.75" hidden="false" customHeight="tru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customFormat="false" ht="15.75" hidden="false" customHeight="tru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customFormat="false" ht="15.75" hidden="false" customHeight="tru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customFormat="false" ht="15.75" hidden="false" customHeight="tru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customFormat="false" ht="15.75" hidden="false" customHeight="tru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customFormat="false" ht="15.75" hidden="false" customHeight="tru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customFormat="false" ht="15.75" hidden="false" customHeight="tru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customFormat="false" ht="15.75" hidden="false" customHeight="tru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customFormat="false" ht="15.75" hidden="false" customHeight="tru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customFormat="false" ht="15.75" hidden="false" customHeight="tru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customFormat="false" ht="15.75" hidden="false" customHeight="tru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customFormat="false" ht="15.75" hidden="false" customHeight="tru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customFormat="false" ht="15.75" hidden="false" customHeight="tru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customFormat="false" ht="15.75" hidden="false" customHeight="tru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customFormat="false" ht="15.75" hidden="false" customHeight="tru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customFormat="false" ht="15.75" hidden="false" customHeight="tru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customFormat="false" ht="15.75" hidden="false" customHeight="tru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customFormat="false" ht="15.75" hidden="false" customHeight="tru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customFormat="false" ht="15.75" hidden="false" customHeight="tru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customFormat="false" ht="15.75" hidden="false" customHeight="tru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customFormat="false" ht="15.75" hidden="false" customHeight="tru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customFormat="false" ht="15.75" hidden="false" customHeight="tru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customFormat="false" ht="15.75" hidden="false" customHeight="tru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customFormat="false" ht="15.75" hidden="false" customHeight="tru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customFormat="false" ht="15.75" hidden="false" customHeight="tru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customFormat="false" ht="15.75" hidden="false" customHeight="tru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customFormat="false" ht="15.75" hidden="false" customHeight="tru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customFormat="false" ht="15.75" hidden="false" customHeight="tru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customFormat="false" ht="15.75" hidden="false" customHeight="tru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customFormat="false" ht="15.75" hidden="false" customHeight="tru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customFormat="false" ht="15.75" hidden="false" customHeight="tru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customFormat="false" ht="15.75" hidden="false" customHeight="tru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customFormat="false" ht="15.75" hidden="false" customHeight="tru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customFormat="false" ht="15.75" hidden="false" customHeight="tru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customFormat="false" ht="15.75" hidden="false" customHeight="tru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customFormat="false" ht="15.75" hidden="false" customHeight="tru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customFormat="false" ht="15.75" hidden="false" customHeight="tru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customFormat="false" ht="15.75" hidden="false" customHeight="tru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customFormat="false" ht="15.75" hidden="false" customHeight="tru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customFormat="false" ht="15.75" hidden="false" customHeight="tru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customFormat="false" ht="15.75" hidden="false" customHeight="tru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customFormat="false" ht="15.75" hidden="false" customHeight="tru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customFormat="false" ht="15.75" hidden="false" customHeight="tru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customFormat="false" ht="15.75" hidden="false" customHeight="tru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customFormat="false" ht="15.75" hidden="false" customHeight="tru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customFormat="false" ht="15.75" hidden="false" customHeight="tru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customFormat="false" ht="15.75" hidden="false" customHeight="tru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customFormat="false" ht="15.75" hidden="false" customHeight="tru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customFormat="false" ht="15.75" hidden="false" customHeight="tru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customFormat="false" ht="15.75" hidden="false" customHeight="tru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customFormat="false" ht="15.75" hidden="false" customHeight="tru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customFormat="false" ht="15.75" hidden="false" customHeight="tru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customFormat="false" ht="15.75" hidden="false" customHeight="tru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customFormat="false" ht="15.75" hidden="false" customHeight="tru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customFormat="false" ht="15.75" hidden="false" customHeight="tru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customFormat="false" ht="15.75" hidden="false" customHeight="tru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customFormat="false" ht="15.75" hidden="false" customHeight="tru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customFormat="false" ht="15.75" hidden="false" customHeight="tru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customFormat="false" ht="15.75" hidden="false" customHeight="tru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customFormat="false" ht="15.75" hidden="false" customHeight="tru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customFormat="false" ht="15.75" hidden="false" customHeight="tru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customFormat="false" ht="15.75" hidden="false" customHeight="tru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customFormat="false" ht="15.75" hidden="false" customHeight="tru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customFormat="false" ht="15.75" hidden="false" customHeight="tru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customFormat="false" ht="15.75" hidden="false" customHeight="tru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customFormat="false" ht="15.75" hidden="false" customHeight="tru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customFormat="false" ht="15.75" hidden="false" customHeight="tru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customFormat="false" ht="15.75" hidden="false" customHeight="tru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customFormat="false" ht="15.75" hidden="false" customHeight="tru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customFormat="false" ht="15.75" hidden="false" customHeight="tru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customFormat="false" ht="15.75" hidden="false" customHeight="tru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customFormat="false" ht="15.75" hidden="false" customHeight="tru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customFormat="false" ht="15.75" hidden="false" customHeight="tru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customFormat="false" ht="15.75" hidden="false" customHeight="tru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customFormat="false" ht="15.75" hidden="false" customHeight="tru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customFormat="false" ht="15.75" hidden="false" customHeight="tru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customFormat="false" ht="15.75" hidden="false" customHeight="tru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45">
    <mergeCell ref="P15:R15"/>
    <mergeCell ref="S15:U15"/>
    <mergeCell ref="V15:Y15"/>
    <mergeCell ref="P16:Q16"/>
    <mergeCell ref="S16:T16"/>
    <mergeCell ref="V16:X16"/>
    <mergeCell ref="P17:Q17"/>
    <mergeCell ref="S17:T17"/>
    <mergeCell ref="V17:X17"/>
    <mergeCell ref="P18:Q18"/>
    <mergeCell ref="S18:T18"/>
    <mergeCell ref="V18:X18"/>
    <mergeCell ref="P19:Q19"/>
    <mergeCell ref="S19:T19"/>
    <mergeCell ref="V19:X19"/>
    <mergeCell ref="P27:R27"/>
    <mergeCell ref="S27:U27"/>
    <mergeCell ref="V27:Y27"/>
    <mergeCell ref="P28:Q28"/>
    <mergeCell ref="S28:T28"/>
    <mergeCell ref="V28:X28"/>
    <mergeCell ref="P29:Q29"/>
    <mergeCell ref="S29:T29"/>
    <mergeCell ref="V29:X29"/>
    <mergeCell ref="P30:Q30"/>
    <mergeCell ref="S30:T30"/>
    <mergeCell ref="V30:X30"/>
    <mergeCell ref="P31:Q31"/>
    <mergeCell ref="S31:T31"/>
    <mergeCell ref="V31:X31"/>
    <mergeCell ref="P39:R39"/>
    <mergeCell ref="S39:U39"/>
    <mergeCell ref="V39:Y39"/>
    <mergeCell ref="P40:Q40"/>
    <mergeCell ref="S40:T40"/>
    <mergeCell ref="V40:X40"/>
    <mergeCell ref="P41:Q41"/>
    <mergeCell ref="S41:T41"/>
    <mergeCell ref="V41:X41"/>
    <mergeCell ref="P42:Q42"/>
    <mergeCell ref="S42:T42"/>
    <mergeCell ref="V42:X42"/>
    <mergeCell ref="P43:Q43"/>
    <mergeCell ref="S43:T43"/>
    <mergeCell ref="V43:X4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4.5078125" defaultRowHeight="15" customHeight="true" zeroHeight="false" outlineLevelRow="0" outlineLevelCol="0"/>
  <cols>
    <col collapsed="false" customWidth="true" hidden="false" outlineLevel="0" max="3" min="1" style="0" width="11.5"/>
    <col collapsed="false" customWidth="true" hidden="false" outlineLevel="0" max="4" min="4" style="0" width="8.67"/>
    <col collapsed="false" customWidth="true" hidden="false" outlineLevel="0" max="5" min="5" style="0" width="4.5"/>
    <col collapsed="false" customWidth="true" hidden="false" outlineLevel="0" max="6" min="6" style="0" width="30.67"/>
    <col collapsed="false" customWidth="true" hidden="false" outlineLevel="0" max="7" min="7" style="0" width="11.67"/>
    <col collapsed="false" customWidth="true" hidden="false" outlineLevel="0" max="8" min="8" style="0" width="12.33"/>
    <col collapsed="false" customWidth="true" hidden="false" outlineLevel="0" max="9" min="9" style="0" width="10"/>
    <col collapsed="false" customWidth="true" hidden="false" outlineLevel="0" max="11" min="10" style="0" width="11.67"/>
    <col collapsed="false" customWidth="true" hidden="false" outlineLevel="0" max="13" min="12" style="0" width="11.5"/>
    <col collapsed="false" customWidth="true" hidden="false" outlineLevel="0" max="14" min="14" style="0" width="12.5"/>
    <col collapsed="false" customWidth="true" hidden="false" outlineLevel="0" max="15" min="15" style="0" width="11.5"/>
    <col collapsed="false" customWidth="true" hidden="false" outlineLevel="0" max="16" min="16" style="0" width="15.33"/>
    <col collapsed="false" customWidth="true" hidden="false" outlineLevel="0" max="20" min="17" style="0" width="11.5"/>
    <col collapsed="false" customWidth="true" hidden="false" outlineLevel="0" max="21" min="21" style="0" width="19.67"/>
    <col collapsed="false" customWidth="true" hidden="false" outlineLevel="0" max="29" min="22" style="0" width="11.5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258"/>
      <c r="H2" s="258"/>
      <c r="I2" s="258"/>
      <c r="J2" s="258"/>
      <c r="K2" s="258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2"/>
      <c r="H3" s="2"/>
      <c r="I3" s="2"/>
      <c r="J3" s="2"/>
      <c r="K3" s="2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2"/>
      <c r="H4" s="2"/>
      <c r="I4" s="2"/>
      <c r="J4" s="2"/>
      <c r="K4" s="2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</row>
    <row r="5" customFormat="false" ht="15" hidden="false" customHeight="false" outlineLevel="0" collapsed="false">
      <c r="A5" s="1"/>
      <c r="B5" s="1"/>
      <c r="C5" s="1"/>
      <c r="D5" s="1"/>
      <c r="E5" s="1"/>
      <c r="F5" s="1"/>
      <c r="G5" s="2"/>
      <c r="H5" s="2"/>
      <c r="I5" s="2"/>
      <c r="J5" s="2"/>
      <c r="K5" s="2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</row>
    <row r="6" customFormat="false" ht="15" hidden="false" customHeight="false" outlineLevel="0" collapsed="false">
      <c r="A6" s="1"/>
      <c r="B6" s="1"/>
      <c r="C6" s="1"/>
      <c r="D6" s="1"/>
      <c r="E6" s="1"/>
      <c r="F6" s="1"/>
      <c r="G6" s="2"/>
      <c r="H6" s="2"/>
      <c r="I6" s="2"/>
      <c r="J6" s="2"/>
      <c r="K6" s="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</row>
    <row r="7" customFormat="false" ht="15" hidden="false" customHeight="false" outlineLevel="0" collapsed="false">
      <c r="A7" s="1"/>
      <c r="B7" s="1"/>
      <c r="C7" s="1"/>
      <c r="D7" s="1"/>
      <c r="E7" s="1"/>
      <c r="F7" s="1"/>
      <c r="G7" s="2"/>
      <c r="H7" s="2"/>
      <c r="I7" s="2"/>
      <c r="J7" s="2"/>
      <c r="K7" s="2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</row>
    <row r="8" customFormat="false" ht="15" hidden="false" customHeight="false" outlineLevel="0" collapsed="false">
      <c r="A8" s="1"/>
      <c r="B8" s="1"/>
      <c r="C8" s="1"/>
      <c r="D8" s="1"/>
      <c r="E8" s="1"/>
      <c r="F8" s="1"/>
      <c r="G8" s="2"/>
      <c r="H8" s="2"/>
      <c r="I8" s="2"/>
      <c r="J8" s="2"/>
      <c r="K8" s="2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</row>
    <row r="9" customFormat="false" ht="15" hidden="false" customHeight="false" outlineLevel="0" collapsed="false">
      <c r="A9" s="1"/>
      <c r="B9" s="1"/>
      <c r="C9" s="1"/>
      <c r="D9" s="1"/>
      <c r="E9" s="1"/>
      <c r="F9" s="1"/>
      <c r="G9" s="2"/>
      <c r="H9" s="2"/>
      <c r="I9" s="2"/>
      <c r="J9" s="2"/>
      <c r="K9" s="2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37"/>
      <c r="Z9" s="37"/>
      <c r="AA9" s="1"/>
      <c r="AB9" s="1"/>
      <c r="AC9" s="1"/>
    </row>
    <row r="10" customFormat="false" ht="15" hidden="false" customHeight="false" outlineLevel="0" collapsed="false">
      <c r="A10" s="1"/>
      <c r="B10" s="1"/>
      <c r="C10" s="1"/>
      <c r="D10" s="1"/>
      <c r="E10" s="1"/>
      <c r="F10" s="1"/>
      <c r="G10" s="2"/>
      <c r="H10" s="2"/>
      <c r="I10" s="2"/>
      <c r="J10" s="2"/>
      <c r="K10" s="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37"/>
      <c r="Z10" s="37"/>
      <c r="AA10" s="1"/>
      <c r="AB10" s="1"/>
      <c r="AC10" s="1"/>
    </row>
    <row r="11" customFormat="false" ht="15" hidden="false" customHeight="false" outlineLevel="0" collapsed="false">
      <c r="A11" s="1"/>
      <c r="B11" s="1"/>
      <c r="C11" s="1"/>
      <c r="D11" s="1"/>
      <c r="E11" s="1"/>
      <c r="F11" s="1"/>
      <c r="G11" s="2"/>
      <c r="H11" s="2"/>
      <c r="I11" s="2"/>
      <c r="J11" s="2"/>
      <c r="K11" s="2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37"/>
      <c r="Z11" s="37"/>
      <c r="AA11" s="1"/>
      <c r="AB11" s="1"/>
      <c r="AC11" s="1"/>
    </row>
    <row r="12" customFormat="false" ht="15" hidden="false" customHeight="false" outlineLevel="0" collapsed="false">
      <c r="A12" s="1"/>
      <c r="B12" s="1"/>
      <c r="C12" s="1"/>
      <c r="D12" s="1"/>
      <c r="E12" s="1"/>
      <c r="F12" s="1"/>
      <c r="G12" s="2"/>
      <c r="H12" s="2"/>
      <c r="I12" s="2"/>
      <c r="J12" s="2"/>
      <c r="K12" s="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37"/>
      <c r="Z12" s="37"/>
      <c r="AA12" s="1"/>
      <c r="AB12" s="1"/>
      <c r="AC12" s="1"/>
    </row>
    <row r="13" customFormat="false" ht="15" hidden="false" customHeight="false" outlineLevel="0" collapsed="false">
      <c r="A13" s="1"/>
      <c r="B13" s="1"/>
      <c r="C13" s="1"/>
      <c r="D13" s="1"/>
      <c r="E13" s="1"/>
      <c r="F13" s="1"/>
      <c r="G13" s="2"/>
      <c r="H13" s="2"/>
      <c r="I13" s="2"/>
      <c r="J13" s="2"/>
      <c r="K13" s="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37"/>
      <c r="Z13" s="37"/>
      <c r="AA13" s="1"/>
      <c r="AB13" s="1"/>
      <c r="AC13" s="1"/>
    </row>
    <row r="14" customFormat="false" ht="15" hidden="false" customHeight="false" outlineLevel="0" collapsed="false">
      <c r="A14" s="1"/>
      <c r="B14" s="1"/>
      <c r="C14" s="1"/>
      <c r="D14" s="1"/>
      <c r="E14" s="1"/>
      <c r="F14" s="1"/>
      <c r="G14" s="2"/>
      <c r="H14" s="2"/>
      <c r="I14" s="2"/>
      <c r="J14" s="2"/>
      <c r="K14" s="2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37"/>
      <c r="Z14" s="37"/>
      <c r="AA14" s="1"/>
      <c r="AB14" s="1"/>
      <c r="AC14" s="1"/>
    </row>
    <row r="15" customFormat="false" ht="15" hidden="false" customHeight="false" outlineLevel="0" collapsed="false">
      <c r="A15" s="1"/>
      <c r="B15" s="1"/>
      <c r="C15" s="1"/>
      <c r="D15" s="1"/>
      <c r="E15" s="1"/>
      <c r="F15" s="1"/>
      <c r="G15" s="2"/>
      <c r="H15" s="2"/>
      <c r="I15" s="2"/>
      <c r="J15" s="2"/>
      <c r="K15" s="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37"/>
      <c r="Z15" s="37"/>
      <c r="AA15" s="1"/>
      <c r="AB15" s="1"/>
      <c r="AC15" s="1"/>
    </row>
    <row r="16" customFormat="false" ht="15" hidden="false" customHeight="false" outlineLevel="0" collapsed="false">
      <c r="A16" s="1"/>
      <c r="B16" s="1"/>
      <c r="C16" s="1"/>
      <c r="D16" s="1"/>
      <c r="E16" s="1"/>
      <c r="F16" s="1"/>
      <c r="G16" s="2"/>
      <c r="H16" s="2"/>
      <c r="I16" s="259" t="n">
        <f aca="false">+G24-J24</f>
        <v>19076.26004724</v>
      </c>
      <c r="J16" s="207"/>
      <c r="K16" s="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37"/>
      <c r="Z16" s="37"/>
      <c r="AA16" s="1"/>
      <c r="AB16" s="1"/>
      <c r="AC16" s="1"/>
    </row>
    <row r="17" customFormat="false" ht="15" hidden="false" customHeight="false" outlineLevel="0" collapsed="false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37"/>
      <c r="Z17" s="37"/>
      <c r="AA17" s="1"/>
      <c r="AB17" s="1"/>
      <c r="AC17" s="1"/>
    </row>
    <row r="18" customFormat="false" ht="17.35" hidden="false" customHeight="false" outlineLevel="0" collapsed="false">
      <c r="A18" s="1"/>
      <c r="B18" s="1"/>
      <c r="C18" s="1" t="n">
        <v>32846</v>
      </c>
      <c r="D18" s="1"/>
      <c r="E18" s="1"/>
      <c r="F18" s="1"/>
      <c r="G18" s="194" t="s">
        <v>169</v>
      </c>
      <c r="H18" s="194"/>
      <c r="I18" s="1"/>
      <c r="J18" s="208" t="s">
        <v>170</v>
      </c>
      <c r="K18" s="208"/>
      <c r="L18" s="208"/>
      <c r="M18" s="1"/>
      <c r="N18" s="196"/>
      <c r="O18" s="196"/>
      <c r="P18" s="1"/>
      <c r="Q18" s="1"/>
      <c r="R18" s="197"/>
      <c r="S18" s="1"/>
      <c r="T18" s="1"/>
      <c r="U18" s="1"/>
      <c r="V18" s="1"/>
      <c r="W18" s="1"/>
      <c r="X18" s="1"/>
      <c r="Y18" s="37"/>
      <c r="Z18" s="37"/>
      <c r="AA18" s="1"/>
      <c r="AB18" s="1"/>
      <c r="AC18" s="1"/>
    </row>
    <row r="19" customFormat="false" ht="15" hidden="false" customHeight="false" outlineLevel="0" collapsed="false">
      <c r="A19" s="1"/>
      <c r="B19" s="1"/>
      <c r="C19" s="1"/>
      <c r="D19" s="1"/>
      <c r="E19" s="1"/>
      <c r="F19" s="1"/>
      <c r="G19" s="198" t="s">
        <v>70</v>
      </c>
      <c r="H19" s="198" t="s">
        <v>5</v>
      </c>
      <c r="I19" s="1"/>
      <c r="J19" s="209" t="s">
        <v>70</v>
      </c>
      <c r="K19" s="199" t="s">
        <v>5</v>
      </c>
      <c r="L19" s="210" t="s">
        <v>171</v>
      </c>
      <c r="M19" s="1"/>
      <c r="N19" s="2"/>
      <c r="O19" s="2"/>
      <c r="P19" s="200"/>
      <c r="Q19" s="201"/>
      <c r="R19" s="202"/>
      <c r="S19" s="201"/>
      <c r="T19" s="1"/>
      <c r="U19" s="1"/>
      <c r="V19" s="1"/>
      <c r="W19" s="1"/>
      <c r="X19" s="1"/>
      <c r="Y19" s="37"/>
      <c r="Z19" s="37"/>
      <c r="AA19" s="1"/>
      <c r="AB19" s="1"/>
      <c r="AC19" s="1"/>
    </row>
    <row r="20" customFormat="false" ht="15" hidden="false" customHeight="false" outlineLevel="0" collapsed="false">
      <c r="A20" s="1"/>
      <c r="B20" s="1"/>
      <c r="C20" s="1"/>
      <c r="D20" s="1"/>
      <c r="E20" s="1" t="n">
        <f aca="false">+E3</f>
        <v>0</v>
      </c>
      <c r="F20" s="1" t="n">
        <f aca="false">+F3</f>
        <v>0</v>
      </c>
      <c r="G20" s="203" t="n">
        <f aca="false">+'Info Planta'!D18</f>
        <v>26924</v>
      </c>
      <c r="H20" s="204" t="n">
        <f aca="false">+'Info Planta'!E18</f>
        <v>0.441342081414351</v>
      </c>
      <c r="I20" s="116"/>
      <c r="J20" s="26" t="n">
        <f aca="false">Utilidad!B18</f>
        <v>0</v>
      </c>
      <c r="K20" s="27" t="n">
        <f aca="false">IF(Utilidad!D18&gt;1,Utilidad!D18/100,Utilidad!D18)</f>
        <v>0</v>
      </c>
      <c r="L20" s="26" t="n">
        <f aca="false">+J20*K20</f>
        <v>0</v>
      </c>
      <c r="M20" s="116"/>
      <c r="N20" s="114"/>
      <c r="O20" s="115"/>
      <c r="P20" s="114"/>
      <c r="Q20" s="201"/>
      <c r="R20" s="205"/>
      <c r="S20" s="201"/>
      <c r="T20" s="1"/>
      <c r="U20" s="1"/>
      <c r="V20" s="1"/>
      <c r="W20" s="1"/>
      <c r="X20" s="1"/>
      <c r="Y20" s="37"/>
      <c r="Z20" s="37"/>
      <c r="AA20" s="1"/>
      <c r="AB20" s="1"/>
      <c r="AC20" s="1"/>
    </row>
    <row r="21" customFormat="false" ht="15.75" hidden="false" customHeight="true" outlineLevel="0" collapsed="false">
      <c r="A21" s="1"/>
      <c r="B21" s="1"/>
      <c r="C21" s="1"/>
      <c r="D21" s="1"/>
      <c r="E21" s="1" t="n">
        <f aca="false">+E4</f>
        <v>0</v>
      </c>
      <c r="F21" s="1" t="n">
        <f aca="false">+F4</f>
        <v>0</v>
      </c>
      <c r="G21" s="203" t="n">
        <f aca="false">+'Info Planta'!D19</f>
        <v>9033</v>
      </c>
      <c r="H21" s="204" t="n">
        <f aca="false">+'Info Planta'!E19</f>
        <v>0.42468630576774</v>
      </c>
      <c r="I21" s="1"/>
      <c r="J21" s="26" t="n">
        <f aca="false">Utilidad!B19</f>
        <v>79422.600229</v>
      </c>
      <c r="K21" s="27" t="n">
        <f aca="false">IF(Utilidad!D19&gt;1,Utilidad!D19/100,Utilidad!D19)</f>
        <v>0.3542</v>
      </c>
      <c r="L21" s="26" t="n">
        <f aca="false">+J21*K21</f>
        <v>28131.4850011118</v>
      </c>
      <c r="M21" s="1"/>
      <c r="N21" s="114"/>
      <c r="O21" s="115"/>
      <c r="P21" s="114"/>
      <c r="Q21" s="201"/>
      <c r="R21" s="205"/>
      <c r="S21" s="201"/>
      <c r="T21" s="1"/>
      <c r="U21" s="1"/>
      <c r="V21" s="1"/>
      <c r="W21" s="1"/>
      <c r="X21" s="1"/>
      <c r="Y21" s="37"/>
      <c r="Z21" s="37"/>
      <c r="AA21" s="1"/>
      <c r="AB21" s="1"/>
      <c r="AC21" s="1"/>
    </row>
    <row r="22" customFormat="false" ht="15.75" hidden="false" customHeight="true" outlineLevel="0" collapsed="false">
      <c r="A22" s="1"/>
      <c r="B22" s="1"/>
      <c r="C22" s="1"/>
      <c r="D22" s="1"/>
      <c r="E22" s="1" t="n">
        <f aca="false">+E5</f>
        <v>0</v>
      </c>
      <c r="F22" s="1" t="n">
        <f aca="false">+F5</f>
        <v>0</v>
      </c>
      <c r="G22" s="203" t="n">
        <f aca="false">+G24+A23</f>
        <v>19699.46</v>
      </c>
      <c r="H22" s="204" t="n">
        <f aca="false">+IF(G22&lt;&gt;0,(G24*H24+A23*H23)/G22,0)</f>
        <v>0.4624</v>
      </c>
      <c r="I22" s="1"/>
      <c r="J22" s="26" t="n">
        <f aca="false">Utilidad!B20</f>
        <v>0</v>
      </c>
      <c r="K22" s="27" t="n">
        <f aca="false">IF(Utilidad!D20&gt;1,Utilidad!D20/100,Utilidad!D20)</f>
        <v>0</v>
      </c>
      <c r="L22" s="26" t="n">
        <f aca="false">+J22*K22</f>
        <v>0</v>
      </c>
      <c r="M22" s="1"/>
      <c r="N22" s="114"/>
      <c r="O22" s="115"/>
      <c r="P22" s="114"/>
      <c r="Q22" s="201"/>
      <c r="R22" s="205"/>
      <c r="S22" s="201"/>
      <c r="T22" s="1"/>
      <c r="U22" s="1"/>
      <c r="V22" s="1"/>
      <c r="W22" s="1"/>
      <c r="X22" s="1"/>
      <c r="Y22" s="37"/>
      <c r="Z22" s="37"/>
      <c r="AA22" s="1"/>
      <c r="AB22" s="1"/>
      <c r="AC22" s="1"/>
    </row>
    <row r="23" customFormat="false" ht="15.75" hidden="false" customHeight="true" outlineLevel="0" collapsed="false">
      <c r="A23" s="37" t="n">
        <f aca="false">+'Calc Nodos'!F8</f>
        <v>-80</v>
      </c>
      <c r="B23" s="1"/>
      <c r="C23" s="1"/>
      <c r="D23" s="1" t="n">
        <f aca="false">+IF(A23&gt;0,1,IF(A23&lt;&gt;0,-1,0))</f>
        <v>-1</v>
      </c>
      <c r="E23" s="1" t="n">
        <f aca="false">+E6</f>
        <v>0</v>
      </c>
      <c r="F23" s="167" t="n">
        <f aca="false">+F6</f>
        <v>0</v>
      </c>
      <c r="G23" s="203" t="n">
        <f aca="false">+ABS(A23)</f>
        <v>80</v>
      </c>
      <c r="H23" s="204" t="n">
        <f aca="false">+H24</f>
        <v>0.4624</v>
      </c>
      <c r="I23" s="1"/>
      <c r="J23" s="26" t="n">
        <f aca="false">Utilidad!B21</f>
        <v>34506.647325</v>
      </c>
      <c r="K23" s="27" t="n">
        <f aca="false">IF(Utilidad!D21&gt;1,Utilidad!D21/100,Utilidad!D21)</f>
        <v>0.42791370343</v>
      </c>
      <c r="L23" s="26" t="n">
        <f aca="false">+J23*K23</f>
        <v>14765.8672497937</v>
      </c>
      <c r="M23" s="1"/>
      <c r="N23" s="114"/>
      <c r="O23" s="115"/>
      <c r="P23" s="114"/>
      <c r="Q23" s="201"/>
      <c r="R23" s="205"/>
      <c r="S23" s="201"/>
      <c r="T23" s="1"/>
      <c r="U23" s="1"/>
      <c r="V23" s="1"/>
      <c r="W23" s="1"/>
      <c r="X23" s="1"/>
      <c r="Y23" s="37"/>
      <c r="Z23" s="1"/>
      <c r="AA23" s="1"/>
      <c r="AB23" s="1"/>
      <c r="AC23" s="1"/>
    </row>
    <row r="24" customFormat="false" ht="15.75" hidden="false" customHeight="true" outlineLevel="0" collapsed="false">
      <c r="A24" s="37"/>
      <c r="B24" s="37"/>
      <c r="C24" s="37"/>
      <c r="D24" s="1"/>
      <c r="E24" s="1" t="n">
        <f aca="false">+E7</f>
        <v>0</v>
      </c>
      <c r="F24" s="260" t="n">
        <f aca="false">+F7</f>
        <v>0</v>
      </c>
      <c r="G24" s="261" t="n">
        <f aca="false">+'Info Planta'!D24</f>
        <v>19779.46</v>
      </c>
      <c r="H24" s="262" t="n">
        <f aca="false">+'Info Planta'!E24</f>
        <v>0.4624</v>
      </c>
      <c r="I24" s="260"/>
      <c r="J24" s="26" t="n">
        <f aca="false">Utilidad!B22</f>
        <v>703.19995276</v>
      </c>
      <c r="K24" s="27" t="n">
        <f aca="false">IF(Utilidad!D22&gt;1,Utilidad!D22/100,Utilidad!D22)</f>
        <v>0.42512097542</v>
      </c>
      <c r="L24" s="261" t="n">
        <f aca="false">+J24*K24</f>
        <v>298.945049832629</v>
      </c>
      <c r="M24" s="1"/>
      <c r="N24" s="114"/>
      <c r="O24" s="115"/>
      <c r="P24" s="114"/>
      <c r="Q24" s="201"/>
      <c r="R24" s="205"/>
      <c r="S24" s="201"/>
      <c r="T24" s="1"/>
      <c r="U24" s="1"/>
      <c r="V24" s="1"/>
      <c r="W24" s="1"/>
      <c r="X24" s="1"/>
      <c r="Y24" s="37"/>
      <c r="Z24" s="1"/>
      <c r="AA24" s="1"/>
      <c r="AB24" s="1"/>
      <c r="AC24" s="1"/>
    </row>
    <row r="25" customFormat="false" ht="15.75" hidden="false" customHeight="true" outlineLevel="0" collapsed="false">
      <c r="A25" s="1"/>
      <c r="B25" s="1"/>
      <c r="C25" s="1"/>
      <c r="D25" s="1"/>
      <c r="E25" s="1" t="n">
        <f aca="false">+E8</f>
        <v>0</v>
      </c>
      <c r="F25" s="1" t="n">
        <f aca="false">+F8</f>
        <v>0</v>
      </c>
      <c r="G25" s="203" t="n">
        <f aca="false">+G27+A26</f>
        <v>8922.43</v>
      </c>
      <c r="H25" s="204" t="n">
        <f aca="false">+IF(G25&lt;&gt;0,(G27*H27+A26*H26)/G25,0)</f>
        <v>0.4712</v>
      </c>
      <c r="I25" s="1"/>
      <c r="J25" s="26" t="n">
        <f aca="false">Utilidad!B23</f>
        <v>32738</v>
      </c>
      <c r="K25" s="27" t="n">
        <f aca="false">IF(Utilidad!D23&gt;1,Utilidad!D23/100,Utilidad!D23)</f>
        <v>0.4419</v>
      </c>
      <c r="L25" s="26" t="n">
        <f aca="false">+J25*K25</f>
        <v>14466.9222</v>
      </c>
      <c r="M25" s="1"/>
      <c r="N25" s="114"/>
      <c r="O25" s="115"/>
      <c r="P25" s="114"/>
      <c r="Q25" s="201"/>
      <c r="R25" s="205"/>
      <c r="S25" s="201"/>
      <c r="T25" s="1"/>
      <c r="U25" s="1"/>
      <c r="V25" s="1"/>
      <c r="W25" s="1"/>
      <c r="X25" s="1"/>
      <c r="Y25" s="37"/>
      <c r="Z25" s="1"/>
      <c r="AA25" s="1"/>
      <c r="AB25" s="1"/>
      <c r="AC25" s="1"/>
    </row>
    <row r="26" customFormat="false" ht="15.75" hidden="false" customHeight="true" outlineLevel="0" collapsed="false">
      <c r="A26" s="37" t="n">
        <f aca="false">+'Calc Nodos'!F9</f>
        <v>1067</v>
      </c>
      <c r="B26" s="1"/>
      <c r="C26" s="1"/>
      <c r="D26" s="1" t="n">
        <f aca="false">+IF(A26&gt;0,1,IF(A26&lt;&gt;0,-1,0))</f>
        <v>1</v>
      </c>
      <c r="E26" s="1" t="n">
        <f aca="false">+E9</f>
        <v>0</v>
      </c>
      <c r="F26" s="167" t="n">
        <f aca="false">+F9</f>
        <v>0</v>
      </c>
      <c r="G26" s="203" t="n">
        <f aca="false">+ABS(A26)</f>
        <v>1067</v>
      </c>
      <c r="H26" s="204" t="n">
        <f aca="false">+H27</f>
        <v>0.4712</v>
      </c>
      <c r="I26" s="1"/>
      <c r="J26" s="26" t="n">
        <f aca="false">Utilidad!B24</f>
        <v>17770.28624</v>
      </c>
      <c r="K26" s="27" t="n">
        <f aca="false">IF(Utilidad!D24&gt;1,Utilidad!D24/100,Utilidad!D24)</f>
        <v>0.45355083764</v>
      </c>
      <c r="L26" s="26" t="n">
        <f aca="false">+J26*K26</f>
        <v>8059.72820925457</v>
      </c>
      <c r="M26" s="1"/>
      <c r="N26" s="114"/>
      <c r="O26" s="115"/>
      <c r="P26" s="114"/>
      <c r="Q26" s="201"/>
      <c r="R26" s="205"/>
      <c r="S26" s="201"/>
      <c r="T26" s="1"/>
      <c r="U26" s="1"/>
      <c r="V26" s="1"/>
      <c r="W26" s="1"/>
      <c r="X26" s="1"/>
      <c r="Y26" s="37"/>
      <c r="Z26" s="1"/>
      <c r="AA26" s="1"/>
      <c r="AB26" s="1"/>
      <c r="AC26" s="1"/>
    </row>
    <row r="27" customFormat="false" ht="15.75" hidden="false" customHeight="true" outlineLevel="0" collapsed="false">
      <c r="A27" s="1"/>
      <c r="B27" s="1"/>
      <c r="C27" s="1"/>
      <c r="D27" s="1"/>
      <c r="E27" s="1" t="n">
        <f aca="false">+E10</f>
        <v>0</v>
      </c>
      <c r="F27" s="260" t="n">
        <f aca="false">+F10</f>
        <v>0</v>
      </c>
      <c r="G27" s="261" t="n">
        <f aca="false">+'Info Planta'!D25</f>
        <v>7855.43</v>
      </c>
      <c r="H27" s="262" t="n">
        <f aca="false">+'Info Planta'!E25</f>
        <v>0.4712</v>
      </c>
      <c r="I27" s="260"/>
      <c r="J27" s="26" t="n">
        <f aca="false">Utilidad!B25</f>
        <v>1605.599982</v>
      </c>
      <c r="K27" s="27" t="n">
        <f aca="false">IF(Utilidad!D25&gt;1,Utilidad!D25/100,Utilidad!D25)</f>
        <v>0.41552928299</v>
      </c>
      <c r="L27" s="261" t="n">
        <f aca="false">+J27*K27</f>
        <v>667.173809289217</v>
      </c>
      <c r="M27" s="1"/>
      <c r="N27" s="114"/>
      <c r="O27" s="115"/>
      <c r="P27" s="114"/>
      <c r="Q27" s="201"/>
      <c r="R27" s="205"/>
      <c r="S27" s="20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customFormat="false" ht="15.75" hidden="false" customHeight="true" outlineLevel="0" collapsed="false">
      <c r="A28" s="37"/>
      <c r="B28" s="37"/>
      <c r="C28" s="37"/>
      <c r="D28" s="1"/>
      <c r="E28" s="1" t="n">
        <f aca="false">+E11</f>
        <v>0</v>
      </c>
      <c r="F28" s="1" t="n">
        <f aca="false">+F11</f>
        <v>0</v>
      </c>
      <c r="G28" s="203" t="n">
        <f aca="false">+G20+G21-(G22+G25)</f>
        <v>7335.11</v>
      </c>
      <c r="H28" s="204" t="n">
        <f aca="false">+IF(G28&lt;&gt;0,(G30*H30+G29*H29)/(G29+G30),0)</f>
        <v>0.196191304347826</v>
      </c>
      <c r="I28" s="1"/>
      <c r="J28" s="26" t="n">
        <f aca="false">Utilidad!B26</f>
        <v>16148</v>
      </c>
      <c r="K28" s="27" t="n">
        <f aca="false">IF(Utilidad!D26&gt;1,Utilidad!D26/100,Utilidad!D26)</f>
        <v>0.4578</v>
      </c>
      <c r="L28" s="26" t="n">
        <f aca="false">+J28*K28</f>
        <v>7392.5544</v>
      </c>
      <c r="M28" s="1"/>
      <c r="N28" s="114"/>
      <c r="O28" s="115"/>
      <c r="P28" s="114"/>
      <c r="Q28" s="201"/>
      <c r="R28" s="205"/>
      <c r="S28" s="20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customFormat="false" ht="15.75" hidden="false" customHeight="true" outlineLevel="0" collapsed="false">
      <c r="A29" s="37" t="n">
        <f aca="false">+'Calc Nodos'!F10</f>
        <v>176</v>
      </c>
      <c r="B29" s="1"/>
      <c r="C29" s="1"/>
      <c r="D29" s="1" t="n">
        <f aca="false">+IF(A29&gt;0,1,IF(A29&lt;&gt;0,-1,0))</f>
        <v>1</v>
      </c>
      <c r="E29" s="1" t="n">
        <f aca="false">+E12</f>
        <v>0</v>
      </c>
      <c r="F29" s="167" t="n">
        <f aca="false">+F12</f>
        <v>0</v>
      </c>
      <c r="G29" s="203" t="n">
        <f aca="false">+ABS(A29)</f>
        <v>176</v>
      </c>
      <c r="H29" s="204" t="n">
        <f aca="false">+H30</f>
        <v>0.196191304347826</v>
      </c>
      <c r="I29" s="1"/>
      <c r="J29" s="26" t="n">
        <f aca="false">Utilidad!B27</f>
        <v>27145.666664</v>
      </c>
      <c r="K29" s="27" t="n">
        <f aca="false">IF(Utilidad!D27&gt;1,Utilidad!D27/100,Utilidad!D27)</f>
        <v>0.1954599095</v>
      </c>
      <c r="L29" s="26" t="n">
        <f aca="false">+J29*K29</f>
        <v>5305.88954946261</v>
      </c>
      <c r="M29" s="1"/>
      <c r="N29" s="114"/>
      <c r="O29" s="115"/>
      <c r="P29" s="114"/>
      <c r="Q29" s="201"/>
      <c r="R29" s="205"/>
      <c r="S29" s="20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customFormat="false" ht="15.75" hidden="false" customHeight="true" outlineLevel="0" collapsed="false">
      <c r="A30" s="1"/>
      <c r="B30" s="1"/>
      <c r="C30" s="1"/>
      <c r="D30" s="1"/>
      <c r="E30" s="1" t="n">
        <f aca="false">+E13</f>
        <v>0</v>
      </c>
      <c r="F30" s="1" t="n">
        <f aca="false">+F13</f>
        <v>0</v>
      </c>
      <c r="G30" s="203" t="n">
        <f aca="false">+'Info Planta'!D26</f>
        <v>11126</v>
      </c>
      <c r="H30" s="204" t="n">
        <f aca="false">+'Info Planta'!E26</f>
        <v>0.196191304347826</v>
      </c>
      <c r="I30" s="1"/>
      <c r="J30" s="26" t="n">
        <f aca="false">Utilidad!B28</f>
        <v>3882.4666641</v>
      </c>
      <c r="K30" s="27" t="n">
        <f aca="false">IF(Utilidad!D28&gt;1,Utilidad!D28/100,Utilidad!D28)</f>
        <v>0.19695734392</v>
      </c>
      <c r="L30" s="26" t="n">
        <f aca="false">+J30*K30</f>
        <v>764.680322019079</v>
      </c>
      <c r="M30" s="1"/>
      <c r="N30" s="114"/>
      <c r="O30" s="115"/>
      <c r="P30" s="114"/>
      <c r="Q30" s="201"/>
      <c r="R30" s="205"/>
      <c r="S30" s="20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customFormat="false" ht="15.75" hidden="false" customHeight="tru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customFormat="false" ht="15.75" hidden="false" customHeight="true" outlineLevel="0" collapsed="false">
      <c r="A32" s="1"/>
      <c r="B32" s="1"/>
      <c r="C32" s="1"/>
      <c r="D32" s="1"/>
      <c r="E32" s="1"/>
      <c r="F32" s="190"/>
      <c r="G32" s="9"/>
      <c r="H32" s="9"/>
      <c r="I32" s="1"/>
      <c r="J32" s="9"/>
      <c r="K32" s="9"/>
      <c r="L32" s="1"/>
      <c r="M32" s="1"/>
      <c r="N32" s="37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customFormat="false" ht="15.75" hidden="false" customHeight="true" outlineLevel="0" collapsed="false">
      <c r="A33" s="1"/>
      <c r="B33" s="1"/>
      <c r="C33" s="1"/>
      <c r="D33" s="1"/>
      <c r="E33" s="1"/>
      <c r="F33" s="190"/>
      <c r="G33" s="2"/>
      <c r="H33" s="2"/>
      <c r="I33" s="1"/>
      <c r="J33" s="2"/>
      <c r="K33" s="2"/>
      <c r="L33" s="1"/>
      <c r="M33" s="37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customFormat="false" ht="15.75" hidden="false" customHeight="tru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37"/>
      <c r="K34" s="116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customFormat="false" ht="15.7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37"/>
      <c r="K35" s="116"/>
      <c r="L35" s="1"/>
      <c r="M35" s="1"/>
      <c r="N35" s="1"/>
      <c r="O35" s="1"/>
      <c r="P35" s="37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customFormat="false" ht="15.75" hidden="false" customHeight="tru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37"/>
      <c r="K36" s="116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customFormat="false" ht="15.75" hidden="false" customHeight="tru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37"/>
      <c r="K37" s="116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customFormat="false" ht="15.75" hidden="false" customHeight="tru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37"/>
      <c r="K38" s="116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customFormat="false" ht="15.75" hidden="false" customHeight="tru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37"/>
      <c r="K39" s="116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customFormat="false" ht="15.75" hidden="false" customHeight="tru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37"/>
      <c r="K40" s="116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customFormat="false" ht="15.75" hidden="false" customHeight="tru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37"/>
      <c r="K41" s="116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customFormat="false" ht="15.75" hidden="false" customHeight="tru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37"/>
      <c r="K42" s="116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customFormat="false" ht="15.75" hidden="false" customHeight="tru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37"/>
      <c r="K43" s="116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customFormat="false" ht="15.75" hidden="false" customHeight="tru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37"/>
      <c r="K44" s="116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customFormat="false" ht="15.75" hidden="false" customHeight="tru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customFormat="false" ht="15.75" hidden="false" customHeight="true" outlineLevel="0" collapsed="false">
      <c r="A46" s="1"/>
      <c r="B46" s="1"/>
      <c r="C46" s="1"/>
      <c r="D46" s="1"/>
      <c r="E46" s="1"/>
      <c r="F46" s="190"/>
      <c r="G46" s="9"/>
      <c r="H46" s="9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customFormat="false" ht="15.75" hidden="false" customHeight="true" outlineLevel="0" collapsed="false">
      <c r="A47" s="1"/>
      <c r="B47" s="1"/>
      <c r="C47" s="1"/>
      <c r="D47" s="1"/>
      <c r="E47" s="1"/>
      <c r="F47" s="190"/>
      <c r="G47" s="2"/>
      <c r="H47" s="2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customFormat="false" ht="15.75" hidden="false" customHeight="tru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customFormat="false" ht="15.75" hidden="false" customHeight="tru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customFormat="false" ht="15.7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customFormat="false" ht="15.7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customFormat="false" ht="15.75" hidden="false" customHeight="tru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customFormat="false" ht="15.75" hidden="false" customHeight="tru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customFormat="false" ht="15.75" hidden="false" customHeight="tru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customFormat="false" ht="15.7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customFormat="false" ht="15.7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customFormat="false" ht="15.7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customFormat="false" ht="15.7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customFormat="false" ht="15.7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customFormat="false" ht="15.7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customFormat="false" ht="15.7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customFormat="false" ht="15.7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customFormat="false" ht="15.7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customFormat="false" ht="15.7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customFormat="false" ht="15.7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customFormat="false" ht="15.75" hidden="false" customHeight="tru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customFormat="false" ht="15.75" hidden="false" customHeight="tru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customFormat="false" ht="15.7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customFormat="false" ht="15.75" hidden="false" customHeight="tru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customFormat="false" ht="15.75" hidden="false" customHeight="tru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customFormat="false" ht="15.75" hidden="false" customHeight="tru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customFormat="false" ht="15.75" hidden="false" customHeight="tru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customFormat="false" ht="15.7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customFormat="false" ht="15.7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customFormat="false" ht="15.7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customFormat="false" ht="15.7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customFormat="false" ht="15.7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customFormat="false" ht="15.7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customFormat="false" ht="15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customFormat="false" ht="15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customFormat="false" ht="15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customFormat="false" ht="15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customFormat="false" ht="15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customFormat="false" ht="15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customFormat="false" ht="15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customFormat="false" ht="15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customFormat="false" ht="15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customFormat="false" ht="15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customFormat="false" ht="15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customFormat="false" ht="15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customFormat="false" ht="15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customFormat="false" ht="15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customFormat="false" ht="15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customFormat="false" ht="15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customFormat="false" ht="15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customFormat="false" ht="15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customFormat="false" ht="15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customFormat="false" ht="15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customFormat="false" ht="15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customFormat="false" ht="15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customFormat="false" ht="15.7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customFormat="false" ht="15.7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customFormat="false" ht="15.7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customFormat="false" ht="15.7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customFormat="false" ht="15.7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customFormat="false" ht="15.7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customFormat="false" ht="15.7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customFormat="false" ht="15.7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customFormat="false" ht="15.7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customFormat="false" ht="15.7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customFormat="false" ht="15.7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customFormat="false" ht="15.7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customFormat="false" ht="15.75" hidden="false" customHeight="tru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customFormat="false" ht="15.75" hidden="false" customHeight="tru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customFormat="false" ht="15.75" hidden="false" customHeight="tru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customFormat="false" ht="15.75" hidden="false" customHeight="tru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customFormat="false" ht="15.75" hidden="false" customHeight="tru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customFormat="false" ht="15.75" hidden="false" customHeight="tru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customFormat="false" ht="15.75" hidden="false" customHeight="tru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customFormat="false" ht="15.75" hidden="false" customHeight="tru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customFormat="false" ht="15.75" hidden="false" customHeight="tru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customFormat="false" ht="15.75" hidden="false" customHeight="tru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customFormat="false" ht="15.75" hidden="false" customHeight="tru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customFormat="false" ht="15.75" hidden="false" customHeight="tru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customFormat="false" ht="15.7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customFormat="false" ht="15.7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customFormat="false" ht="15.7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customFormat="false" ht="15.7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customFormat="false" ht="15.75" hidden="false" customHeight="tru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customFormat="false" ht="15.75" hidden="false" customHeight="tru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customFormat="false" ht="15.75" hidden="false" customHeight="tru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customFormat="false" ht="15.75" hidden="false" customHeight="tru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customFormat="false" ht="15.75" hidden="false" customHeight="tru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customFormat="false" ht="15.7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customFormat="false" ht="15.75" hidden="false" customHeight="tru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customFormat="false" ht="15.75" hidden="false" customHeight="tru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customFormat="false" ht="15.75" hidden="false" customHeight="tru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customFormat="false" ht="15.75" hidden="false" customHeight="tru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customFormat="false" ht="15.75" hidden="false" customHeight="tru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customFormat="false" ht="15.75" hidden="false" customHeight="tru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customFormat="false" ht="15.75" hidden="false" customHeight="tru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customFormat="false" ht="15.75" hidden="false" customHeight="tru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customFormat="false" ht="15.75" hidden="false" customHeight="tru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customFormat="false" ht="15.75" hidden="false" customHeight="tru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customFormat="false" ht="15.75" hidden="false" customHeight="tru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customFormat="false" ht="15.75" hidden="false" customHeight="tru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customFormat="false" ht="15.75" hidden="false" customHeight="tru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customFormat="false" ht="15.75" hidden="false" customHeight="tru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customFormat="false" ht="15.75" hidden="false" customHeight="tru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customFormat="false" ht="15.75" hidden="false" customHeight="tru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customFormat="false" ht="15.75" hidden="false" customHeight="tru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customFormat="false" ht="15.75" hidden="false" customHeight="tru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customFormat="false" ht="15.75" hidden="false" customHeight="tru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customFormat="false" ht="15.75" hidden="false" customHeight="tru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customFormat="false" ht="15.75" hidden="false" customHeight="tru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customFormat="false" ht="15.75" hidden="false" customHeight="tru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customFormat="false" ht="15.75" hidden="false" customHeight="tru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customFormat="false" ht="15.75" hidden="false" customHeight="tru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customFormat="false" ht="15.75" hidden="false" customHeight="tru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customFormat="false" ht="15.75" hidden="false" customHeight="tru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customFormat="false" ht="15.75" hidden="false" customHeight="true" outlineLevel="0" collapsed="false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customFormat="false" ht="15.75" hidden="false" customHeight="true" outlineLevel="0" collapsed="false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customFormat="false" ht="15.75" hidden="false" customHeight="true" outlineLevel="0" collapsed="false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customFormat="false" ht="15.75" hidden="false" customHeight="true" outlineLevel="0" collapsed="false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customFormat="false" ht="15.75" hidden="false" customHeight="true" outlineLevel="0" collapsed="false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customFormat="false" ht="15.75" hidden="false" customHeight="true" outlineLevel="0" collapsed="false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customFormat="false" ht="15.75" hidden="false" customHeight="true" outlineLevel="0" collapsed="false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customFormat="false" ht="15.75" hidden="false" customHeight="true" outlineLevel="0" collapsed="false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customFormat="false" ht="15.75" hidden="false" customHeight="true" outlineLevel="0" collapsed="false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customFormat="false" ht="15.75" hidden="false" customHeight="true" outlineLevel="0" collapsed="false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customFormat="false" ht="15.75" hidden="false" customHeight="true" outlineLevel="0" collapsed="false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customFormat="false" ht="15.75" hidden="false" customHeight="true" outlineLevel="0" collapsed="false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customFormat="false" ht="15.75" hidden="false" customHeight="true" outlineLevel="0" collapsed="false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customFormat="false" ht="15.75" hidden="false" customHeight="true" outlineLevel="0" collapsed="false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customFormat="false" ht="15.75" hidden="false" customHeight="true" outlineLevel="0" collapsed="false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customFormat="false" ht="15.75" hidden="false" customHeight="true" outlineLevel="0" collapsed="false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customFormat="false" ht="15.75" hidden="false" customHeight="true" outlineLevel="0" collapsed="false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customFormat="false" ht="15.75" hidden="false" customHeight="true" outlineLevel="0" collapsed="false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customFormat="false" ht="15.75" hidden="false" customHeight="true" outlineLevel="0" collapsed="false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customFormat="false" ht="15.75" hidden="false" customHeight="true" outlineLevel="0" collapsed="false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customFormat="false" ht="15.75" hidden="false" customHeight="true" outlineLevel="0" collapsed="false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customFormat="false" ht="15.75" hidden="false" customHeight="true" outlineLevel="0" collapsed="false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customFormat="false" ht="15.75" hidden="false" customHeight="true" outlineLevel="0" collapsed="false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customFormat="false" ht="15.75" hidden="false" customHeight="true" outlineLevel="0" collapsed="false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customFormat="false" ht="15.75" hidden="false" customHeight="true" outlineLevel="0" collapsed="false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customFormat="false" ht="15.75" hidden="false" customHeight="true" outlineLevel="0" collapsed="false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customFormat="false" ht="15.75" hidden="false" customHeight="true" outlineLevel="0" collapsed="false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customFormat="false" ht="15.75" hidden="false" customHeight="true" outlineLevel="0" collapsed="false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customFormat="false" ht="15.75" hidden="false" customHeight="true" outlineLevel="0" collapsed="false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customFormat="false" ht="15.75" hidden="false" customHeight="true" outlineLevel="0" collapsed="false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customFormat="false" ht="15.75" hidden="false" customHeight="true" outlineLevel="0" collapsed="false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customFormat="false" ht="15.75" hidden="false" customHeight="true" outlineLevel="0" collapsed="false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customFormat="false" ht="15.75" hidden="false" customHeight="true" outlineLevel="0" collapsed="false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customFormat="false" ht="15.75" hidden="false" customHeight="true" outlineLevel="0" collapsed="false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customFormat="false" ht="15.75" hidden="false" customHeight="true" outlineLevel="0" collapsed="false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customFormat="false" ht="15.75" hidden="false" customHeight="true" outlineLevel="0" collapsed="false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customFormat="false" ht="15.75" hidden="false" customHeight="tru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customFormat="false" ht="15.75" hidden="false" customHeight="tru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customFormat="false" ht="15.75" hidden="false" customHeight="tru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customFormat="false" ht="15.75" hidden="false" customHeight="tru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customFormat="false" ht="15.75" hidden="false" customHeight="tru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customFormat="false" ht="15.75" hidden="false" customHeight="tru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customFormat="false" ht="15.75" hidden="false" customHeight="tru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customFormat="false" ht="15.75" hidden="false" customHeight="tru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customFormat="false" ht="15.75" hidden="false" customHeight="tru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customFormat="false" ht="15.75" hidden="false" customHeight="tru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customFormat="false" ht="15.75" hidden="false" customHeight="tru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customFormat="false" ht="15.75" hidden="false" customHeight="tru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customFormat="false" ht="15.75" hidden="false" customHeight="tru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customFormat="false" ht="15.75" hidden="false" customHeight="tru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customFormat="false" ht="15.75" hidden="false" customHeight="tru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customFormat="false" ht="15.75" hidden="false" customHeight="tru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customFormat="false" ht="15.75" hidden="false" customHeight="tru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customFormat="false" ht="15.75" hidden="false" customHeight="tru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customFormat="false" ht="15.75" hidden="false" customHeight="tru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customFormat="false" ht="15.75" hidden="false" customHeight="tru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customFormat="false" ht="15.75" hidden="false" customHeight="tru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customFormat="false" ht="15.75" hidden="false" customHeight="tru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customFormat="false" ht="15.75" hidden="false" customHeight="tru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customFormat="false" ht="15.75" hidden="false" customHeight="tru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customFormat="false" ht="15.75" hidden="false" customHeight="tru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customFormat="false" ht="15.75" hidden="false" customHeight="tru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customFormat="false" ht="15.75" hidden="false" customHeight="tru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customFormat="false" ht="15.75" hidden="false" customHeight="tru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customFormat="false" ht="15.75" hidden="false" customHeight="tru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customFormat="false" ht="15.75" hidden="false" customHeight="tru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customFormat="false" ht="15.75" hidden="false" customHeight="tru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customFormat="false" ht="15.75" hidden="false" customHeight="tru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customFormat="false" ht="15.75" hidden="false" customHeight="tru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customFormat="false" ht="15.75" hidden="false" customHeight="tru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customFormat="false" ht="15.75" hidden="false" customHeight="tru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customFormat="false" ht="15.75" hidden="false" customHeight="tru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customFormat="false" ht="15.75" hidden="false" customHeight="tru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customFormat="false" ht="15.75" hidden="false" customHeight="tru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customFormat="false" ht="15.75" hidden="false" customHeight="tru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customFormat="false" ht="15.75" hidden="false" customHeight="tru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customFormat="false" ht="15.75" hidden="false" customHeight="tru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customFormat="false" ht="15.75" hidden="false" customHeight="tru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customFormat="false" ht="15.75" hidden="false" customHeight="tru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customFormat="false" ht="15.75" hidden="false" customHeight="tru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customFormat="false" ht="15.75" hidden="false" customHeight="tru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customFormat="false" ht="15.75" hidden="false" customHeight="tru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customFormat="false" ht="15.75" hidden="false" customHeight="tru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customFormat="false" ht="15.75" hidden="false" customHeight="tru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customFormat="false" ht="15.75" hidden="false" customHeight="tru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customFormat="false" ht="15.75" hidden="false" customHeight="tru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customFormat="false" ht="15.75" hidden="false" customHeight="tru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customFormat="false" ht="15.75" hidden="false" customHeight="tru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customFormat="false" ht="15.75" hidden="false" customHeight="tru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customFormat="false" ht="15.75" hidden="false" customHeight="tru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customFormat="false" ht="15.75" hidden="false" customHeight="tru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customFormat="false" ht="15.75" hidden="false" customHeight="tru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customFormat="false" ht="15.75" hidden="false" customHeight="tru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customFormat="false" ht="15.75" hidden="false" customHeight="tru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customFormat="false" ht="15.75" hidden="false" customHeight="tru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customFormat="false" ht="15.75" hidden="false" customHeight="tru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customFormat="false" ht="15.75" hidden="false" customHeight="tru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customFormat="false" ht="15.75" hidden="false" customHeight="tru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customFormat="false" ht="15.75" hidden="false" customHeight="tru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customFormat="false" ht="15.75" hidden="false" customHeight="tru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customFormat="false" ht="15.75" hidden="false" customHeight="tru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customFormat="false" ht="15.75" hidden="false" customHeight="tru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customFormat="false" ht="15.75" hidden="false" customHeight="tru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customFormat="false" ht="15.75" hidden="false" customHeight="tru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customFormat="false" ht="15.75" hidden="false" customHeight="tru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customFormat="false" ht="15.75" hidden="false" customHeight="tru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customFormat="false" ht="15.75" hidden="false" customHeight="tru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customFormat="false" ht="15.75" hidden="false" customHeight="tru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customFormat="false" ht="15.75" hidden="false" customHeight="tru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customFormat="false" ht="15.75" hidden="false" customHeight="tru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customFormat="false" ht="15.75" hidden="false" customHeight="tru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customFormat="false" ht="15.75" hidden="false" customHeight="tru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customFormat="false" ht="15.75" hidden="false" customHeight="tru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customFormat="false" ht="15.75" hidden="false" customHeight="tru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customFormat="false" ht="15.75" hidden="false" customHeight="tru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customFormat="false" ht="15.75" hidden="false" customHeight="tru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customFormat="false" ht="15.75" hidden="false" customHeight="tru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customFormat="false" ht="15.75" hidden="false" customHeight="tru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customFormat="false" ht="15.75" hidden="false" customHeight="tru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customFormat="false" ht="15.75" hidden="false" customHeight="tru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customFormat="false" ht="15.75" hidden="false" customHeight="tru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customFormat="false" ht="15.75" hidden="false" customHeight="tru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customFormat="false" ht="15.75" hidden="false" customHeight="tru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customFormat="false" ht="15.75" hidden="false" customHeight="tru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customFormat="false" ht="15.75" hidden="false" customHeight="tru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customFormat="false" ht="15.75" hidden="false" customHeight="tru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customFormat="false" ht="15.75" hidden="false" customHeight="tru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customFormat="false" ht="15.75" hidden="false" customHeight="tru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customFormat="false" ht="15.75" hidden="false" customHeight="tru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customFormat="false" ht="15.75" hidden="false" customHeight="tru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customFormat="false" ht="15.75" hidden="false" customHeight="tru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customFormat="false" ht="15.75" hidden="false" customHeight="tru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customFormat="false" ht="15.75" hidden="false" customHeight="tru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customFormat="false" ht="15.75" hidden="false" customHeight="tru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customFormat="false" ht="15.75" hidden="false" customHeight="tru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customFormat="false" ht="15.75" hidden="false" customHeight="tru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customFormat="false" ht="15.75" hidden="false" customHeight="tru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customFormat="false" ht="15.75" hidden="false" customHeight="tru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customFormat="false" ht="15.75" hidden="false" customHeight="tru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customFormat="false" ht="15.75" hidden="false" customHeight="tru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customFormat="false" ht="15.75" hidden="false" customHeight="tru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customFormat="false" ht="15.75" hidden="false" customHeight="tru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customFormat="false" ht="15.75" hidden="false" customHeight="tru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customFormat="false" ht="15.75" hidden="false" customHeight="tru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customFormat="false" ht="15.75" hidden="false" customHeight="tru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customFormat="false" ht="15.75" hidden="false" customHeight="tru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customFormat="false" ht="15.75" hidden="false" customHeight="tru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customFormat="false" ht="15.75" hidden="false" customHeight="tru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customFormat="false" ht="15.75" hidden="false" customHeight="tru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customFormat="false" ht="15.75" hidden="false" customHeight="tru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customFormat="false" ht="15.75" hidden="false" customHeight="tru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customFormat="false" ht="15.75" hidden="false" customHeight="tru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customFormat="false" ht="15.75" hidden="false" customHeight="tru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customFormat="false" ht="15.75" hidden="false" customHeight="tru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customFormat="false" ht="15.75" hidden="false" customHeight="tru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customFormat="false" ht="15.75" hidden="false" customHeight="tru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customFormat="false" ht="15.75" hidden="false" customHeight="tru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customFormat="false" ht="15.75" hidden="false" customHeight="tru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customFormat="false" ht="15.75" hidden="false" customHeight="tru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customFormat="false" ht="15.75" hidden="false" customHeight="tru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customFormat="false" ht="15.75" hidden="false" customHeight="tru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customFormat="false" ht="15.75" hidden="false" customHeight="tru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customFormat="false" ht="15.75" hidden="false" customHeight="tru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customFormat="false" ht="15.75" hidden="false" customHeight="tru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customFormat="false" ht="15.75" hidden="false" customHeight="tru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customFormat="false" ht="15.75" hidden="false" customHeight="tru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customFormat="false" ht="15.75" hidden="false" customHeight="tru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customFormat="false" ht="15.75" hidden="false" customHeight="tru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customFormat="false" ht="15.75" hidden="false" customHeight="tru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customFormat="false" ht="15.75" hidden="false" customHeight="tru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customFormat="false" ht="15.75" hidden="false" customHeight="tru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customFormat="false" ht="15.75" hidden="false" customHeight="tru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customFormat="false" ht="15.75" hidden="false" customHeight="tru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customFormat="false" ht="15.75" hidden="false" customHeight="tru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customFormat="false" ht="15.75" hidden="false" customHeight="tru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customFormat="false" ht="15.75" hidden="false" customHeight="tru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customFormat="false" ht="15.75" hidden="false" customHeight="tru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customFormat="false" ht="15.75" hidden="false" customHeight="tru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customFormat="false" ht="15.75" hidden="false" customHeight="tru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customFormat="false" ht="15.75" hidden="false" customHeight="tru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customFormat="false" ht="15.75" hidden="false" customHeight="tru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customFormat="false" ht="15.75" hidden="false" customHeight="tru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customFormat="false" ht="15.75" hidden="false" customHeight="tru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customFormat="false" ht="15.75" hidden="false" customHeight="tru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customFormat="false" ht="15.75" hidden="false" customHeight="tru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customFormat="false" ht="15.75" hidden="false" customHeight="tru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customFormat="false" ht="15.75" hidden="false" customHeight="tru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customFormat="false" ht="15.75" hidden="false" customHeight="tru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customFormat="false" ht="15.75" hidden="false" customHeight="tru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customFormat="false" ht="15.75" hidden="false" customHeight="tru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customFormat="false" ht="15.75" hidden="false" customHeight="tru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customFormat="false" ht="15.75" hidden="false" customHeight="tru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customFormat="false" ht="15.75" hidden="false" customHeight="tru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customFormat="false" ht="15.75" hidden="false" customHeight="tru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customFormat="false" ht="15.75" hidden="false" customHeight="tru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customFormat="false" ht="15.75" hidden="false" customHeight="tru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customFormat="false" ht="15.75" hidden="false" customHeight="tru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customFormat="false" ht="15.75" hidden="false" customHeight="tru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customFormat="false" ht="15.75" hidden="false" customHeight="tru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customFormat="false" ht="15.75" hidden="false" customHeight="tru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customFormat="false" ht="15.75" hidden="false" customHeight="tru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customFormat="false" ht="15.75" hidden="false" customHeight="tru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customFormat="false" ht="15.75" hidden="false" customHeight="tru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customFormat="false" ht="15.75" hidden="false" customHeight="tru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customFormat="false" ht="15.75" hidden="false" customHeight="tru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customFormat="false" ht="15.75" hidden="false" customHeight="tru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customFormat="false" ht="15.75" hidden="false" customHeight="tru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customFormat="false" ht="15.75" hidden="false" customHeight="tru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customFormat="false" ht="15.75" hidden="false" customHeight="tru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customFormat="false" ht="15.75" hidden="false" customHeight="tru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customFormat="false" ht="15.75" hidden="false" customHeight="tru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customFormat="false" ht="15.75" hidden="false" customHeight="tru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customFormat="false" ht="15.75" hidden="false" customHeight="tru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customFormat="false" ht="15.75" hidden="false" customHeight="tru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customFormat="false" ht="15.75" hidden="false" customHeight="tru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customFormat="false" ht="15.75" hidden="false" customHeight="tru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customFormat="false" ht="15.75" hidden="false" customHeight="tru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customFormat="false" ht="15.75" hidden="false" customHeight="tru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customFormat="false" ht="15.75" hidden="false" customHeight="tru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customFormat="false" ht="15.75" hidden="false" customHeight="tru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customFormat="false" ht="15.75" hidden="false" customHeight="tru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customFormat="false" ht="15.75" hidden="false" customHeight="tru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customFormat="false" ht="15.75" hidden="false" customHeight="tru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customFormat="false" ht="15.75" hidden="false" customHeight="tru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customFormat="false" ht="15.75" hidden="false" customHeight="tru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customFormat="false" ht="15.75" hidden="false" customHeight="tru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customFormat="false" ht="15.75" hidden="false" customHeight="tru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customFormat="false" ht="15.75" hidden="false" customHeight="tru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customFormat="false" ht="15.75" hidden="false" customHeight="tru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customFormat="false" ht="15.75" hidden="false" customHeight="tru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customFormat="false" ht="15.75" hidden="false" customHeight="tru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customFormat="false" ht="15.75" hidden="false" customHeight="tru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customFormat="false" ht="15.75" hidden="false" customHeight="tru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customFormat="false" ht="15.75" hidden="false" customHeight="tru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customFormat="false" ht="15.75" hidden="false" customHeight="tru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customFormat="false" ht="15.75" hidden="false" customHeight="tru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customFormat="false" ht="15.75" hidden="false" customHeight="tru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customFormat="false" ht="15.75" hidden="false" customHeight="tru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customFormat="false" ht="15.75" hidden="false" customHeight="tru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customFormat="false" ht="15.75" hidden="false" customHeight="tru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customFormat="false" ht="15.75" hidden="false" customHeight="tru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customFormat="false" ht="15.75" hidden="false" customHeight="tru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customFormat="false" ht="15.75" hidden="false" customHeight="tru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customFormat="false" ht="15.75" hidden="false" customHeight="tru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customFormat="false" ht="15.75" hidden="false" customHeight="tru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customFormat="false" ht="15.75" hidden="false" customHeight="tru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customFormat="false" ht="15.75" hidden="false" customHeight="tru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customFormat="false" ht="15.75" hidden="false" customHeight="tru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customFormat="false" ht="15.75" hidden="false" customHeight="tru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customFormat="false" ht="15.75" hidden="false" customHeight="tru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customFormat="false" ht="15.75" hidden="false" customHeight="tru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customFormat="false" ht="15.75" hidden="false" customHeight="tru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customFormat="false" ht="15.75" hidden="false" customHeight="tru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customFormat="false" ht="15.75" hidden="false" customHeight="tru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customFormat="false" ht="15.75" hidden="false" customHeight="tru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customFormat="false" ht="15.75" hidden="false" customHeight="tru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customFormat="false" ht="15.75" hidden="false" customHeight="tru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customFormat="false" ht="15.75" hidden="false" customHeight="tru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customFormat="false" ht="15.75" hidden="false" customHeight="tru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customFormat="false" ht="15.75" hidden="false" customHeight="tru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customFormat="false" ht="15.75" hidden="false" customHeight="tru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customFormat="false" ht="15.75" hidden="false" customHeight="tru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customFormat="false" ht="15.75" hidden="false" customHeight="tru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customFormat="false" ht="15.75" hidden="false" customHeight="tru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customFormat="false" ht="15.75" hidden="false" customHeight="tru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customFormat="false" ht="15.75" hidden="false" customHeight="tru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customFormat="false" ht="15.75" hidden="false" customHeight="tru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customFormat="false" ht="15.75" hidden="false" customHeight="tru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customFormat="false" ht="15.75" hidden="false" customHeight="tru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customFormat="false" ht="15.75" hidden="false" customHeight="tru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customFormat="false" ht="15.75" hidden="false" customHeight="tru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customFormat="false" ht="15.75" hidden="false" customHeight="tru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customFormat="false" ht="15.75" hidden="false" customHeight="tru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customFormat="false" ht="15.75" hidden="false" customHeight="tru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customFormat="false" ht="15.75" hidden="false" customHeight="tru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customFormat="false" ht="15.75" hidden="false" customHeight="tru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customFormat="false" ht="15.75" hidden="false" customHeight="tru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customFormat="false" ht="15.75" hidden="false" customHeight="tru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customFormat="false" ht="15.75" hidden="false" customHeight="tru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customFormat="false" ht="15.75" hidden="false" customHeight="tru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customFormat="false" ht="15.75" hidden="false" customHeight="tru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customFormat="false" ht="15.75" hidden="false" customHeight="tru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customFormat="false" ht="15.75" hidden="false" customHeight="tru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customFormat="false" ht="15.75" hidden="false" customHeight="tru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customFormat="false" ht="15.75" hidden="false" customHeight="tru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customFormat="false" ht="15.75" hidden="false" customHeight="tru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customFormat="false" ht="15.75" hidden="false" customHeight="tru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customFormat="false" ht="15.75" hidden="false" customHeight="tru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customFormat="false" ht="15.75" hidden="false" customHeight="tru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customFormat="false" ht="15.75" hidden="false" customHeight="tru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customFormat="false" ht="15.75" hidden="false" customHeight="tru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customFormat="false" ht="15.75" hidden="false" customHeight="tru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customFormat="false" ht="15.75" hidden="false" customHeight="tru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customFormat="false" ht="15.75" hidden="false" customHeight="tru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customFormat="false" ht="15.75" hidden="false" customHeight="tru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customFormat="false" ht="15.75" hidden="false" customHeight="tru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customFormat="false" ht="15.75" hidden="false" customHeight="tru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customFormat="false" ht="15.75" hidden="false" customHeight="tru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customFormat="false" ht="15.75" hidden="false" customHeight="tru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customFormat="false" ht="15.75" hidden="false" customHeight="tru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customFormat="false" ht="15.75" hidden="false" customHeight="tru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customFormat="false" ht="15.75" hidden="false" customHeight="tru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customFormat="false" ht="15.75" hidden="false" customHeight="tru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customFormat="false" ht="15.75" hidden="false" customHeight="tru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customFormat="false" ht="15.75" hidden="false" customHeight="tru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customFormat="false" ht="15.75" hidden="false" customHeight="tru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customFormat="false" ht="15.75" hidden="false" customHeight="tru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customFormat="false" ht="15.75" hidden="false" customHeight="tru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customFormat="false" ht="15.75" hidden="false" customHeight="tru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customFormat="false" ht="15.75" hidden="false" customHeight="tru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customFormat="false" ht="15.75" hidden="false" customHeight="tru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customFormat="false" ht="15.75" hidden="false" customHeight="tru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customFormat="false" ht="15.75" hidden="false" customHeight="tru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customFormat="false" ht="15.75" hidden="false" customHeight="tru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customFormat="false" ht="15.75" hidden="false" customHeight="tru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customFormat="false" ht="15.75" hidden="false" customHeight="tru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customFormat="false" ht="15.75" hidden="false" customHeight="tru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customFormat="false" ht="15.75" hidden="false" customHeight="tru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customFormat="false" ht="15.75" hidden="false" customHeight="tru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customFormat="false" ht="15.75" hidden="false" customHeight="tru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customFormat="false" ht="15.75" hidden="false" customHeight="tru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customFormat="false" ht="15.75" hidden="false" customHeight="tru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customFormat="false" ht="15.75" hidden="false" customHeight="tru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customFormat="false" ht="15.75" hidden="false" customHeight="tru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customFormat="false" ht="15.75" hidden="false" customHeight="tru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customFormat="false" ht="15.75" hidden="false" customHeight="tru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customFormat="false" ht="15.75" hidden="false" customHeight="tru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customFormat="false" ht="15.75" hidden="false" customHeight="tru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customFormat="false" ht="15.75" hidden="false" customHeight="tru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customFormat="false" ht="15.75" hidden="false" customHeight="tru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customFormat="false" ht="15.75" hidden="false" customHeight="tru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customFormat="false" ht="15.75" hidden="false" customHeight="tru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customFormat="false" ht="15.75" hidden="false" customHeight="tru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customFormat="false" ht="15.75" hidden="false" customHeight="tru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customFormat="false" ht="15.75" hidden="false" customHeight="tru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customFormat="false" ht="15.75" hidden="false" customHeight="tru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customFormat="false" ht="15.75" hidden="false" customHeight="tru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customFormat="false" ht="15.75" hidden="false" customHeight="tru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customFormat="false" ht="15.75" hidden="false" customHeight="tru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customFormat="false" ht="15.75" hidden="false" customHeight="tru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customFormat="false" ht="15.75" hidden="false" customHeight="tru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customFormat="false" ht="15.75" hidden="false" customHeight="tru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customFormat="false" ht="15.75" hidden="false" customHeight="tru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customFormat="false" ht="15.75" hidden="false" customHeight="tru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customFormat="false" ht="15.75" hidden="false" customHeight="tru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customFormat="false" ht="15.75" hidden="false" customHeight="tru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customFormat="false" ht="15.75" hidden="false" customHeight="tru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customFormat="false" ht="15.75" hidden="false" customHeight="tru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customFormat="false" ht="15.75" hidden="false" customHeight="tru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customFormat="false" ht="15.75" hidden="false" customHeight="tru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customFormat="false" ht="15.75" hidden="false" customHeight="tru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customFormat="false" ht="15.75" hidden="false" customHeight="tru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customFormat="false" ht="15.75" hidden="false" customHeight="tru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customFormat="false" ht="15.75" hidden="false" customHeight="tru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customFormat="false" ht="15.75" hidden="false" customHeight="tru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customFormat="false" ht="15.75" hidden="false" customHeight="tru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customFormat="false" ht="15.75" hidden="false" customHeight="tru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customFormat="false" ht="15.75" hidden="false" customHeight="tru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customFormat="false" ht="15.75" hidden="false" customHeight="tru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customFormat="false" ht="15.75" hidden="false" customHeight="tru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customFormat="false" ht="15.75" hidden="false" customHeight="tru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customFormat="false" ht="15.75" hidden="false" customHeight="tru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customFormat="false" ht="15.75" hidden="false" customHeight="tru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customFormat="false" ht="15.75" hidden="false" customHeight="tru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customFormat="false" ht="15.75" hidden="false" customHeight="tru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customFormat="false" ht="15.75" hidden="false" customHeight="tru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customFormat="false" ht="15.75" hidden="false" customHeight="tru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customFormat="false" ht="15.75" hidden="false" customHeight="tru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customFormat="false" ht="15.75" hidden="false" customHeight="tru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customFormat="false" ht="15.75" hidden="false" customHeight="tru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customFormat="false" ht="15.75" hidden="false" customHeight="tru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customFormat="false" ht="15.75" hidden="false" customHeight="tru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customFormat="false" ht="15.75" hidden="false" customHeight="tru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customFormat="false" ht="15.75" hidden="false" customHeight="tru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customFormat="false" ht="15.75" hidden="false" customHeight="tru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customFormat="false" ht="15.75" hidden="false" customHeight="tru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customFormat="false" ht="15.75" hidden="false" customHeight="tru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customFormat="false" ht="15.75" hidden="false" customHeight="tru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customFormat="false" ht="15.75" hidden="false" customHeight="tru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customFormat="false" ht="15.75" hidden="false" customHeight="tru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customFormat="false" ht="15.75" hidden="false" customHeight="tru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customFormat="false" ht="15.75" hidden="false" customHeight="tru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customFormat="false" ht="15.75" hidden="false" customHeight="tru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customFormat="false" ht="15.75" hidden="false" customHeight="tru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customFormat="false" ht="15.75" hidden="false" customHeight="tru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customFormat="false" ht="15.75" hidden="false" customHeight="tru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customFormat="false" ht="15.75" hidden="false" customHeight="tru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customFormat="false" ht="15.75" hidden="false" customHeight="tru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customFormat="false" ht="15.75" hidden="false" customHeight="tru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customFormat="false" ht="15.75" hidden="false" customHeight="tru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customFormat="false" ht="15.75" hidden="false" customHeight="tru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customFormat="false" ht="15.75" hidden="false" customHeight="tru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customFormat="false" ht="15.75" hidden="false" customHeight="tru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customFormat="false" ht="15.75" hidden="false" customHeight="tru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customFormat="false" ht="15.75" hidden="false" customHeight="tru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customFormat="false" ht="15.75" hidden="false" customHeight="tru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customFormat="false" ht="15.75" hidden="false" customHeight="tru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customFormat="false" ht="15.75" hidden="false" customHeight="tru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customFormat="false" ht="15.75" hidden="false" customHeight="tru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customFormat="false" ht="15.75" hidden="false" customHeight="tru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customFormat="false" ht="15.75" hidden="false" customHeight="tru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customFormat="false" ht="15.75" hidden="false" customHeight="tru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customFormat="false" ht="15.75" hidden="false" customHeight="tru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customFormat="false" ht="15.75" hidden="false" customHeight="tru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customFormat="false" ht="15.75" hidden="false" customHeight="tru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customFormat="false" ht="15.75" hidden="false" customHeight="tru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customFormat="false" ht="15.75" hidden="false" customHeight="tru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customFormat="false" ht="15.75" hidden="false" customHeight="tru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customFormat="false" ht="15.75" hidden="false" customHeight="tru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customFormat="false" ht="15.75" hidden="false" customHeight="tru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customFormat="false" ht="15.75" hidden="false" customHeight="tru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customFormat="false" ht="15.75" hidden="false" customHeight="tru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customFormat="false" ht="15.75" hidden="false" customHeight="tru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customFormat="false" ht="15.75" hidden="false" customHeight="tru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customFormat="false" ht="15.75" hidden="false" customHeight="tru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customFormat="false" ht="15.75" hidden="false" customHeight="tru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customFormat="false" ht="15.75" hidden="false" customHeight="tru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customFormat="false" ht="15.75" hidden="false" customHeight="tru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customFormat="false" ht="15.75" hidden="false" customHeight="tru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customFormat="false" ht="15.75" hidden="false" customHeight="tru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customFormat="false" ht="15.75" hidden="false" customHeight="tru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customFormat="false" ht="15.75" hidden="false" customHeight="tru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customFormat="false" ht="15.75" hidden="false" customHeight="tru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customFormat="false" ht="15.75" hidden="false" customHeight="tru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customFormat="false" ht="15.75" hidden="false" customHeight="tru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customFormat="false" ht="15.75" hidden="false" customHeight="tru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customFormat="false" ht="15.75" hidden="false" customHeight="tru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customFormat="false" ht="15.75" hidden="false" customHeight="tru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customFormat="false" ht="15.75" hidden="false" customHeight="tru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customFormat="false" ht="15.75" hidden="false" customHeight="tru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customFormat="false" ht="15.75" hidden="false" customHeight="tru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customFormat="false" ht="15.75" hidden="false" customHeight="tru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customFormat="false" ht="15.75" hidden="false" customHeight="tru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customFormat="false" ht="15.75" hidden="false" customHeight="tru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customFormat="false" ht="15.75" hidden="false" customHeight="tru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customFormat="false" ht="15.75" hidden="false" customHeight="tru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customFormat="false" ht="15.75" hidden="false" customHeight="tru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customFormat="false" ht="15.75" hidden="false" customHeight="tru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customFormat="false" ht="15.75" hidden="false" customHeight="tru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customFormat="false" ht="15.75" hidden="false" customHeight="tru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customFormat="false" ht="15.75" hidden="false" customHeight="tru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customFormat="false" ht="15.75" hidden="false" customHeight="tru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customFormat="false" ht="15.75" hidden="false" customHeight="tru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customFormat="false" ht="15.75" hidden="false" customHeight="tru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customFormat="false" ht="15.75" hidden="false" customHeight="tru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customFormat="false" ht="15.75" hidden="false" customHeight="tru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customFormat="false" ht="15.75" hidden="false" customHeight="tru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customFormat="false" ht="15.75" hidden="false" customHeight="tru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customFormat="false" ht="15.75" hidden="false" customHeight="tru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customFormat="false" ht="15.75" hidden="false" customHeight="tru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customFormat="false" ht="15.75" hidden="false" customHeight="tru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customFormat="false" ht="15.75" hidden="false" customHeight="tru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customFormat="false" ht="15.75" hidden="false" customHeight="tru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customFormat="false" ht="15.75" hidden="false" customHeight="tru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customFormat="false" ht="15.75" hidden="false" customHeight="tru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customFormat="false" ht="15.75" hidden="false" customHeight="tru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customFormat="false" ht="15.75" hidden="false" customHeight="tru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customFormat="false" ht="15.75" hidden="false" customHeight="tru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customFormat="false" ht="15.75" hidden="false" customHeight="tru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customFormat="false" ht="15.75" hidden="false" customHeight="tru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customFormat="false" ht="15.75" hidden="false" customHeight="tru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customFormat="false" ht="15.75" hidden="false" customHeight="tru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customFormat="false" ht="15.75" hidden="false" customHeight="tru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customFormat="false" ht="15.75" hidden="false" customHeight="tru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customFormat="false" ht="15.75" hidden="false" customHeight="tru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customFormat="false" ht="15.75" hidden="false" customHeight="tru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customFormat="false" ht="15.75" hidden="false" customHeight="tru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customFormat="false" ht="15.75" hidden="false" customHeight="tru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customFormat="false" ht="15.75" hidden="false" customHeight="tru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customFormat="false" ht="15.75" hidden="false" customHeight="tru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customFormat="false" ht="15.75" hidden="false" customHeight="tru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customFormat="false" ht="15.75" hidden="false" customHeight="tru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customFormat="false" ht="15.75" hidden="false" customHeight="tru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customFormat="false" ht="15.75" hidden="false" customHeight="tru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customFormat="false" ht="15.75" hidden="false" customHeight="tru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customFormat="false" ht="15.75" hidden="false" customHeight="tru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customFormat="false" ht="15.75" hidden="false" customHeight="tru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customFormat="false" ht="15.75" hidden="false" customHeight="tru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customFormat="false" ht="15.75" hidden="false" customHeight="tru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customFormat="false" ht="15.75" hidden="false" customHeight="tru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customFormat="false" ht="15.75" hidden="false" customHeight="tru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customFormat="false" ht="15.75" hidden="false" customHeight="tru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customFormat="false" ht="15.75" hidden="false" customHeight="tru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customFormat="false" ht="15.75" hidden="false" customHeight="tru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customFormat="false" ht="15.75" hidden="false" customHeight="tru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customFormat="false" ht="15.75" hidden="false" customHeight="tru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customFormat="false" ht="15.75" hidden="false" customHeight="tru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customFormat="false" ht="15.75" hidden="false" customHeight="tru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customFormat="false" ht="15.75" hidden="false" customHeight="tru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customFormat="false" ht="15.75" hidden="false" customHeight="tru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customFormat="false" ht="15.75" hidden="false" customHeight="tru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customFormat="false" ht="15.75" hidden="false" customHeight="tru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customFormat="false" ht="15.75" hidden="false" customHeight="tru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customFormat="false" ht="15.75" hidden="false" customHeight="tru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customFormat="false" ht="15.75" hidden="false" customHeight="tru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customFormat="false" ht="15.75" hidden="false" customHeight="tru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customFormat="false" ht="15.75" hidden="false" customHeight="tru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customFormat="false" ht="15.75" hidden="false" customHeight="tru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customFormat="false" ht="15.75" hidden="false" customHeight="tru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customFormat="false" ht="15.75" hidden="false" customHeight="tru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customFormat="false" ht="15.75" hidden="false" customHeight="tru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customFormat="false" ht="15.75" hidden="false" customHeight="tru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customFormat="false" ht="15.75" hidden="false" customHeight="tru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customFormat="false" ht="15.75" hidden="false" customHeight="tru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customFormat="false" ht="15.75" hidden="false" customHeight="tru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customFormat="false" ht="15.75" hidden="false" customHeight="tru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customFormat="false" ht="15.75" hidden="false" customHeight="tru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customFormat="false" ht="15.75" hidden="false" customHeight="tru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customFormat="false" ht="15.75" hidden="false" customHeight="tru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customFormat="false" ht="15.75" hidden="false" customHeight="tru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customFormat="false" ht="15.75" hidden="false" customHeight="tru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customFormat="false" ht="15.75" hidden="false" customHeight="tru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customFormat="false" ht="15.75" hidden="false" customHeight="tru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customFormat="false" ht="15.75" hidden="false" customHeight="tru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customFormat="false" ht="15.75" hidden="false" customHeight="tru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customFormat="false" ht="15.75" hidden="false" customHeight="tru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customFormat="false" ht="15.75" hidden="false" customHeight="tru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customFormat="false" ht="15.75" hidden="false" customHeight="tru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customFormat="false" ht="15.75" hidden="false" customHeight="tru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customFormat="false" ht="15.75" hidden="false" customHeight="tru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customFormat="false" ht="15.75" hidden="false" customHeight="tru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customFormat="false" ht="15.75" hidden="false" customHeight="tru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customFormat="false" ht="15.75" hidden="false" customHeight="tru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customFormat="false" ht="15.75" hidden="false" customHeight="tru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customFormat="false" ht="15.75" hidden="false" customHeight="tru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customFormat="false" ht="15.75" hidden="false" customHeight="tru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customFormat="false" ht="15.75" hidden="false" customHeight="tru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customFormat="false" ht="15.75" hidden="false" customHeight="tru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customFormat="false" ht="15.75" hidden="false" customHeight="tru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customFormat="false" ht="15.75" hidden="false" customHeight="tru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customFormat="false" ht="15.75" hidden="false" customHeight="tru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customFormat="false" ht="15.75" hidden="false" customHeight="tru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customFormat="false" ht="15.75" hidden="false" customHeight="tru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customFormat="false" ht="15.75" hidden="false" customHeight="tru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customFormat="false" ht="15.75" hidden="false" customHeight="tru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customFormat="false" ht="15.75" hidden="false" customHeight="tru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customFormat="false" ht="15.75" hidden="false" customHeight="tru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customFormat="false" ht="15.75" hidden="false" customHeight="tru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customFormat="false" ht="15.75" hidden="false" customHeight="tru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customFormat="false" ht="15.75" hidden="false" customHeight="tru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customFormat="false" ht="15.75" hidden="false" customHeight="tru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customFormat="false" ht="15.75" hidden="false" customHeight="tru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customFormat="false" ht="15.75" hidden="false" customHeight="tru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customFormat="false" ht="15.75" hidden="false" customHeight="tru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customFormat="false" ht="15.75" hidden="false" customHeight="tru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customFormat="false" ht="15.75" hidden="false" customHeight="tru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customFormat="false" ht="15.75" hidden="false" customHeight="tru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customFormat="false" ht="15.75" hidden="false" customHeight="tru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customFormat="false" ht="15.75" hidden="false" customHeight="tru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customFormat="false" ht="15.75" hidden="false" customHeight="tru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customFormat="false" ht="15.75" hidden="false" customHeight="tru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customFormat="false" ht="15.75" hidden="false" customHeight="tru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customFormat="false" ht="15.75" hidden="false" customHeight="tru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customFormat="false" ht="15.75" hidden="false" customHeight="tru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customFormat="false" ht="15.75" hidden="false" customHeight="tru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customFormat="false" ht="15.75" hidden="false" customHeight="tru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customFormat="false" ht="15.75" hidden="false" customHeight="tru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customFormat="false" ht="15.75" hidden="false" customHeight="tru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customFormat="false" ht="15.75" hidden="false" customHeight="tru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customFormat="false" ht="15.75" hidden="false" customHeight="tru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customFormat="false" ht="15.75" hidden="false" customHeight="tru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customFormat="false" ht="15.75" hidden="false" customHeight="tru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customFormat="false" ht="15.75" hidden="false" customHeight="tru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customFormat="false" ht="15.75" hidden="false" customHeight="tru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customFormat="false" ht="15.75" hidden="false" customHeight="tru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customFormat="false" ht="15.75" hidden="false" customHeight="tru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customFormat="false" ht="15.75" hidden="false" customHeight="tru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customFormat="false" ht="15.75" hidden="false" customHeight="tru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customFormat="false" ht="15.75" hidden="false" customHeight="tru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customFormat="false" ht="15.75" hidden="false" customHeight="tru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customFormat="false" ht="15.75" hidden="false" customHeight="tru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customFormat="false" ht="15.75" hidden="false" customHeight="tru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customFormat="false" ht="15.75" hidden="false" customHeight="tru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customFormat="false" ht="15.75" hidden="false" customHeight="tru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customFormat="false" ht="15.75" hidden="false" customHeight="tru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customFormat="false" ht="15.75" hidden="false" customHeight="tru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customFormat="false" ht="15.75" hidden="false" customHeight="tru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customFormat="false" ht="15.75" hidden="false" customHeight="tru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customFormat="false" ht="15.75" hidden="false" customHeight="tru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customFormat="false" ht="15.75" hidden="false" customHeight="tru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customFormat="false" ht="15.75" hidden="false" customHeight="tru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customFormat="false" ht="15.75" hidden="false" customHeight="tru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customFormat="false" ht="15.75" hidden="false" customHeight="tru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customFormat="false" ht="15.75" hidden="false" customHeight="tru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customFormat="false" ht="15.75" hidden="false" customHeight="tru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customFormat="false" ht="15.75" hidden="false" customHeight="tru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customFormat="false" ht="15.75" hidden="false" customHeight="tru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customFormat="false" ht="15.75" hidden="false" customHeight="tru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customFormat="false" ht="15.75" hidden="false" customHeight="tru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customFormat="false" ht="15.75" hidden="false" customHeight="tru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customFormat="false" ht="15.75" hidden="false" customHeight="tru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customFormat="false" ht="15.75" hidden="false" customHeight="tru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customFormat="false" ht="15.75" hidden="false" customHeight="tru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customFormat="false" ht="15.75" hidden="false" customHeight="tru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customFormat="false" ht="15.75" hidden="false" customHeight="tru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customFormat="false" ht="15.75" hidden="false" customHeight="tru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customFormat="false" ht="15.75" hidden="false" customHeight="tru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customFormat="false" ht="15.75" hidden="false" customHeight="tru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customFormat="false" ht="15.75" hidden="false" customHeight="tru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customFormat="false" ht="15.75" hidden="false" customHeight="tru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customFormat="false" ht="15.75" hidden="false" customHeight="tru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customFormat="false" ht="15.75" hidden="false" customHeight="tru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customFormat="false" ht="15.75" hidden="false" customHeight="tru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customFormat="false" ht="15.75" hidden="false" customHeight="tru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customFormat="false" ht="15.75" hidden="false" customHeight="tru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customFormat="false" ht="15.75" hidden="false" customHeight="tru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customFormat="false" ht="15.75" hidden="false" customHeight="tru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customFormat="false" ht="15.75" hidden="false" customHeight="tru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customFormat="false" ht="15.75" hidden="false" customHeight="tru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customFormat="false" ht="15.75" hidden="false" customHeight="tru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customFormat="false" ht="15.75" hidden="false" customHeight="tru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customFormat="false" ht="15.75" hidden="false" customHeight="tru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customFormat="false" ht="15.75" hidden="false" customHeight="tru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customFormat="false" ht="15.75" hidden="false" customHeight="tru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customFormat="false" ht="15.75" hidden="false" customHeight="tru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customFormat="false" ht="15.75" hidden="false" customHeight="tru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customFormat="false" ht="15.75" hidden="false" customHeight="tru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customFormat="false" ht="15.75" hidden="false" customHeight="tru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customFormat="false" ht="15.75" hidden="false" customHeight="tru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customFormat="false" ht="15.75" hidden="false" customHeight="tru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customFormat="false" ht="15.75" hidden="false" customHeight="tru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customFormat="false" ht="15.75" hidden="false" customHeight="tru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customFormat="false" ht="15.75" hidden="false" customHeight="tru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customFormat="false" ht="15.75" hidden="false" customHeight="tru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customFormat="false" ht="15.75" hidden="false" customHeight="tru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customFormat="false" ht="15.75" hidden="false" customHeight="tru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customFormat="false" ht="15.75" hidden="false" customHeight="tru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customFormat="false" ht="15.75" hidden="false" customHeight="tru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customFormat="false" ht="15.75" hidden="false" customHeight="tru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customFormat="false" ht="15.75" hidden="false" customHeight="tru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customFormat="false" ht="15.75" hidden="false" customHeight="tru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customFormat="false" ht="15.75" hidden="false" customHeight="tru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customFormat="false" ht="15.75" hidden="false" customHeight="tru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customFormat="false" ht="15.75" hidden="false" customHeight="tru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customFormat="false" ht="15.75" hidden="false" customHeight="tru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customFormat="false" ht="15.75" hidden="false" customHeight="tru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customFormat="false" ht="15.75" hidden="false" customHeight="tru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customFormat="false" ht="15.75" hidden="false" customHeight="tru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customFormat="false" ht="15.75" hidden="false" customHeight="tru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customFormat="false" ht="15.75" hidden="false" customHeight="tru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customFormat="false" ht="15.75" hidden="false" customHeight="tru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customFormat="false" ht="15.75" hidden="false" customHeight="tru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customFormat="false" ht="15.75" hidden="false" customHeight="tru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customFormat="false" ht="15.75" hidden="false" customHeight="tru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customFormat="false" ht="15.75" hidden="false" customHeight="tru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customFormat="false" ht="15.75" hidden="false" customHeight="tru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customFormat="false" ht="15.75" hidden="false" customHeight="tru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customFormat="false" ht="15.75" hidden="false" customHeight="tru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customFormat="false" ht="15.75" hidden="false" customHeight="tru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customFormat="false" ht="15.75" hidden="false" customHeight="tru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customFormat="false" ht="15.75" hidden="false" customHeight="tru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customFormat="false" ht="15.75" hidden="false" customHeight="tru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customFormat="false" ht="15.75" hidden="false" customHeight="tru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customFormat="false" ht="15.75" hidden="false" customHeight="tru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customFormat="false" ht="15.75" hidden="false" customHeight="tru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customFormat="false" ht="15.75" hidden="false" customHeight="tru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customFormat="false" ht="15.75" hidden="false" customHeight="tru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customFormat="false" ht="15.75" hidden="false" customHeight="tru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customFormat="false" ht="15.75" hidden="false" customHeight="tru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customFormat="false" ht="15.75" hidden="false" customHeight="tru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customFormat="false" ht="15.75" hidden="false" customHeight="tru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customFormat="false" ht="15.75" hidden="false" customHeight="tru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customFormat="false" ht="15.75" hidden="false" customHeight="tru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customFormat="false" ht="15.75" hidden="false" customHeight="tru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customFormat="false" ht="15.75" hidden="false" customHeight="tru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customFormat="false" ht="15.75" hidden="false" customHeight="tru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customFormat="false" ht="15.75" hidden="false" customHeight="tru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customFormat="false" ht="15.75" hidden="false" customHeight="tru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customFormat="false" ht="15.75" hidden="false" customHeight="tru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customFormat="false" ht="15.75" hidden="false" customHeight="tru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customFormat="false" ht="15.75" hidden="false" customHeight="tru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customFormat="false" ht="15.75" hidden="false" customHeight="tru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customFormat="false" ht="15.75" hidden="false" customHeight="tru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customFormat="false" ht="15.75" hidden="false" customHeight="tru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customFormat="false" ht="15.75" hidden="false" customHeight="tru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customFormat="false" ht="15.75" hidden="false" customHeight="tru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customFormat="false" ht="15.75" hidden="false" customHeight="tru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customFormat="false" ht="15.75" hidden="false" customHeight="tru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customFormat="false" ht="15.75" hidden="false" customHeight="tru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customFormat="false" ht="15.75" hidden="false" customHeight="tru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customFormat="false" ht="15.75" hidden="false" customHeight="tru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customFormat="false" ht="15.75" hidden="false" customHeight="tru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customFormat="false" ht="15.75" hidden="false" customHeight="tru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customFormat="false" ht="15.75" hidden="false" customHeight="tru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customFormat="false" ht="15.75" hidden="false" customHeight="tru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customFormat="false" ht="15.75" hidden="false" customHeight="tru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customFormat="false" ht="15.75" hidden="false" customHeight="tru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customFormat="false" ht="15.75" hidden="false" customHeight="tru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customFormat="false" ht="15.75" hidden="false" customHeight="tru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customFormat="false" ht="15.75" hidden="false" customHeight="tru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customFormat="false" ht="15.75" hidden="false" customHeight="tru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customFormat="false" ht="15.75" hidden="false" customHeight="tru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customFormat="false" ht="15.75" hidden="false" customHeight="tru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customFormat="false" ht="15.75" hidden="false" customHeight="tru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customFormat="false" ht="15.75" hidden="false" customHeight="tru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customFormat="false" ht="15.75" hidden="false" customHeight="tru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customFormat="false" ht="15.75" hidden="false" customHeight="tru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customFormat="false" ht="15.75" hidden="false" customHeight="tru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customFormat="false" ht="15.75" hidden="false" customHeight="tru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customFormat="false" ht="15.75" hidden="false" customHeight="tru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customFormat="false" ht="15.75" hidden="false" customHeight="tru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customFormat="false" ht="15.75" hidden="false" customHeight="tru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customFormat="false" ht="15.75" hidden="false" customHeight="tru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customFormat="false" ht="15.75" hidden="false" customHeight="tru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customFormat="false" ht="15.75" hidden="false" customHeight="tru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customFormat="false" ht="15.75" hidden="false" customHeight="tru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customFormat="false" ht="15.75" hidden="false" customHeight="tru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customFormat="false" ht="15.75" hidden="false" customHeight="tru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customFormat="false" ht="15.75" hidden="false" customHeight="tru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customFormat="false" ht="15.75" hidden="false" customHeight="tru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customFormat="false" ht="15.75" hidden="false" customHeight="tru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customFormat="false" ht="15.75" hidden="false" customHeight="tru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customFormat="false" ht="15.75" hidden="false" customHeight="tru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customFormat="false" ht="15.75" hidden="false" customHeight="tru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customFormat="false" ht="15.75" hidden="false" customHeight="tru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customFormat="false" ht="15.75" hidden="false" customHeight="tru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customFormat="false" ht="15.75" hidden="false" customHeight="tru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customFormat="false" ht="15.75" hidden="false" customHeight="tru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customFormat="false" ht="15.75" hidden="false" customHeight="tru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customFormat="false" ht="15.75" hidden="false" customHeight="tru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customFormat="false" ht="15.75" hidden="false" customHeight="tru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customFormat="false" ht="15.75" hidden="false" customHeight="tru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customFormat="false" ht="15.75" hidden="false" customHeight="tru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customFormat="false" ht="15.75" hidden="false" customHeight="tru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customFormat="false" ht="15.75" hidden="false" customHeight="tru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customFormat="false" ht="15.75" hidden="false" customHeight="tru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customFormat="false" ht="15.75" hidden="false" customHeight="tru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customFormat="false" ht="15.75" hidden="false" customHeight="tru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customFormat="false" ht="15.75" hidden="false" customHeight="tru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customFormat="false" ht="15.75" hidden="false" customHeight="tru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customFormat="false" ht="15.75" hidden="false" customHeight="tru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customFormat="false" ht="15.75" hidden="false" customHeight="tru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customFormat="false" ht="15.75" hidden="false" customHeight="tru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customFormat="false" ht="15.75" hidden="false" customHeight="tru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customFormat="false" ht="15.75" hidden="false" customHeight="tru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customFormat="false" ht="15.75" hidden="false" customHeight="tru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customFormat="false" ht="15.75" hidden="false" customHeight="tru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customFormat="false" ht="15.75" hidden="false" customHeight="tru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customFormat="false" ht="15.75" hidden="false" customHeight="tru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customFormat="false" ht="15.75" hidden="false" customHeight="tru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customFormat="false" ht="15.75" hidden="false" customHeight="tru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customFormat="false" ht="15.75" hidden="false" customHeight="tru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customFormat="false" ht="15.75" hidden="false" customHeight="tru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customFormat="false" ht="15.75" hidden="false" customHeight="tru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customFormat="false" ht="15.75" hidden="false" customHeight="tru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customFormat="false" ht="15.75" hidden="false" customHeight="tru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customFormat="false" ht="15.75" hidden="false" customHeight="tru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customFormat="false" ht="15.75" hidden="false" customHeight="tru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customFormat="false" ht="15.75" hidden="false" customHeight="tru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customFormat="false" ht="15.75" hidden="false" customHeight="tru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customFormat="false" ht="15.75" hidden="false" customHeight="tru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customFormat="false" ht="15.75" hidden="false" customHeight="tru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customFormat="false" ht="15.75" hidden="false" customHeight="tru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customFormat="false" ht="15.75" hidden="false" customHeight="tru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customFormat="false" ht="15.75" hidden="false" customHeight="tru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customFormat="false" ht="15.75" hidden="false" customHeight="tru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customFormat="false" ht="15.75" hidden="false" customHeight="tru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customFormat="false" ht="15.75" hidden="false" customHeight="tru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customFormat="false" ht="15.75" hidden="false" customHeight="tru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customFormat="false" ht="15.75" hidden="false" customHeight="tru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customFormat="false" ht="15.75" hidden="false" customHeight="tru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customFormat="false" ht="15.75" hidden="false" customHeight="tru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customFormat="false" ht="15.75" hidden="false" customHeight="tru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customFormat="false" ht="15.75" hidden="false" customHeight="tru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customFormat="false" ht="15.75" hidden="false" customHeight="tru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customFormat="false" ht="15.75" hidden="false" customHeight="tru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customFormat="false" ht="15.75" hidden="false" customHeight="tru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customFormat="false" ht="15.75" hidden="false" customHeight="tru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customFormat="false" ht="15.75" hidden="false" customHeight="tru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customFormat="false" ht="15.75" hidden="false" customHeight="tru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customFormat="false" ht="15.75" hidden="false" customHeight="tru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customFormat="false" ht="15.75" hidden="false" customHeight="tru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customFormat="false" ht="15.75" hidden="false" customHeight="tru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customFormat="false" ht="15.75" hidden="false" customHeight="tru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customFormat="false" ht="15.75" hidden="false" customHeight="tru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customFormat="false" ht="15.75" hidden="false" customHeight="tru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customFormat="false" ht="15.75" hidden="false" customHeight="tru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customFormat="false" ht="15.75" hidden="false" customHeight="tru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customFormat="false" ht="15.75" hidden="false" customHeight="tru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customFormat="false" ht="15.75" hidden="false" customHeight="tru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customFormat="false" ht="15.75" hidden="false" customHeight="tru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customFormat="false" ht="15.75" hidden="false" customHeight="tru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customFormat="false" ht="15.75" hidden="false" customHeight="tru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customFormat="false" ht="15.75" hidden="false" customHeight="tru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customFormat="false" ht="15.75" hidden="false" customHeight="tru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customFormat="false" ht="15.75" hidden="false" customHeight="tru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customFormat="false" ht="15.75" hidden="false" customHeight="tru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customFormat="false" ht="15.75" hidden="false" customHeight="tru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customFormat="false" ht="15.75" hidden="false" customHeight="tru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customFormat="false" ht="15.75" hidden="false" customHeight="tru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customFormat="false" ht="15.75" hidden="false" customHeight="tru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customFormat="false" ht="15.75" hidden="false" customHeight="tru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customFormat="false" ht="15.75" hidden="false" customHeight="tru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customFormat="false" ht="15.75" hidden="false" customHeight="tru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customFormat="false" ht="15.75" hidden="false" customHeight="tru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customFormat="false" ht="15.75" hidden="false" customHeight="tru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customFormat="false" ht="15.75" hidden="false" customHeight="tru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customFormat="false" ht="15.75" hidden="false" customHeight="tru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customFormat="false" ht="15.75" hidden="false" customHeight="tru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customFormat="false" ht="15.75" hidden="false" customHeight="tru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customFormat="false" ht="15.75" hidden="false" customHeight="tru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customFormat="false" ht="15.75" hidden="false" customHeight="tru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customFormat="false" ht="15.75" hidden="false" customHeight="tru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customFormat="false" ht="15.75" hidden="false" customHeight="tru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customFormat="false" ht="15.75" hidden="false" customHeight="tru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customFormat="false" ht="15.75" hidden="false" customHeight="tru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customFormat="false" ht="15.75" hidden="false" customHeight="tru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customFormat="false" ht="15.75" hidden="false" customHeight="tru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customFormat="false" ht="15.75" hidden="false" customHeight="tru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customFormat="false" ht="15.75" hidden="false" customHeight="tru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customFormat="false" ht="15.75" hidden="false" customHeight="tru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customFormat="false" ht="15.75" hidden="false" customHeight="tru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customFormat="false" ht="15.75" hidden="false" customHeight="tru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customFormat="false" ht="15.75" hidden="false" customHeight="tru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customFormat="false" ht="15.75" hidden="false" customHeight="tru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customFormat="false" ht="15.75" hidden="false" customHeight="tru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customFormat="false" ht="15.75" hidden="false" customHeight="tru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customFormat="false" ht="15.75" hidden="false" customHeight="tru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customFormat="false" ht="15.75" hidden="false" customHeight="tru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customFormat="false" ht="15.75" hidden="false" customHeight="tru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customFormat="false" ht="15.75" hidden="false" customHeight="tru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customFormat="false" ht="15.75" hidden="false" customHeight="tru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customFormat="false" ht="15.75" hidden="false" customHeight="tru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customFormat="false" ht="15.75" hidden="false" customHeight="tru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customFormat="false" ht="15.75" hidden="false" customHeight="tru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customFormat="false" ht="15.75" hidden="false" customHeight="tru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customFormat="false" ht="15.75" hidden="false" customHeight="tru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customFormat="false" ht="15.75" hidden="false" customHeight="tru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customFormat="false" ht="15.75" hidden="false" customHeight="tru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customFormat="false" ht="15.75" hidden="false" customHeight="tru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 customFormat="false" ht="15.75" hidden="false" customHeight="tru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 customFormat="false" ht="15.75" hidden="false" customHeight="tru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  <row r="993" customFormat="false" ht="15.75" hidden="false" customHeight="tru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</row>
    <row r="994" customFormat="false" ht="15.75" hidden="false" customHeight="tru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</row>
    <row r="995" customFormat="false" ht="15.75" hidden="false" customHeight="tru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</row>
    <row r="996" customFormat="false" ht="15.75" hidden="false" customHeight="tru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</row>
    <row r="997" customFormat="false" ht="15.75" hidden="false" customHeight="tru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</row>
    <row r="998" customFormat="false" ht="15.75" hidden="false" customHeight="tru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</row>
    <row r="999" customFormat="false" ht="15.75" hidden="false" customHeight="tru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</row>
    <row r="1000" customFormat="false" ht="15.75" hidden="false" customHeight="tru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</row>
  </sheetData>
  <mergeCells count="6">
    <mergeCell ref="G18:H18"/>
    <mergeCell ref="J18:L18"/>
    <mergeCell ref="N18:O18"/>
    <mergeCell ref="G32:H32"/>
    <mergeCell ref="J32:K32"/>
    <mergeCell ref="G46:H46"/>
  </mergeCells>
  <conditionalFormatting sqref="N20:O30">
    <cfRule type="expression" priority="2" aboveAverage="0" equalAverage="0" bottom="0" percent="0" rank="0" text="" dxfId="5">
      <formula>ABS(N20)&gt;=10%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0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4.5078125" defaultRowHeight="15" customHeight="true" zeroHeight="false" outlineLevelRow="0" outlineLevelCol="0"/>
  <cols>
    <col collapsed="false" customWidth="true" hidden="false" outlineLevel="0" max="3" min="1" style="0" width="11.5"/>
    <col collapsed="false" customWidth="true" hidden="false" outlineLevel="0" max="4" min="4" style="0" width="8.67"/>
    <col collapsed="false" customWidth="true" hidden="false" outlineLevel="0" max="5" min="5" style="0" width="4.5"/>
    <col collapsed="false" customWidth="true" hidden="false" outlineLevel="0" max="6" min="6" style="0" width="30.67"/>
    <col collapsed="false" customWidth="true" hidden="false" outlineLevel="0" max="7" min="7" style="0" width="11.67"/>
    <col collapsed="false" customWidth="true" hidden="false" outlineLevel="0" max="8" min="8" style="0" width="12.33"/>
    <col collapsed="false" customWidth="true" hidden="false" outlineLevel="0" max="9" min="9" style="0" width="10"/>
    <col collapsed="false" customWidth="true" hidden="false" outlineLevel="0" max="11" min="10" style="0" width="11.67"/>
    <col collapsed="false" customWidth="true" hidden="false" outlineLevel="0" max="20" min="12" style="0" width="11.5"/>
    <col collapsed="false" customWidth="true" hidden="false" outlineLevel="0" max="21" min="21" style="0" width="19.67"/>
    <col collapsed="false" customWidth="true" hidden="false" outlineLevel="0" max="32" min="22" style="0" width="11.5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258"/>
      <c r="H2" s="258"/>
      <c r="I2" s="258"/>
      <c r="J2" s="258"/>
      <c r="K2" s="258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customFormat="false" ht="15" hidden="false" customHeight="false" outlineLevel="0" collapsed="false">
      <c r="A3" s="1"/>
      <c r="B3" s="1"/>
      <c r="C3" s="1"/>
      <c r="D3" s="1"/>
      <c r="E3" s="1"/>
      <c r="F3" s="1"/>
      <c r="G3" s="2"/>
      <c r="H3" s="2"/>
      <c r="I3" s="2"/>
      <c r="J3" s="2"/>
      <c r="K3" s="2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2"/>
      <c r="H4" s="2"/>
      <c r="I4" s="2"/>
      <c r="J4" s="2"/>
      <c r="K4" s="2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customFormat="false" ht="15" hidden="false" customHeight="false" outlineLevel="0" collapsed="false">
      <c r="A5" s="1"/>
      <c r="B5" s="1"/>
      <c r="C5" s="1"/>
      <c r="D5" s="1"/>
      <c r="E5" s="1"/>
      <c r="F5" s="1"/>
      <c r="G5" s="2"/>
      <c r="H5" s="2"/>
      <c r="I5" s="2"/>
      <c r="J5" s="2"/>
      <c r="K5" s="2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customFormat="false" ht="15" hidden="false" customHeight="false" outlineLevel="0" collapsed="false">
      <c r="A6" s="1"/>
      <c r="B6" s="1"/>
      <c r="C6" s="1"/>
      <c r="D6" s="1"/>
      <c r="E6" s="1"/>
      <c r="F6" s="1"/>
      <c r="G6" s="2"/>
      <c r="H6" s="2"/>
      <c r="I6" s="2"/>
      <c r="J6" s="2"/>
      <c r="K6" s="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  <row r="7" customFormat="false" ht="15" hidden="false" customHeight="false" outlineLevel="0" collapsed="false">
      <c r="A7" s="1"/>
      <c r="B7" s="1"/>
      <c r="C7" s="1"/>
      <c r="D7" s="1"/>
      <c r="E7" s="1"/>
      <c r="F7" s="1"/>
      <c r="G7" s="2"/>
      <c r="H7" s="2"/>
      <c r="I7" s="2"/>
      <c r="J7" s="2"/>
      <c r="K7" s="2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customFormat="false" ht="15" hidden="false" customHeight="false" outlineLevel="0" collapsed="false">
      <c r="A8" s="1"/>
      <c r="B8" s="1"/>
      <c r="C8" s="1"/>
      <c r="D8" s="1"/>
      <c r="E8" s="1"/>
      <c r="F8" s="1"/>
      <c r="G8" s="2"/>
      <c r="H8" s="2"/>
      <c r="I8" s="2"/>
      <c r="J8" s="2"/>
      <c r="K8" s="2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 customFormat="false" ht="15" hidden="false" customHeight="false" outlineLevel="0" collapsed="false">
      <c r="A9" s="1"/>
      <c r="B9" s="1"/>
      <c r="C9" s="1"/>
      <c r="D9" s="1"/>
      <c r="E9" s="1"/>
      <c r="F9" s="1"/>
      <c r="G9" s="2"/>
      <c r="H9" s="2"/>
      <c r="I9" s="2"/>
      <c r="J9" s="2"/>
      <c r="K9" s="2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37"/>
      <c r="Z9" s="37"/>
      <c r="AA9" s="1"/>
      <c r="AB9" s="1"/>
      <c r="AC9" s="1"/>
      <c r="AD9" s="1"/>
      <c r="AE9" s="1"/>
      <c r="AF9" s="1"/>
    </row>
    <row r="10" customFormat="false" ht="15" hidden="false" customHeight="false" outlineLevel="0" collapsed="false">
      <c r="A10" s="1"/>
      <c r="B10" s="1"/>
      <c r="C10" s="1"/>
      <c r="D10" s="1"/>
      <c r="E10" s="1"/>
      <c r="F10" s="1"/>
      <c r="G10" s="2"/>
      <c r="H10" s="2"/>
      <c r="I10" s="2"/>
      <c r="J10" s="2"/>
      <c r="K10" s="2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37"/>
      <c r="Z10" s="37"/>
      <c r="AA10" s="1"/>
      <c r="AB10" s="1"/>
      <c r="AC10" s="1"/>
      <c r="AD10" s="1"/>
      <c r="AE10" s="1"/>
      <c r="AF10" s="1"/>
    </row>
    <row r="11" customFormat="false" ht="15" hidden="false" customHeight="false" outlineLevel="0" collapsed="false">
      <c r="A11" s="1"/>
      <c r="B11" s="1"/>
      <c r="C11" s="1"/>
      <c r="D11" s="1"/>
      <c r="E11" s="1"/>
      <c r="F11" s="1"/>
      <c r="G11" s="2"/>
      <c r="H11" s="2"/>
      <c r="I11" s="2"/>
      <c r="J11" s="2"/>
      <c r="K11" s="2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37"/>
      <c r="Z11" s="37"/>
      <c r="AA11" s="1"/>
      <c r="AB11" s="1"/>
      <c r="AC11" s="1"/>
      <c r="AD11" s="1"/>
      <c r="AE11" s="1"/>
      <c r="AF11" s="1"/>
    </row>
    <row r="12" customFormat="false" ht="15" hidden="false" customHeight="false" outlineLevel="0" collapsed="false">
      <c r="A12" s="1"/>
      <c r="B12" s="1"/>
      <c r="C12" s="1"/>
      <c r="D12" s="1"/>
      <c r="E12" s="1"/>
      <c r="F12" s="1"/>
      <c r="G12" s="2"/>
      <c r="H12" s="2"/>
      <c r="I12" s="2"/>
      <c r="J12" s="2"/>
      <c r="K12" s="2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37"/>
      <c r="Z12" s="37"/>
      <c r="AA12" s="1"/>
      <c r="AB12" s="1"/>
      <c r="AC12" s="1"/>
      <c r="AD12" s="1"/>
      <c r="AE12" s="1"/>
      <c r="AF12" s="1"/>
    </row>
    <row r="13" customFormat="false" ht="15" hidden="false" customHeight="false" outlineLevel="0" collapsed="false">
      <c r="A13" s="1"/>
      <c r="B13" s="1"/>
      <c r="C13" s="1"/>
      <c r="D13" s="1"/>
      <c r="E13" s="1"/>
      <c r="F13" s="1"/>
      <c r="G13" s="2"/>
      <c r="H13" s="2"/>
      <c r="I13" s="2"/>
      <c r="J13" s="2"/>
      <c r="K13" s="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37"/>
      <c r="Z13" s="37"/>
      <c r="AA13" s="1"/>
      <c r="AB13" s="1"/>
      <c r="AC13" s="1"/>
      <c r="AD13" s="1"/>
      <c r="AE13" s="1"/>
      <c r="AF13" s="1"/>
    </row>
    <row r="14" customFormat="false" ht="15" hidden="false" customHeight="false" outlineLevel="0" collapsed="false">
      <c r="A14" s="1"/>
      <c r="B14" s="1"/>
      <c r="C14" s="1"/>
      <c r="D14" s="1"/>
      <c r="E14" s="1"/>
      <c r="F14" s="1"/>
      <c r="G14" s="2"/>
      <c r="H14" s="2"/>
      <c r="I14" s="2"/>
      <c r="J14" s="2"/>
      <c r="K14" s="2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37"/>
      <c r="Z14" s="37"/>
      <c r="AA14" s="1"/>
      <c r="AB14" s="1"/>
      <c r="AC14" s="1"/>
      <c r="AD14" s="1"/>
      <c r="AE14" s="1"/>
      <c r="AF14" s="1"/>
    </row>
    <row r="15" customFormat="false" ht="15" hidden="false" customHeight="false" outlineLevel="0" collapsed="false">
      <c r="A15" s="1"/>
      <c r="B15" s="1"/>
      <c r="C15" s="1"/>
      <c r="D15" s="1"/>
      <c r="E15" s="1"/>
      <c r="F15" s="1"/>
      <c r="G15" s="2"/>
      <c r="H15" s="2"/>
      <c r="I15" s="2"/>
      <c r="J15" s="2"/>
      <c r="K15" s="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37"/>
      <c r="Z15" s="37"/>
      <c r="AA15" s="1"/>
      <c r="AB15" s="1"/>
      <c r="AC15" s="1"/>
      <c r="AD15" s="1"/>
      <c r="AE15" s="1"/>
      <c r="AF15" s="1"/>
    </row>
    <row r="16" customFormat="false" ht="15" hidden="false" customHeight="false" outlineLevel="0" collapsed="false">
      <c r="A16" s="1"/>
      <c r="B16" s="1"/>
      <c r="C16" s="1"/>
      <c r="D16" s="1"/>
      <c r="E16" s="1"/>
      <c r="F16" s="1"/>
      <c r="G16" s="2"/>
      <c r="H16" s="2"/>
      <c r="I16" s="2"/>
      <c r="J16" s="2"/>
      <c r="K16" s="2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37"/>
      <c r="Z16" s="37"/>
      <c r="AA16" s="1"/>
      <c r="AB16" s="1"/>
      <c r="AC16" s="1"/>
      <c r="AD16" s="1"/>
      <c r="AE16" s="1"/>
      <c r="AF16" s="1"/>
    </row>
    <row r="17" customFormat="false" ht="15" hidden="false" customHeight="false" outlineLevel="0" collapsed="false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37"/>
      <c r="Z17" s="37"/>
      <c r="AA17" s="1"/>
      <c r="AB17" s="1"/>
      <c r="AC17" s="1"/>
      <c r="AD17" s="1"/>
      <c r="AE17" s="1"/>
      <c r="AF17" s="1"/>
    </row>
    <row r="18" customFormat="false" ht="17.35" hidden="false" customHeight="false" outlineLevel="0" collapsed="false">
      <c r="A18" s="1"/>
      <c r="B18" s="1"/>
      <c r="C18" s="1" t="n">
        <v>32846</v>
      </c>
      <c r="D18" s="1"/>
      <c r="E18" s="1"/>
      <c r="F18" s="1"/>
      <c r="G18" s="194" t="s">
        <v>169</v>
      </c>
      <c r="H18" s="194"/>
      <c r="I18" s="1"/>
      <c r="J18" s="263" t="s">
        <v>170</v>
      </c>
      <c r="K18" s="263"/>
      <c r="L18" s="263"/>
      <c r="M18" s="1"/>
      <c r="N18" s="196"/>
      <c r="O18" s="196"/>
      <c r="P18" s="1"/>
      <c r="Q18" s="1"/>
      <c r="R18" s="197"/>
      <c r="S18" s="1"/>
      <c r="T18" s="1"/>
      <c r="U18" s="1"/>
      <c r="V18" s="1"/>
      <c r="W18" s="1"/>
      <c r="X18" s="1"/>
      <c r="Y18" s="37"/>
      <c r="Z18" s="37"/>
      <c r="AA18" s="1"/>
      <c r="AB18" s="1"/>
      <c r="AC18" s="1"/>
      <c r="AD18" s="1"/>
      <c r="AE18" s="1"/>
      <c r="AF18" s="1"/>
    </row>
    <row r="19" customFormat="false" ht="15" hidden="false" customHeight="false" outlineLevel="0" collapsed="false">
      <c r="A19" s="1"/>
      <c r="B19" s="1"/>
      <c r="C19" s="1"/>
      <c r="D19" s="1"/>
      <c r="E19" s="1"/>
      <c r="F19" s="1"/>
      <c r="G19" s="198" t="s">
        <v>70</v>
      </c>
      <c r="H19" s="198" t="s">
        <v>172</v>
      </c>
      <c r="I19" s="1"/>
      <c r="J19" s="209" t="s">
        <v>70</v>
      </c>
      <c r="K19" s="199" t="s">
        <v>172</v>
      </c>
      <c r="L19" s="264" t="s">
        <v>173</v>
      </c>
      <c r="M19" s="1"/>
      <c r="N19" s="2"/>
      <c r="O19" s="2"/>
      <c r="P19" s="200"/>
      <c r="Q19" s="201"/>
      <c r="R19" s="202"/>
      <c r="S19" s="201"/>
      <c r="T19" s="1"/>
      <c r="U19" s="1"/>
      <c r="V19" s="1"/>
      <c r="W19" s="1"/>
      <c r="X19" s="1"/>
      <c r="Y19" s="37"/>
      <c r="Z19" s="37"/>
      <c r="AA19" s="1"/>
      <c r="AB19" s="1"/>
      <c r="AC19" s="1"/>
      <c r="AD19" s="1"/>
      <c r="AE19" s="1"/>
      <c r="AF19" s="1"/>
    </row>
    <row r="20" customFormat="false" ht="15" hidden="false" customHeight="false" outlineLevel="0" collapsed="false">
      <c r="A20" s="1"/>
      <c r="B20" s="1"/>
      <c r="C20" s="1"/>
      <c r="D20" s="1"/>
      <c r="E20" s="1" t="n">
        <f aca="false">+E3</f>
        <v>0</v>
      </c>
      <c r="F20" s="1" t="s">
        <v>92</v>
      </c>
      <c r="G20" s="203" t="n">
        <f aca="false">+'Bal ML FeT'!J20</f>
        <v>0</v>
      </c>
      <c r="H20" s="204" t="n">
        <f aca="false">+'Info Planta'!F18</f>
        <v>0.40327125984252</v>
      </c>
      <c r="I20" s="116"/>
      <c r="J20" s="26" t="n">
        <f aca="false">'Bal ML FeT'!J20</f>
        <v>0</v>
      </c>
      <c r="K20" s="27" t="n">
        <f aca="false">IF(Utilidad!F18&gt;1,Utilidad!F18/100,Utilidad!F18)</f>
        <v>0</v>
      </c>
      <c r="L20" s="265" t="n">
        <f aca="false">+J20*K20</f>
        <v>0</v>
      </c>
      <c r="M20" s="116"/>
      <c r="N20" s="114"/>
      <c r="O20" s="115"/>
      <c r="P20" s="114"/>
      <c r="Q20" s="201"/>
      <c r="R20" s="205"/>
      <c r="S20" s="201"/>
      <c r="T20" s="1"/>
      <c r="U20" s="1"/>
      <c r="V20" s="1"/>
      <c r="W20" s="1"/>
      <c r="X20" s="1"/>
      <c r="Y20" s="37"/>
      <c r="Z20" s="37"/>
      <c r="AA20" s="1"/>
      <c r="AB20" s="1"/>
      <c r="AC20" s="1"/>
      <c r="AD20" s="1"/>
      <c r="AE20" s="1"/>
      <c r="AF20" s="1"/>
    </row>
    <row r="21" customFormat="false" ht="15.75" hidden="false" customHeight="true" outlineLevel="0" collapsed="false">
      <c r="A21" s="1"/>
      <c r="B21" s="1"/>
      <c r="C21" s="1"/>
      <c r="D21" s="1"/>
      <c r="E21" s="1" t="n">
        <f aca="false">+E4</f>
        <v>0</v>
      </c>
      <c r="F21" s="1" t="s">
        <v>10</v>
      </c>
      <c r="G21" s="203" t="n">
        <f aca="false">+'Bal ML FeT'!J21</f>
        <v>79422.600229</v>
      </c>
      <c r="H21" s="204" t="n">
        <f aca="false">+'Info Planta'!F19</f>
        <v>0.37383114137053</v>
      </c>
      <c r="I21" s="1"/>
      <c r="J21" s="26" t="n">
        <f aca="false">'Bal ML FeT'!J21</f>
        <v>79422.600229</v>
      </c>
      <c r="K21" s="27" t="n">
        <f aca="false">IF(Utilidad!F19&gt;1,Utilidad!F19/100,Utilidad!F19)</f>
        <v>0.30384766077</v>
      </c>
      <c r="L21" s="265" t="n">
        <f aca="false">+J21*K21</f>
        <v>24132.3712918525</v>
      </c>
      <c r="M21" s="1"/>
      <c r="N21" s="114"/>
      <c r="O21" s="115"/>
      <c r="P21" s="114"/>
      <c r="Q21" s="201"/>
      <c r="R21" s="205"/>
      <c r="S21" s="201"/>
      <c r="T21" s="1"/>
      <c r="U21" s="1"/>
      <c r="V21" s="1"/>
      <c r="W21" s="1"/>
      <c r="X21" s="1"/>
      <c r="Y21" s="37"/>
      <c r="Z21" s="37"/>
      <c r="AA21" s="1"/>
      <c r="AB21" s="1"/>
      <c r="AC21" s="1"/>
      <c r="AD21" s="1"/>
      <c r="AE21" s="1"/>
      <c r="AF21" s="1"/>
    </row>
    <row r="22" customFormat="false" ht="15.75" hidden="false" customHeight="true" outlineLevel="0" collapsed="false">
      <c r="A22" s="1"/>
      <c r="B22" s="1"/>
      <c r="C22" s="1"/>
      <c r="D22" s="1"/>
      <c r="E22" s="1" t="n">
        <f aca="false">+E5</f>
        <v>0</v>
      </c>
      <c r="F22" s="1" t="s">
        <v>93</v>
      </c>
      <c r="G22" s="203" t="n">
        <f aca="false">+'Bal ML FeT'!J22</f>
        <v>0</v>
      </c>
      <c r="H22" s="204" t="n">
        <f aca="false">+IF(G22&lt;&gt;0,(G24*H24+A23*H23)/G22,0)</f>
        <v>0</v>
      </c>
      <c r="I22" s="1"/>
      <c r="J22" s="26" t="n">
        <f aca="false">'Bal ML FeT'!J22</f>
        <v>0</v>
      </c>
      <c r="K22" s="27" t="n">
        <f aca="false">IF(Utilidad!F20&gt;1,Utilidad!F20/100,Utilidad!F20)</f>
        <v>0</v>
      </c>
      <c r="L22" s="265" t="n">
        <f aca="false">+J22*K22</f>
        <v>0</v>
      </c>
      <c r="M22" s="1"/>
      <c r="N22" s="114"/>
      <c r="O22" s="115"/>
      <c r="P22" s="114"/>
      <c r="Q22" s="201"/>
      <c r="R22" s="205"/>
      <c r="S22" s="201"/>
      <c r="T22" s="1"/>
      <c r="U22" s="1"/>
      <c r="V22" s="1"/>
      <c r="W22" s="1"/>
      <c r="X22" s="1"/>
      <c r="Y22" s="37"/>
      <c r="Z22" s="37"/>
      <c r="AA22" s="1"/>
      <c r="AB22" s="1"/>
      <c r="AC22" s="1"/>
      <c r="AD22" s="1"/>
      <c r="AE22" s="1"/>
      <c r="AF22" s="1"/>
    </row>
    <row r="23" customFormat="false" ht="15.75" hidden="false" customHeight="true" outlineLevel="0" collapsed="false">
      <c r="A23" s="37" t="n">
        <f aca="false">+'Calc Nodos'!F8</f>
        <v>-80</v>
      </c>
      <c r="B23" s="1"/>
      <c r="C23" s="1"/>
      <c r="D23" s="1" t="n">
        <f aca="false">+IF(A23&gt;0,1,IF(A23&lt;&gt;0,-1,0))</f>
        <v>-1</v>
      </c>
      <c r="E23" s="1" t="n">
        <f aca="false">+E6</f>
        <v>0</v>
      </c>
      <c r="F23" s="167" t="s">
        <v>94</v>
      </c>
      <c r="G23" s="203" t="n">
        <f aca="false">+'Bal ML FeT'!J23</f>
        <v>34506.647325</v>
      </c>
      <c r="H23" s="204" t="n">
        <f aca="false">+H24</f>
        <v>0.4338</v>
      </c>
      <c r="I23" s="1"/>
      <c r="J23" s="26" t="n">
        <f aca="false">'Bal ML FeT'!J23</f>
        <v>34506.647325</v>
      </c>
      <c r="K23" s="27" t="n">
        <f aca="false">IF(Utilidad!F21&gt;1,Utilidad!F21/100,Utilidad!F21)</f>
        <v>0.40018</v>
      </c>
      <c r="L23" s="265" t="n">
        <f aca="false">+J23*K23</f>
        <v>13808.8701265185</v>
      </c>
      <c r="M23" s="1"/>
      <c r="N23" s="114"/>
      <c r="O23" s="115"/>
      <c r="P23" s="114"/>
      <c r="Q23" s="201"/>
      <c r="R23" s="205"/>
      <c r="S23" s="201"/>
      <c r="T23" s="1"/>
      <c r="U23" s="1"/>
      <c r="V23" s="1"/>
      <c r="W23" s="1"/>
      <c r="X23" s="1"/>
      <c r="Y23" s="37"/>
      <c r="Z23" s="1"/>
      <c r="AA23" s="1"/>
      <c r="AB23" s="1"/>
      <c r="AC23" s="1"/>
      <c r="AD23" s="1"/>
      <c r="AE23" s="1"/>
      <c r="AF23" s="1"/>
    </row>
    <row r="24" customFormat="false" ht="15.75" hidden="false" customHeight="true" outlineLevel="0" collapsed="false">
      <c r="A24" s="37"/>
      <c r="B24" s="37"/>
      <c r="C24" s="37"/>
      <c r="D24" s="1"/>
      <c r="E24" s="1" t="n">
        <f aca="false">+E7</f>
        <v>0</v>
      </c>
      <c r="F24" s="1" t="s">
        <v>95</v>
      </c>
      <c r="G24" s="203" t="n">
        <f aca="false">+'Bal ML FeT'!J24</f>
        <v>703.19995276</v>
      </c>
      <c r="H24" s="204" t="n">
        <f aca="false">+'Info Planta'!F24</f>
        <v>0.4338</v>
      </c>
      <c r="I24" s="1"/>
      <c r="J24" s="26" t="n">
        <f aca="false">'Bal ML FeT'!J24</f>
        <v>703.19995276</v>
      </c>
      <c r="K24" s="27" t="n">
        <f aca="false">IF(Utilidad!F22&gt;1,Utilidad!F22/100,Utilidad!F22)</f>
        <v>0.37242</v>
      </c>
      <c r="L24" s="265" t="n">
        <f aca="false">+J24*K24</f>
        <v>261.885726406879</v>
      </c>
      <c r="M24" s="1"/>
      <c r="N24" s="114"/>
      <c r="O24" s="115"/>
      <c r="P24" s="114"/>
      <c r="Q24" s="201"/>
      <c r="R24" s="205"/>
      <c r="S24" s="201"/>
      <c r="T24" s="1"/>
      <c r="U24" s="1"/>
      <c r="V24" s="1"/>
      <c r="W24" s="1"/>
      <c r="X24" s="1"/>
      <c r="Y24" s="37"/>
      <c r="Z24" s="1"/>
      <c r="AA24" s="1"/>
      <c r="AB24" s="1"/>
      <c r="AC24" s="1"/>
      <c r="AD24" s="1"/>
      <c r="AE24" s="1"/>
      <c r="AF24" s="1"/>
    </row>
    <row r="25" customFormat="false" ht="15.75" hidden="false" customHeight="true" outlineLevel="0" collapsed="false">
      <c r="A25" s="1"/>
      <c r="B25" s="1"/>
      <c r="C25" s="1"/>
      <c r="D25" s="1"/>
      <c r="E25" s="1" t="n">
        <f aca="false">+E8</f>
        <v>0</v>
      </c>
      <c r="F25" s="1" t="s">
        <v>96</v>
      </c>
      <c r="G25" s="203" t="n">
        <f aca="false">+'Bal ML FeT'!J25</f>
        <v>32738</v>
      </c>
      <c r="H25" s="204" t="n">
        <f aca="false">+IF(G25&lt;&gt;0,(G27*H27+A26*H26)/G25,0)</f>
        <v>0.0352096148890158</v>
      </c>
      <c r="I25" s="1"/>
      <c r="J25" s="26" t="n">
        <f aca="false">'Bal ML FeT'!J25</f>
        <v>32738</v>
      </c>
      <c r="K25" s="27" t="n">
        <f aca="false">IF(Utilidad!F23&gt;1,Utilidad!F23/100,Utilidad!F23)</f>
        <v>0.4138</v>
      </c>
      <c r="L25" s="265" t="n">
        <f aca="false">+J25*K25</f>
        <v>13546.9844</v>
      </c>
      <c r="M25" s="1"/>
      <c r="N25" s="114"/>
      <c r="O25" s="115"/>
      <c r="P25" s="114"/>
      <c r="Q25" s="201"/>
      <c r="R25" s="205"/>
      <c r="S25" s="201"/>
      <c r="T25" s="1"/>
      <c r="U25" s="1"/>
      <c r="V25" s="1"/>
      <c r="W25" s="1"/>
      <c r="X25" s="1"/>
      <c r="Y25" s="37"/>
      <c r="Z25" s="1"/>
      <c r="AA25" s="1"/>
      <c r="AB25" s="1"/>
      <c r="AC25" s="1"/>
      <c r="AD25" s="1"/>
      <c r="AE25" s="1"/>
      <c r="AF25" s="1"/>
    </row>
    <row r="26" customFormat="false" ht="15.75" hidden="false" customHeight="true" outlineLevel="0" collapsed="false">
      <c r="A26" s="37" t="n">
        <f aca="false">+'Calc Nodos'!F9</f>
        <v>1067</v>
      </c>
      <c r="B26" s="1"/>
      <c r="C26" s="1"/>
      <c r="D26" s="1" t="n">
        <f aca="false">+IF(A26&gt;0,1,IF(A26&lt;&gt;0,-1,0))</f>
        <v>1</v>
      </c>
      <c r="E26" s="1" t="n">
        <f aca="false">+E9</f>
        <v>0</v>
      </c>
      <c r="F26" s="167" t="s">
        <v>97</v>
      </c>
      <c r="G26" s="203" t="n">
        <f aca="false">+'Bal ML FeT'!J26</f>
        <v>17770.28624</v>
      </c>
      <c r="H26" s="204" t="n">
        <f aca="false">+H27</f>
        <v>0.4313</v>
      </c>
      <c r="I26" s="1"/>
      <c r="J26" s="26" t="n">
        <f aca="false">'Bal ML FeT'!J26</f>
        <v>17770.28624</v>
      </c>
      <c r="K26" s="27" t="n">
        <f aca="false">IF(Utilidad!F24&gt;1,Utilidad!F24/100,Utilidad!F24)</f>
        <v>0.42383</v>
      </c>
      <c r="L26" s="265" t="n">
        <f aca="false">+J26*K26</f>
        <v>7531.5804170992</v>
      </c>
      <c r="M26" s="1"/>
      <c r="N26" s="114"/>
      <c r="O26" s="115"/>
      <c r="P26" s="114"/>
      <c r="Q26" s="201"/>
      <c r="R26" s="205"/>
      <c r="S26" s="201"/>
      <c r="T26" s="1"/>
      <c r="U26" s="1"/>
      <c r="V26" s="1"/>
      <c r="W26" s="1"/>
      <c r="X26" s="1"/>
      <c r="Y26" s="37"/>
      <c r="Z26" s="1"/>
      <c r="AA26" s="1"/>
      <c r="AB26" s="1"/>
      <c r="AC26" s="1"/>
      <c r="AD26" s="1"/>
      <c r="AE26" s="1"/>
      <c r="AF26" s="1"/>
    </row>
    <row r="27" customFormat="false" ht="15.75" hidden="false" customHeight="true" outlineLevel="0" collapsed="false">
      <c r="A27" s="1"/>
      <c r="B27" s="1"/>
      <c r="C27" s="1"/>
      <c r="D27" s="1"/>
      <c r="E27" s="1" t="n">
        <f aca="false">+E10</f>
        <v>0</v>
      </c>
      <c r="F27" s="1" t="s">
        <v>98</v>
      </c>
      <c r="G27" s="203" t="n">
        <f aca="false">+'Bal ML FeT'!J27</f>
        <v>1605.599982</v>
      </c>
      <c r="H27" s="204" t="n">
        <f aca="false">+'Info Planta'!F25</f>
        <v>0.4313</v>
      </c>
      <c r="I27" s="1"/>
      <c r="J27" s="26" t="n">
        <f aca="false">'Bal ML FeT'!J27</f>
        <v>1605.599982</v>
      </c>
      <c r="K27" s="27" t="n">
        <f aca="false">IF(Utilidad!F25&gt;1,Utilidad!F25/100,Utilidad!F25)</f>
        <v>0.38529</v>
      </c>
      <c r="L27" s="265" t="n">
        <f aca="false">+J27*K27</f>
        <v>618.62161706478</v>
      </c>
      <c r="M27" s="1"/>
      <c r="N27" s="114"/>
      <c r="O27" s="115"/>
      <c r="P27" s="114"/>
      <c r="Q27" s="201"/>
      <c r="R27" s="205"/>
      <c r="S27" s="20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customFormat="false" ht="15.75" hidden="false" customHeight="true" outlineLevel="0" collapsed="false">
      <c r="A28" s="37"/>
      <c r="B28" s="37"/>
      <c r="C28" s="37"/>
      <c r="D28" s="1"/>
      <c r="E28" s="1" t="n">
        <f aca="false">+E11</f>
        <v>0</v>
      </c>
      <c r="F28" s="1" t="s">
        <v>99</v>
      </c>
      <c r="G28" s="203" t="n">
        <f aca="false">+'Bal ML FeT'!J28</f>
        <v>16148</v>
      </c>
      <c r="H28" s="204" t="n">
        <f aca="false">+IF(G28&lt;&gt;0,(G30*H30+A29*H29)/G28,0)</f>
        <v>0.0352134476704852</v>
      </c>
      <c r="I28" s="1"/>
      <c r="J28" s="26" t="n">
        <f aca="false">'Bal ML FeT'!J28</f>
        <v>16148</v>
      </c>
      <c r="K28" s="27" t="n">
        <f aca="false">IF(Utilidad!F26&gt;1,Utilidad!F26/100,Utilidad!F26)</f>
        <v>0.4281</v>
      </c>
      <c r="L28" s="265" t="n">
        <f aca="false">+J28*K28</f>
        <v>6912.9588</v>
      </c>
      <c r="M28" s="1"/>
      <c r="N28" s="114"/>
      <c r="O28" s="115"/>
      <c r="P28" s="114"/>
      <c r="Q28" s="201"/>
      <c r="R28" s="205"/>
      <c r="S28" s="20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customFormat="false" ht="15.75" hidden="false" customHeight="true" outlineLevel="0" collapsed="false">
      <c r="A29" s="37" t="n">
        <f aca="false">+'Calc Nodos'!F10</f>
        <v>176</v>
      </c>
      <c r="B29" s="1"/>
      <c r="C29" s="1"/>
      <c r="D29" s="1" t="n">
        <f aca="false">+IF(A29&gt;0,1,IF(A29&lt;&gt;0,-1,0))</f>
        <v>1</v>
      </c>
      <c r="E29" s="1" t="n">
        <f aca="false">+E12</f>
        <v>0</v>
      </c>
      <c r="F29" s="167" t="s">
        <v>100</v>
      </c>
      <c r="G29" s="203" t="n">
        <f aca="false">+'Bal ML FeT'!J29</f>
        <v>27145.666664</v>
      </c>
      <c r="H29" s="204" t="n">
        <f aca="false">+H30</f>
        <v>0.140108765217391</v>
      </c>
      <c r="I29" s="1"/>
      <c r="J29" s="26" t="n">
        <f aca="false">'Bal ML FeT'!J29</f>
        <v>27145.666664</v>
      </c>
      <c r="K29" s="27" t="n">
        <f aca="false">IF(Utilidad!F27&gt;1,Utilidad!F27/100,Utilidad!F27)</f>
        <v>0.10284959282</v>
      </c>
      <c r="L29" s="265" t="n">
        <f aca="false">+J29*K29</f>
        <v>2791.92076321985</v>
      </c>
      <c r="M29" s="1"/>
      <c r="N29" s="114"/>
      <c r="O29" s="115"/>
      <c r="P29" s="114"/>
      <c r="Q29" s="201"/>
      <c r="R29" s="205"/>
      <c r="S29" s="20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customFormat="false" ht="15.75" hidden="false" customHeight="true" outlineLevel="0" collapsed="false">
      <c r="A30" s="1"/>
      <c r="B30" s="1"/>
      <c r="C30" s="1"/>
      <c r="D30" s="1"/>
      <c r="E30" s="1" t="n">
        <f aca="false">+E13</f>
        <v>0</v>
      </c>
      <c r="F30" s="1" t="s">
        <v>101</v>
      </c>
      <c r="G30" s="203" t="n">
        <f aca="false">+'Bal ML FeT'!J30</f>
        <v>3882.4666641</v>
      </c>
      <c r="H30" s="204" t="n">
        <f aca="false">+'Info Planta'!F26</f>
        <v>0.140108765217391</v>
      </c>
      <c r="I30" s="1"/>
      <c r="J30" s="26" t="n">
        <f aca="false">'Bal ML FeT'!J30</f>
        <v>3882.4666641</v>
      </c>
      <c r="K30" s="27" t="n">
        <f aca="false">IF(Utilidad!F28&gt;1,Utilidad!F28/100,Utilidad!F28)</f>
        <v>0.10305382177</v>
      </c>
      <c r="L30" s="265" t="n">
        <f aca="false">+J30*K30</f>
        <v>400.103027630128</v>
      </c>
      <c r="M30" s="1"/>
      <c r="N30" s="114"/>
      <c r="O30" s="115"/>
      <c r="P30" s="114"/>
      <c r="Q30" s="201"/>
      <c r="R30" s="205"/>
      <c r="S30" s="20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customFormat="false" ht="15.75" hidden="false" customHeight="tru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customFormat="false" ht="15.75" hidden="false" customHeight="true" outlineLevel="0" collapsed="false">
      <c r="A32" s="1"/>
      <c r="B32" s="1"/>
      <c r="C32" s="1"/>
      <c r="D32" s="1"/>
      <c r="E32" s="1"/>
      <c r="F32" s="190"/>
      <c r="G32" s="9"/>
      <c r="H32" s="9"/>
      <c r="I32" s="1"/>
      <c r="J32" s="9"/>
      <c r="K32" s="9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customFormat="false" ht="15.75" hidden="false" customHeight="true" outlineLevel="0" collapsed="false">
      <c r="A33" s="1"/>
      <c r="B33" s="1"/>
      <c r="C33" s="1"/>
      <c r="D33" s="1"/>
      <c r="E33" s="1"/>
      <c r="F33" s="190"/>
      <c r="G33" s="2"/>
      <c r="H33" s="2"/>
      <c r="I33" s="1"/>
      <c r="J33" s="2"/>
      <c r="K33" s="2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customFormat="false" ht="15.75" hidden="false" customHeight="tru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37"/>
      <c r="K34" s="116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customFormat="false" ht="15.7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37"/>
      <c r="K35" s="116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customFormat="false" ht="15.75" hidden="false" customHeight="tru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37"/>
      <c r="K36" s="116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customFormat="false" ht="15.75" hidden="false" customHeight="tru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37"/>
      <c r="K37" s="116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customFormat="false" ht="15.75" hidden="false" customHeight="tru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37"/>
      <c r="K38" s="116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customFormat="false" ht="15.75" hidden="false" customHeight="tru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37"/>
      <c r="K39" s="116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customFormat="false" ht="15.75" hidden="false" customHeight="tru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37"/>
      <c r="K40" s="116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customFormat="false" ht="15.75" hidden="false" customHeight="tru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37"/>
      <c r="K41" s="116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customFormat="false" ht="15.75" hidden="false" customHeight="tru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37"/>
      <c r="K42" s="116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customFormat="false" ht="15.75" hidden="false" customHeight="tru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37"/>
      <c r="K43" s="116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customFormat="false" ht="15.75" hidden="false" customHeight="tru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37"/>
      <c r="K44" s="116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customFormat="false" ht="15.75" hidden="false" customHeight="tru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customFormat="false" ht="15.75" hidden="false" customHeight="true" outlineLevel="0" collapsed="false">
      <c r="A46" s="1"/>
      <c r="B46" s="1"/>
      <c r="C46" s="1"/>
      <c r="D46" s="1"/>
      <c r="E46" s="1"/>
      <c r="F46" s="190"/>
      <c r="G46" s="9"/>
      <c r="H46" s="9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customFormat="false" ht="15.75" hidden="false" customHeight="true" outlineLevel="0" collapsed="false">
      <c r="A47" s="1"/>
      <c r="B47" s="1"/>
      <c r="C47" s="1"/>
      <c r="D47" s="1"/>
      <c r="E47" s="1"/>
      <c r="F47" s="190"/>
      <c r="G47" s="2"/>
      <c r="H47" s="2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customFormat="false" ht="15.75" hidden="false" customHeight="tru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customFormat="false" ht="15.75" hidden="false" customHeight="tru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customFormat="false" ht="15.7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customFormat="false" ht="15.7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customFormat="false" ht="15.75" hidden="false" customHeight="tru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customFormat="false" ht="15.75" hidden="false" customHeight="tru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customFormat="false" ht="15.75" hidden="false" customHeight="tru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customFormat="false" ht="15.7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customFormat="false" ht="15.7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customFormat="false" ht="15.7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 customFormat="false" ht="15.7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 customFormat="false" ht="15.7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  <row r="60" customFormat="false" ht="15.7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</row>
    <row r="61" customFormat="false" ht="15.7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</row>
    <row r="62" customFormat="false" ht="15.7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</row>
    <row r="63" customFormat="false" ht="15.7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 customFormat="false" ht="15.7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</row>
    <row r="65" customFormat="false" ht="15.7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customFormat="false" ht="15.75" hidden="false" customHeight="tru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customFormat="false" ht="15.75" hidden="false" customHeight="tru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customFormat="false" ht="15.7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customFormat="false" ht="15.75" hidden="false" customHeight="tru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customFormat="false" ht="15.75" hidden="false" customHeight="tru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customFormat="false" ht="15.75" hidden="false" customHeight="tru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customFormat="false" ht="15.75" hidden="false" customHeight="tru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customFormat="false" ht="15.7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customFormat="false" ht="15.7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customFormat="false" ht="15.7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customFormat="false" ht="15.7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customFormat="false" ht="15.7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customFormat="false" ht="15.7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customFormat="false" ht="15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customFormat="false" ht="15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customFormat="false" ht="15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customFormat="false" ht="15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customFormat="false" ht="15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customFormat="false" ht="15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customFormat="false" ht="15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customFormat="false" ht="15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customFormat="false" ht="15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customFormat="false" ht="15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customFormat="false" ht="15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customFormat="false" ht="15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customFormat="false" ht="15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customFormat="false" ht="15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customFormat="false" ht="15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customFormat="false" ht="15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customFormat="false" ht="15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customFormat="false" ht="15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customFormat="false" ht="15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customFormat="false" ht="15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customFormat="false" ht="15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customFormat="false" ht="15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customFormat="false" ht="15.7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customFormat="false" ht="15.7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customFormat="false" ht="15.7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customFormat="false" ht="15.7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customFormat="false" ht="15.7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customFormat="false" ht="15.7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customFormat="false" ht="15.7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customFormat="false" ht="15.7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customFormat="false" ht="15.7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customFormat="false" ht="15.7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customFormat="false" ht="15.7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customFormat="false" ht="15.7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customFormat="false" ht="15.75" hidden="false" customHeight="tru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customFormat="false" ht="15.75" hidden="false" customHeight="tru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customFormat="false" ht="15.75" hidden="false" customHeight="tru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customFormat="false" ht="15.75" hidden="false" customHeight="tru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customFormat="false" ht="15.75" hidden="false" customHeight="tru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customFormat="false" ht="15.75" hidden="false" customHeight="tru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customFormat="false" ht="15.75" hidden="false" customHeight="tru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customFormat="false" ht="15.75" hidden="false" customHeight="tru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customFormat="false" ht="15.75" hidden="false" customHeight="tru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customFormat="false" ht="15.75" hidden="false" customHeight="tru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customFormat="false" ht="15.75" hidden="false" customHeight="tru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customFormat="false" ht="15.75" hidden="false" customHeight="tru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customFormat="false" ht="15.7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customFormat="false" ht="15.7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customFormat="false" ht="15.7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customFormat="false" ht="15.7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customFormat="false" ht="15.75" hidden="false" customHeight="tru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customFormat="false" ht="15.75" hidden="false" customHeight="tru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customFormat="false" ht="15.75" hidden="false" customHeight="tru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customFormat="false" ht="15.75" hidden="false" customHeight="tru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customFormat="false" ht="15.75" hidden="false" customHeight="tru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customFormat="false" ht="15.7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customFormat="false" ht="15.75" hidden="false" customHeight="tru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customFormat="false" ht="15.75" hidden="false" customHeight="tru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customFormat="false" ht="15.75" hidden="false" customHeight="tru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customFormat="false" ht="15.75" hidden="false" customHeight="tru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customFormat="false" ht="15.75" hidden="false" customHeight="tru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customFormat="false" ht="15.75" hidden="false" customHeight="tru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customFormat="false" ht="15.75" hidden="false" customHeight="tru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customFormat="false" ht="15.75" hidden="false" customHeight="tru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customFormat="false" ht="15.75" hidden="false" customHeight="tru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customFormat="false" ht="15.75" hidden="false" customHeight="tru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customFormat="false" ht="15.75" hidden="false" customHeight="tru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customFormat="false" ht="15.75" hidden="false" customHeight="tru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customFormat="false" ht="15.75" hidden="false" customHeight="tru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customFormat="false" ht="15.75" hidden="false" customHeight="tru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customFormat="false" ht="15.75" hidden="false" customHeight="tru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customFormat="false" ht="15.75" hidden="false" customHeight="tru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customFormat="false" ht="15.75" hidden="false" customHeight="tru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customFormat="false" ht="15.75" hidden="false" customHeight="tru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customFormat="false" ht="15.75" hidden="false" customHeight="tru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customFormat="false" ht="15.75" hidden="false" customHeight="tru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customFormat="false" ht="15.75" hidden="false" customHeight="tru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customFormat="false" ht="15.75" hidden="false" customHeight="tru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customFormat="false" ht="15.75" hidden="false" customHeight="tru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customFormat="false" ht="15.75" hidden="false" customHeight="tru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customFormat="false" ht="15.75" hidden="false" customHeight="tru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customFormat="false" ht="15.75" hidden="false" customHeight="tru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customFormat="false" ht="15.75" hidden="false" customHeight="true" outlineLevel="0" collapsed="false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customFormat="false" ht="15.75" hidden="false" customHeight="true" outlineLevel="0" collapsed="false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customFormat="false" ht="15.75" hidden="false" customHeight="true" outlineLevel="0" collapsed="false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customFormat="false" ht="15.75" hidden="false" customHeight="true" outlineLevel="0" collapsed="false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customFormat="false" ht="15.75" hidden="false" customHeight="true" outlineLevel="0" collapsed="false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customFormat="false" ht="15.75" hidden="false" customHeight="true" outlineLevel="0" collapsed="false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customFormat="false" ht="15.75" hidden="false" customHeight="true" outlineLevel="0" collapsed="false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customFormat="false" ht="15.75" hidden="false" customHeight="true" outlineLevel="0" collapsed="false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customFormat="false" ht="15.75" hidden="false" customHeight="true" outlineLevel="0" collapsed="false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customFormat="false" ht="15.75" hidden="false" customHeight="true" outlineLevel="0" collapsed="false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customFormat="false" ht="15.75" hidden="false" customHeight="true" outlineLevel="0" collapsed="false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customFormat="false" ht="15.75" hidden="false" customHeight="true" outlineLevel="0" collapsed="false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customFormat="false" ht="15.75" hidden="false" customHeight="true" outlineLevel="0" collapsed="false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customFormat="false" ht="15.75" hidden="false" customHeight="true" outlineLevel="0" collapsed="false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customFormat="false" ht="15.75" hidden="false" customHeight="true" outlineLevel="0" collapsed="false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customFormat="false" ht="15.75" hidden="false" customHeight="true" outlineLevel="0" collapsed="false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customFormat="false" ht="15.75" hidden="false" customHeight="true" outlineLevel="0" collapsed="false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customFormat="false" ht="15.75" hidden="false" customHeight="true" outlineLevel="0" collapsed="false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customFormat="false" ht="15.75" hidden="false" customHeight="true" outlineLevel="0" collapsed="false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customFormat="false" ht="15.75" hidden="false" customHeight="true" outlineLevel="0" collapsed="false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customFormat="false" ht="15.75" hidden="false" customHeight="true" outlineLevel="0" collapsed="false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customFormat="false" ht="15.75" hidden="false" customHeight="true" outlineLevel="0" collapsed="false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customFormat="false" ht="15.75" hidden="false" customHeight="true" outlineLevel="0" collapsed="false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customFormat="false" ht="15.75" hidden="false" customHeight="true" outlineLevel="0" collapsed="false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customFormat="false" ht="15.75" hidden="false" customHeight="true" outlineLevel="0" collapsed="false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customFormat="false" ht="15.75" hidden="false" customHeight="true" outlineLevel="0" collapsed="false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customFormat="false" ht="15.75" hidden="false" customHeight="true" outlineLevel="0" collapsed="false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customFormat="false" ht="15.75" hidden="false" customHeight="true" outlineLevel="0" collapsed="false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customFormat="false" ht="15.75" hidden="false" customHeight="true" outlineLevel="0" collapsed="false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customFormat="false" ht="15.75" hidden="false" customHeight="true" outlineLevel="0" collapsed="false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customFormat="false" ht="15.75" hidden="false" customHeight="true" outlineLevel="0" collapsed="false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customFormat="false" ht="15.75" hidden="false" customHeight="true" outlineLevel="0" collapsed="false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customFormat="false" ht="15.75" hidden="false" customHeight="true" outlineLevel="0" collapsed="false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customFormat="false" ht="15.75" hidden="false" customHeight="true" outlineLevel="0" collapsed="false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customFormat="false" ht="15.75" hidden="false" customHeight="true" outlineLevel="0" collapsed="false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customFormat="false" ht="15.75" hidden="false" customHeight="true" outlineLevel="0" collapsed="false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customFormat="false" ht="15.75" hidden="false" customHeight="tru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customFormat="false" ht="15.75" hidden="false" customHeight="tru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customFormat="false" ht="15.75" hidden="false" customHeight="tru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customFormat="false" ht="15.75" hidden="false" customHeight="tru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customFormat="false" ht="15.75" hidden="false" customHeight="tru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customFormat="false" ht="15.75" hidden="false" customHeight="tru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customFormat="false" ht="15.75" hidden="false" customHeight="tru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customFormat="false" ht="15.75" hidden="false" customHeight="tru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customFormat="false" ht="15.75" hidden="false" customHeight="tru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customFormat="false" ht="15.75" hidden="false" customHeight="tru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customFormat="false" ht="15.75" hidden="false" customHeight="tru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customFormat="false" ht="15.75" hidden="false" customHeight="tru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customFormat="false" ht="15.75" hidden="false" customHeight="tru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customFormat="false" ht="15.75" hidden="false" customHeight="tru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customFormat="false" ht="15.75" hidden="false" customHeight="tru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customFormat="false" ht="15.75" hidden="false" customHeight="tru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customFormat="false" ht="15.75" hidden="false" customHeight="tru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customFormat="false" ht="15.75" hidden="false" customHeight="tru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customFormat="false" ht="15.75" hidden="false" customHeight="tru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customFormat="false" ht="15.75" hidden="false" customHeight="tru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customFormat="false" ht="15.75" hidden="false" customHeight="tru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customFormat="false" ht="15.75" hidden="false" customHeight="tru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customFormat="false" ht="15.75" hidden="false" customHeight="tru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customFormat="false" ht="15.75" hidden="false" customHeight="tru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customFormat="false" ht="15.75" hidden="false" customHeight="tru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customFormat="false" ht="15.75" hidden="false" customHeight="tru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customFormat="false" ht="15.75" hidden="false" customHeight="tru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customFormat="false" ht="15.75" hidden="false" customHeight="tru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customFormat="false" ht="15.75" hidden="false" customHeight="tru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customFormat="false" ht="15.75" hidden="false" customHeight="tru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customFormat="false" ht="15.75" hidden="false" customHeight="tru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customFormat="false" ht="15.75" hidden="false" customHeight="tru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customFormat="false" ht="15.75" hidden="false" customHeight="tru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customFormat="false" ht="15.75" hidden="false" customHeight="tru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customFormat="false" ht="15.75" hidden="false" customHeight="tru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customFormat="false" ht="15.75" hidden="false" customHeight="tru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customFormat="false" ht="15.75" hidden="false" customHeight="tru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customFormat="false" ht="15.75" hidden="false" customHeight="tru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customFormat="false" ht="15.75" hidden="false" customHeight="tru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customFormat="false" ht="15.75" hidden="false" customHeight="tru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customFormat="false" ht="15.75" hidden="false" customHeight="tru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customFormat="false" ht="15.75" hidden="false" customHeight="tru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customFormat="false" ht="15.75" hidden="false" customHeight="tru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customFormat="false" ht="15.75" hidden="false" customHeight="tru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customFormat="false" ht="15.75" hidden="false" customHeight="tru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customFormat="false" ht="15.75" hidden="false" customHeight="tru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customFormat="false" ht="15.75" hidden="false" customHeight="tru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customFormat="false" ht="15.75" hidden="false" customHeight="tru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customFormat="false" ht="15.75" hidden="false" customHeight="tru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customFormat="false" ht="15.75" hidden="false" customHeight="tru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customFormat="false" ht="15.75" hidden="false" customHeight="tru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customFormat="false" ht="15.75" hidden="false" customHeight="tru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customFormat="false" ht="15.75" hidden="false" customHeight="tru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customFormat="false" ht="15.75" hidden="false" customHeight="tru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customFormat="false" ht="15.75" hidden="false" customHeight="tru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customFormat="false" ht="15.75" hidden="false" customHeight="tru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customFormat="false" ht="15.75" hidden="false" customHeight="tru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customFormat="false" ht="15.75" hidden="false" customHeight="tru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customFormat="false" ht="15.75" hidden="false" customHeight="tru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customFormat="false" ht="15.75" hidden="false" customHeight="tru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customFormat="false" ht="15.75" hidden="false" customHeight="tru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customFormat="false" ht="15.75" hidden="false" customHeight="tru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customFormat="false" ht="15.75" hidden="false" customHeight="tru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customFormat="false" ht="15.75" hidden="false" customHeight="tru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customFormat="false" ht="15.75" hidden="false" customHeight="tru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customFormat="false" ht="15.75" hidden="false" customHeight="tru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customFormat="false" ht="15.75" hidden="false" customHeight="tru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customFormat="false" ht="15.75" hidden="false" customHeight="tru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customFormat="false" ht="15.75" hidden="false" customHeight="tru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customFormat="false" ht="15.75" hidden="false" customHeight="tru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customFormat="false" ht="15.75" hidden="false" customHeight="tru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customFormat="false" ht="15.75" hidden="false" customHeight="tru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customFormat="false" ht="15.75" hidden="false" customHeight="tru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customFormat="false" ht="15.75" hidden="false" customHeight="tru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customFormat="false" ht="15.75" hidden="false" customHeight="tru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customFormat="false" ht="15.75" hidden="false" customHeight="tru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customFormat="false" ht="15.75" hidden="false" customHeight="tru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customFormat="false" ht="15.75" hidden="false" customHeight="tru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customFormat="false" ht="15.75" hidden="false" customHeight="tru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customFormat="false" ht="15.75" hidden="false" customHeight="tru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customFormat="false" ht="15.75" hidden="false" customHeight="tru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customFormat="false" ht="15.75" hidden="false" customHeight="tru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customFormat="false" ht="15.75" hidden="false" customHeight="tru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customFormat="false" ht="15.75" hidden="false" customHeight="tru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customFormat="false" ht="15.75" hidden="false" customHeight="tru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customFormat="false" ht="15.75" hidden="false" customHeight="tru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customFormat="false" ht="15.75" hidden="false" customHeight="tru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customFormat="false" ht="15.75" hidden="false" customHeight="tru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customFormat="false" ht="15.75" hidden="false" customHeight="tru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customFormat="false" ht="15.75" hidden="false" customHeight="tru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customFormat="false" ht="15.75" hidden="false" customHeight="tru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customFormat="false" ht="15.75" hidden="false" customHeight="tru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customFormat="false" ht="15.75" hidden="false" customHeight="tru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customFormat="false" ht="15.75" hidden="false" customHeight="tru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customFormat="false" ht="15.75" hidden="false" customHeight="tru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customFormat="false" ht="15.75" hidden="false" customHeight="tru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customFormat="false" ht="15.75" hidden="false" customHeight="tru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customFormat="false" ht="15.75" hidden="false" customHeight="tru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customFormat="false" ht="15.75" hidden="false" customHeight="tru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customFormat="false" ht="15.75" hidden="false" customHeight="tru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customFormat="false" ht="15.75" hidden="false" customHeight="tru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customFormat="false" ht="15.75" hidden="false" customHeight="tru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customFormat="false" ht="15.75" hidden="false" customHeight="tru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customFormat="false" ht="15.75" hidden="false" customHeight="tru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customFormat="false" ht="15.75" hidden="false" customHeight="tru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customFormat="false" ht="15.75" hidden="false" customHeight="tru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customFormat="false" ht="15.75" hidden="false" customHeight="tru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customFormat="false" ht="15.75" hidden="false" customHeight="tru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customFormat="false" ht="15.75" hidden="false" customHeight="tru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customFormat="false" ht="15.75" hidden="false" customHeight="tru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customFormat="false" ht="15.75" hidden="false" customHeight="tru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customFormat="false" ht="15.75" hidden="false" customHeight="tru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customFormat="false" ht="15.75" hidden="false" customHeight="tru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customFormat="false" ht="15.75" hidden="false" customHeight="tru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customFormat="false" ht="15.75" hidden="false" customHeight="tru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customFormat="false" ht="15.75" hidden="false" customHeight="tru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customFormat="false" ht="15.75" hidden="false" customHeight="tru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customFormat="false" ht="15.75" hidden="false" customHeight="tru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customFormat="false" ht="15.75" hidden="false" customHeight="tru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customFormat="false" ht="15.75" hidden="false" customHeight="tru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customFormat="false" ht="15.75" hidden="false" customHeight="tru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customFormat="false" ht="15.75" hidden="false" customHeight="tru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customFormat="false" ht="15.75" hidden="false" customHeight="tru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customFormat="false" ht="15.75" hidden="false" customHeight="tru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customFormat="false" ht="15.75" hidden="false" customHeight="tru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customFormat="false" ht="15.75" hidden="false" customHeight="tru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customFormat="false" ht="15.75" hidden="false" customHeight="tru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customFormat="false" ht="15.75" hidden="false" customHeight="tru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customFormat="false" ht="15.75" hidden="false" customHeight="tru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customFormat="false" ht="15.75" hidden="false" customHeight="tru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customFormat="false" ht="15.75" hidden="false" customHeight="tru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customFormat="false" ht="15.75" hidden="false" customHeight="tru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customFormat="false" ht="15.75" hidden="false" customHeight="tru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customFormat="false" ht="15.75" hidden="false" customHeight="tru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customFormat="false" ht="15.75" hidden="false" customHeight="tru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customFormat="false" ht="15.75" hidden="false" customHeight="tru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customFormat="false" ht="15.75" hidden="false" customHeight="tru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customFormat="false" ht="15.75" hidden="false" customHeight="tru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customFormat="false" ht="15.75" hidden="false" customHeight="tru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customFormat="false" ht="15.75" hidden="false" customHeight="tru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customFormat="false" ht="15.75" hidden="false" customHeight="tru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customFormat="false" ht="15.75" hidden="false" customHeight="tru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customFormat="false" ht="15.75" hidden="false" customHeight="tru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customFormat="false" ht="15.75" hidden="false" customHeight="tru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customFormat="false" ht="15.75" hidden="false" customHeight="tru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customFormat="false" ht="15.75" hidden="false" customHeight="tru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customFormat="false" ht="15.75" hidden="false" customHeight="tru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customFormat="false" ht="15.75" hidden="false" customHeight="tru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customFormat="false" ht="15.75" hidden="false" customHeight="tru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customFormat="false" ht="15.75" hidden="false" customHeight="tru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customFormat="false" ht="15.75" hidden="false" customHeight="tru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customFormat="false" ht="15.75" hidden="false" customHeight="tru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customFormat="false" ht="15.75" hidden="false" customHeight="tru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customFormat="false" ht="15.75" hidden="false" customHeight="tru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customFormat="false" ht="15.75" hidden="false" customHeight="tru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customFormat="false" ht="15.75" hidden="false" customHeight="tru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customFormat="false" ht="15.75" hidden="false" customHeight="tru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customFormat="false" ht="15.75" hidden="false" customHeight="tru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customFormat="false" ht="15.75" hidden="false" customHeight="tru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customFormat="false" ht="15.75" hidden="false" customHeight="tru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customFormat="false" ht="15.75" hidden="false" customHeight="tru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customFormat="false" ht="15.75" hidden="false" customHeight="tru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customFormat="false" ht="15.75" hidden="false" customHeight="tru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customFormat="false" ht="15.75" hidden="false" customHeight="tru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customFormat="false" ht="15.75" hidden="false" customHeight="tru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customFormat="false" ht="15.75" hidden="false" customHeight="tru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customFormat="false" ht="15.75" hidden="false" customHeight="tru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customFormat="false" ht="15.75" hidden="false" customHeight="tru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customFormat="false" ht="15.75" hidden="false" customHeight="tru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customFormat="false" ht="15.75" hidden="false" customHeight="tru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customFormat="false" ht="15.75" hidden="false" customHeight="tru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customFormat="false" ht="15.75" hidden="false" customHeight="tru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customFormat="false" ht="15.75" hidden="false" customHeight="tru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customFormat="false" ht="15.75" hidden="false" customHeight="tru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customFormat="false" ht="15.75" hidden="false" customHeight="tru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customFormat="false" ht="15.75" hidden="false" customHeight="tru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customFormat="false" ht="15.75" hidden="false" customHeight="tru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customFormat="false" ht="15.75" hidden="false" customHeight="tru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customFormat="false" ht="15.75" hidden="false" customHeight="tru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customFormat="false" ht="15.75" hidden="false" customHeight="tru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customFormat="false" ht="15.75" hidden="false" customHeight="tru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customFormat="false" ht="15.75" hidden="false" customHeight="tru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customFormat="false" ht="15.75" hidden="false" customHeight="tru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customFormat="false" ht="15.75" hidden="false" customHeight="tru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customFormat="false" ht="15.75" hidden="false" customHeight="tru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customFormat="false" ht="15.75" hidden="false" customHeight="tru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customFormat="false" ht="15.75" hidden="false" customHeight="tru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customFormat="false" ht="15.75" hidden="false" customHeight="tru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customFormat="false" ht="15.75" hidden="false" customHeight="tru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customFormat="false" ht="15.75" hidden="false" customHeight="tru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customFormat="false" ht="15.75" hidden="false" customHeight="tru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customFormat="false" ht="15.75" hidden="false" customHeight="tru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customFormat="false" ht="15.75" hidden="false" customHeight="tru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customFormat="false" ht="15.75" hidden="false" customHeight="tru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customFormat="false" ht="15.75" hidden="false" customHeight="tru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customFormat="false" ht="15.75" hidden="false" customHeight="tru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customFormat="false" ht="15.75" hidden="false" customHeight="tru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customFormat="false" ht="15.75" hidden="false" customHeight="tru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customFormat="false" ht="15.75" hidden="false" customHeight="tru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customFormat="false" ht="15.75" hidden="false" customHeight="tru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customFormat="false" ht="15.75" hidden="false" customHeight="tru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customFormat="false" ht="15.75" hidden="false" customHeight="tru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customFormat="false" ht="15.75" hidden="false" customHeight="tru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customFormat="false" ht="15.75" hidden="false" customHeight="tru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customFormat="false" ht="15.75" hidden="false" customHeight="tru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customFormat="false" ht="15.75" hidden="false" customHeight="tru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customFormat="false" ht="15.75" hidden="false" customHeight="tru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customFormat="false" ht="15.75" hidden="false" customHeight="tru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customFormat="false" ht="15.75" hidden="false" customHeight="tru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customFormat="false" ht="15.75" hidden="false" customHeight="tru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customFormat="false" ht="15.75" hidden="false" customHeight="tru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customFormat="false" ht="15.75" hidden="false" customHeight="tru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customFormat="false" ht="15.75" hidden="false" customHeight="tru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customFormat="false" ht="15.75" hidden="false" customHeight="tru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customFormat="false" ht="15.75" hidden="false" customHeight="tru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customFormat="false" ht="15.75" hidden="false" customHeight="tru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customFormat="false" ht="15.75" hidden="false" customHeight="tru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customFormat="false" ht="15.75" hidden="false" customHeight="tru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customFormat="false" ht="15.75" hidden="false" customHeight="tru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customFormat="false" ht="15.75" hidden="false" customHeight="tru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customFormat="false" ht="15.75" hidden="false" customHeight="tru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customFormat="false" ht="15.75" hidden="false" customHeight="tru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customFormat="false" ht="15.75" hidden="false" customHeight="tru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customFormat="false" ht="15.75" hidden="false" customHeight="tru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customFormat="false" ht="15.75" hidden="false" customHeight="tru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customFormat="false" ht="15.75" hidden="false" customHeight="tru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customFormat="false" ht="15.75" hidden="false" customHeight="tru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customFormat="false" ht="15.75" hidden="false" customHeight="tru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customFormat="false" ht="15.75" hidden="false" customHeight="tru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customFormat="false" ht="15.75" hidden="false" customHeight="tru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customFormat="false" ht="15.75" hidden="false" customHeight="tru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customFormat="false" ht="15.75" hidden="false" customHeight="tru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customFormat="false" ht="15.75" hidden="false" customHeight="tru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customFormat="false" ht="15.75" hidden="false" customHeight="tru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customFormat="false" ht="15.75" hidden="false" customHeight="tru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customFormat="false" ht="15.75" hidden="false" customHeight="tru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customFormat="false" ht="15.75" hidden="false" customHeight="tru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customFormat="false" ht="15.75" hidden="false" customHeight="tru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customFormat="false" ht="15.75" hidden="false" customHeight="tru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customFormat="false" ht="15.75" hidden="false" customHeight="tru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customFormat="false" ht="15.75" hidden="false" customHeight="tru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customFormat="false" ht="15.75" hidden="false" customHeight="tru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customFormat="false" ht="15.75" hidden="false" customHeight="tru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customFormat="false" ht="15.75" hidden="false" customHeight="tru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customFormat="false" ht="15.75" hidden="false" customHeight="tru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customFormat="false" ht="15.75" hidden="false" customHeight="tru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customFormat="false" ht="15.75" hidden="false" customHeight="tru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customFormat="false" ht="15.75" hidden="false" customHeight="tru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customFormat="false" ht="15.75" hidden="false" customHeight="tru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customFormat="false" ht="15.75" hidden="false" customHeight="tru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customFormat="false" ht="15.75" hidden="false" customHeight="tru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customFormat="false" ht="15.75" hidden="false" customHeight="tru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customFormat="false" ht="15.75" hidden="false" customHeight="tru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customFormat="false" ht="15.75" hidden="false" customHeight="tru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customFormat="false" ht="15.75" hidden="false" customHeight="tru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customFormat="false" ht="15.75" hidden="false" customHeight="tru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customFormat="false" ht="15.75" hidden="false" customHeight="tru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customFormat="false" ht="15.75" hidden="false" customHeight="tru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customFormat="false" ht="15.75" hidden="false" customHeight="tru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customFormat="false" ht="15.75" hidden="false" customHeight="tru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customFormat="false" ht="15.75" hidden="false" customHeight="tru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customFormat="false" ht="15.75" hidden="false" customHeight="tru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customFormat="false" ht="15.75" hidden="false" customHeight="tru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customFormat="false" ht="15.75" hidden="false" customHeight="tru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customFormat="false" ht="15.75" hidden="false" customHeight="tru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customFormat="false" ht="15.75" hidden="false" customHeight="tru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customFormat="false" ht="15.75" hidden="false" customHeight="tru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customFormat="false" ht="15.75" hidden="false" customHeight="tru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customFormat="false" ht="15.75" hidden="false" customHeight="tru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customFormat="false" ht="15.75" hidden="false" customHeight="tru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customFormat="false" ht="15.75" hidden="false" customHeight="tru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customFormat="false" ht="15.75" hidden="false" customHeight="tru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customFormat="false" ht="15.75" hidden="false" customHeight="tru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customFormat="false" ht="15.75" hidden="false" customHeight="tru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customFormat="false" ht="15.75" hidden="false" customHeight="tru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customFormat="false" ht="15.75" hidden="false" customHeight="tru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customFormat="false" ht="15.75" hidden="false" customHeight="tru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customFormat="false" ht="15.75" hidden="false" customHeight="tru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customFormat="false" ht="15.75" hidden="false" customHeight="tru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customFormat="false" ht="15.75" hidden="false" customHeight="tru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customFormat="false" ht="15.75" hidden="false" customHeight="tru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customFormat="false" ht="15.75" hidden="false" customHeight="tru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customFormat="false" ht="15.75" hidden="false" customHeight="tru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customFormat="false" ht="15.75" hidden="false" customHeight="tru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customFormat="false" ht="15.75" hidden="false" customHeight="tru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customFormat="false" ht="15.75" hidden="false" customHeight="tru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customFormat="false" ht="15.75" hidden="false" customHeight="tru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customFormat="false" ht="15.75" hidden="false" customHeight="tru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customFormat="false" ht="15.75" hidden="false" customHeight="tru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customFormat="false" ht="15.75" hidden="false" customHeight="tru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customFormat="false" ht="15.75" hidden="false" customHeight="tru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customFormat="false" ht="15.75" hidden="false" customHeight="tru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customFormat="false" ht="15.75" hidden="false" customHeight="tru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customFormat="false" ht="15.75" hidden="false" customHeight="tru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customFormat="false" ht="15.75" hidden="false" customHeight="tru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customFormat="false" ht="15.75" hidden="false" customHeight="tru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customFormat="false" ht="15.75" hidden="false" customHeight="tru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customFormat="false" ht="15.75" hidden="false" customHeight="tru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customFormat="false" ht="15.75" hidden="false" customHeight="tru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customFormat="false" ht="15.75" hidden="false" customHeight="tru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customFormat="false" ht="15.75" hidden="false" customHeight="tru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customFormat="false" ht="15.75" hidden="false" customHeight="tru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customFormat="false" ht="15.75" hidden="false" customHeight="tru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customFormat="false" ht="15.75" hidden="false" customHeight="tru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customFormat="false" ht="15.75" hidden="false" customHeight="tru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customFormat="false" ht="15.75" hidden="false" customHeight="tru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customFormat="false" ht="15.75" hidden="false" customHeight="tru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customFormat="false" ht="15.75" hidden="false" customHeight="tru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customFormat="false" ht="15.75" hidden="false" customHeight="tru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customFormat="false" ht="15.75" hidden="false" customHeight="tru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customFormat="false" ht="15.75" hidden="false" customHeight="tru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customFormat="false" ht="15.75" hidden="false" customHeight="tru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customFormat="false" ht="15.75" hidden="false" customHeight="tru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customFormat="false" ht="15.75" hidden="false" customHeight="tru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customFormat="false" ht="15.75" hidden="false" customHeight="tru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customFormat="false" ht="15.75" hidden="false" customHeight="tru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customFormat="false" ht="15.75" hidden="false" customHeight="tru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customFormat="false" ht="15.75" hidden="false" customHeight="tru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customFormat="false" ht="15.75" hidden="false" customHeight="tru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customFormat="false" ht="15.75" hidden="false" customHeight="tru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customFormat="false" ht="15.75" hidden="false" customHeight="tru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customFormat="false" ht="15.75" hidden="false" customHeight="tru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customFormat="false" ht="15.75" hidden="false" customHeight="tru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customFormat="false" ht="15.75" hidden="false" customHeight="tru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customFormat="false" ht="15.75" hidden="false" customHeight="tru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customFormat="false" ht="15.75" hidden="false" customHeight="tru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customFormat="false" ht="15.75" hidden="false" customHeight="tru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customFormat="false" ht="15.75" hidden="false" customHeight="tru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customFormat="false" ht="15.75" hidden="false" customHeight="tru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customFormat="false" ht="15.75" hidden="false" customHeight="tru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customFormat="false" ht="15.75" hidden="false" customHeight="tru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customFormat="false" ht="15.75" hidden="false" customHeight="tru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customFormat="false" ht="15.75" hidden="false" customHeight="tru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customFormat="false" ht="15.75" hidden="false" customHeight="tru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customFormat="false" ht="15.75" hidden="false" customHeight="tru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customFormat="false" ht="15.75" hidden="false" customHeight="tru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customFormat="false" ht="15.75" hidden="false" customHeight="tru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customFormat="false" ht="15.75" hidden="false" customHeight="tru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customFormat="false" ht="15.75" hidden="false" customHeight="tru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customFormat="false" ht="15.75" hidden="false" customHeight="tru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customFormat="false" ht="15.75" hidden="false" customHeight="tru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customFormat="false" ht="15.75" hidden="false" customHeight="tru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customFormat="false" ht="15.75" hidden="false" customHeight="tru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customFormat="false" ht="15.75" hidden="false" customHeight="tru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customFormat="false" ht="15.75" hidden="false" customHeight="tru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customFormat="false" ht="15.75" hidden="false" customHeight="tru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customFormat="false" ht="15.75" hidden="false" customHeight="tru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customFormat="false" ht="15.75" hidden="false" customHeight="tru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customFormat="false" ht="15.75" hidden="false" customHeight="tru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customFormat="false" ht="15.75" hidden="false" customHeight="tru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customFormat="false" ht="15.75" hidden="false" customHeight="tru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customFormat="false" ht="15.75" hidden="false" customHeight="tru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customFormat="false" ht="15.75" hidden="false" customHeight="tru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customFormat="false" ht="15.75" hidden="false" customHeight="tru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customFormat="false" ht="15.75" hidden="false" customHeight="tru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customFormat="false" ht="15.75" hidden="false" customHeight="tru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customFormat="false" ht="15.75" hidden="false" customHeight="tru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customFormat="false" ht="15.75" hidden="false" customHeight="tru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customFormat="false" ht="15.75" hidden="false" customHeight="tru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customFormat="false" ht="15.75" hidden="false" customHeight="tru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customFormat="false" ht="15.75" hidden="false" customHeight="tru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customFormat="false" ht="15.75" hidden="false" customHeight="tru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customFormat="false" ht="15.75" hidden="false" customHeight="tru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customFormat="false" ht="15.75" hidden="false" customHeight="tru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customFormat="false" ht="15.75" hidden="false" customHeight="tru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customFormat="false" ht="15.75" hidden="false" customHeight="tru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customFormat="false" ht="15.75" hidden="false" customHeight="tru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customFormat="false" ht="15.75" hidden="false" customHeight="tru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customFormat="false" ht="15.75" hidden="false" customHeight="tru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customFormat="false" ht="15.75" hidden="false" customHeight="tru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customFormat="false" ht="15.75" hidden="false" customHeight="tru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customFormat="false" ht="15.75" hidden="false" customHeight="tru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customFormat="false" ht="15.75" hidden="false" customHeight="tru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customFormat="false" ht="15.75" hidden="false" customHeight="tru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customFormat="false" ht="15.75" hidden="false" customHeight="tru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customFormat="false" ht="15.75" hidden="false" customHeight="tru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customFormat="false" ht="15.75" hidden="false" customHeight="tru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customFormat="false" ht="15.75" hidden="false" customHeight="tru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customFormat="false" ht="15.75" hidden="false" customHeight="tru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customFormat="false" ht="15.75" hidden="false" customHeight="tru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customFormat="false" ht="15.75" hidden="false" customHeight="tru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customFormat="false" ht="15.75" hidden="false" customHeight="tru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customFormat="false" ht="15.75" hidden="false" customHeight="tru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customFormat="false" ht="15.75" hidden="false" customHeight="tru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customFormat="false" ht="15.75" hidden="false" customHeight="tru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customFormat="false" ht="15.75" hidden="false" customHeight="tru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customFormat="false" ht="15.75" hidden="false" customHeight="tru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customFormat="false" ht="15.75" hidden="false" customHeight="tru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customFormat="false" ht="15.75" hidden="false" customHeight="tru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customFormat="false" ht="15.75" hidden="false" customHeight="tru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customFormat="false" ht="15.75" hidden="false" customHeight="tru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customFormat="false" ht="15.75" hidden="false" customHeight="tru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customFormat="false" ht="15.75" hidden="false" customHeight="tru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customFormat="false" ht="15.75" hidden="false" customHeight="tru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customFormat="false" ht="15.75" hidden="false" customHeight="tru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customFormat="false" ht="15.75" hidden="false" customHeight="tru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customFormat="false" ht="15.75" hidden="false" customHeight="tru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customFormat="false" ht="15.75" hidden="false" customHeight="tru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customFormat="false" ht="15.75" hidden="false" customHeight="tru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customFormat="false" ht="15.75" hidden="false" customHeight="tru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customFormat="false" ht="15.75" hidden="false" customHeight="tru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customFormat="false" ht="15.75" hidden="false" customHeight="tru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customFormat="false" ht="15.75" hidden="false" customHeight="tru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customFormat="false" ht="15.75" hidden="false" customHeight="tru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customFormat="false" ht="15.75" hidden="false" customHeight="tru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customFormat="false" ht="15.75" hidden="false" customHeight="tru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customFormat="false" ht="15.75" hidden="false" customHeight="tru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customFormat="false" ht="15.75" hidden="false" customHeight="tru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customFormat="false" ht="15.75" hidden="false" customHeight="tru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customFormat="false" ht="15.75" hidden="false" customHeight="tru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customFormat="false" ht="15.75" hidden="false" customHeight="tru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customFormat="false" ht="15.75" hidden="false" customHeight="tru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customFormat="false" ht="15.75" hidden="false" customHeight="tru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customFormat="false" ht="15.75" hidden="false" customHeight="tru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customFormat="false" ht="15.75" hidden="false" customHeight="tru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customFormat="false" ht="15.75" hidden="false" customHeight="tru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customFormat="false" ht="15.75" hidden="false" customHeight="tru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customFormat="false" ht="15.75" hidden="false" customHeight="tru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customFormat="false" ht="15.75" hidden="false" customHeight="tru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customFormat="false" ht="15.75" hidden="false" customHeight="tru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customFormat="false" ht="15.75" hidden="false" customHeight="tru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customFormat="false" ht="15.75" hidden="false" customHeight="tru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customFormat="false" ht="15.75" hidden="false" customHeight="tru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customFormat="false" ht="15.75" hidden="false" customHeight="tru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customFormat="false" ht="15.75" hidden="false" customHeight="tru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customFormat="false" ht="15.75" hidden="false" customHeight="tru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customFormat="false" ht="15.75" hidden="false" customHeight="tru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customFormat="false" ht="15.75" hidden="false" customHeight="tru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customFormat="false" ht="15.75" hidden="false" customHeight="tru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customFormat="false" ht="15.75" hidden="false" customHeight="tru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customFormat="false" ht="15.75" hidden="false" customHeight="tru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customFormat="false" ht="15.75" hidden="false" customHeight="tru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customFormat="false" ht="15.75" hidden="false" customHeight="tru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customFormat="false" ht="15.75" hidden="false" customHeight="tru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customFormat="false" ht="15.75" hidden="false" customHeight="tru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customFormat="false" ht="15.75" hidden="false" customHeight="tru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customFormat="false" ht="15.75" hidden="false" customHeight="tru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customFormat="false" ht="15.75" hidden="false" customHeight="tru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customFormat="false" ht="15.75" hidden="false" customHeight="tru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customFormat="false" ht="15.75" hidden="false" customHeight="tru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customFormat="false" ht="15.75" hidden="false" customHeight="tru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customFormat="false" ht="15.75" hidden="false" customHeight="tru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customFormat="false" ht="15.75" hidden="false" customHeight="tru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customFormat="false" ht="15.75" hidden="false" customHeight="tru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customFormat="false" ht="15.75" hidden="false" customHeight="tru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customFormat="false" ht="15.75" hidden="false" customHeight="tru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customFormat="false" ht="15.75" hidden="false" customHeight="tru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customFormat="false" ht="15.75" hidden="false" customHeight="tru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customFormat="false" ht="15.75" hidden="false" customHeight="tru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customFormat="false" ht="15.75" hidden="false" customHeight="tru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customFormat="false" ht="15.75" hidden="false" customHeight="tru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customFormat="false" ht="15.75" hidden="false" customHeight="tru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customFormat="false" ht="15.75" hidden="false" customHeight="tru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customFormat="false" ht="15.75" hidden="false" customHeight="tru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customFormat="false" ht="15.75" hidden="false" customHeight="tru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customFormat="false" ht="15.75" hidden="false" customHeight="tru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customFormat="false" ht="15.75" hidden="false" customHeight="tru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customFormat="false" ht="15.75" hidden="false" customHeight="tru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customFormat="false" ht="15.75" hidden="false" customHeight="tru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customFormat="false" ht="15.75" hidden="false" customHeight="tru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customFormat="false" ht="15.75" hidden="false" customHeight="tru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customFormat="false" ht="15.75" hidden="false" customHeight="tru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customFormat="false" ht="15.75" hidden="false" customHeight="tru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customFormat="false" ht="15.75" hidden="false" customHeight="tru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customFormat="false" ht="15.75" hidden="false" customHeight="tru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customFormat="false" ht="15.75" hidden="false" customHeight="tru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customFormat="false" ht="15.75" hidden="false" customHeight="tru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customFormat="false" ht="15.75" hidden="false" customHeight="tru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customFormat="false" ht="15.75" hidden="false" customHeight="tru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customFormat="false" ht="15.75" hidden="false" customHeight="tru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customFormat="false" ht="15.75" hidden="false" customHeight="tru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customFormat="false" ht="15.75" hidden="false" customHeight="tru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customFormat="false" ht="15.75" hidden="false" customHeight="tru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customFormat="false" ht="15.75" hidden="false" customHeight="tru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customFormat="false" ht="15.75" hidden="false" customHeight="tru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customFormat="false" ht="15.75" hidden="false" customHeight="tru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customFormat="false" ht="15.75" hidden="false" customHeight="tru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customFormat="false" ht="15.75" hidden="false" customHeight="tru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customFormat="false" ht="15.75" hidden="false" customHeight="tru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customFormat="false" ht="15.75" hidden="false" customHeight="tru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customFormat="false" ht="15.75" hidden="false" customHeight="tru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customFormat="false" ht="15.75" hidden="false" customHeight="tru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customFormat="false" ht="15.75" hidden="false" customHeight="tru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customFormat="false" ht="15.75" hidden="false" customHeight="tru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customFormat="false" ht="15.75" hidden="false" customHeight="tru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customFormat="false" ht="15.75" hidden="false" customHeight="tru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customFormat="false" ht="15.75" hidden="false" customHeight="tru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customFormat="false" ht="15.75" hidden="false" customHeight="tru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customFormat="false" ht="15.75" hidden="false" customHeight="tru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customFormat="false" ht="15.75" hidden="false" customHeight="tru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customFormat="false" ht="15.75" hidden="false" customHeight="tru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customFormat="false" ht="15.75" hidden="false" customHeight="tru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customFormat="false" ht="15.75" hidden="false" customHeight="tru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customFormat="false" ht="15.75" hidden="false" customHeight="tru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customFormat="false" ht="15.75" hidden="false" customHeight="tru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customFormat="false" ht="15.75" hidden="false" customHeight="tru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customFormat="false" ht="15.75" hidden="false" customHeight="tru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customFormat="false" ht="15.75" hidden="false" customHeight="tru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customFormat="false" ht="15.75" hidden="false" customHeight="tru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customFormat="false" ht="15.75" hidden="false" customHeight="tru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customFormat="false" ht="15.75" hidden="false" customHeight="tru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customFormat="false" ht="15.75" hidden="false" customHeight="tru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customFormat="false" ht="15.75" hidden="false" customHeight="tru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customFormat="false" ht="15.75" hidden="false" customHeight="tru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customFormat="false" ht="15.75" hidden="false" customHeight="tru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customFormat="false" ht="15.75" hidden="false" customHeight="tru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customFormat="false" ht="15.75" hidden="false" customHeight="tru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customFormat="false" ht="15.75" hidden="false" customHeight="tru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customFormat="false" ht="15.75" hidden="false" customHeight="tru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customFormat="false" ht="15.75" hidden="false" customHeight="tru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customFormat="false" ht="15.75" hidden="false" customHeight="tru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customFormat="false" ht="15.75" hidden="false" customHeight="tru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customFormat="false" ht="15.75" hidden="false" customHeight="tru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customFormat="false" ht="15.75" hidden="false" customHeight="tru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customFormat="false" ht="15.75" hidden="false" customHeight="tru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customFormat="false" ht="15.75" hidden="false" customHeight="tru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customFormat="false" ht="15.75" hidden="false" customHeight="tru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customFormat="false" ht="15.75" hidden="false" customHeight="tru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customFormat="false" ht="15.75" hidden="false" customHeight="tru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customFormat="false" ht="15.75" hidden="false" customHeight="tru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customFormat="false" ht="15.75" hidden="false" customHeight="tru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customFormat="false" ht="15.75" hidden="false" customHeight="tru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customFormat="false" ht="15.75" hidden="false" customHeight="tru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customFormat="false" ht="15.75" hidden="false" customHeight="tru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customFormat="false" ht="15.75" hidden="false" customHeight="tru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customFormat="false" ht="15.75" hidden="false" customHeight="tru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customFormat="false" ht="15.75" hidden="false" customHeight="tru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customFormat="false" ht="15.75" hidden="false" customHeight="tru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customFormat="false" ht="15.75" hidden="false" customHeight="tru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customFormat="false" ht="15.75" hidden="false" customHeight="tru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customFormat="false" ht="15.75" hidden="false" customHeight="tru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customFormat="false" ht="15.75" hidden="false" customHeight="tru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customFormat="false" ht="15.75" hidden="false" customHeight="tru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customFormat="false" ht="15.75" hidden="false" customHeight="tru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customFormat="false" ht="15.75" hidden="false" customHeight="tru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customFormat="false" ht="15.75" hidden="false" customHeight="tru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customFormat="false" ht="15.75" hidden="false" customHeight="tru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customFormat="false" ht="15.75" hidden="false" customHeight="tru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customFormat="false" ht="15.75" hidden="false" customHeight="tru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customFormat="false" ht="15.75" hidden="false" customHeight="tru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customFormat="false" ht="15.75" hidden="false" customHeight="tru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customFormat="false" ht="15.75" hidden="false" customHeight="tru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customFormat="false" ht="15.75" hidden="false" customHeight="tru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customFormat="false" ht="15.75" hidden="false" customHeight="tru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customFormat="false" ht="15.75" hidden="false" customHeight="tru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customFormat="false" ht="15.75" hidden="false" customHeight="tru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customFormat="false" ht="15.75" hidden="false" customHeight="tru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customFormat="false" ht="15.75" hidden="false" customHeight="tru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customFormat="false" ht="15.75" hidden="false" customHeight="tru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customFormat="false" ht="15.75" hidden="false" customHeight="tru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customFormat="false" ht="15.75" hidden="false" customHeight="tru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customFormat="false" ht="15.75" hidden="false" customHeight="tru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customFormat="false" ht="15.75" hidden="false" customHeight="tru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customFormat="false" ht="15.75" hidden="false" customHeight="tru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customFormat="false" ht="15.75" hidden="false" customHeight="tru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customFormat="false" ht="15.75" hidden="false" customHeight="tru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customFormat="false" ht="15.75" hidden="false" customHeight="tru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customFormat="false" ht="15.75" hidden="false" customHeight="tru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customFormat="false" ht="15.75" hidden="false" customHeight="tru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customFormat="false" ht="15.75" hidden="false" customHeight="tru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customFormat="false" ht="15.75" hidden="false" customHeight="tru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customFormat="false" ht="15.75" hidden="false" customHeight="tru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customFormat="false" ht="15.75" hidden="false" customHeight="tru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customFormat="false" ht="15.75" hidden="false" customHeight="tru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customFormat="false" ht="15.75" hidden="false" customHeight="tru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customFormat="false" ht="15.75" hidden="false" customHeight="tru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customFormat="false" ht="15.75" hidden="false" customHeight="tru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customFormat="false" ht="15.75" hidden="false" customHeight="tru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customFormat="false" ht="15.75" hidden="false" customHeight="tru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customFormat="false" ht="15.75" hidden="false" customHeight="tru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customFormat="false" ht="15.75" hidden="false" customHeight="tru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customFormat="false" ht="15.75" hidden="false" customHeight="tru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customFormat="false" ht="15.75" hidden="false" customHeight="tru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customFormat="false" ht="15.75" hidden="false" customHeight="tru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customFormat="false" ht="15.75" hidden="false" customHeight="tru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customFormat="false" ht="15.75" hidden="false" customHeight="tru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customFormat="false" ht="15.75" hidden="false" customHeight="tru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customFormat="false" ht="15.75" hidden="false" customHeight="tru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customFormat="false" ht="15.75" hidden="false" customHeight="tru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customFormat="false" ht="15.75" hidden="false" customHeight="tru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customFormat="false" ht="15.75" hidden="false" customHeight="tru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customFormat="false" ht="15.75" hidden="false" customHeight="tru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customFormat="false" ht="15.75" hidden="false" customHeight="tru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customFormat="false" ht="15.75" hidden="false" customHeight="tru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customFormat="false" ht="15.75" hidden="false" customHeight="tru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customFormat="false" ht="15.75" hidden="false" customHeight="tru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customFormat="false" ht="15.75" hidden="false" customHeight="tru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customFormat="false" ht="15.75" hidden="false" customHeight="tru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customFormat="false" ht="15.75" hidden="false" customHeight="tru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customFormat="false" ht="15.75" hidden="false" customHeight="tru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customFormat="false" ht="15.75" hidden="false" customHeight="tru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customFormat="false" ht="15.75" hidden="false" customHeight="tru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customFormat="false" ht="15.75" hidden="false" customHeight="tru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customFormat="false" ht="15.75" hidden="false" customHeight="tru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customFormat="false" ht="15.75" hidden="false" customHeight="tru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customFormat="false" ht="15.75" hidden="false" customHeight="tru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customFormat="false" ht="15.75" hidden="false" customHeight="tru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customFormat="false" ht="15.75" hidden="false" customHeight="tru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customFormat="false" ht="15.75" hidden="false" customHeight="tru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customFormat="false" ht="15.75" hidden="false" customHeight="tru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customFormat="false" ht="15.75" hidden="false" customHeight="tru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customFormat="false" ht="15.75" hidden="false" customHeight="tru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customFormat="false" ht="15.75" hidden="false" customHeight="tru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customFormat="false" ht="15.75" hidden="false" customHeight="tru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customFormat="false" ht="15.75" hidden="false" customHeight="tru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customFormat="false" ht="15.75" hidden="false" customHeight="tru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customFormat="false" ht="15.75" hidden="false" customHeight="tru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customFormat="false" ht="15.75" hidden="false" customHeight="tru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customFormat="false" ht="15.75" hidden="false" customHeight="tru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customFormat="false" ht="15.75" hidden="false" customHeight="tru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customFormat="false" ht="15.75" hidden="false" customHeight="tru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customFormat="false" ht="15.75" hidden="false" customHeight="tru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customFormat="false" ht="15.75" hidden="false" customHeight="tru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customFormat="false" ht="15.75" hidden="false" customHeight="tru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customFormat="false" ht="15.75" hidden="false" customHeight="tru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customFormat="false" ht="15.75" hidden="false" customHeight="tru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customFormat="false" ht="15.75" hidden="false" customHeight="tru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customFormat="false" ht="15.75" hidden="false" customHeight="tru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customFormat="false" ht="15.75" hidden="false" customHeight="tru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customFormat="false" ht="15.75" hidden="false" customHeight="tru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customFormat="false" ht="15.75" hidden="false" customHeight="tru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customFormat="false" ht="15.75" hidden="false" customHeight="tru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customFormat="false" ht="15.75" hidden="false" customHeight="tru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customFormat="false" ht="15.75" hidden="false" customHeight="tru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customFormat="false" ht="15.75" hidden="false" customHeight="tru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customFormat="false" ht="15.75" hidden="false" customHeight="tru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customFormat="false" ht="15.75" hidden="false" customHeight="tru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customFormat="false" ht="15.75" hidden="false" customHeight="tru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customFormat="false" ht="15.75" hidden="false" customHeight="tru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customFormat="false" ht="15.75" hidden="false" customHeight="tru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customFormat="false" ht="15.75" hidden="false" customHeight="tru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customFormat="false" ht="15.75" hidden="false" customHeight="tru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customFormat="false" ht="15.75" hidden="false" customHeight="tru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customFormat="false" ht="15.75" hidden="false" customHeight="tru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customFormat="false" ht="15.75" hidden="false" customHeight="tru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customFormat="false" ht="15.75" hidden="false" customHeight="tru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customFormat="false" ht="15.75" hidden="false" customHeight="tru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customFormat="false" ht="15.75" hidden="false" customHeight="tru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customFormat="false" ht="15.75" hidden="false" customHeight="tru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customFormat="false" ht="15.75" hidden="false" customHeight="tru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customFormat="false" ht="15.75" hidden="false" customHeight="tru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customFormat="false" ht="15.75" hidden="false" customHeight="tru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customFormat="false" ht="15.75" hidden="false" customHeight="tru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customFormat="false" ht="15.75" hidden="false" customHeight="tru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customFormat="false" ht="15.75" hidden="false" customHeight="tru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customFormat="false" ht="15.75" hidden="false" customHeight="tru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customFormat="false" ht="15.75" hidden="false" customHeight="tru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customFormat="false" ht="15.75" hidden="false" customHeight="tru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customFormat="false" ht="15.75" hidden="false" customHeight="tru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customFormat="false" ht="15.75" hidden="false" customHeight="tru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customFormat="false" ht="15.75" hidden="false" customHeight="tru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customFormat="false" ht="15.75" hidden="false" customHeight="tru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customFormat="false" ht="15.75" hidden="false" customHeight="tru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customFormat="false" ht="15.75" hidden="false" customHeight="tru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customFormat="false" ht="15.75" hidden="false" customHeight="tru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customFormat="false" ht="15.75" hidden="false" customHeight="tru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customFormat="false" ht="15.75" hidden="false" customHeight="tru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customFormat="false" ht="15.75" hidden="false" customHeight="tru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customFormat="false" ht="15.75" hidden="false" customHeight="tru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customFormat="false" ht="15.75" hidden="false" customHeight="tru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customFormat="false" ht="15.75" hidden="false" customHeight="tru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customFormat="false" ht="15.75" hidden="false" customHeight="tru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customFormat="false" ht="15.75" hidden="false" customHeight="tru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customFormat="false" ht="15.75" hidden="false" customHeight="tru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customFormat="false" ht="15.75" hidden="false" customHeight="tru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customFormat="false" ht="15.75" hidden="false" customHeight="tru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customFormat="false" ht="15.75" hidden="false" customHeight="tru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customFormat="false" ht="15.75" hidden="false" customHeight="tru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customFormat="false" ht="15.75" hidden="false" customHeight="tru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customFormat="false" ht="15.75" hidden="false" customHeight="tru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customFormat="false" ht="15.75" hidden="false" customHeight="tru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customFormat="false" ht="15.75" hidden="false" customHeight="tru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customFormat="false" ht="15.75" hidden="false" customHeight="tru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customFormat="false" ht="15.75" hidden="false" customHeight="tru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customFormat="false" ht="15.75" hidden="false" customHeight="tru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customFormat="false" ht="15.75" hidden="false" customHeight="tru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customFormat="false" ht="15.75" hidden="false" customHeight="tru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customFormat="false" ht="15.75" hidden="false" customHeight="tru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customFormat="false" ht="15.75" hidden="false" customHeight="tru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customFormat="false" ht="15.75" hidden="false" customHeight="tru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customFormat="false" ht="15.75" hidden="false" customHeight="tru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customFormat="false" ht="15.75" hidden="false" customHeight="tru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customFormat="false" ht="15.75" hidden="false" customHeight="tru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customFormat="false" ht="15.75" hidden="false" customHeight="tru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customFormat="false" ht="15.75" hidden="false" customHeight="tru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customFormat="false" ht="15.75" hidden="false" customHeight="tru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customFormat="false" ht="15.75" hidden="false" customHeight="tru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customFormat="false" ht="15.75" hidden="false" customHeight="tru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customFormat="false" ht="15.75" hidden="false" customHeight="tru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customFormat="false" ht="15.75" hidden="false" customHeight="tru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customFormat="false" ht="15.75" hidden="false" customHeight="tru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customFormat="false" ht="15.75" hidden="false" customHeight="tru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customFormat="false" ht="15.75" hidden="false" customHeight="tru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customFormat="false" ht="15.75" hidden="false" customHeight="tru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customFormat="false" ht="15.75" hidden="false" customHeight="tru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customFormat="false" ht="15.75" hidden="false" customHeight="tru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customFormat="false" ht="15.75" hidden="false" customHeight="tru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customFormat="false" ht="15.75" hidden="false" customHeight="tru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customFormat="false" ht="15.75" hidden="false" customHeight="tru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customFormat="false" ht="15.75" hidden="false" customHeight="tru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customFormat="false" ht="15.75" hidden="false" customHeight="tru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customFormat="false" ht="15.75" hidden="false" customHeight="tru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customFormat="false" ht="15.75" hidden="false" customHeight="tru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customFormat="false" ht="15.75" hidden="false" customHeight="tru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customFormat="false" ht="15.75" hidden="false" customHeight="tru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customFormat="false" ht="15.75" hidden="false" customHeight="tru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customFormat="false" ht="15.75" hidden="false" customHeight="tru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customFormat="false" ht="15.75" hidden="false" customHeight="tru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customFormat="false" ht="15.75" hidden="false" customHeight="tru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customFormat="false" ht="15.75" hidden="false" customHeight="tru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customFormat="false" ht="15.75" hidden="false" customHeight="tru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customFormat="false" ht="15.75" hidden="false" customHeight="tru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customFormat="false" ht="15.75" hidden="false" customHeight="tru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customFormat="false" ht="15.75" hidden="false" customHeight="tru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customFormat="false" ht="15.75" hidden="false" customHeight="tru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customFormat="false" ht="15.75" hidden="false" customHeight="tru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customFormat="false" ht="15.75" hidden="false" customHeight="tru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customFormat="false" ht="15.75" hidden="false" customHeight="tru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customFormat="false" ht="15.75" hidden="false" customHeight="tru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customFormat="false" ht="15.75" hidden="false" customHeight="tru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customFormat="false" ht="15.75" hidden="false" customHeight="tru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customFormat="false" ht="15.75" hidden="false" customHeight="tru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customFormat="false" ht="15.75" hidden="false" customHeight="tru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customFormat="false" ht="15.75" hidden="false" customHeight="tru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customFormat="false" ht="15.75" hidden="false" customHeight="tru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customFormat="false" ht="15.75" hidden="false" customHeight="tru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customFormat="false" ht="15.75" hidden="false" customHeight="tru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customFormat="false" ht="15.75" hidden="false" customHeight="tru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customFormat="false" ht="15.75" hidden="false" customHeight="tru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customFormat="false" ht="15.75" hidden="false" customHeight="tru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customFormat="false" ht="15.75" hidden="false" customHeight="tru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customFormat="false" ht="15.75" hidden="false" customHeight="tru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customFormat="false" ht="15.75" hidden="false" customHeight="tru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customFormat="false" ht="15.75" hidden="false" customHeight="tru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customFormat="false" ht="15.75" hidden="false" customHeight="tru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customFormat="false" ht="15.75" hidden="false" customHeight="tru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customFormat="false" ht="15.75" hidden="false" customHeight="tru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customFormat="false" ht="15.75" hidden="false" customHeight="tru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customFormat="false" ht="15.75" hidden="false" customHeight="tru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customFormat="false" ht="15.75" hidden="false" customHeight="tru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customFormat="false" ht="15.75" hidden="false" customHeight="tru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customFormat="false" ht="15.75" hidden="false" customHeight="tru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customFormat="false" ht="15.75" hidden="false" customHeight="tru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customFormat="false" ht="15.75" hidden="false" customHeight="tru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customFormat="false" ht="15.75" hidden="false" customHeight="tru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customFormat="false" ht="15.75" hidden="false" customHeight="tru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customFormat="false" ht="15.75" hidden="false" customHeight="tru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customFormat="false" ht="15.75" hidden="false" customHeight="tru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customFormat="false" ht="15.75" hidden="false" customHeight="tru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customFormat="false" ht="15.75" hidden="false" customHeight="tru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customFormat="false" ht="15.75" hidden="false" customHeight="tru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customFormat="false" ht="15.75" hidden="false" customHeight="tru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customFormat="false" ht="15.75" hidden="false" customHeight="tru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customFormat="false" ht="15.75" hidden="false" customHeight="tru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customFormat="false" ht="15.75" hidden="false" customHeight="tru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customFormat="false" ht="15.75" hidden="false" customHeight="tru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customFormat="false" ht="15.75" hidden="false" customHeight="tru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customFormat="false" ht="15.75" hidden="false" customHeight="tru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customFormat="false" ht="15.75" hidden="false" customHeight="tru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customFormat="false" ht="15.75" hidden="false" customHeight="tru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customFormat="false" ht="15.75" hidden="false" customHeight="tru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customFormat="false" ht="15.75" hidden="false" customHeight="tru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customFormat="false" ht="15.75" hidden="false" customHeight="tru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customFormat="false" ht="15.75" hidden="false" customHeight="tru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customFormat="false" ht="15.75" hidden="false" customHeight="tru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customFormat="false" ht="15.75" hidden="false" customHeight="tru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customFormat="false" ht="15.75" hidden="false" customHeight="tru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customFormat="false" ht="15.75" hidden="false" customHeight="tru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customFormat="false" ht="15.75" hidden="false" customHeight="tru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customFormat="false" ht="15.75" hidden="false" customHeight="tru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customFormat="false" ht="15.75" hidden="false" customHeight="tru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customFormat="false" ht="15.75" hidden="false" customHeight="tru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customFormat="false" ht="15.75" hidden="false" customHeight="tru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customFormat="false" ht="15.75" hidden="false" customHeight="tru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customFormat="false" ht="15.75" hidden="false" customHeight="tru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customFormat="false" ht="15.75" hidden="false" customHeight="tru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customFormat="false" ht="15.75" hidden="false" customHeight="tru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customFormat="false" ht="15.75" hidden="false" customHeight="tru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customFormat="false" ht="15.75" hidden="false" customHeight="tru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customFormat="false" ht="15.75" hidden="false" customHeight="tru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customFormat="false" ht="15.75" hidden="false" customHeight="tru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customFormat="false" ht="15.75" hidden="false" customHeight="tru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customFormat="false" ht="15.75" hidden="false" customHeight="tru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customFormat="false" ht="15.75" hidden="false" customHeight="tru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customFormat="false" ht="15.75" hidden="false" customHeight="tru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customFormat="false" ht="15.75" hidden="false" customHeight="tru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customFormat="false" ht="15.75" hidden="false" customHeight="tru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customFormat="false" ht="15.75" hidden="false" customHeight="tru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customFormat="false" ht="15.75" hidden="false" customHeight="tru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customFormat="false" ht="15.75" hidden="false" customHeight="tru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customFormat="false" ht="15.75" hidden="false" customHeight="tru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customFormat="false" ht="15.75" hidden="false" customHeight="tru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customFormat="false" ht="15.75" hidden="false" customHeight="tru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customFormat="false" ht="15.75" hidden="false" customHeight="tru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customFormat="false" ht="15.75" hidden="false" customHeight="tru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customFormat="false" ht="15.75" hidden="false" customHeight="tru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customFormat="false" ht="15.75" hidden="false" customHeight="tru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customFormat="false" ht="15.75" hidden="false" customHeight="tru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customFormat="false" ht="15.75" hidden="false" customHeight="tru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customFormat="false" ht="15.75" hidden="false" customHeight="tru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customFormat="false" ht="15.75" hidden="false" customHeight="tru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customFormat="false" ht="15.75" hidden="false" customHeight="tru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customFormat="false" ht="15.75" hidden="false" customHeight="tru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customFormat="false" ht="15.75" hidden="false" customHeight="tru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</sheetData>
  <mergeCells count="6">
    <mergeCell ref="G18:H18"/>
    <mergeCell ref="J18:L18"/>
    <mergeCell ref="N18:O18"/>
    <mergeCell ref="G32:H32"/>
    <mergeCell ref="J32:K32"/>
    <mergeCell ref="G46:H46"/>
  </mergeCells>
  <conditionalFormatting sqref="N20:O30">
    <cfRule type="expression" priority="2" aboveAverage="0" equalAverage="0" bottom="0" percent="0" rank="0" text="" dxfId="6">
      <formula>ABS(N20)&gt;=10%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2021-11-09T13:13:40Z</dcterms:created>
  <dc:creator>Marco Arru</dc:creator>
  <dc:description/>
  <dc:language>es-CL</dc:language>
  <cp:lastModifiedBy/>
  <cp:lastPrinted>2024-09-02T13:03:14Z</cp:lastPrinted>
  <dcterms:modified xsi:type="dcterms:W3CDTF">2026-04-30T20:08:47Z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0x0101000CC59CB2EA37F44288B1E4A375C8655B</vt:lpwstr>
  </property>
</Properties>
</file>