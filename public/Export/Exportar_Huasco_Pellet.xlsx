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fernando/Desktop/"/>
    </mc:Choice>
  </mc:AlternateContent>
  <xr:revisionPtr revIDLastSave="0" documentId="13_ncr:1_{FBE36C73-8637-AD45-BB26-ACA03777944E}" xr6:coauthVersionLast="47" xr6:coauthVersionMax="47" xr10:uidLastSave="{00000000-0000-0000-0000-000000000000}"/>
  <bookViews>
    <workbookView xWindow="0" yWindow="700" windowWidth="27040" windowHeight="16860" activeTab="6" xr2:uid="{00000000-000D-0000-FFFF-FFFF00000000}"/>
  </bookViews>
  <sheets>
    <sheet name="Resumen Planta Pellets" sheetId="10" r:id="rId1"/>
    <sheet name="Bal Los Colorados" sheetId="2" state="hidden" r:id="rId2"/>
    <sheet name="Diag Proc Los Colorados" sheetId="3" state="hidden" r:id="rId3"/>
    <sheet name="Datos Extra" sheetId="4" r:id="rId4"/>
    <sheet name="Utilidad" sheetId="6" r:id="rId5"/>
    <sheet name="Flujos" sheetId="7" r:id="rId6"/>
    <sheet name="Diagrama" sheetId="9" r:id="rId7"/>
  </sheets>
  <externalReferences>
    <externalReference r:id="rId8"/>
  </externalReferences>
  <definedNames>
    <definedName name="_PAG1" localSheetId="6">#REF!</definedName>
    <definedName name="_PAG1" localSheetId="0">#REF!</definedName>
    <definedName name="_PAG1">#REF!</definedName>
    <definedName name="_PAG3" localSheetId="0">#REF!</definedName>
    <definedName name="_PAG3">#REF!</definedName>
    <definedName name="_PAG4">#REF!</definedName>
    <definedName name="_PAG5">#REF!</definedName>
    <definedName name="_PAG6">#REF!</definedName>
    <definedName name="\P">#REF!</definedName>
    <definedName name="\W">#REF!</definedName>
    <definedName name="\Z">#REF!</definedName>
    <definedName name="CONC" localSheetId="0">#REF!</definedName>
    <definedName name="CONC">#REF!</definedName>
    <definedName name="conc1">#REF!</definedName>
    <definedName name="CuNuevo_ConPelaCama_tmf" localSheetId="0">[1]FUNDICIÓN!$P$73</definedName>
    <definedName name="CuNuevo_ConPelaCama_tmf">[1]FUNDICIÓN!$P$73</definedName>
    <definedName name="CuNuevo_ConPelaCama_tms" localSheetId="0">[1]FUNDICIÓN!$O$73</definedName>
    <definedName name="CuNuevo_ConPelaCama_tms">[1]FUNDICIÓN!$O$73</definedName>
    <definedName name="ECL_DelBal_por" localSheetId="0">'Resumen Planta Pellets'!$H$37</definedName>
    <definedName name="ECL_DelBal_tmf" localSheetId="0">'Resumen Planta Pellets'!$F$37</definedName>
    <definedName name="FEED" localSheetId="0">#REF!</definedName>
    <definedName name="FEED">#REF!</definedName>
    <definedName name="feed1">#REF!</definedName>
    <definedName name="GCONC" localSheetId="0">#REF!</definedName>
    <definedName name="GCONC">#REF!</definedName>
    <definedName name="GFEED" localSheetId="0">#REF!</definedName>
    <definedName name="GFEED">#REF!</definedName>
    <definedName name="GTAIL">#REF!</definedName>
    <definedName name="INVROLL">#REF!</definedName>
    <definedName name="MENU">#REF!</definedName>
    <definedName name="Month">#REF!</definedName>
    <definedName name="PP">[1]FUNDICIÓN!$P$73</definedName>
    <definedName name="solver_adj" localSheetId="1">'Bal Los Colorados'!$M$46:$N$69</definedName>
    <definedName name="solver_adj" localSheetId="0">'Resumen Planta Pellets'!$P$10</definedName>
    <definedName name="solver_adj" localSheetId="4">Utilidad!$N$67:$O$126</definedName>
    <definedName name="solver_cvg" localSheetId="1">0.0001</definedName>
    <definedName name="solver_cvg" localSheetId="6">0.0001</definedName>
    <definedName name="solver_cvg" localSheetId="0">0.0001</definedName>
    <definedName name="solver_cvg" localSheetId="4">0.0001</definedName>
    <definedName name="solver_drv" localSheetId="1">1</definedName>
    <definedName name="solver_drv" localSheetId="6">2</definedName>
    <definedName name="solver_drv" localSheetId="0">1</definedName>
    <definedName name="solver_drv" localSheetId="4">1</definedName>
    <definedName name="solver_eng" localSheetId="1">1</definedName>
    <definedName name="solver_eng" localSheetId="6">1</definedName>
    <definedName name="solver_eng" localSheetId="0">1</definedName>
    <definedName name="solver_eng" localSheetId="4">1</definedName>
    <definedName name="solver_est" localSheetId="1">1</definedName>
    <definedName name="solver_est" localSheetId="6">1</definedName>
    <definedName name="solver_est" localSheetId="0">1</definedName>
    <definedName name="solver_est" localSheetId="4">1</definedName>
    <definedName name="solver_itr" localSheetId="1">2147483647</definedName>
    <definedName name="solver_itr" localSheetId="6">2147483647</definedName>
    <definedName name="solver_itr" localSheetId="0">2147483647</definedName>
    <definedName name="solver_itr" localSheetId="4">2147483647</definedName>
    <definedName name="solver_lhs1" localSheetId="1">'Bal Los Colorados'!$AB$45</definedName>
    <definedName name="solver_lhs1" localSheetId="4">Utilidad!$AB$67:$AB$90</definedName>
    <definedName name="solver_lhs10" localSheetId="1">'Bal Los Colorados'!$AB$54</definedName>
    <definedName name="solver_lhs10" localSheetId="4">Utilidad!$U$68</definedName>
    <definedName name="solver_lhs11" localSheetId="1">'Bal Los Colorados'!$AB$55</definedName>
    <definedName name="solver_lhs11" localSheetId="4">Utilidad!$U$69</definedName>
    <definedName name="solver_lhs12" localSheetId="1">'Bal Los Colorados'!$AC$45</definedName>
    <definedName name="solver_lhs12" localSheetId="4">Utilidad!$U$80</definedName>
    <definedName name="solver_lhs13" localSheetId="1">'Bal Los Colorados'!$AC$46</definedName>
    <definedName name="solver_lhs13" localSheetId="4">Utilidad!$U$89</definedName>
    <definedName name="solver_lhs14" localSheetId="1">'Bal Los Colorados'!$AC$47</definedName>
    <definedName name="solver_lhs14" localSheetId="4">Utilidad!$V$120</definedName>
    <definedName name="solver_lhs15" localSheetId="1">'Bal Los Colorados'!$AC$48</definedName>
    <definedName name="solver_lhs15" localSheetId="4">Utilidad!$W$105</definedName>
    <definedName name="solver_lhs16" localSheetId="1">'Bal Los Colorados'!$AC$49</definedName>
    <definedName name="solver_lhs16" localSheetId="4">Utilidad!$W$122</definedName>
    <definedName name="solver_lhs17" localSheetId="1">'Bal Los Colorados'!$AC$50</definedName>
    <definedName name="solver_lhs17" localSheetId="4">Utilidad!$W$124</definedName>
    <definedName name="solver_lhs18" localSheetId="1">'Bal Los Colorados'!$AC$51</definedName>
    <definedName name="solver_lhs18" localSheetId="4">Utilidad!$W$68</definedName>
    <definedName name="solver_lhs19" localSheetId="1">'Bal Los Colorados'!$AC$52</definedName>
    <definedName name="solver_lhs19" localSheetId="4">Utilidad!$W$89</definedName>
    <definedName name="solver_lhs2" localSheetId="1">'Bal Los Colorados'!$AB$46</definedName>
    <definedName name="solver_lhs2" localSheetId="4">Utilidad!$AC$67:$AC$90</definedName>
    <definedName name="solver_lhs20" localSheetId="1">'Bal Los Colorados'!$AC$53</definedName>
    <definedName name="solver_lhs20" localSheetId="4">Utilidad!$W$89</definedName>
    <definedName name="solver_lhs21" localSheetId="1">'Bal Los Colorados'!$AC$54</definedName>
    <definedName name="solver_lhs21" localSheetId="4">Utilidad!$W$101</definedName>
    <definedName name="solver_lhs22" localSheetId="1">'Bal Los Colorados'!$AC$55</definedName>
    <definedName name="solver_lhs22" localSheetId="4">Utilidad!$W$101</definedName>
    <definedName name="solver_lhs23" localSheetId="1">'Bal Los Colorados'!$T$48</definedName>
    <definedName name="solver_lhs23" localSheetId="4">Utilidad!$W$101</definedName>
    <definedName name="solver_lhs24" localSheetId="1">'Bal Los Colorados'!$T$53</definedName>
    <definedName name="solver_lhs24" localSheetId="4">Utilidad!$W$101</definedName>
    <definedName name="solver_lhs25" localSheetId="1">'Bal Los Colorados'!$T$55</definedName>
    <definedName name="solver_lhs25" localSheetId="4">Utilidad!$W$89</definedName>
    <definedName name="solver_lhs26" localSheetId="1">'Bal Los Colorados'!$T$57</definedName>
    <definedName name="solver_lhs26" localSheetId="4">Utilidad!$W$101</definedName>
    <definedName name="solver_lhs27" localSheetId="1">'Bal Los Colorados'!$T$58</definedName>
    <definedName name="solver_lhs27" localSheetId="4">Utilidad!$W$101</definedName>
    <definedName name="solver_lhs28" localSheetId="1">'Bal Los Colorados'!$T$59</definedName>
    <definedName name="solver_lhs28" localSheetId="4">Utilidad!#REF!</definedName>
    <definedName name="solver_lhs29" localSheetId="1">'Bal Los Colorados'!$T$68</definedName>
    <definedName name="solver_lhs29" localSheetId="4">Utilidad!#REF!</definedName>
    <definedName name="solver_lhs3" localSheetId="1">'Bal Los Colorados'!$AB$47</definedName>
    <definedName name="solver_lhs3" localSheetId="4">Utilidad!$U$101</definedName>
    <definedName name="solver_lhs30" localSheetId="1">'Bal Los Colorados'!$T$69</definedName>
    <definedName name="solver_lhs30" localSheetId="4">Utilidad!#REF!</definedName>
    <definedName name="solver_lhs31" localSheetId="1">'Bal Los Colorados'!$V$46</definedName>
    <definedName name="solver_lhs31" localSheetId="4">Utilidad!#REF!</definedName>
    <definedName name="solver_lhs32" localSheetId="1">'Bal Los Colorados'!$V$55</definedName>
    <definedName name="solver_lhs32" localSheetId="4">Utilidad!#REF!</definedName>
    <definedName name="solver_lhs33" localSheetId="1">'Bal Los Colorados'!$V$57</definedName>
    <definedName name="solver_lhs33" localSheetId="4">Utilidad!#REF!</definedName>
    <definedName name="solver_lhs34" localSheetId="1">'Bal Los Colorados'!$V$59</definedName>
    <definedName name="solver_lhs34" localSheetId="4">Utilidad!#REF!</definedName>
    <definedName name="solver_lhs35" localSheetId="1">'Bal Los Colorados'!$V$63</definedName>
    <definedName name="solver_lhs35" localSheetId="4">Utilidad!#REF!</definedName>
    <definedName name="solver_lhs36" localSheetId="1">'Bal Los Colorados'!$V$66</definedName>
    <definedName name="solver_lhs36" localSheetId="4">Utilidad!#REF!</definedName>
    <definedName name="solver_lhs37" localSheetId="1">'Bal Los Colorados'!$V$68</definedName>
    <definedName name="solver_lhs37" localSheetId="4">Utilidad!#REF!</definedName>
    <definedName name="solver_lhs38" localSheetId="1">'Bal Los Colorados'!$V$69</definedName>
    <definedName name="solver_lhs38" localSheetId="4">Utilidad!#REF!</definedName>
    <definedName name="solver_lhs39" localSheetId="1">'Bal Los Colorados'!$V$69</definedName>
    <definedName name="solver_lhs39" localSheetId="4">Utilidad!#REF!</definedName>
    <definedName name="solver_lhs4" localSheetId="1">'Bal Los Colorados'!$AB$48</definedName>
    <definedName name="solver_lhs4" localSheetId="4">Utilidad!$U$103</definedName>
    <definedName name="solver_lhs40" localSheetId="1">'Bal Los Colorados'!$AB$49</definedName>
    <definedName name="solver_lhs40" localSheetId="4">Utilidad!#REF!</definedName>
    <definedName name="solver_lhs41" localSheetId="1">'Bal Los Colorados'!$AB$49</definedName>
    <definedName name="solver_lhs41" localSheetId="4">Utilidad!#REF!</definedName>
    <definedName name="solver_lhs42" localSheetId="4">Utilidad!#REF!</definedName>
    <definedName name="solver_lhs43" localSheetId="4">Utilidad!#REF!</definedName>
    <definedName name="solver_lhs44" localSheetId="4">Utilidad!#REF!</definedName>
    <definedName name="solver_lhs45" localSheetId="4">Utilidad!#REF!</definedName>
    <definedName name="solver_lhs46" localSheetId="4">Utilidad!#REF!</definedName>
    <definedName name="solver_lhs47" localSheetId="4">Utilidad!#REF!</definedName>
    <definedName name="solver_lhs48" localSheetId="4">Utilidad!#REF!</definedName>
    <definedName name="solver_lhs49" localSheetId="4">Utilidad!#REF!</definedName>
    <definedName name="solver_lhs5" localSheetId="1">'Bal Los Colorados'!$AB$49</definedName>
    <definedName name="solver_lhs5" localSheetId="4">Utilidad!$U$105</definedName>
    <definedName name="solver_lhs50" localSheetId="4">Utilidad!#REF!</definedName>
    <definedName name="solver_lhs51" localSheetId="4">Utilidad!#REF!</definedName>
    <definedName name="solver_lhs52" localSheetId="4">Utilidad!#REF!</definedName>
    <definedName name="solver_lhs53" localSheetId="4">Utilidad!#REF!</definedName>
    <definedName name="solver_lhs54" localSheetId="4">Utilidad!#REF!</definedName>
    <definedName name="solver_lhs55" localSheetId="4">Utilidad!#REF!</definedName>
    <definedName name="solver_lhs56" localSheetId="4">Utilidad!#REF!</definedName>
    <definedName name="solver_lhs57" localSheetId="4">Utilidad!#REF!</definedName>
    <definedName name="solver_lhs58" localSheetId="4">Utilidad!#REF!</definedName>
    <definedName name="solver_lhs59" localSheetId="4">Utilidad!#REF!</definedName>
    <definedName name="solver_lhs6" localSheetId="1">'Bal Los Colorados'!$AB$50</definedName>
    <definedName name="solver_lhs6" localSheetId="4">Utilidad!$U$122</definedName>
    <definedName name="solver_lhs60" localSheetId="4">Utilidad!#REF!</definedName>
    <definedName name="solver_lhs61" localSheetId="4">Utilidad!#REF!</definedName>
    <definedName name="solver_lhs62" localSheetId="4">Utilidad!#REF!</definedName>
    <definedName name="solver_lhs63" localSheetId="4">Utilidad!#REF!</definedName>
    <definedName name="solver_lhs64" localSheetId="4">Utilidad!#REF!</definedName>
    <definedName name="solver_lhs65" localSheetId="4">Utilidad!#REF!</definedName>
    <definedName name="solver_lhs66" localSheetId="4">Utilidad!$W$90</definedName>
    <definedName name="solver_lhs67" localSheetId="4">Utilidad!$W$96</definedName>
    <definedName name="solver_lhs68" localSheetId="4">Utilidad!$W$96</definedName>
    <definedName name="solver_lhs69" localSheetId="4">Utilidad!$W$96</definedName>
    <definedName name="solver_lhs7" localSheetId="1">'Bal Los Colorados'!$AB$51</definedName>
    <definedName name="solver_lhs7" localSheetId="4">Utilidad!$U$124</definedName>
    <definedName name="solver_lhs70" localSheetId="4">Utilidad!$W$96</definedName>
    <definedName name="solver_lhs71" localSheetId="4">Utilidad!$W$96</definedName>
    <definedName name="solver_lhs72" localSheetId="4">Utilidad!$W$96</definedName>
    <definedName name="solver_lhs73" localSheetId="4">Utilidad!$W$96</definedName>
    <definedName name="solver_lhs74" localSheetId="4">Utilidad!$W$96</definedName>
    <definedName name="solver_lhs75" localSheetId="4">Utilidad!$W$96</definedName>
    <definedName name="solver_lhs76" localSheetId="4">Utilidad!$W$96</definedName>
    <definedName name="solver_lhs77" localSheetId="4">Utilidad!$W$96</definedName>
    <definedName name="solver_lhs78" localSheetId="4">Utilidad!$W$96</definedName>
    <definedName name="solver_lhs79" localSheetId="4">Utilidad!$W$96</definedName>
    <definedName name="solver_lhs8" localSheetId="1">'Bal Los Colorados'!$AB$52</definedName>
    <definedName name="solver_lhs8" localSheetId="4">Utilidad!$U$126</definedName>
    <definedName name="solver_lhs80" localSheetId="4">Utilidad!$W$96</definedName>
    <definedName name="solver_lhs81" localSheetId="4">Utilidad!#REF!</definedName>
    <definedName name="solver_lhs82" localSheetId="4">Utilidad!$W$96</definedName>
    <definedName name="solver_lhs9" localSheetId="1">'Bal Los Colorados'!$AB$53</definedName>
    <definedName name="solver_lhs9" localSheetId="4">Utilidad!$U$67</definedName>
    <definedName name="solver_lin" localSheetId="4">2</definedName>
    <definedName name="solver_mip" localSheetId="1">2147483647</definedName>
    <definedName name="solver_mip" localSheetId="6">2147483647</definedName>
    <definedName name="solver_mip" localSheetId="0">2147483647</definedName>
    <definedName name="solver_mip" localSheetId="4">2147483647</definedName>
    <definedName name="solver_mni" localSheetId="1">30</definedName>
    <definedName name="solver_mni" localSheetId="6">30</definedName>
    <definedName name="solver_mni" localSheetId="0">30</definedName>
    <definedName name="solver_mni" localSheetId="4">30</definedName>
    <definedName name="solver_mrt" localSheetId="1">0.075</definedName>
    <definedName name="solver_mrt" localSheetId="6">0.075</definedName>
    <definedName name="solver_mrt" localSheetId="0">0.075</definedName>
    <definedName name="solver_mrt" localSheetId="4">0.075</definedName>
    <definedName name="solver_msl" localSheetId="1">2</definedName>
    <definedName name="solver_msl" localSheetId="6">2</definedName>
    <definedName name="solver_msl" localSheetId="0">2</definedName>
    <definedName name="solver_msl" localSheetId="4">2</definedName>
    <definedName name="solver_neg" localSheetId="1">1</definedName>
    <definedName name="solver_neg" localSheetId="6">1</definedName>
    <definedName name="solver_neg" localSheetId="0">1</definedName>
    <definedName name="solver_neg" localSheetId="4">1</definedName>
    <definedName name="solver_nod" localSheetId="1">2147483647</definedName>
    <definedName name="solver_nod" localSheetId="6">2147483647</definedName>
    <definedName name="solver_nod" localSheetId="0">2147483647</definedName>
    <definedName name="solver_nod" localSheetId="4">2147483647</definedName>
    <definedName name="solver_num" localSheetId="1">38</definedName>
    <definedName name="solver_num" localSheetId="6">0</definedName>
    <definedName name="solver_num" localSheetId="0">0</definedName>
    <definedName name="solver_num" localSheetId="4">19</definedName>
    <definedName name="solver_nwt" localSheetId="1">1</definedName>
    <definedName name="solver_nwt" localSheetId="6">1</definedName>
    <definedName name="solver_nwt" localSheetId="0">1</definedName>
    <definedName name="solver_nwt" localSheetId="4">1</definedName>
    <definedName name="solver_opt" localSheetId="1">'Bal Los Colorados'!$AB$58</definedName>
    <definedName name="solver_opt" localSheetId="6">Diagrama!$Q$32</definedName>
    <definedName name="solver_opt" localSheetId="0">'Resumen Planta Pellets'!$T$15</definedName>
    <definedName name="solver_opt" localSheetId="4">Utilidad!$AB$93</definedName>
    <definedName name="solver_pre" localSheetId="1">0.000001</definedName>
    <definedName name="solver_pre" localSheetId="6">0.000001</definedName>
    <definedName name="solver_pre" localSheetId="0">0.000001</definedName>
    <definedName name="solver_pre" localSheetId="4">0.000001</definedName>
    <definedName name="solver_rbv" localSheetId="1">1</definedName>
    <definedName name="solver_rbv" localSheetId="6">2</definedName>
    <definedName name="solver_rbv" localSheetId="0">1</definedName>
    <definedName name="solver_rbv" localSheetId="4">1</definedName>
    <definedName name="solver_rel1" localSheetId="1">2</definedName>
    <definedName name="solver_rel1" localSheetId="4">2</definedName>
    <definedName name="solver_rel10" localSheetId="1">2</definedName>
    <definedName name="solver_rel10" localSheetId="4">1</definedName>
    <definedName name="solver_rel11" localSheetId="1">2</definedName>
    <definedName name="solver_rel11" localSheetId="4">1</definedName>
    <definedName name="solver_rel12" localSheetId="1">2</definedName>
    <definedName name="solver_rel12" localSheetId="4">1</definedName>
    <definedName name="solver_rel13" localSheetId="1">2</definedName>
    <definedName name="solver_rel13" localSheetId="4">1</definedName>
    <definedName name="solver_rel14" localSheetId="1">2</definedName>
    <definedName name="solver_rel14" localSheetId="4">1</definedName>
    <definedName name="solver_rel15" localSheetId="1">2</definedName>
    <definedName name="solver_rel15" localSheetId="4">1</definedName>
    <definedName name="solver_rel16" localSheetId="1">2</definedName>
    <definedName name="solver_rel16" localSheetId="4">1</definedName>
    <definedName name="solver_rel17" localSheetId="1">2</definedName>
    <definedName name="solver_rel17" localSheetId="4">1</definedName>
    <definedName name="solver_rel18" localSheetId="1">2</definedName>
    <definedName name="solver_rel18" localSheetId="4">1</definedName>
    <definedName name="solver_rel19" localSheetId="1">2</definedName>
    <definedName name="solver_rel19" localSheetId="4">1</definedName>
    <definedName name="solver_rel2" localSheetId="1">2</definedName>
    <definedName name="solver_rel2" localSheetId="4">2</definedName>
    <definedName name="solver_rel20" localSheetId="1">2</definedName>
    <definedName name="solver_rel20" localSheetId="4">1</definedName>
    <definedName name="solver_rel21" localSheetId="1">2</definedName>
    <definedName name="solver_rel21" localSheetId="4">1</definedName>
    <definedName name="solver_rel22" localSheetId="1">2</definedName>
    <definedName name="solver_rel22" localSheetId="4">1</definedName>
    <definedName name="solver_rel23" localSheetId="1">1</definedName>
    <definedName name="solver_rel23" localSheetId="4">1</definedName>
    <definedName name="solver_rel24" localSheetId="1">1</definedName>
    <definedName name="solver_rel24" localSheetId="4">1</definedName>
    <definedName name="solver_rel25" localSheetId="1">1</definedName>
    <definedName name="solver_rel25" localSheetId="4">1</definedName>
    <definedName name="solver_rel26" localSheetId="1">1</definedName>
    <definedName name="solver_rel26" localSheetId="4">1</definedName>
    <definedName name="solver_rel27" localSheetId="1">1</definedName>
    <definedName name="solver_rel27" localSheetId="4">1</definedName>
    <definedName name="solver_rel28" localSheetId="1">1</definedName>
    <definedName name="solver_rel28" localSheetId="4">2</definedName>
    <definedName name="solver_rel29" localSheetId="1">1</definedName>
    <definedName name="solver_rel29" localSheetId="4">2</definedName>
    <definedName name="solver_rel3" localSheetId="1">2</definedName>
    <definedName name="solver_rel3" localSheetId="4">1</definedName>
    <definedName name="solver_rel30" localSheetId="1">1</definedName>
    <definedName name="solver_rel30" localSheetId="4">2</definedName>
    <definedName name="solver_rel31" localSheetId="1">1</definedName>
    <definedName name="solver_rel31" localSheetId="4">2</definedName>
    <definedName name="solver_rel32" localSheetId="1">1</definedName>
    <definedName name="solver_rel32" localSheetId="4">2</definedName>
    <definedName name="solver_rel33" localSheetId="1">1</definedName>
    <definedName name="solver_rel33" localSheetId="4">2</definedName>
    <definedName name="solver_rel34" localSheetId="1">1</definedName>
    <definedName name="solver_rel34" localSheetId="4">2</definedName>
    <definedName name="solver_rel35" localSheetId="1">1</definedName>
    <definedName name="solver_rel35" localSheetId="4">2</definedName>
    <definedName name="solver_rel36" localSheetId="1">1</definedName>
    <definedName name="solver_rel36" localSheetId="4">2</definedName>
    <definedName name="solver_rel37" localSheetId="1">1</definedName>
    <definedName name="solver_rel37" localSheetId="4">2</definedName>
    <definedName name="solver_rel38" localSheetId="1">1</definedName>
    <definedName name="solver_rel38" localSheetId="4">2</definedName>
    <definedName name="solver_rel39" localSheetId="1">1</definedName>
    <definedName name="solver_rel39" localSheetId="4">2</definedName>
    <definedName name="solver_rel4" localSheetId="1">2</definedName>
    <definedName name="solver_rel4" localSheetId="4">1</definedName>
    <definedName name="solver_rel40" localSheetId="1">2</definedName>
    <definedName name="solver_rel40" localSheetId="4">2</definedName>
    <definedName name="solver_rel41" localSheetId="1">2</definedName>
    <definedName name="solver_rel41" localSheetId="4">2</definedName>
    <definedName name="solver_rel42" localSheetId="4">2</definedName>
    <definedName name="solver_rel43" localSheetId="4">2</definedName>
    <definedName name="solver_rel44" localSheetId="4">2</definedName>
    <definedName name="solver_rel45" localSheetId="4">2</definedName>
    <definedName name="solver_rel46" localSheetId="4">2</definedName>
    <definedName name="solver_rel47" localSheetId="4">2</definedName>
    <definedName name="solver_rel48" localSheetId="4">2</definedName>
    <definedName name="solver_rel49" localSheetId="4">2</definedName>
    <definedName name="solver_rel5" localSheetId="1">2</definedName>
    <definedName name="solver_rel5" localSheetId="4">1</definedName>
    <definedName name="solver_rel50" localSheetId="4">2</definedName>
    <definedName name="solver_rel51" localSheetId="4">2</definedName>
    <definedName name="solver_rel52" localSheetId="4">2</definedName>
    <definedName name="solver_rel53" localSheetId="4">2</definedName>
    <definedName name="solver_rel54" localSheetId="4">2</definedName>
    <definedName name="solver_rel55" localSheetId="4">2</definedName>
    <definedName name="solver_rel56" localSheetId="4">2</definedName>
    <definedName name="solver_rel57" localSheetId="4">2</definedName>
    <definedName name="solver_rel58" localSheetId="4">2</definedName>
    <definedName name="solver_rel59" localSheetId="4">2</definedName>
    <definedName name="solver_rel6" localSheetId="1">2</definedName>
    <definedName name="solver_rel6" localSheetId="4">1</definedName>
    <definedName name="solver_rel60" localSheetId="4">2</definedName>
    <definedName name="solver_rel61" localSheetId="4">2</definedName>
    <definedName name="solver_rel62" localSheetId="4">2</definedName>
    <definedName name="solver_rel63" localSheetId="4">2</definedName>
    <definedName name="solver_rel64" localSheetId="4">2</definedName>
    <definedName name="solver_rel65" localSheetId="4">2</definedName>
    <definedName name="solver_rel66" localSheetId="4">1</definedName>
    <definedName name="solver_rel67" localSheetId="4">1</definedName>
    <definedName name="solver_rel68" localSheetId="4">1</definedName>
    <definedName name="solver_rel69" localSheetId="4">1</definedName>
    <definedName name="solver_rel7" localSheetId="1">2</definedName>
    <definedName name="solver_rel7" localSheetId="4">1</definedName>
    <definedName name="solver_rel70" localSheetId="4">1</definedName>
    <definedName name="solver_rel71" localSheetId="4">1</definedName>
    <definedName name="solver_rel72" localSheetId="4">1</definedName>
    <definedName name="solver_rel73" localSheetId="4">1</definedName>
    <definedName name="solver_rel74" localSheetId="4">1</definedName>
    <definedName name="solver_rel75" localSheetId="4">1</definedName>
    <definedName name="solver_rel76" localSheetId="4">1</definedName>
    <definedName name="solver_rel77" localSheetId="4">1</definedName>
    <definedName name="solver_rel78" localSheetId="4">1</definedName>
    <definedName name="solver_rel79" localSheetId="4">1</definedName>
    <definedName name="solver_rel8" localSheetId="1">2</definedName>
    <definedName name="solver_rel8" localSheetId="4">1</definedName>
    <definedName name="solver_rel80" localSheetId="4">1</definedName>
    <definedName name="solver_rel81" localSheetId="4">2</definedName>
    <definedName name="solver_rel82" localSheetId="4">1</definedName>
    <definedName name="solver_rel9" localSheetId="1">2</definedName>
    <definedName name="solver_rel9" localSheetId="4">1</definedName>
    <definedName name="solver_rhs1" localSheetId="1">0</definedName>
    <definedName name="solver_rhs1" localSheetId="4">Utilidad!$AE$67:$AE$90</definedName>
    <definedName name="solver_rhs10" localSheetId="1">0</definedName>
    <definedName name="solver_rhs10" localSheetId="4">Utilidad!$V$68</definedName>
    <definedName name="solver_rhs11" localSheetId="1">0</definedName>
    <definedName name="solver_rhs11" localSheetId="4">Utilidad!$V$69</definedName>
    <definedName name="solver_rhs12" localSheetId="1">0</definedName>
    <definedName name="solver_rhs12" localSheetId="4">Utilidad!$V$80</definedName>
    <definedName name="solver_rhs13" localSheetId="1">0</definedName>
    <definedName name="solver_rhs13" localSheetId="4">Utilidad!$V$89</definedName>
    <definedName name="solver_rhs14" localSheetId="1">0</definedName>
    <definedName name="solver_rhs14" localSheetId="4">Utilidad!$X$120</definedName>
    <definedName name="solver_rhs15" localSheetId="1">0</definedName>
    <definedName name="solver_rhs15" localSheetId="4">Utilidad!$X$105</definedName>
    <definedName name="solver_rhs16" localSheetId="1">0</definedName>
    <definedName name="solver_rhs16" localSheetId="4">Utilidad!$X$122</definedName>
    <definedName name="solver_rhs17" localSheetId="1">0</definedName>
    <definedName name="solver_rhs17" localSheetId="4">Utilidad!$X$124</definedName>
    <definedName name="solver_rhs18" localSheetId="1">0</definedName>
    <definedName name="solver_rhs18" localSheetId="4">Utilidad!$X$68</definedName>
    <definedName name="solver_rhs19" localSheetId="1">0</definedName>
    <definedName name="solver_rhs19" localSheetId="4">Utilidad!$X$89</definedName>
    <definedName name="solver_rhs2" localSheetId="1">0</definedName>
    <definedName name="solver_rhs2" localSheetId="4">Utilidad!$AE$67:$AE$90</definedName>
    <definedName name="solver_rhs20" localSheetId="1">0</definedName>
    <definedName name="solver_rhs20" localSheetId="4">Utilidad!$X$89</definedName>
    <definedName name="solver_rhs21" localSheetId="1">0</definedName>
    <definedName name="solver_rhs21" localSheetId="4">Utilidad!$X$101</definedName>
    <definedName name="solver_rhs22" localSheetId="1">0</definedName>
    <definedName name="solver_rhs22" localSheetId="4">Utilidad!$X$101</definedName>
    <definedName name="solver_rhs23" localSheetId="1">'Bal Los Colorados'!$U$48</definedName>
    <definedName name="solver_rhs23" localSheetId="4">Utilidad!$X$101</definedName>
    <definedName name="solver_rhs24" localSheetId="1">'Bal Los Colorados'!$U$53</definedName>
    <definedName name="solver_rhs24" localSheetId="4">Utilidad!$X$101</definedName>
    <definedName name="solver_rhs25" localSheetId="1">'Bal Los Colorados'!$U$55</definedName>
    <definedName name="solver_rhs25" localSheetId="4">Utilidad!$X$89</definedName>
    <definedName name="solver_rhs26" localSheetId="1">'Bal Los Colorados'!$U$57</definedName>
    <definedName name="solver_rhs26" localSheetId="4">Utilidad!$X$101</definedName>
    <definedName name="solver_rhs27" localSheetId="1">'Bal Los Colorados'!$U$58</definedName>
    <definedName name="solver_rhs27" localSheetId="4">Utilidad!$X$101</definedName>
    <definedName name="solver_rhs28" localSheetId="1">'Bal Los Colorados'!$U$59</definedName>
    <definedName name="solver_rhs28" localSheetId="4">0</definedName>
    <definedName name="solver_rhs29" localSheetId="1">'Bal Los Colorados'!$U$68</definedName>
    <definedName name="solver_rhs29" localSheetId="4">0</definedName>
    <definedName name="solver_rhs3" localSheetId="1">0</definedName>
    <definedName name="solver_rhs3" localSheetId="4">Utilidad!$V$101</definedName>
    <definedName name="solver_rhs30" localSheetId="1">'Bal Los Colorados'!$U$69</definedName>
    <definedName name="solver_rhs30" localSheetId="4">0</definedName>
    <definedName name="solver_rhs31" localSheetId="1">'Bal Los Colorados'!$W$46</definedName>
    <definedName name="solver_rhs31" localSheetId="4">0</definedName>
    <definedName name="solver_rhs32" localSheetId="1">'Bal Los Colorados'!$W$55</definedName>
    <definedName name="solver_rhs32" localSheetId="4">0</definedName>
    <definedName name="solver_rhs33" localSheetId="1">'Bal Los Colorados'!$W$57</definedName>
    <definedName name="solver_rhs33" localSheetId="4">0</definedName>
    <definedName name="solver_rhs34" localSheetId="1">'Bal Los Colorados'!$W$59</definedName>
    <definedName name="solver_rhs34" localSheetId="4">0</definedName>
    <definedName name="solver_rhs35" localSheetId="1">'Bal Los Colorados'!$W$63</definedName>
    <definedName name="solver_rhs35" localSheetId="4">0</definedName>
    <definedName name="solver_rhs36" localSheetId="1">'Bal Los Colorados'!$W$66</definedName>
    <definedName name="solver_rhs36" localSheetId="4">0</definedName>
    <definedName name="solver_rhs37" localSheetId="1">'Bal Los Colorados'!$W$68</definedName>
    <definedName name="solver_rhs37" localSheetId="4">0</definedName>
    <definedName name="solver_rhs38" localSheetId="1">'Bal Los Colorados'!$W$69</definedName>
    <definedName name="solver_rhs38" localSheetId="4">0</definedName>
    <definedName name="solver_rhs39" localSheetId="1">'Bal Los Colorados'!$W$69</definedName>
    <definedName name="solver_rhs39" localSheetId="4">0</definedName>
    <definedName name="solver_rhs4" localSheetId="1">0</definedName>
    <definedName name="solver_rhs4" localSheetId="4">Utilidad!$V$103</definedName>
    <definedName name="solver_rhs40" localSheetId="1">0</definedName>
    <definedName name="solver_rhs40" localSheetId="4">0</definedName>
    <definedName name="solver_rhs41" localSheetId="1">0</definedName>
    <definedName name="solver_rhs41" localSheetId="4">0</definedName>
    <definedName name="solver_rhs42" localSheetId="4">0</definedName>
    <definedName name="solver_rhs43" localSheetId="4">0</definedName>
    <definedName name="solver_rhs44" localSheetId="4">0</definedName>
    <definedName name="solver_rhs45" localSheetId="4">0</definedName>
    <definedName name="solver_rhs46" localSheetId="4">0</definedName>
    <definedName name="solver_rhs47" localSheetId="4">0</definedName>
    <definedName name="solver_rhs48" localSheetId="4">0</definedName>
    <definedName name="solver_rhs49" localSheetId="4">0</definedName>
    <definedName name="solver_rhs5" localSheetId="1">0</definedName>
    <definedName name="solver_rhs5" localSheetId="4">Utilidad!$V$105</definedName>
    <definedName name="solver_rhs50" localSheetId="4">0</definedName>
    <definedName name="solver_rhs51" localSheetId="4">0</definedName>
    <definedName name="solver_rhs52" localSheetId="4">0</definedName>
    <definedName name="solver_rhs53" localSheetId="4">0</definedName>
    <definedName name="solver_rhs54" localSheetId="4">0</definedName>
    <definedName name="solver_rhs55" localSheetId="4">0</definedName>
    <definedName name="solver_rhs56" localSheetId="4">0</definedName>
    <definedName name="solver_rhs57" localSheetId="4">0</definedName>
    <definedName name="solver_rhs58" localSheetId="4">0</definedName>
    <definedName name="solver_rhs59" localSheetId="4">0</definedName>
    <definedName name="solver_rhs6" localSheetId="1">0</definedName>
    <definedName name="solver_rhs6" localSheetId="4">Utilidad!$V$122</definedName>
    <definedName name="solver_rhs60" localSheetId="4">0</definedName>
    <definedName name="solver_rhs61" localSheetId="4">0</definedName>
    <definedName name="solver_rhs62" localSheetId="4">0</definedName>
    <definedName name="solver_rhs63" localSheetId="4">0</definedName>
    <definedName name="solver_rhs64" localSheetId="4">0</definedName>
    <definedName name="solver_rhs65" localSheetId="4">0</definedName>
    <definedName name="solver_rhs66" localSheetId="4">Utilidad!$X$90</definedName>
    <definedName name="solver_rhs67" localSheetId="4">Utilidad!$X$96</definedName>
    <definedName name="solver_rhs68" localSheetId="4">Utilidad!$X$96</definedName>
    <definedName name="solver_rhs69" localSheetId="4">Utilidad!$X$96</definedName>
    <definedName name="solver_rhs7" localSheetId="1">0</definedName>
    <definedName name="solver_rhs7" localSheetId="4">Utilidad!$V$124</definedName>
    <definedName name="solver_rhs70" localSheetId="4">Utilidad!$X$96</definedName>
    <definedName name="solver_rhs71" localSheetId="4">Utilidad!$X$96</definedName>
    <definedName name="solver_rhs72" localSheetId="4">Utilidad!$X$96</definedName>
    <definedName name="solver_rhs73" localSheetId="4">Utilidad!$X$96</definedName>
    <definedName name="solver_rhs74" localSheetId="4">Utilidad!$X$96</definedName>
    <definedName name="solver_rhs75" localSheetId="4">Utilidad!$X$96</definedName>
    <definedName name="solver_rhs76" localSheetId="4">Utilidad!$X$96</definedName>
    <definedName name="solver_rhs77" localSheetId="4">Utilidad!$X$96</definedName>
    <definedName name="solver_rhs78" localSheetId="4">Utilidad!$X$96</definedName>
    <definedName name="solver_rhs79" localSheetId="4">Utilidad!$X$96</definedName>
    <definedName name="solver_rhs8" localSheetId="1">0</definedName>
    <definedName name="solver_rhs8" localSheetId="4">Utilidad!$V$126</definedName>
    <definedName name="solver_rhs80" localSheetId="4">Utilidad!$X$96</definedName>
    <definedName name="solver_rhs81" localSheetId="4">0</definedName>
    <definedName name="solver_rhs82" localSheetId="4">Utilidad!$X$96</definedName>
    <definedName name="solver_rhs9" localSheetId="1">0</definedName>
    <definedName name="solver_rhs9" localSheetId="4">Utilidad!$V$67</definedName>
    <definedName name="solver_rlx" localSheetId="1">2</definedName>
    <definedName name="solver_rlx" localSheetId="6">2</definedName>
    <definedName name="solver_rlx" localSheetId="0">2</definedName>
    <definedName name="solver_rlx" localSheetId="4">2</definedName>
    <definedName name="solver_rsd" localSheetId="1">0</definedName>
    <definedName name="solver_rsd" localSheetId="6">0</definedName>
    <definedName name="solver_rsd" localSheetId="0">0</definedName>
    <definedName name="solver_rsd" localSheetId="4">0</definedName>
    <definedName name="solver_scl" localSheetId="1">1</definedName>
    <definedName name="solver_scl" localSheetId="6">2</definedName>
    <definedName name="solver_scl" localSheetId="0">1</definedName>
    <definedName name="solver_scl" localSheetId="4">1</definedName>
    <definedName name="solver_sho" localSheetId="1">2</definedName>
    <definedName name="solver_sho" localSheetId="6">2</definedName>
    <definedName name="solver_sho" localSheetId="0">2</definedName>
    <definedName name="solver_sho" localSheetId="4">2</definedName>
    <definedName name="solver_ssz" localSheetId="1">100</definedName>
    <definedName name="solver_ssz" localSheetId="6">100</definedName>
    <definedName name="solver_ssz" localSheetId="0">100</definedName>
    <definedName name="solver_ssz" localSheetId="4">100</definedName>
    <definedName name="solver_tim" localSheetId="1">2147483647</definedName>
    <definedName name="solver_tim" localSheetId="6">2147483647</definedName>
    <definedName name="solver_tim" localSheetId="0">2147483647</definedName>
    <definedName name="solver_tim" localSheetId="4">2147483647</definedName>
    <definedName name="solver_tol" localSheetId="1">0.01</definedName>
    <definedName name="solver_tol" localSheetId="6">0.01</definedName>
    <definedName name="solver_tol" localSheetId="0">0.01</definedName>
    <definedName name="solver_tol" localSheetId="4">0.01</definedName>
    <definedName name="solver_typ" localSheetId="1">2</definedName>
    <definedName name="solver_typ" localSheetId="6">1</definedName>
    <definedName name="solver_typ" localSheetId="0">3</definedName>
    <definedName name="solver_typ" localSheetId="4">2</definedName>
    <definedName name="solver_val" localSheetId="1">0</definedName>
    <definedName name="solver_val" localSheetId="6">0</definedName>
    <definedName name="solver_val" localSheetId="0">87.4</definedName>
    <definedName name="solver_val" localSheetId="4">0</definedName>
    <definedName name="solver_ver" localSheetId="1">3</definedName>
    <definedName name="solver_ver" localSheetId="6">3</definedName>
    <definedName name="solver_ver" localSheetId="0">3</definedName>
    <definedName name="solver_ver" localSheetId="4">3</definedName>
    <definedName name="SUMCHECK" localSheetId="0">#REF!</definedName>
    <definedName name="SUMCHECK">#REF!</definedName>
    <definedName name="SUMCUTONNES" localSheetId="0">#REF!</definedName>
    <definedName name="SUMCUTONNES">#REF!</definedName>
    <definedName name="SUMDMT" localSheetId="0">#REF!</definedName>
    <definedName name="SUMDMT">#REF!</definedName>
    <definedName name="TAIL">#REF!</definedName>
    <definedName name="UNI_AA_VERSION">"202.1.0"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CLOSEST">512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MRECORD">64</definedName>
    <definedName name="UNI_PRES_OUTLIERS">32</definedName>
    <definedName name="UNI_PRES_POST">256</definedName>
    <definedName name="UNI_PRES_PRIOR">2048</definedName>
    <definedName name="UNI_PRES_RECENT">1024</definedName>
    <definedName name="UNI_PRES_STATIC">128</definedName>
    <definedName name="UNI_PRES_TRANSPOSE">4096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itUTrQhHME5K2qW0TB7JHwN9nwqg=="/>
    </ext>
  </extLst>
</workbook>
</file>

<file path=xl/calcChain.xml><?xml version="1.0" encoding="utf-8"?>
<calcChain xmlns="http://schemas.openxmlformats.org/spreadsheetml/2006/main">
  <c r="G21" i="9" l="1"/>
  <c r="P50" i="9"/>
  <c r="AP57" i="9"/>
  <c r="AQ57" i="9"/>
  <c r="AQ56" i="9"/>
  <c r="AP56" i="9"/>
  <c r="AP52" i="9"/>
  <c r="AQ52" i="9"/>
  <c r="AP53" i="9"/>
  <c r="AQ53" i="9"/>
  <c r="AP54" i="9"/>
  <c r="AQ54" i="9"/>
  <c r="AQ51" i="9"/>
  <c r="AP51" i="9"/>
  <c r="AP49" i="9"/>
  <c r="AQ49" i="9"/>
  <c r="AP47" i="9"/>
  <c r="AQ47" i="9"/>
  <c r="AP48" i="9"/>
  <c r="AQ48" i="9"/>
  <c r="AQ46" i="9"/>
  <c r="AP46" i="9"/>
  <c r="AQ41" i="9"/>
  <c r="AQ42" i="9"/>
  <c r="AQ43" i="9"/>
  <c r="AQ44" i="9"/>
  <c r="AP42" i="9"/>
  <c r="AP43" i="9"/>
  <c r="AP44" i="9"/>
  <c r="AP41" i="9"/>
  <c r="AM57" i="9"/>
  <c r="AN57" i="9"/>
  <c r="AN56" i="9"/>
  <c r="AM56" i="9"/>
  <c r="AM52" i="9"/>
  <c r="AN52" i="9"/>
  <c r="AM53" i="9"/>
  <c r="AN53" i="9"/>
  <c r="AM54" i="9"/>
  <c r="AN54" i="9"/>
  <c r="AN51" i="9"/>
  <c r="AM51" i="9"/>
  <c r="AM47" i="9"/>
  <c r="AN47" i="9"/>
  <c r="AM48" i="9"/>
  <c r="AN48" i="9"/>
  <c r="AM49" i="9"/>
  <c r="AN49" i="9"/>
  <c r="AN46" i="9"/>
  <c r="AM46" i="9"/>
  <c r="AN41" i="9"/>
  <c r="AN42" i="9"/>
  <c r="AN43" i="9"/>
  <c r="AN44" i="9"/>
  <c r="AM42" i="9"/>
  <c r="AM43" i="9"/>
  <c r="AM44" i="9"/>
  <c r="AM41" i="9"/>
  <c r="I10" i="10" l="1"/>
  <c r="O14" i="10"/>
  <c r="P11" i="10"/>
  <c r="O11" i="10"/>
  <c r="O12" i="10"/>
  <c r="P12" i="10"/>
  <c r="N12" i="10"/>
  <c r="P14" i="10"/>
  <c r="O19" i="9"/>
  <c r="E71" i="9"/>
  <c r="E70" i="9"/>
  <c r="K71" i="9"/>
  <c r="E78" i="9"/>
  <c r="AE19" i="9"/>
  <c r="G10" i="10"/>
  <c r="N72" i="9"/>
  <c r="B78" i="9"/>
  <c r="R5" i="7" l="1"/>
  <c r="R6" i="7"/>
  <c r="AE8" i="9" s="1"/>
  <c r="R7" i="7"/>
  <c r="R8" i="7"/>
  <c r="AE10" i="9" s="1"/>
  <c r="R9" i="7"/>
  <c r="R10" i="7"/>
  <c r="R11" i="7"/>
  <c r="R12" i="7"/>
  <c r="R13" i="7"/>
  <c r="R14" i="7"/>
  <c r="AE13" i="9" s="1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AE24" i="9" s="1"/>
  <c r="R28" i="7"/>
  <c r="AE25" i="9" s="1"/>
  <c r="R29" i="7"/>
  <c r="AE26" i="9" s="1"/>
  <c r="AD26" i="9" s="1"/>
  <c r="B70" i="9" s="1"/>
  <c r="R30" i="7"/>
  <c r="R31" i="7"/>
  <c r="R32" i="7"/>
  <c r="R33" i="7"/>
  <c r="R34" i="7"/>
  <c r="R35" i="7"/>
  <c r="R36" i="7"/>
  <c r="R37" i="7"/>
  <c r="R38" i="7"/>
  <c r="R39" i="7"/>
  <c r="R40" i="7"/>
  <c r="G96" i="9"/>
  <c r="G95" i="9"/>
  <c r="G94" i="9"/>
  <c r="G93" i="9"/>
  <c r="G97" i="9" s="1"/>
  <c r="G90" i="9"/>
  <c r="F90" i="9"/>
  <c r="E90" i="9"/>
  <c r="H90" i="9" s="1"/>
  <c r="G89" i="9"/>
  <c r="H89" i="9" s="1"/>
  <c r="F89" i="9"/>
  <c r="E89" i="9"/>
  <c r="G88" i="9"/>
  <c r="H88" i="9" s="1"/>
  <c r="F88" i="9"/>
  <c r="E88" i="9"/>
  <c r="G87" i="9"/>
  <c r="F87" i="9"/>
  <c r="E87" i="9"/>
  <c r="H87" i="9" s="1"/>
  <c r="H86" i="9"/>
  <c r="G86" i="9"/>
  <c r="G91" i="9" s="1"/>
  <c r="F86" i="9"/>
  <c r="E86" i="9"/>
  <c r="L80" i="9"/>
  <c r="M80" i="9" s="1"/>
  <c r="O80" i="9" s="1"/>
  <c r="Q80" i="9" s="1"/>
  <c r="K80" i="9"/>
  <c r="J80" i="9"/>
  <c r="Q79" i="9"/>
  <c r="O79" i="9"/>
  <c r="M79" i="9"/>
  <c r="L79" i="9"/>
  <c r="K79" i="9"/>
  <c r="J79" i="9"/>
  <c r="N78" i="9"/>
  <c r="L78" i="9"/>
  <c r="K78" i="9"/>
  <c r="J78" i="9"/>
  <c r="Q14" i="10" s="1"/>
  <c r="N77" i="9"/>
  <c r="L77" i="9"/>
  <c r="N76" i="9"/>
  <c r="L76" i="9"/>
  <c r="I76" i="9"/>
  <c r="L75" i="9"/>
  <c r="L74" i="9"/>
  <c r="L73" i="9"/>
  <c r="L72" i="9"/>
  <c r="N71" i="9"/>
  <c r="L71" i="9"/>
  <c r="J71" i="9"/>
  <c r="N70" i="9"/>
  <c r="L70" i="9"/>
  <c r="AQ55" i="9"/>
  <c r="AN55" i="9"/>
  <c r="AP55" i="9" s="1"/>
  <c r="AM55" i="9"/>
  <c r="T52" i="9"/>
  <c r="M52" i="9"/>
  <c r="AQ50" i="9"/>
  <c r="AP50" i="9"/>
  <c r="AN50" i="9"/>
  <c r="AM50" i="9"/>
  <c r="AH50" i="9"/>
  <c r="AE50" i="9"/>
  <c r="AE49" i="9"/>
  <c r="AN45" i="9"/>
  <c r="AQ45" i="9" s="1"/>
  <c r="AM45" i="9"/>
  <c r="AI45" i="9"/>
  <c r="AH45" i="9"/>
  <c r="AG45" i="9"/>
  <c r="AF45" i="9"/>
  <c r="W27" i="9" s="1"/>
  <c r="AE45" i="9"/>
  <c r="AD45" i="9"/>
  <c r="N10" i="9" s="1"/>
  <c r="AI44" i="9"/>
  <c r="AH44" i="9"/>
  <c r="AG44" i="9"/>
  <c r="AF44" i="9"/>
  <c r="AE44" i="9"/>
  <c r="AD44" i="9"/>
  <c r="AI43" i="9"/>
  <c r="AH43" i="9"/>
  <c r="AG43" i="9"/>
  <c r="AF43" i="9"/>
  <c r="AE43" i="9"/>
  <c r="AD43" i="9"/>
  <c r="R43" i="9"/>
  <c r="AI42" i="9"/>
  <c r="AH42" i="9"/>
  <c r="AG42" i="9"/>
  <c r="AF42" i="9"/>
  <c r="AE42" i="9"/>
  <c r="AD42" i="9"/>
  <c r="C42" i="9"/>
  <c r="AI41" i="9"/>
  <c r="AH41" i="9"/>
  <c r="AG41" i="9"/>
  <c r="AF41" i="9"/>
  <c r="AG50" i="9" s="1"/>
  <c r="AE41" i="9"/>
  <c r="AD41" i="9"/>
  <c r="AN40" i="9"/>
  <c r="AQ40" i="9" s="1"/>
  <c r="AM40" i="9"/>
  <c r="AI40" i="9"/>
  <c r="AH40" i="9"/>
  <c r="AG40" i="9"/>
  <c r="AF40" i="9"/>
  <c r="U27" i="9" s="1"/>
  <c r="AE40" i="9"/>
  <c r="AD40" i="9"/>
  <c r="M40" i="9"/>
  <c r="AI39" i="9"/>
  <c r="AH39" i="9"/>
  <c r="AG39" i="9"/>
  <c r="AF39" i="9"/>
  <c r="AE39" i="9"/>
  <c r="AD39" i="9"/>
  <c r="M10" i="9" s="1"/>
  <c r="AI38" i="9"/>
  <c r="AH38" i="9"/>
  <c r="AG38" i="9"/>
  <c r="AF38" i="9"/>
  <c r="S52" i="9" s="1"/>
  <c r="AE38" i="9"/>
  <c r="AD38" i="9"/>
  <c r="AI37" i="9"/>
  <c r="AH37" i="9"/>
  <c r="AG37" i="9"/>
  <c r="AF37" i="9"/>
  <c r="AE37" i="9"/>
  <c r="AD37" i="9"/>
  <c r="AL36" i="9"/>
  <c r="AI36" i="9"/>
  <c r="AH36" i="9"/>
  <c r="AG36" i="9"/>
  <c r="AF36" i="9"/>
  <c r="V13" i="9" s="1"/>
  <c r="V21" i="9" s="1"/>
  <c r="AE36" i="9"/>
  <c r="AD36" i="9"/>
  <c r="AI35" i="9"/>
  <c r="AH35" i="9"/>
  <c r="AG35" i="9"/>
  <c r="AF35" i="9"/>
  <c r="AE35" i="9"/>
  <c r="AD35" i="9"/>
  <c r="K35" i="9"/>
  <c r="AI34" i="9"/>
  <c r="AH34" i="9"/>
  <c r="AG34" i="9"/>
  <c r="AF34" i="9"/>
  <c r="S27" i="9" s="1"/>
  <c r="AE34" i="9"/>
  <c r="AD34" i="9"/>
  <c r="I34" i="9"/>
  <c r="E34" i="9"/>
  <c r="AI33" i="9"/>
  <c r="AH33" i="9"/>
  <c r="AG33" i="9"/>
  <c r="AF33" i="9"/>
  <c r="R52" i="9" s="1"/>
  <c r="AE33" i="9"/>
  <c r="AD33" i="9"/>
  <c r="AI32" i="9"/>
  <c r="AH32" i="9"/>
  <c r="AG32" i="9"/>
  <c r="AF32" i="9"/>
  <c r="AE32" i="9"/>
  <c r="AD32" i="9"/>
  <c r="AL31" i="9"/>
  <c r="AI31" i="9"/>
  <c r="AH31" i="9"/>
  <c r="AG31" i="9"/>
  <c r="AF31" i="9"/>
  <c r="AE31" i="9"/>
  <c r="AF49" i="9" s="1"/>
  <c r="AD31" i="9"/>
  <c r="AI30" i="9"/>
  <c r="AH30" i="9"/>
  <c r="AG30" i="9"/>
  <c r="AF30" i="9"/>
  <c r="AE30" i="9"/>
  <c r="AD30" i="9"/>
  <c r="J30" i="9"/>
  <c r="AF28" i="9"/>
  <c r="W28" i="9"/>
  <c r="S28" i="9"/>
  <c r="AG27" i="9"/>
  <c r="AF27" i="9"/>
  <c r="AE27" i="9"/>
  <c r="AP25" i="9"/>
  <c r="AL25" i="9"/>
  <c r="AL26" i="9" s="1"/>
  <c r="AP24" i="9"/>
  <c r="AE23" i="9"/>
  <c r="AG22" i="9"/>
  <c r="R44" i="9" s="1"/>
  <c r="R45" i="9" s="1"/>
  <c r="AL21" i="9"/>
  <c r="AF21" i="9"/>
  <c r="M39" i="9" s="1"/>
  <c r="AL20" i="9"/>
  <c r="AF20" i="9"/>
  <c r="W20" i="9"/>
  <c r="AQ19" i="9"/>
  <c r="AG19" i="9"/>
  <c r="AG18" i="9"/>
  <c r="J40" i="9" s="1"/>
  <c r="AF18" i="9"/>
  <c r="AE18" i="9"/>
  <c r="AD18" i="9" s="1"/>
  <c r="AE17" i="9"/>
  <c r="AG16" i="9"/>
  <c r="F41" i="9" s="1"/>
  <c r="AR15" i="9"/>
  <c r="AP15" i="9"/>
  <c r="AO15" i="9"/>
  <c r="AN15" i="9"/>
  <c r="AM15" i="9"/>
  <c r="AL15" i="9"/>
  <c r="S15" i="9"/>
  <c r="G15" i="9"/>
  <c r="AP14" i="9"/>
  <c r="AO14" i="9"/>
  <c r="AN14" i="9"/>
  <c r="AM14" i="9"/>
  <c r="AR14" i="9" s="1"/>
  <c r="AL14" i="9"/>
  <c r="AQ14" i="9" s="1"/>
  <c r="AG14" i="9"/>
  <c r="AP13" i="9"/>
  <c r="AO13" i="9"/>
  <c r="AN13" i="9"/>
  <c r="AM13" i="9"/>
  <c r="AR13" i="9" s="1"/>
  <c r="AL13" i="9"/>
  <c r="AG13" i="9"/>
  <c r="D29" i="9" s="1"/>
  <c r="X13" i="9"/>
  <c r="AP12" i="9"/>
  <c r="AO12" i="9"/>
  <c r="AN12" i="9"/>
  <c r="AM12" i="9"/>
  <c r="AR12" i="9" s="1"/>
  <c r="P57" i="9" s="1"/>
  <c r="AL12" i="9"/>
  <c r="AR11" i="9"/>
  <c r="AP11" i="9"/>
  <c r="AO11" i="9"/>
  <c r="AN11" i="9"/>
  <c r="AM11" i="9"/>
  <c r="AL11" i="9"/>
  <c r="AG11" i="9"/>
  <c r="AE11" i="9"/>
  <c r="AD11" i="9"/>
  <c r="AP10" i="9"/>
  <c r="AO10" i="9"/>
  <c r="AN10" i="9"/>
  <c r="AM10" i="9"/>
  <c r="AR10" i="9" s="1"/>
  <c r="E36" i="9" s="1"/>
  <c r="AL10" i="9"/>
  <c r="AG10" i="9"/>
  <c r="L10" i="9"/>
  <c r="AP9" i="9"/>
  <c r="AO9" i="9"/>
  <c r="AN9" i="9"/>
  <c r="AM9" i="9"/>
  <c r="AL9" i="9"/>
  <c r="AE9" i="9"/>
  <c r="AP8" i="9"/>
  <c r="AO8" i="9"/>
  <c r="AN8" i="9"/>
  <c r="AM8" i="9"/>
  <c r="AL8" i="9"/>
  <c r="AF8" i="9"/>
  <c r="W8" i="9"/>
  <c r="U8" i="9"/>
  <c r="R8" i="9"/>
  <c r="AP7" i="9"/>
  <c r="AO7" i="9"/>
  <c r="AN7" i="9"/>
  <c r="AM7" i="9"/>
  <c r="AR7" i="9" s="1"/>
  <c r="J5" i="9" s="1"/>
  <c r="AL7" i="9"/>
  <c r="AR6" i="9"/>
  <c r="AP6" i="9"/>
  <c r="AO6" i="9"/>
  <c r="AN6" i="9"/>
  <c r="AM6" i="9"/>
  <c r="AL6" i="9"/>
  <c r="AE6" i="9"/>
  <c r="N4" i="9"/>
  <c r="C4" i="9"/>
  <c r="P4" i="10" s="1"/>
  <c r="AX3" i="9"/>
  <c r="AW3" i="9"/>
  <c r="AV3" i="9"/>
  <c r="AU3" i="9"/>
  <c r="H40" i="7"/>
  <c r="K40" i="7" s="1"/>
  <c r="G40" i="7"/>
  <c r="J40" i="7" s="1"/>
  <c r="D40" i="7"/>
  <c r="C40" i="7"/>
  <c r="H39" i="7"/>
  <c r="G39" i="7"/>
  <c r="J39" i="7" s="1"/>
  <c r="D39" i="7"/>
  <c r="K39" i="7" s="1"/>
  <c r="C39" i="7"/>
  <c r="H38" i="7"/>
  <c r="V38" i="9" s="1"/>
  <c r="G38" i="7"/>
  <c r="D38" i="7"/>
  <c r="K38" i="7" s="1"/>
  <c r="C38" i="7"/>
  <c r="J38" i="7" s="1"/>
  <c r="J37" i="7"/>
  <c r="H37" i="7"/>
  <c r="K37" i="7" s="1"/>
  <c r="G37" i="7"/>
  <c r="D37" i="7"/>
  <c r="C37" i="7"/>
  <c r="H36" i="7"/>
  <c r="G36" i="7"/>
  <c r="D36" i="7"/>
  <c r="C36" i="7"/>
  <c r="J36" i="7" s="1"/>
  <c r="H35" i="7"/>
  <c r="G35" i="7"/>
  <c r="D35" i="7"/>
  <c r="K35" i="7" s="1"/>
  <c r="C35" i="7"/>
  <c r="J35" i="7" s="1"/>
  <c r="M35" i="7" s="1"/>
  <c r="H34" i="7"/>
  <c r="G34" i="7"/>
  <c r="D34" i="7"/>
  <c r="K34" i="7" s="1"/>
  <c r="C34" i="7"/>
  <c r="K33" i="7"/>
  <c r="H33" i="7"/>
  <c r="G33" i="7"/>
  <c r="D33" i="7"/>
  <c r="C33" i="7"/>
  <c r="J33" i="7" s="1"/>
  <c r="K32" i="7"/>
  <c r="H32" i="7"/>
  <c r="G32" i="7"/>
  <c r="D32" i="7"/>
  <c r="C32" i="7"/>
  <c r="J32" i="7" s="1"/>
  <c r="AE28" i="9"/>
  <c r="K31" i="7"/>
  <c r="J31" i="7"/>
  <c r="N31" i="7" s="1"/>
  <c r="H31" i="7"/>
  <c r="AG28" i="9" s="1"/>
  <c r="M53" i="9" s="1"/>
  <c r="I19" i="10" s="1"/>
  <c r="G31" i="7"/>
  <c r="D31" i="7"/>
  <c r="C31" i="7"/>
  <c r="K30" i="7"/>
  <c r="H30" i="7"/>
  <c r="G30" i="7"/>
  <c r="D30" i="7"/>
  <c r="C30" i="7"/>
  <c r="AD27" i="9" s="1"/>
  <c r="M29" i="7"/>
  <c r="H29" i="7"/>
  <c r="AG26" i="9" s="1"/>
  <c r="G29" i="7"/>
  <c r="J29" i="7" s="1"/>
  <c r="D29" i="7"/>
  <c r="K29" i="7" s="1"/>
  <c r="C29" i="7"/>
  <c r="K28" i="7"/>
  <c r="J28" i="7"/>
  <c r="H28" i="7"/>
  <c r="AG25" i="9" s="1"/>
  <c r="R37" i="9" s="1"/>
  <c r="G28" i="7"/>
  <c r="AF25" i="9" s="1"/>
  <c r="D28" i="7"/>
  <c r="C28" i="7"/>
  <c r="K27" i="7"/>
  <c r="H27" i="7"/>
  <c r="AG24" i="9" s="1"/>
  <c r="G27" i="7"/>
  <c r="D27" i="7"/>
  <c r="C27" i="7"/>
  <c r="H26" i="7"/>
  <c r="AG23" i="9" s="1"/>
  <c r="G26" i="7"/>
  <c r="AF23" i="9" s="1"/>
  <c r="D26" i="7"/>
  <c r="K26" i="7" s="1"/>
  <c r="C26" i="7"/>
  <c r="J26" i="7" s="1"/>
  <c r="AE22" i="9"/>
  <c r="AD22" i="9" s="1"/>
  <c r="H25" i="7"/>
  <c r="G25" i="7"/>
  <c r="AF22" i="9" s="1"/>
  <c r="D25" i="7"/>
  <c r="K25" i="7" s="1"/>
  <c r="C25" i="7"/>
  <c r="J25" i="7" s="1"/>
  <c r="M25" i="7" s="1"/>
  <c r="AE21" i="9"/>
  <c r="AD21" i="9" s="1"/>
  <c r="J24" i="7"/>
  <c r="H24" i="7"/>
  <c r="AG21" i="9" s="1"/>
  <c r="G24" i="7"/>
  <c r="D24" i="7"/>
  <c r="K24" i="7" s="1"/>
  <c r="C24" i="7"/>
  <c r="AE20" i="9"/>
  <c r="AD20" i="9" s="1"/>
  <c r="N23" i="7"/>
  <c r="M23" i="7"/>
  <c r="K23" i="7"/>
  <c r="H23" i="7"/>
  <c r="AG20" i="9" s="1"/>
  <c r="G23" i="7"/>
  <c r="D23" i="7"/>
  <c r="C23" i="7"/>
  <c r="J23" i="7" s="1"/>
  <c r="K22" i="7"/>
  <c r="H22" i="7"/>
  <c r="G22" i="7"/>
  <c r="AF19" i="9" s="1"/>
  <c r="D22" i="7"/>
  <c r="C22" i="7"/>
  <c r="J21" i="7"/>
  <c r="H21" i="7"/>
  <c r="G21" i="7"/>
  <c r="D21" i="7"/>
  <c r="K21" i="7" s="1"/>
  <c r="C21" i="7"/>
  <c r="H20" i="7"/>
  <c r="AG17" i="9" s="1"/>
  <c r="G46" i="9" s="1"/>
  <c r="E48" i="9" s="1"/>
  <c r="G20" i="7"/>
  <c r="AF17" i="9" s="1"/>
  <c r="D20" i="7"/>
  <c r="C20" i="7"/>
  <c r="AD19" i="9" s="1"/>
  <c r="AE16" i="9"/>
  <c r="H19" i="7"/>
  <c r="G19" i="7"/>
  <c r="J19" i="7" s="1"/>
  <c r="D19" i="7"/>
  <c r="K19" i="7" s="1"/>
  <c r="C19" i="7"/>
  <c r="M18" i="7"/>
  <c r="H18" i="7"/>
  <c r="G18" i="7"/>
  <c r="D18" i="7"/>
  <c r="K18" i="7" s="1"/>
  <c r="C18" i="7"/>
  <c r="J18" i="7" s="1"/>
  <c r="K17" i="7"/>
  <c r="J17" i="7"/>
  <c r="H17" i="7"/>
  <c r="G17" i="7"/>
  <c r="J29" i="9" s="1"/>
  <c r="D17" i="7"/>
  <c r="C17" i="7"/>
  <c r="AE15" i="9"/>
  <c r="AD15" i="9" s="1"/>
  <c r="Z15" i="9" s="1"/>
  <c r="H16" i="7"/>
  <c r="AG15" i="9" s="1"/>
  <c r="I42" i="9" s="1"/>
  <c r="G16" i="7"/>
  <c r="AF15" i="9" s="1"/>
  <c r="I41" i="9" s="1"/>
  <c r="D16" i="7"/>
  <c r="K16" i="7" s="1"/>
  <c r="C16" i="7"/>
  <c r="AE14" i="9"/>
  <c r="K15" i="7"/>
  <c r="H15" i="7"/>
  <c r="G15" i="7"/>
  <c r="AF14" i="9" s="1"/>
  <c r="D15" i="7"/>
  <c r="C15" i="7"/>
  <c r="H14" i="7"/>
  <c r="G14" i="7"/>
  <c r="AF13" i="9" s="1"/>
  <c r="D14" i="7"/>
  <c r="K14" i="7" s="1"/>
  <c r="C14" i="7"/>
  <c r="M13" i="7"/>
  <c r="K13" i="7"/>
  <c r="N13" i="7" s="1"/>
  <c r="H13" i="7"/>
  <c r="F29" i="9" s="1"/>
  <c r="G13" i="7"/>
  <c r="F28" i="9" s="1"/>
  <c r="F30" i="9" s="1"/>
  <c r="D13" i="7"/>
  <c r="C13" i="7"/>
  <c r="J13" i="7" s="1"/>
  <c r="N12" i="7"/>
  <c r="K12" i="7"/>
  <c r="J12" i="7"/>
  <c r="M12" i="7" s="1"/>
  <c r="H12" i="7"/>
  <c r="G12" i="7"/>
  <c r="E33" i="9" s="1"/>
  <c r="D12" i="7"/>
  <c r="C12" i="7"/>
  <c r="M11" i="7"/>
  <c r="J11" i="7"/>
  <c r="N11" i="7" s="1"/>
  <c r="H11" i="7"/>
  <c r="K11" i="7" s="1"/>
  <c r="G11" i="7"/>
  <c r="H38" i="9" s="1"/>
  <c r="D11" i="7"/>
  <c r="C11" i="7"/>
  <c r="AE12" i="9"/>
  <c r="K10" i="7"/>
  <c r="H10" i="7"/>
  <c r="AG12" i="9" s="1"/>
  <c r="G10" i="7"/>
  <c r="AF12" i="9" s="1"/>
  <c r="AI12" i="9" s="1"/>
  <c r="D10" i="7"/>
  <c r="C10" i="7"/>
  <c r="AD12" i="9" s="1"/>
  <c r="G15" i="10" s="1"/>
  <c r="H9" i="7"/>
  <c r="G9" i="7"/>
  <c r="I23" i="9" s="1"/>
  <c r="D9" i="7"/>
  <c r="K9" i="7" s="1"/>
  <c r="C9" i="7"/>
  <c r="H8" i="7"/>
  <c r="G8" i="7"/>
  <c r="AF10" i="9" s="1"/>
  <c r="D8" i="7"/>
  <c r="K8" i="7" s="1"/>
  <c r="C8" i="7"/>
  <c r="N7" i="7"/>
  <c r="K7" i="7"/>
  <c r="J7" i="7"/>
  <c r="M7" i="7" s="1"/>
  <c r="H7" i="7"/>
  <c r="AG9" i="9" s="1"/>
  <c r="G7" i="7"/>
  <c r="AF9" i="9" s="1"/>
  <c r="AI9" i="9" s="1"/>
  <c r="E76" i="9" s="1"/>
  <c r="J76" i="9" s="1"/>
  <c r="D7" i="7"/>
  <c r="C7" i="7"/>
  <c r="H6" i="7"/>
  <c r="AG8" i="9" s="1"/>
  <c r="N5" i="9" s="1"/>
  <c r="G6" i="7"/>
  <c r="D6" i="7"/>
  <c r="C6" i="7"/>
  <c r="AE7" i="9"/>
  <c r="K5" i="7"/>
  <c r="H5" i="7"/>
  <c r="AG7" i="9" s="1"/>
  <c r="H5" i="9" s="1"/>
  <c r="G5" i="7"/>
  <c r="AF7" i="9" s="1"/>
  <c r="D5" i="7"/>
  <c r="C5" i="7"/>
  <c r="R4" i="7"/>
  <c r="H4" i="7"/>
  <c r="AG6" i="9" s="1"/>
  <c r="F8" i="9" s="1"/>
  <c r="G4" i="7"/>
  <c r="AF6" i="9" s="1"/>
  <c r="D4" i="7"/>
  <c r="K4" i="7" s="1"/>
  <c r="C4" i="7"/>
  <c r="Q126" i="6"/>
  <c r="P126" i="6"/>
  <c r="O126" i="6"/>
  <c r="N126" i="6"/>
  <c r="Q125" i="6"/>
  <c r="O125" i="6"/>
  <c r="N125" i="6"/>
  <c r="P125" i="6" s="1"/>
  <c r="Q124" i="6"/>
  <c r="O124" i="6"/>
  <c r="N124" i="6"/>
  <c r="P124" i="6" s="1"/>
  <c r="Q123" i="6"/>
  <c r="P123" i="6"/>
  <c r="O123" i="6"/>
  <c r="N123" i="6"/>
  <c r="Q122" i="6"/>
  <c r="O122" i="6"/>
  <c r="N122" i="6"/>
  <c r="P122" i="6" s="1"/>
  <c r="Q121" i="6"/>
  <c r="O121" i="6"/>
  <c r="N121" i="6"/>
  <c r="P121" i="6" s="1"/>
  <c r="Q120" i="6"/>
  <c r="O120" i="6"/>
  <c r="N120" i="6"/>
  <c r="P120" i="6" s="1"/>
  <c r="Q119" i="6"/>
  <c r="O119" i="6"/>
  <c r="N119" i="6"/>
  <c r="P119" i="6" s="1"/>
  <c r="Q118" i="6"/>
  <c r="P118" i="6"/>
  <c r="O118" i="6"/>
  <c r="N118" i="6"/>
  <c r="Q117" i="6"/>
  <c r="O117" i="6"/>
  <c r="N117" i="6"/>
  <c r="P117" i="6" s="1"/>
  <c r="Q116" i="6"/>
  <c r="O116" i="6"/>
  <c r="N116" i="6"/>
  <c r="P116" i="6" s="1"/>
  <c r="Q115" i="6"/>
  <c r="O115" i="6"/>
  <c r="N115" i="6"/>
  <c r="P115" i="6" s="1"/>
  <c r="Q114" i="6"/>
  <c r="P114" i="6"/>
  <c r="O114" i="6"/>
  <c r="N114" i="6"/>
  <c r="Q113" i="6"/>
  <c r="P113" i="6"/>
  <c r="O113" i="6"/>
  <c r="N113" i="6"/>
  <c r="Q112" i="6"/>
  <c r="O112" i="6"/>
  <c r="N112" i="6"/>
  <c r="P112" i="6" s="1"/>
  <c r="Q111" i="6"/>
  <c r="P111" i="6"/>
  <c r="O111" i="6"/>
  <c r="N111" i="6"/>
  <c r="Q110" i="6"/>
  <c r="P110" i="6"/>
  <c r="O110" i="6"/>
  <c r="N110" i="6"/>
  <c r="Q109" i="6"/>
  <c r="P109" i="6"/>
  <c r="O109" i="6"/>
  <c r="N109" i="6"/>
  <c r="Q108" i="6"/>
  <c r="P108" i="6"/>
  <c r="O108" i="6"/>
  <c r="N108" i="6"/>
  <c r="Q107" i="6"/>
  <c r="O107" i="6"/>
  <c r="N107" i="6"/>
  <c r="P107" i="6" s="1"/>
  <c r="Q106" i="6"/>
  <c r="P106" i="6"/>
  <c r="O106" i="6"/>
  <c r="N106" i="6"/>
  <c r="Q105" i="6"/>
  <c r="P105" i="6"/>
  <c r="O105" i="6"/>
  <c r="N105" i="6"/>
  <c r="Q104" i="6"/>
  <c r="O104" i="6"/>
  <c r="N104" i="6"/>
  <c r="P104" i="6" s="1"/>
  <c r="Q103" i="6"/>
  <c r="P103" i="6"/>
  <c r="O103" i="6"/>
  <c r="N103" i="6"/>
  <c r="Q102" i="6"/>
  <c r="O102" i="6"/>
  <c r="N102" i="6"/>
  <c r="P102" i="6" s="1"/>
  <c r="Q101" i="6"/>
  <c r="P101" i="6"/>
  <c r="O101" i="6"/>
  <c r="N101" i="6"/>
  <c r="Q100" i="6"/>
  <c r="P100" i="6"/>
  <c r="O100" i="6"/>
  <c r="N100" i="6"/>
  <c r="Q99" i="6"/>
  <c r="P99" i="6"/>
  <c r="O99" i="6"/>
  <c r="N99" i="6"/>
  <c r="Q98" i="6"/>
  <c r="P98" i="6"/>
  <c r="O98" i="6"/>
  <c r="N98" i="6"/>
  <c r="Q97" i="6"/>
  <c r="O97" i="6"/>
  <c r="N97" i="6"/>
  <c r="P97" i="6" s="1"/>
  <c r="Q96" i="6"/>
  <c r="O96" i="6"/>
  <c r="N96" i="6"/>
  <c r="P96" i="6" s="1"/>
  <c r="Q95" i="6"/>
  <c r="P95" i="6"/>
  <c r="O95" i="6"/>
  <c r="N95" i="6"/>
  <c r="Q94" i="6"/>
  <c r="O94" i="6"/>
  <c r="N94" i="6"/>
  <c r="P94" i="6" s="1"/>
  <c r="Q93" i="6"/>
  <c r="P93" i="6"/>
  <c r="O93" i="6"/>
  <c r="N93" i="6"/>
  <c r="Q92" i="6"/>
  <c r="O92" i="6"/>
  <c r="N92" i="6"/>
  <c r="P92" i="6" s="1"/>
  <c r="Q91" i="6"/>
  <c r="P91" i="6"/>
  <c r="O91" i="6"/>
  <c r="N91" i="6"/>
  <c r="Q90" i="6"/>
  <c r="P90" i="6"/>
  <c r="O90" i="6"/>
  <c r="N90" i="6"/>
  <c r="Q89" i="6"/>
  <c r="O89" i="6"/>
  <c r="N89" i="6"/>
  <c r="P89" i="6" s="1"/>
  <c r="Q88" i="6"/>
  <c r="P88" i="6"/>
  <c r="O88" i="6"/>
  <c r="N88" i="6"/>
  <c r="Q87" i="6"/>
  <c r="O87" i="6"/>
  <c r="N87" i="6"/>
  <c r="P87" i="6" s="1"/>
  <c r="Q86" i="6"/>
  <c r="O86" i="6"/>
  <c r="N86" i="6"/>
  <c r="P86" i="6" s="1"/>
  <c r="Q85" i="6"/>
  <c r="P85" i="6"/>
  <c r="O85" i="6"/>
  <c r="N85" i="6"/>
  <c r="Q84" i="6"/>
  <c r="O84" i="6"/>
  <c r="N84" i="6"/>
  <c r="P84" i="6" s="1"/>
  <c r="Q83" i="6"/>
  <c r="O83" i="6"/>
  <c r="N83" i="6"/>
  <c r="P83" i="6" s="1"/>
  <c r="Q82" i="6"/>
  <c r="O82" i="6"/>
  <c r="N82" i="6"/>
  <c r="P82" i="6" s="1"/>
  <c r="Q81" i="6"/>
  <c r="O81" i="6"/>
  <c r="N81" i="6"/>
  <c r="P81" i="6" s="1"/>
  <c r="Q80" i="6"/>
  <c r="P80" i="6"/>
  <c r="O80" i="6"/>
  <c r="N80" i="6"/>
  <c r="Q79" i="6"/>
  <c r="O79" i="6"/>
  <c r="N79" i="6"/>
  <c r="P79" i="6" s="1"/>
  <c r="Q78" i="6"/>
  <c r="P78" i="6"/>
  <c r="O78" i="6"/>
  <c r="N78" i="6"/>
  <c r="Q77" i="6"/>
  <c r="O77" i="6"/>
  <c r="N77" i="6"/>
  <c r="Q76" i="6"/>
  <c r="O76" i="6"/>
  <c r="N76" i="6"/>
  <c r="P76" i="6" s="1"/>
  <c r="Q75" i="6"/>
  <c r="P75" i="6"/>
  <c r="O75" i="6"/>
  <c r="N75" i="6"/>
  <c r="Q74" i="6"/>
  <c r="O74" i="6"/>
  <c r="N74" i="6"/>
  <c r="P74" i="6" s="1"/>
  <c r="Q73" i="6"/>
  <c r="O73" i="6"/>
  <c r="N73" i="6"/>
  <c r="P73" i="6" s="1"/>
  <c r="Q72" i="6"/>
  <c r="O72" i="6"/>
  <c r="N72" i="6"/>
  <c r="Q71" i="6"/>
  <c r="O71" i="6"/>
  <c r="N71" i="6"/>
  <c r="P71" i="6" s="1"/>
  <c r="Q70" i="6"/>
  <c r="P70" i="6"/>
  <c r="O70" i="6"/>
  <c r="N70" i="6"/>
  <c r="Q69" i="6"/>
  <c r="P69" i="6"/>
  <c r="O69" i="6"/>
  <c r="Q68" i="6"/>
  <c r="O68" i="6"/>
  <c r="P68" i="6" s="1"/>
  <c r="N68" i="6"/>
  <c r="Q67" i="6"/>
  <c r="O67" i="6"/>
  <c r="N67" i="6"/>
  <c r="P67" i="6" s="1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K1" i="6"/>
  <c r="F1" i="6"/>
  <c r="N60" i="3"/>
  <c r="G50" i="3"/>
  <c r="N48" i="3"/>
  <c r="N46" i="3"/>
  <c r="S37" i="3"/>
  <c r="G37" i="3"/>
  <c r="S36" i="3"/>
  <c r="N47" i="3" s="1"/>
  <c r="G36" i="3"/>
  <c r="N49" i="3" s="1"/>
  <c r="O34" i="3"/>
  <c r="O33" i="3"/>
  <c r="M31" i="3"/>
  <c r="M30" i="3"/>
  <c r="Q11" i="3" s="1"/>
  <c r="C30" i="3"/>
  <c r="N57" i="3" s="1"/>
  <c r="S29" i="3"/>
  <c r="C29" i="3"/>
  <c r="S28" i="3"/>
  <c r="C28" i="3"/>
  <c r="I27" i="3"/>
  <c r="L26" i="3"/>
  <c r="I26" i="3"/>
  <c r="L25" i="3"/>
  <c r="I25" i="3"/>
  <c r="Q8" i="3" s="1"/>
  <c r="P23" i="3"/>
  <c r="P22" i="3"/>
  <c r="K22" i="3"/>
  <c r="K21" i="3"/>
  <c r="X20" i="3"/>
  <c r="K20" i="3"/>
  <c r="Y19" i="3"/>
  <c r="J19" i="3"/>
  <c r="J46" i="3" s="1"/>
  <c r="M17" i="3"/>
  <c r="D17" i="3"/>
  <c r="M16" i="3"/>
  <c r="D16" i="3"/>
  <c r="M15" i="3"/>
  <c r="O20" i="3" s="1"/>
  <c r="J48" i="3" s="1"/>
  <c r="H13" i="3"/>
  <c r="J12" i="3"/>
  <c r="H12" i="3"/>
  <c r="J11" i="3"/>
  <c r="Q9" i="3"/>
  <c r="C9" i="3"/>
  <c r="C8" i="3"/>
  <c r="N45" i="3" s="1"/>
  <c r="I7" i="3"/>
  <c r="F7" i="3"/>
  <c r="E7" i="3"/>
  <c r="J45" i="3" s="1"/>
  <c r="I6" i="3"/>
  <c r="G45" i="3" s="1"/>
  <c r="F6" i="3"/>
  <c r="K123" i="2"/>
  <c r="I122" i="2"/>
  <c r="I121" i="2"/>
  <c r="K120" i="2"/>
  <c r="J120" i="2"/>
  <c r="I120" i="2"/>
  <c r="I116" i="2"/>
  <c r="I115" i="2"/>
  <c r="I112" i="2"/>
  <c r="K111" i="2"/>
  <c r="I111" i="2"/>
  <c r="I107" i="2"/>
  <c r="J105" i="2"/>
  <c r="I104" i="2"/>
  <c r="M96" i="2"/>
  <c r="J123" i="2" s="1"/>
  <c r="I94" i="2"/>
  <c r="I93" i="2"/>
  <c r="M92" i="2"/>
  <c r="J119" i="2" s="1"/>
  <c r="I92" i="2"/>
  <c r="I119" i="2" s="1"/>
  <c r="M91" i="2"/>
  <c r="J118" i="2" s="1"/>
  <c r="N90" i="2"/>
  <c r="K117" i="2" s="1"/>
  <c r="N88" i="2"/>
  <c r="K115" i="2" s="1"/>
  <c r="I88" i="2"/>
  <c r="N87" i="2"/>
  <c r="K114" i="2" s="1"/>
  <c r="M87" i="2"/>
  <c r="J114" i="2" s="1"/>
  <c r="N85" i="2"/>
  <c r="K112" i="2" s="1"/>
  <c r="M85" i="2"/>
  <c r="J112" i="2" s="1"/>
  <c r="I85" i="2"/>
  <c r="N84" i="2"/>
  <c r="I84" i="2"/>
  <c r="N81" i="2"/>
  <c r="K108" i="2" s="1"/>
  <c r="M81" i="2"/>
  <c r="J108" i="2" s="1"/>
  <c r="N78" i="2"/>
  <c r="K105" i="2" s="1"/>
  <c r="M78" i="2"/>
  <c r="N75" i="2"/>
  <c r="K102" i="2" s="1"/>
  <c r="I75" i="2"/>
  <c r="I102" i="2" s="1"/>
  <c r="N74" i="2"/>
  <c r="K101" i="2" s="1"/>
  <c r="I73" i="2"/>
  <c r="I100" i="2" s="1"/>
  <c r="R71" i="2"/>
  <c r="S69" i="2"/>
  <c r="V69" i="2" s="1"/>
  <c r="O69" i="2"/>
  <c r="G38" i="3" s="1"/>
  <c r="K69" i="2"/>
  <c r="N96" i="2" s="1"/>
  <c r="J69" i="2"/>
  <c r="R69" i="2" s="1"/>
  <c r="T69" i="2" s="1"/>
  <c r="I69" i="2"/>
  <c r="I96" i="2" s="1"/>
  <c r="I123" i="2" s="1"/>
  <c r="H69" i="2"/>
  <c r="S68" i="2"/>
  <c r="V68" i="2" s="1"/>
  <c r="R68" i="2"/>
  <c r="T68" i="2" s="1"/>
  <c r="O68" i="2"/>
  <c r="S38" i="3" s="1"/>
  <c r="N58" i="3" s="1"/>
  <c r="K68" i="2"/>
  <c r="N95" i="2" s="1"/>
  <c r="K122" i="2" s="1"/>
  <c r="J68" i="2"/>
  <c r="M95" i="2" s="1"/>
  <c r="J122" i="2" s="1"/>
  <c r="I68" i="2"/>
  <c r="I95" i="2" s="1"/>
  <c r="H68" i="2"/>
  <c r="Q67" i="2"/>
  <c r="P67" i="2"/>
  <c r="O67" i="2"/>
  <c r="AH40" i="2" s="1"/>
  <c r="K67" i="2"/>
  <c r="N94" i="2" s="1"/>
  <c r="K121" i="2" s="1"/>
  <c r="J67" i="2"/>
  <c r="R67" i="2" s="1"/>
  <c r="T67" i="2" s="1"/>
  <c r="I67" i="2"/>
  <c r="H67" i="2"/>
  <c r="F67" i="2"/>
  <c r="E67" i="2"/>
  <c r="D67" i="2"/>
  <c r="G67" i="2" s="1"/>
  <c r="V66" i="2"/>
  <c r="T66" i="2"/>
  <c r="S66" i="2"/>
  <c r="R66" i="2"/>
  <c r="O66" i="2"/>
  <c r="O35" i="3" s="1"/>
  <c r="K66" i="2"/>
  <c r="N93" i="2" s="1"/>
  <c r="J66" i="2"/>
  <c r="M93" i="2" s="1"/>
  <c r="I66" i="2"/>
  <c r="H66" i="2"/>
  <c r="S65" i="2"/>
  <c r="V65" i="2" s="1"/>
  <c r="R65" i="2"/>
  <c r="T65" i="2" s="1"/>
  <c r="O65" i="2"/>
  <c r="K65" i="2"/>
  <c r="N92" i="2" s="1"/>
  <c r="K119" i="2" s="1"/>
  <c r="J65" i="2"/>
  <c r="I65" i="2"/>
  <c r="H65" i="2"/>
  <c r="R64" i="2"/>
  <c r="T64" i="2" s="1"/>
  <c r="O64" i="2"/>
  <c r="AH37" i="2" s="1"/>
  <c r="K64" i="2"/>
  <c r="S64" i="2" s="1"/>
  <c r="V64" i="2" s="1"/>
  <c r="J64" i="2"/>
  <c r="I64" i="2"/>
  <c r="I91" i="2" s="1"/>
  <c r="I118" i="2" s="1"/>
  <c r="H64" i="2"/>
  <c r="O63" i="2"/>
  <c r="P24" i="3" s="1"/>
  <c r="K63" i="2"/>
  <c r="S63" i="2" s="1"/>
  <c r="V63" i="2" s="1"/>
  <c r="J63" i="2"/>
  <c r="M90" i="2" s="1"/>
  <c r="J117" i="2" s="1"/>
  <c r="I63" i="2"/>
  <c r="I90" i="2" s="1"/>
  <c r="I117" i="2" s="1"/>
  <c r="H63" i="2"/>
  <c r="P62" i="2"/>
  <c r="O62" i="2"/>
  <c r="I62" i="2"/>
  <c r="I89" i="2" s="1"/>
  <c r="H62" i="2"/>
  <c r="F62" i="2"/>
  <c r="K62" i="2" s="1"/>
  <c r="D62" i="2"/>
  <c r="G62" i="2" s="1"/>
  <c r="T61" i="2"/>
  <c r="S61" i="2"/>
  <c r="V61" i="2" s="1"/>
  <c r="O61" i="2"/>
  <c r="M32" i="3" s="1"/>
  <c r="K61" i="2"/>
  <c r="J61" i="2"/>
  <c r="R61" i="2" s="1"/>
  <c r="I61" i="2"/>
  <c r="H61" i="2"/>
  <c r="R60" i="2"/>
  <c r="T60" i="2" s="1"/>
  <c r="O60" i="2"/>
  <c r="K60" i="2"/>
  <c r="J60" i="2"/>
  <c r="I60" i="2"/>
  <c r="I87" i="2" s="1"/>
  <c r="I114" i="2" s="1"/>
  <c r="H60" i="2"/>
  <c r="T59" i="2"/>
  <c r="O59" i="2"/>
  <c r="L27" i="3" s="1"/>
  <c r="J59" i="2"/>
  <c r="R59" i="2" s="1"/>
  <c r="I59" i="2"/>
  <c r="I86" i="2" s="1"/>
  <c r="I113" i="2" s="1"/>
  <c r="H59" i="2"/>
  <c r="S58" i="2"/>
  <c r="V58" i="2" s="1"/>
  <c r="O58" i="2"/>
  <c r="K58" i="2"/>
  <c r="J58" i="2"/>
  <c r="I58" i="2"/>
  <c r="H58" i="2"/>
  <c r="AB57" i="2"/>
  <c r="S57" i="2"/>
  <c r="V57" i="2" s="1"/>
  <c r="O57" i="2"/>
  <c r="K57" i="2"/>
  <c r="J57" i="2"/>
  <c r="M84" i="2" s="1"/>
  <c r="J111" i="2" s="1"/>
  <c r="I57" i="2"/>
  <c r="H57" i="2"/>
  <c r="P56" i="2"/>
  <c r="O56" i="2"/>
  <c r="I56" i="2"/>
  <c r="I83" i="2" s="1"/>
  <c r="I110" i="2" s="1"/>
  <c r="H56" i="2"/>
  <c r="E56" i="2"/>
  <c r="J56" i="2" s="1"/>
  <c r="M83" i="2" s="1"/>
  <c r="J110" i="2" s="1"/>
  <c r="D56" i="2"/>
  <c r="G56" i="2" s="1"/>
  <c r="O55" i="2"/>
  <c r="K55" i="2"/>
  <c r="J55" i="2"/>
  <c r="I55" i="2"/>
  <c r="I82" i="2" s="1"/>
  <c r="I109" i="2" s="1"/>
  <c r="H55" i="2"/>
  <c r="V54" i="2"/>
  <c r="T54" i="2"/>
  <c r="R54" i="2"/>
  <c r="O54" i="2"/>
  <c r="K54" i="2"/>
  <c r="S54" i="2" s="1"/>
  <c r="J54" i="2"/>
  <c r="I54" i="2"/>
  <c r="I81" i="2" s="1"/>
  <c r="I108" i="2" s="1"/>
  <c r="H54" i="2"/>
  <c r="P53" i="2"/>
  <c r="O53" i="2"/>
  <c r="AH26" i="2" s="1"/>
  <c r="J53" i="2"/>
  <c r="I53" i="2"/>
  <c r="I80" i="2" s="1"/>
  <c r="H53" i="2"/>
  <c r="F53" i="2"/>
  <c r="E53" i="2"/>
  <c r="D53" i="2"/>
  <c r="G53" i="2" s="1"/>
  <c r="O52" i="2"/>
  <c r="AH25" i="2" s="1"/>
  <c r="I52" i="2"/>
  <c r="I79" i="2" s="1"/>
  <c r="I106" i="2" s="1"/>
  <c r="H52" i="2"/>
  <c r="S51" i="2"/>
  <c r="V51" i="2" s="1"/>
  <c r="R51" i="2"/>
  <c r="T51" i="2" s="1"/>
  <c r="O51" i="2"/>
  <c r="AH24" i="2" s="1"/>
  <c r="K51" i="2"/>
  <c r="I51" i="2"/>
  <c r="I78" i="2" s="1"/>
  <c r="I105" i="2" s="1"/>
  <c r="H51" i="2"/>
  <c r="O50" i="2"/>
  <c r="I50" i="2"/>
  <c r="I77" i="2" s="1"/>
  <c r="H50" i="2"/>
  <c r="P49" i="2"/>
  <c r="O49" i="2"/>
  <c r="J56" i="3" s="1"/>
  <c r="J61" i="3" s="1"/>
  <c r="K49" i="2"/>
  <c r="I49" i="2"/>
  <c r="I76" i="2" s="1"/>
  <c r="I103" i="2" s="1"/>
  <c r="H49" i="2"/>
  <c r="G49" i="2"/>
  <c r="F49" i="2"/>
  <c r="E49" i="2"/>
  <c r="J49" i="2" s="1"/>
  <c r="Q49" i="2" s="1"/>
  <c r="D49" i="2"/>
  <c r="T48" i="2"/>
  <c r="S48" i="2"/>
  <c r="V48" i="2" s="1"/>
  <c r="O48" i="2"/>
  <c r="C10" i="3" s="1"/>
  <c r="N56" i="3" s="1"/>
  <c r="K48" i="2"/>
  <c r="J48" i="2"/>
  <c r="R48" i="2" s="1"/>
  <c r="I48" i="2"/>
  <c r="H48" i="2"/>
  <c r="S47" i="2"/>
  <c r="V47" i="2" s="1"/>
  <c r="O47" i="2"/>
  <c r="AH20" i="2" s="1"/>
  <c r="K47" i="2"/>
  <c r="J47" i="2"/>
  <c r="M74" i="2" s="1"/>
  <c r="J101" i="2" s="1"/>
  <c r="I47" i="2"/>
  <c r="I74" i="2" s="1"/>
  <c r="I101" i="2" s="1"/>
  <c r="H47" i="2"/>
  <c r="O46" i="2"/>
  <c r="I8" i="3" s="1"/>
  <c r="G56" i="3" s="1"/>
  <c r="G61" i="3" s="1"/>
  <c r="K46" i="2"/>
  <c r="S46" i="2" s="1"/>
  <c r="V46" i="2" s="1"/>
  <c r="V45" i="2" s="1"/>
  <c r="AE44" i="2" s="1"/>
  <c r="J46" i="2"/>
  <c r="I46" i="2"/>
  <c r="H46" i="2"/>
  <c r="AB45" i="2" a="1"/>
  <c r="AB45" i="2"/>
  <c r="AH42" i="2"/>
  <c r="AG42" i="2"/>
  <c r="AH41" i="2"/>
  <c r="AG41" i="2"/>
  <c r="AG40" i="2"/>
  <c r="AH39" i="2"/>
  <c r="AG39" i="2"/>
  <c r="AG38" i="2"/>
  <c r="AG37" i="2"/>
  <c r="AH36" i="2"/>
  <c r="AG36" i="2"/>
  <c r="AG35" i="2"/>
  <c r="AH34" i="2"/>
  <c r="AG34" i="2"/>
  <c r="AH33" i="2"/>
  <c r="AG33" i="2"/>
  <c r="AH32" i="2"/>
  <c r="AG32" i="2"/>
  <c r="AH31" i="2"/>
  <c r="AG31" i="2"/>
  <c r="AH30" i="2"/>
  <c r="AG30" i="2"/>
  <c r="AH29" i="2"/>
  <c r="AG29" i="2"/>
  <c r="AG28" i="2"/>
  <c r="AH27" i="2"/>
  <c r="AG27" i="2"/>
  <c r="AG26" i="2"/>
  <c r="AG25" i="2"/>
  <c r="T25" i="2"/>
  <c r="AG24" i="2"/>
  <c r="AG23" i="2"/>
  <c r="AG22" i="2"/>
  <c r="AG21" i="2"/>
  <c r="AG20" i="2"/>
  <c r="Q20" i="2"/>
  <c r="AG19" i="2"/>
  <c r="M14" i="2"/>
  <c r="N11" i="2"/>
  <c r="J7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 a="1"/>
  <c r="W3" i="2"/>
  <c r="I20" i="10"/>
  <c r="J20" i="10" s="1"/>
  <c r="H20" i="10"/>
  <c r="J19" i="10"/>
  <c r="H19" i="10"/>
  <c r="N18" i="10"/>
  <c r="I18" i="10"/>
  <c r="P17" i="10"/>
  <c r="H17" i="10"/>
  <c r="I15" i="10"/>
  <c r="P13" i="10"/>
  <c r="Q12" i="10"/>
  <c r="J11" i="10"/>
  <c r="AO55" i="9" l="1"/>
  <c r="AO50" i="9"/>
  <c r="AP45" i="9"/>
  <c r="AO45" i="9"/>
  <c r="AO40" i="9"/>
  <c r="L22" i="9" s="1"/>
  <c r="AP40" i="9"/>
  <c r="AN58" i="9"/>
  <c r="AM58" i="9"/>
  <c r="N14" i="10"/>
  <c r="M78" i="9"/>
  <c r="O78" i="9" s="1"/>
  <c r="AD25" i="9"/>
  <c r="B71" i="9" s="1"/>
  <c r="F71" i="9"/>
  <c r="G21" i="10" s="1"/>
  <c r="H21" i="10" s="1"/>
  <c r="AI27" i="9"/>
  <c r="AD9" i="9"/>
  <c r="B76" i="9" s="1"/>
  <c r="AD13" i="9"/>
  <c r="AD23" i="9"/>
  <c r="Q15" i="3"/>
  <c r="N50" i="3"/>
  <c r="N89" i="2"/>
  <c r="K116" i="2" s="1"/>
  <c r="S62" i="2"/>
  <c r="V62" i="2" s="1"/>
  <c r="Q12" i="3"/>
  <c r="AH21" i="2"/>
  <c r="J60" i="3"/>
  <c r="P72" i="6"/>
  <c r="K6" i="7"/>
  <c r="AI14" i="9"/>
  <c r="C41" i="9"/>
  <c r="C43" i="9" s="1"/>
  <c r="AI19" i="9"/>
  <c r="F72" i="9" s="1"/>
  <c r="K72" i="9" s="1"/>
  <c r="G18" i="10" s="1"/>
  <c r="H18" i="10" s="1"/>
  <c r="J18" i="10" s="1"/>
  <c r="AI22" i="9"/>
  <c r="AF24" i="9"/>
  <c r="AI24" i="9" s="1"/>
  <c r="J27" i="7"/>
  <c r="AD28" i="9"/>
  <c r="AI28" i="9"/>
  <c r="F70" i="9" s="1"/>
  <c r="X4" i="9"/>
  <c r="X20" i="9"/>
  <c r="R53" i="2"/>
  <c r="T53" i="2" s="1"/>
  <c r="K53" i="2"/>
  <c r="N32" i="7"/>
  <c r="M32" i="7"/>
  <c r="N39" i="7"/>
  <c r="M39" i="7"/>
  <c r="M76" i="2"/>
  <c r="J103" i="2" s="1"/>
  <c r="P18" i="10"/>
  <c r="AH22" i="2"/>
  <c r="M73" i="2"/>
  <c r="J100" i="2" s="1"/>
  <c r="AB58" i="2" s="1"/>
  <c r="R47" i="2"/>
  <c r="T47" i="2" s="1"/>
  <c r="R49" i="2"/>
  <c r="T49" i="2" s="1"/>
  <c r="Q53" i="2"/>
  <c r="F56" i="2"/>
  <c r="K56" i="2" s="1"/>
  <c r="E62" i="2"/>
  <c r="J62" i="2" s="1"/>
  <c r="S30" i="3"/>
  <c r="N59" i="3" s="1"/>
  <c r="N61" i="3" s="1"/>
  <c r="N63" i="3" s="1"/>
  <c r="AH38" i="2"/>
  <c r="M86" i="2"/>
  <c r="J113" i="2" s="1"/>
  <c r="N91" i="2"/>
  <c r="K118" i="2" s="1"/>
  <c r="I17" i="10"/>
  <c r="J17" i="10" s="1"/>
  <c r="N6" i="9"/>
  <c r="AD7" i="9"/>
  <c r="B77" i="9" s="1"/>
  <c r="J5" i="7"/>
  <c r="AD10" i="9"/>
  <c r="B73" i="9" s="1"/>
  <c r="J8" i="7"/>
  <c r="M17" i="7"/>
  <c r="N17" i="7"/>
  <c r="N26" i="7"/>
  <c r="M26" i="7"/>
  <c r="N29" i="7"/>
  <c r="M36" i="7"/>
  <c r="D28" i="9"/>
  <c r="AI13" i="9"/>
  <c r="E75" i="9" s="1"/>
  <c r="K75" i="9" s="1"/>
  <c r="N19" i="7"/>
  <c r="M19" i="7"/>
  <c r="N38" i="7"/>
  <c r="M38" i="7"/>
  <c r="N76" i="2"/>
  <c r="K103" i="2" s="1"/>
  <c r="S49" i="2"/>
  <c r="V49" i="2" s="1"/>
  <c r="R55" i="2"/>
  <c r="T55" i="2" s="1"/>
  <c r="M82" i="2"/>
  <c r="J109" i="2" s="1"/>
  <c r="J58" i="3"/>
  <c r="S67" i="2"/>
  <c r="V67" i="2" s="1"/>
  <c r="N73" i="2"/>
  <c r="K100" i="2" s="1"/>
  <c r="M88" i="2"/>
  <c r="J115" i="2" s="1"/>
  <c r="Q14" i="3"/>
  <c r="G27" i="3"/>
  <c r="J47" i="3" s="1"/>
  <c r="J50" i="3" s="1"/>
  <c r="N52" i="3" s="1"/>
  <c r="I32" i="3"/>
  <c r="J4" i="7"/>
  <c r="AD6" i="9"/>
  <c r="I43" i="9"/>
  <c r="N18" i="7"/>
  <c r="N21" i="7"/>
  <c r="N24" i="7"/>
  <c r="M24" i="7"/>
  <c r="AI25" i="9"/>
  <c r="R36" i="9"/>
  <c r="R38" i="9" s="1"/>
  <c r="N40" i="7"/>
  <c r="M40" i="7"/>
  <c r="AI20" i="9"/>
  <c r="F8" i="3"/>
  <c r="R46" i="2"/>
  <c r="T46" i="2" s="1"/>
  <c r="T45" i="2" s="1"/>
  <c r="R58" i="2"/>
  <c r="T58" i="2" s="1"/>
  <c r="J13" i="3"/>
  <c r="P40" i="3"/>
  <c r="J49" i="3" s="1"/>
  <c r="AI7" i="9"/>
  <c r="E77" i="9" s="1"/>
  <c r="J77" i="9" s="1"/>
  <c r="H4" i="9"/>
  <c r="H6" i="9" s="1"/>
  <c r="G20" i="9"/>
  <c r="G22" i="9" s="1"/>
  <c r="E93" i="9"/>
  <c r="H93" i="9" s="1"/>
  <c r="AI10" i="9"/>
  <c r="E73" i="9" s="1"/>
  <c r="AQ6" i="9"/>
  <c r="AI23" i="9"/>
  <c r="O35" i="9"/>
  <c r="AH19" i="2"/>
  <c r="J50" i="2"/>
  <c r="K50" i="2" s="1"/>
  <c r="N82" i="2"/>
  <c r="K109" i="2" s="1"/>
  <c r="S55" i="2"/>
  <c r="V55" i="2" s="1"/>
  <c r="R57" i="2"/>
  <c r="T57" i="2" s="1"/>
  <c r="H14" i="3"/>
  <c r="AH23" i="2"/>
  <c r="D18" i="3"/>
  <c r="AH28" i="2"/>
  <c r="Q56" i="2"/>
  <c r="J59" i="3"/>
  <c r="AH35" i="2"/>
  <c r="R63" i="2"/>
  <c r="T63" i="2" s="1"/>
  <c r="M94" i="2"/>
  <c r="J121" i="2" s="1"/>
  <c r="J57" i="3"/>
  <c r="N33" i="7"/>
  <c r="M33" i="7"/>
  <c r="R56" i="2"/>
  <c r="T56" i="2" s="1"/>
  <c r="AI6" i="9"/>
  <c r="F7" i="9"/>
  <c r="F9" i="9" s="1"/>
  <c r="N28" i="7"/>
  <c r="M28" i="7"/>
  <c r="M41" i="9"/>
  <c r="K59" i="2"/>
  <c r="S60" i="2"/>
  <c r="V60" i="2" s="1"/>
  <c r="M75" i="2"/>
  <c r="J102" i="2" s="1"/>
  <c r="M80" i="2"/>
  <c r="J107" i="2" s="1"/>
  <c r="P77" i="6"/>
  <c r="AD8" i="9"/>
  <c r="J6" i="7"/>
  <c r="AI17" i="9"/>
  <c r="G45" i="9"/>
  <c r="N37" i="7"/>
  <c r="M37" i="7"/>
  <c r="X3" i="9"/>
  <c r="AF16" i="9"/>
  <c r="J39" i="9"/>
  <c r="E94" i="9"/>
  <c r="H94" i="9" s="1"/>
  <c r="AD24" i="9"/>
  <c r="I26" i="9"/>
  <c r="J15" i="7"/>
  <c r="AD16" i="9"/>
  <c r="K36" i="7"/>
  <c r="N36" i="7" s="1"/>
  <c r="H10" i="9"/>
  <c r="AQ13" i="9"/>
  <c r="J10" i="7"/>
  <c r="J16" i="7"/>
  <c r="J22" i="7"/>
  <c r="AI18" i="9"/>
  <c r="H91" i="9"/>
  <c r="H9" i="9"/>
  <c r="AI15" i="9"/>
  <c r="AF26" i="9"/>
  <c r="J9" i="7"/>
  <c r="J20" i="7"/>
  <c r="AD17" i="9"/>
  <c r="I25" i="9"/>
  <c r="I33" i="9"/>
  <c r="I35" i="9" s="1"/>
  <c r="M71" i="9"/>
  <c r="O71" i="9" s="1"/>
  <c r="Q71" i="9" s="1"/>
  <c r="K20" i="7"/>
  <c r="M21" i="7"/>
  <c r="AQ7" i="9"/>
  <c r="I5" i="9" s="1"/>
  <c r="J6" i="9" s="1"/>
  <c r="AI8" i="9"/>
  <c r="F77" i="9" s="1"/>
  <c r="K77" i="9" s="1"/>
  <c r="G17" i="10" s="1"/>
  <c r="AI21" i="9"/>
  <c r="M54" i="9"/>
  <c r="J30" i="7"/>
  <c r="AD14" i="9"/>
  <c r="J14" i="7"/>
  <c r="J31" i="9"/>
  <c r="M31" i="7"/>
  <c r="J34" i="7"/>
  <c r="T18" i="9"/>
  <c r="V37" i="9"/>
  <c r="V39" i="9" s="1"/>
  <c r="AF50" i="9"/>
  <c r="N25" i="7"/>
  <c r="N35" i="7"/>
  <c r="AF11" i="9"/>
  <c r="AI11" i="9" s="1"/>
  <c r="I22" i="9"/>
  <c r="H37" i="9"/>
  <c r="AO58" i="9" l="1"/>
  <c r="I21" i="10"/>
  <c r="J21" i="10" s="1"/>
  <c r="J22" i="10" s="1"/>
  <c r="H22" i="10"/>
  <c r="Z6" i="9"/>
  <c r="M77" i="9"/>
  <c r="O77" i="9" s="1"/>
  <c r="Q77" i="9" s="1"/>
  <c r="I22" i="10"/>
  <c r="S50" i="2"/>
  <c r="V50" i="2" s="1"/>
  <c r="K52" i="2"/>
  <c r="N77" i="2"/>
  <c r="K104" i="2" s="1"/>
  <c r="M27" i="7"/>
  <c r="N27" i="7"/>
  <c r="N4" i="7"/>
  <c r="M4" i="7"/>
  <c r="N22" i="7"/>
  <c r="M22" i="7"/>
  <c r="N6" i="7"/>
  <c r="M6" i="7"/>
  <c r="N34" i="7"/>
  <c r="M34" i="7"/>
  <c r="N16" i="7"/>
  <c r="M16" i="7"/>
  <c r="N9" i="7"/>
  <c r="M9" i="7"/>
  <c r="N10" i="7"/>
  <c r="M10" i="7"/>
  <c r="F40" i="9"/>
  <c r="AI16" i="9"/>
  <c r="E72" i="9" s="1"/>
  <c r="J72" i="9" s="1"/>
  <c r="AQ10" i="9"/>
  <c r="S53" i="2"/>
  <c r="V53" i="2" s="1"/>
  <c r="N80" i="2"/>
  <c r="K107" i="2" s="1"/>
  <c r="M14" i="7"/>
  <c r="N14" i="7"/>
  <c r="E95" i="9"/>
  <c r="P49" i="9"/>
  <c r="F93" i="9" s="1"/>
  <c r="AI26" i="9"/>
  <c r="N8" i="7"/>
  <c r="M8" i="7"/>
  <c r="E74" i="9"/>
  <c r="AN24" i="9"/>
  <c r="H11" i="9"/>
  <c r="B72" i="9"/>
  <c r="N86" i="2"/>
  <c r="K113" i="2" s="1"/>
  <c r="S59" i="2"/>
  <c r="V59" i="2" s="1"/>
  <c r="M89" i="2"/>
  <c r="J116" i="2" s="1"/>
  <c r="Q62" i="2"/>
  <c r="R62" i="2"/>
  <c r="T62" i="2" s="1"/>
  <c r="M30" i="7"/>
  <c r="N30" i="7"/>
  <c r="M15" i="7"/>
  <c r="N15" i="7"/>
  <c r="F15" i="9"/>
  <c r="G16" i="9" s="1"/>
  <c r="K76" i="9"/>
  <c r="M76" i="9" s="1"/>
  <c r="O76" i="9" s="1"/>
  <c r="K73" i="9"/>
  <c r="D30" i="9"/>
  <c r="O17" i="10"/>
  <c r="M5" i="7"/>
  <c r="N5" i="7"/>
  <c r="N83" i="2"/>
  <c r="K110" i="2" s="1"/>
  <c r="S56" i="2"/>
  <c r="V56" i="2" s="1"/>
  <c r="K70" i="9"/>
  <c r="F81" i="9"/>
  <c r="I27" i="9"/>
  <c r="M19" i="9" s="1"/>
  <c r="L19" i="9"/>
  <c r="F24" i="9"/>
  <c r="H10" i="10"/>
  <c r="N20" i="7"/>
  <c r="M20" i="7"/>
  <c r="R50" i="2"/>
  <c r="T50" i="2" s="1"/>
  <c r="J52" i="2"/>
  <c r="M77" i="2"/>
  <c r="J104" i="2" s="1"/>
  <c r="O13" i="10"/>
  <c r="Q13" i="10" s="1"/>
  <c r="N13" i="10"/>
  <c r="G47" i="9"/>
  <c r="E47" i="9"/>
  <c r="E49" i="9" s="1"/>
  <c r="J41" i="9"/>
  <c r="H15" i="10" l="1"/>
  <c r="J10" i="10"/>
  <c r="J15" i="10" s="1"/>
  <c r="O18" i="10"/>
  <c r="Q18" i="10" s="1"/>
  <c r="Q17" i="10"/>
  <c r="K74" i="9"/>
  <c r="AQ17" i="9"/>
  <c r="D36" i="9"/>
  <c r="E37" i="9" s="1"/>
  <c r="N10" i="10"/>
  <c r="M72" i="9"/>
  <c r="O72" i="9" s="1"/>
  <c r="Q72" i="9" s="1"/>
  <c r="F42" i="9"/>
  <c r="H48" i="9" s="1"/>
  <c r="H46" i="9"/>
  <c r="E81" i="9"/>
  <c r="J70" i="9"/>
  <c r="F94" i="9"/>
  <c r="P41" i="9"/>
  <c r="P51" i="9"/>
  <c r="O21" i="9" s="1"/>
  <c r="Q11" i="10"/>
  <c r="AQ12" i="9"/>
  <c r="O57" i="9" s="1"/>
  <c r="P58" i="9" s="1"/>
  <c r="N79" i="2"/>
  <c r="K106" i="2" s="1"/>
  <c r="S52" i="2"/>
  <c r="V52" i="2" s="1"/>
  <c r="M79" i="2"/>
  <c r="J106" i="2" s="1"/>
  <c r="R52" i="2"/>
  <c r="T52" i="2" s="1"/>
  <c r="K81" i="9"/>
  <c r="K82" i="9" s="1"/>
  <c r="G19" i="10"/>
  <c r="G22" i="10" s="1"/>
  <c r="Q76" i="9"/>
  <c r="E96" i="9"/>
  <c r="H96" i="9" s="1"/>
  <c r="H95" i="9"/>
  <c r="H97" i="9" s="1"/>
  <c r="H98" i="9" s="1"/>
  <c r="H99" i="9" s="1"/>
  <c r="M70" i="9" l="1"/>
  <c r="O70" i="9" s="1"/>
  <c r="J81" i="9"/>
  <c r="N11" i="10"/>
  <c r="N15" i="10" s="1"/>
  <c r="AQ18" i="9"/>
  <c r="P42" i="9"/>
  <c r="Q37" i="9"/>
  <c r="D36" i="10"/>
  <c r="F95" i="9"/>
  <c r="K36" i="10"/>
  <c r="P43" i="9"/>
  <c r="Q38" i="9" s="1"/>
  <c r="M20" i="9"/>
  <c r="M21" i="9" s="1"/>
  <c r="O10" i="10"/>
  <c r="O15" i="10" s="1"/>
  <c r="K29" i="9"/>
  <c r="L20" i="9"/>
  <c r="L21" i="9" s="1"/>
  <c r="L23" i="9" s="1"/>
  <c r="H47" i="9"/>
  <c r="P10" i="10" s="1"/>
  <c r="Q10" i="10" s="1"/>
  <c r="Q15" i="10" s="1"/>
  <c r="P15" i="10" s="1"/>
  <c r="O81" i="9" l="1"/>
  <c r="Q70" i="9"/>
  <c r="O82" i="9"/>
  <c r="Q81" i="9" l="1"/>
  <c r="Q8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6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ID#AAAAkqcS6KM
Marco Arru    (2022-12-01 22:37:35)
Calculado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mtoiV4+KBMzlClG0R/ezK29E4p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tc={5A14329D-388F-724E-B586-17CF36E90841}</author>
  </authors>
  <commentList>
    <comment ref="A45" authorId="0" shapeId="0" xr:uid="{5A14329D-388F-724E-B586-17CF36E908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Zona ingreso de datos SAP inicial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8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======
ID#AAAAkqcS6KE
Marco Arru    (2022-12-01 22:37:35)
No hay referencia en Hoja Datos Planta Húmeda</t>
        </r>
      </text>
    </comment>
    <comment ref="G18" authorId="0" shapeId="0" xr:uid="{00000000-0006-0000-0600-000004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ID#AAAAkqiZkt0
</t>
        </r>
        <r>
          <rPr>
            <sz val="11"/>
            <color rgb="FF000000"/>
            <rFont val="Calibri"/>
            <family val="2"/>
          </rPr>
          <t xml:space="preserve">Marco Arru    (2022-12-01 22:37:35)
</t>
        </r>
        <r>
          <rPr>
            <sz val="11"/>
            <color rgb="FF000000"/>
            <rFont val="Calibri"/>
            <family val="2"/>
          </rPr>
          <t>No hay referencia en Hoja Datos Planta Húmeda</t>
        </r>
      </text>
    </comment>
    <comment ref="R18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======
ID#AAAAkqcS6KY
Marco Arru    (2022-12-01 22:37:35)
No hay referencia en Hoja Datos Planta Húmeda</t>
        </r>
      </text>
    </comment>
    <comment ref="C30" authorId="0" shapeId="0" xr:uid="{00000000-0006-0000-0600-000003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ID#AAAAkqiZktw
</t>
        </r>
        <r>
          <rPr>
            <sz val="11"/>
            <color rgb="FF000000"/>
            <rFont val="Calibri"/>
            <family val="2"/>
          </rPr>
          <t xml:space="preserve">Marco Arru    (2022-12-01 22:37:35)
</t>
        </r>
        <r>
          <rPr>
            <sz val="11"/>
            <color rgb="FF000000"/>
            <rFont val="Calibri"/>
            <family val="2"/>
          </rPr>
          <t>Valor arbitrario usado en balances anteriores</t>
        </r>
      </text>
    </comment>
    <comment ref="G30" authorId="0" shapeId="0" xr:uid="{00000000-0006-0000-0600-000005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ID#AAAAkqcS6Kc
</t>
        </r>
        <r>
          <rPr>
            <sz val="11"/>
            <color rgb="FF000000"/>
            <rFont val="Calibri"/>
            <family val="2"/>
          </rPr>
          <t xml:space="preserve">Marco Arru    (2022-12-01 22:37:35)
</t>
        </r>
        <r>
          <rPr>
            <sz val="11"/>
            <color rgb="FF000000"/>
            <rFont val="Calibri"/>
            <family val="2"/>
          </rPr>
          <t>Valor arbitrario usado en balances anteriores</t>
        </r>
      </text>
    </comment>
    <comment ref="R30" authorId="0" shapeId="0" xr:uid="{00000000-0006-0000-0600-000001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ID#AAAAkqiZkt8
</t>
        </r>
        <r>
          <rPr>
            <sz val="11"/>
            <color rgb="FF000000"/>
            <rFont val="Calibri"/>
            <family val="2"/>
          </rPr>
          <t xml:space="preserve">Marco Arru    (2022-12-01 22:37:35)
</t>
        </r>
        <r>
          <rPr>
            <sz val="11"/>
            <color rgb="FF000000"/>
            <rFont val="Calibri"/>
            <family val="2"/>
          </rPr>
          <t>Valor arbitrario usado en balances anteriores</t>
        </r>
      </text>
    </comment>
    <comment ref="G36" authorId="0" shapeId="0" xr:uid="{00000000-0006-0000-0600-000007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ID#AAAAkqcS6Kg
</t>
        </r>
        <r>
          <rPr>
            <sz val="11"/>
            <color rgb="FF000000"/>
            <rFont val="Calibri"/>
            <family val="2"/>
          </rPr>
          <t xml:space="preserve">Marco Arru    (2022-12-01 22:37:35)
</t>
        </r>
        <r>
          <rPr>
            <sz val="11"/>
            <color rgb="FF000000"/>
            <rFont val="Calibri"/>
            <family val="2"/>
          </rPr>
          <t>Estimado proporcionmal (1000 al mes)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PvCF+JUlVWS0PI/XvIa6NRNymCw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tc={69401426-C2B5-5A47-9172-B844F98B63FF}</author>
    <author>tc={C6D14D42-EF26-244F-BB13-4897D772E679}</author>
  </authors>
  <commentList>
    <comment ref="AQ14" authorId="0" shapeId="0" xr:uid="{69401426-C2B5-5A47-9172-B844F98B63F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 traspasos de Sinter</t>
      </text>
    </comment>
    <comment ref="W28" authorId="1" shapeId="0" xr:uid="{C6D14D42-EF26-244F-BB13-4897D772E67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Contabilizados en producción mensual</t>
      </text>
    </comment>
  </commentList>
</comments>
</file>

<file path=xl/sharedStrings.xml><?xml version="1.0" encoding="utf-8"?>
<sst xmlns="http://schemas.openxmlformats.org/spreadsheetml/2006/main" count="638" uniqueCount="298">
  <si>
    <t>Delta (FINAL - INI)</t>
  </si>
  <si>
    <t>ABS</t>
  </si>
  <si>
    <t>%FeT</t>
  </si>
  <si>
    <t>Delta S Acopio Mina</t>
  </si>
  <si>
    <t>Delta Stock de Grueso</t>
  </si>
  <si>
    <t>Delta Stock Prec</t>
  </si>
  <si>
    <t>Delta Stock de Rechazo</t>
  </si>
  <si>
    <t>Delta Stock P40</t>
  </si>
  <si>
    <t>Delta Stock Silos Molienda</t>
  </si>
  <si>
    <t>Delta Stock Pellet Feed</t>
  </si>
  <si>
    <t>Delta Stock Pellet Básico</t>
  </si>
  <si>
    <t>Acopio Mina</t>
  </si>
  <si>
    <t>Nodo Alim Mina CH</t>
  </si>
  <si>
    <t>CH Mina</t>
  </si>
  <si>
    <t>Stock Prec Los Colorados</t>
  </si>
  <si>
    <t>Stock Grueso CH</t>
  </si>
  <si>
    <t>Concentracc. Mag Los Colorados</t>
  </si>
  <si>
    <t>Nodo Separador Producto Conc Mag</t>
  </si>
  <si>
    <t>Stock Rechazo</t>
  </si>
  <si>
    <t>Nodo Alim Planta Rechazo</t>
  </si>
  <si>
    <t>Planta Rechazos</t>
  </si>
  <si>
    <t>Stock P40</t>
  </si>
  <si>
    <t>Alimentación Mina</t>
  </si>
  <si>
    <t>Alim a Planta desde Acopio Mina</t>
  </si>
  <si>
    <t>Acopio Mina a Terceros</t>
  </si>
  <si>
    <t>Alim a Chancado</t>
  </si>
  <si>
    <t>Chanc a Stock Prec Los Col.</t>
  </si>
  <si>
    <t>Chanc a Stock Grueso</t>
  </si>
  <si>
    <t>De Stock Grueso a conc magn (alim A52 y A82)</t>
  </si>
  <si>
    <t>Stock Prec a (o desde) Acopio Mina</t>
  </si>
  <si>
    <t>de Stock Prec a Terceros (a otras faenas)</t>
  </si>
  <si>
    <t>de Conc Magnética a Stock Prec (Prod A52 y A 82)</t>
  </si>
  <si>
    <t>total de rechazo</t>
  </si>
  <si>
    <t>Rechazo  a Stock de Rechazo</t>
  </si>
  <si>
    <t>Alimentación Planta Rechazo</t>
  </si>
  <si>
    <t>Rechazo Final Los Colorados</t>
  </si>
  <si>
    <t>Producción Planta Rechazo a Stock P40</t>
  </si>
  <si>
    <t>Venta desde P40</t>
  </si>
  <si>
    <t>de Stoc Prec a Nodo Alim Planta de Pellet</t>
  </si>
  <si>
    <t>I</t>
  </si>
  <si>
    <t>TMS</t>
  </si>
  <si>
    <t>TMF</t>
  </si>
  <si>
    <r>
      <rPr>
        <sz val="11"/>
        <color theme="1"/>
        <rFont val="Calibri"/>
        <family val="2"/>
      </rPr>
      <t xml:space="preserve">alim fresca </t>
    </r>
    <r>
      <rPr>
        <b/>
        <sz val="11"/>
        <color theme="1"/>
        <rFont val="Calibri"/>
        <family val="2"/>
      </rPr>
      <t>a Planta Rechazo</t>
    </r>
  </si>
  <si>
    <r>
      <rPr>
        <sz val="11"/>
        <color theme="1"/>
        <rFont val="Calibri"/>
        <family val="2"/>
      </rPr>
      <t xml:space="preserve">Stock Rechazo </t>
    </r>
    <r>
      <rPr>
        <b/>
        <sz val="11"/>
        <color theme="1"/>
        <rFont val="Calibri"/>
        <family val="2"/>
      </rPr>
      <t>a Planta Rechazo</t>
    </r>
  </si>
  <si>
    <t>Balance de Nodos</t>
  </si>
  <si>
    <t>Valor Inicial</t>
  </si>
  <si>
    <t>Valores Calculados</t>
  </si>
  <si>
    <t>% cambio relativo r/ valores medidos</t>
  </si>
  <si>
    <t>Max Var Ton</t>
  </si>
  <si>
    <t>Max Var  Ley</t>
  </si>
  <si>
    <t>TMF Fe</t>
  </si>
  <si>
    <t>%Fe T</t>
  </si>
  <si>
    <t>E</t>
  </si>
  <si>
    <t>Inv</t>
  </si>
  <si>
    <t>Venta</t>
  </si>
  <si>
    <t>suma</t>
  </si>
  <si>
    <t>Func Obj</t>
  </si>
  <si>
    <t>Pérd</t>
  </si>
  <si>
    <t>Produc</t>
  </si>
  <si>
    <t>% Incertidumbre</t>
  </si>
  <si>
    <t>Desv estándar</t>
  </si>
  <si>
    <t>TMSD</t>
  </si>
  <si>
    <t>Dif Cudráticas</t>
  </si>
  <si>
    <t>Planta Beneficio</t>
  </si>
  <si>
    <t>Rp</t>
  </si>
  <si>
    <t>Rm</t>
  </si>
  <si>
    <t>Planta Global</t>
  </si>
  <si>
    <t>BALANCE GLOBAL MASA</t>
  </si>
  <si>
    <t>ENTRADAS</t>
  </si>
  <si>
    <t>VARIACIONES DE INVENTARIOS</t>
  </si>
  <si>
    <t>SALIDAS</t>
  </si>
  <si>
    <t xml:space="preserve">ALIMENTACIÓN MINA </t>
  </si>
  <si>
    <t>ACOPIO MINA</t>
  </si>
  <si>
    <t>VENTAS DESDE ACOPIO MINA</t>
  </si>
  <si>
    <t>STOCK GRUESO</t>
  </si>
  <si>
    <t>VENTAS DE STOCK PRECONC</t>
  </si>
  <si>
    <t>STOCK PRE CONCENTRADO</t>
  </si>
  <si>
    <t>VENTA DESDE STOC P4O</t>
  </si>
  <si>
    <t>STOCK RECHAZO</t>
  </si>
  <si>
    <t>RECHAZO FINAL</t>
  </si>
  <si>
    <t>STOCK P-40</t>
  </si>
  <si>
    <t>A PLANTA DE PELLETS</t>
  </si>
  <si>
    <t>TOTAL ENTRADAS</t>
  </si>
  <si>
    <t xml:space="preserve">VAR NETA </t>
  </si>
  <si>
    <t>TOTAL SALIDAS</t>
  </si>
  <si>
    <t>ENTRADAS - VAR INVENTARIO - SALIDAS</t>
  </si>
  <si>
    <t>BALANCE GLOBAL FINO</t>
  </si>
  <si>
    <t>EMISARIO SUBMARINO</t>
  </si>
  <si>
    <t>Pellets Chips</t>
  </si>
  <si>
    <t>Pellets Feed</t>
  </si>
  <si>
    <t>Concentrado</t>
  </si>
  <si>
    <t>Colas</t>
  </si>
  <si>
    <t>Preconcentrado</t>
  </si>
  <si>
    <t>Sinter</t>
  </si>
  <si>
    <t>Finos Huasco</t>
  </si>
  <si>
    <t>Granzas Cristales PP</t>
  </si>
  <si>
    <t>Granzas Cristales</t>
  </si>
  <si>
    <t>BALANCE METALÚRGICO - VALLE HUASCO</t>
  </si>
  <si>
    <t>REPORTE DE PLANTA DE PELLETS</t>
  </si>
  <si>
    <t>FECHA DE BALANCE</t>
  </si>
  <si>
    <t>TONELAJE</t>
  </si>
  <si>
    <t>LEY</t>
  </si>
  <si>
    <t>FINO</t>
  </si>
  <si>
    <t>% FeT</t>
  </si>
  <si>
    <t>PRODUCCIÓN</t>
  </si>
  <si>
    <t>FL_218_501_01</t>
  </si>
  <si>
    <t>Preconcentrado hacia Molinos</t>
  </si>
  <si>
    <t>Pellet Feed</t>
  </si>
  <si>
    <t>Finos hacia Molinos</t>
  </si>
  <si>
    <t>Pellet Producto</t>
  </si>
  <si>
    <t>Pellet Producto desde Pila Emergencia</t>
  </si>
  <si>
    <t>Pellet Chips</t>
  </si>
  <si>
    <t>Pellet Chips desde Pila Emergencia</t>
  </si>
  <si>
    <t>Sinter Feed hacia Planta de Pellets</t>
  </si>
  <si>
    <t>FL_000_501_03</t>
  </si>
  <si>
    <t>TOTAL</t>
  </si>
  <si>
    <t>EMBARQUES</t>
  </si>
  <si>
    <t xml:space="preserve">PÉRDIDAS </t>
  </si>
  <si>
    <t xml:space="preserve">Sinter Feed </t>
  </si>
  <si>
    <t>INVENTARIOS</t>
  </si>
  <si>
    <t>SAP</t>
  </si>
  <si>
    <t>DIF</t>
  </si>
  <si>
    <t>Preconcentrado en Cancha</t>
  </si>
  <si>
    <t>Finos Recuperados</t>
  </si>
  <si>
    <t>Sinter Feed en Cancha</t>
  </si>
  <si>
    <t>Pellet Feed en Cancha</t>
  </si>
  <si>
    <t>Finos Huasco en Cancha</t>
  </si>
  <si>
    <t>Pellet Producto en Cancha</t>
  </si>
  <si>
    <t>Pellet Chip en Cancha</t>
  </si>
  <si>
    <t>INDICADORES VALLE HUASCO</t>
  </si>
  <si>
    <t>RECUPERACIÓN EN PESO</t>
  </si>
  <si>
    <t>RECUPERACIÓN METALÚRGICA</t>
  </si>
  <si>
    <t>Humedad</t>
  </si>
  <si>
    <t>Mediciones</t>
  </si>
  <si>
    <t>Balance</t>
  </si>
  <si>
    <t>% Cambio relativo</t>
  </si>
  <si>
    <t>Max Var  FeT</t>
  </si>
  <si>
    <t>Flujos</t>
  </si>
  <si>
    <t>Alim Silos Molienda</t>
  </si>
  <si>
    <t>Aliment Molienda Clasificación</t>
  </si>
  <si>
    <t>Alimentación a TK  Inventarios</t>
  </si>
  <si>
    <t>Alimentación Filtrado</t>
  </si>
  <si>
    <t>De filtros a Balling</t>
  </si>
  <si>
    <t>Chunk de endurecimiento a Pila Chunk</t>
  </si>
  <si>
    <t>Aporte Oxidación Endurecimiento</t>
  </si>
  <si>
    <t>De endurecimiento a Harnero Producto</t>
  </si>
  <si>
    <t>De harnero Producto a Pila Chip Fresco</t>
  </si>
  <si>
    <t>De Harnero Producto a Stock Pellets Básico</t>
  </si>
  <si>
    <t xml:space="preserve"> </t>
  </si>
  <si>
    <t>PRODUCCIÓN BALANCE</t>
  </si>
  <si>
    <t>EMBARQUE</t>
  </si>
  <si>
    <t>Producción Mes</t>
  </si>
  <si>
    <t>Embarque Mes</t>
  </si>
  <si>
    <t>SAP INICIAL</t>
  </si>
  <si>
    <t>SAP FINAL</t>
  </si>
  <si>
    <t>Costo</t>
  </si>
  <si>
    <t>Existencia Contable</t>
  </si>
  <si>
    <t>Pellets Básico</t>
  </si>
  <si>
    <t>Alimentación Silos</t>
  </si>
  <si>
    <t>Planta de Harneo</t>
  </si>
  <si>
    <t>Total Ali.</t>
  </si>
  <si>
    <t xml:space="preserve">FECHA </t>
  </si>
  <si>
    <t>Calculado</t>
  </si>
  <si>
    <t>Medido</t>
  </si>
  <si>
    <t>Rec.</t>
  </si>
  <si>
    <t>Ingreso datos</t>
  </si>
  <si>
    <t>h%</t>
  </si>
  <si>
    <t>FeT%</t>
  </si>
  <si>
    <t>Ajuste</t>
  </si>
  <si>
    <t>Recepcion</t>
  </si>
  <si>
    <t>Recepcion (Ferronor + Camiones)</t>
  </si>
  <si>
    <t>A Sinter Feed</t>
  </si>
  <si>
    <t>Embarque Sinter Feed</t>
  </si>
  <si>
    <t>A Preconcentrado</t>
  </si>
  <si>
    <t>Pellet feed a Stock Final</t>
  </si>
  <si>
    <t>Molienda</t>
  </si>
  <si>
    <t>Pellet feed a Pila intermedia (camiones)</t>
  </si>
  <si>
    <t>tms</t>
  </si>
  <si>
    <t>finos</t>
  </si>
  <si>
    <t>RP</t>
  </si>
  <si>
    <t>Recepcion (FERRONOR + CAMIONES PRECONCE+ SINTER)</t>
  </si>
  <si>
    <t>Entradas</t>
  </si>
  <si>
    <t>A embarque feed de Stock Pellet Feed</t>
  </si>
  <si>
    <t>Pesometro</t>
  </si>
  <si>
    <t>SINTER</t>
  </si>
  <si>
    <t>Salidas</t>
  </si>
  <si>
    <t>RM</t>
  </si>
  <si>
    <t>Aditivo a Balling + remolienda</t>
  </si>
  <si>
    <t>PI</t>
  </si>
  <si>
    <t>PRECONCE</t>
  </si>
  <si>
    <t>Dif. Derrame</t>
  </si>
  <si>
    <t>Pellet verde a endurecimiento</t>
  </si>
  <si>
    <t>dif</t>
  </si>
  <si>
    <t>Perd. Calado</t>
  </si>
  <si>
    <t>Dif. c/Ajustes</t>
  </si>
  <si>
    <t>A Silos</t>
  </si>
  <si>
    <t>A sinter</t>
  </si>
  <si>
    <t>Derrames</t>
  </si>
  <si>
    <t>Derrame Cal.</t>
  </si>
  <si>
    <t>A Pellet Basico</t>
  </si>
  <si>
    <t>Embarque Pellet Basico</t>
  </si>
  <si>
    <t>A Pila Finos contaminados</t>
  </si>
  <si>
    <t>Alimentación Finos a Harneo</t>
  </si>
  <si>
    <t>Producto Harneo Finos Contaminados</t>
  </si>
  <si>
    <t>Producto Pila Finos a stock Pellet P.</t>
  </si>
  <si>
    <t>Pellet Basico</t>
  </si>
  <si>
    <t>RD</t>
  </si>
  <si>
    <t>BASICO</t>
  </si>
  <si>
    <t>Producto Pila Finos a stock Sinter</t>
  </si>
  <si>
    <t>DERRAME FILTRADO</t>
  </si>
  <si>
    <t>A Pila Chips</t>
  </si>
  <si>
    <t>Alimentación chip a Harneo</t>
  </si>
  <si>
    <t>Producto Harneo Chips</t>
  </si>
  <si>
    <t>Producto Pila Chip a stock Pellet P.</t>
  </si>
  <si>
    <t>Producto Pila Chip a stock Sinter</t>
  </si>
  <si>
    <t>Embarques</t>
  </si>
  <si>
    <t>Calado</t>
  </si>
  <si>
    <t>Fe</t>
  </si>
  <si>
    <t>humedad</t>
  </si>
  <si>
    <t>Producto Pila Chip a Embarque</t>
  </si>
  <si>
    <t>A Pila Chunk</t>
  </si>
  <si>
    <t>MN1</t>
  </si>
  <si>
    <t>Alimentación Chunk a Harneo</t>
  </si>
  <si>
    <t>MN2</t>
  </si>
  <si>
    <t>Producto Harneo Chunk</t>
  </si>
  <si>
    <t>MN3</t>
  </si>
  <si>
    <t>Producto Pila Chank a stock Pellet P.</t>
  </si>
  <si>
    <t>MN4</t>
  </si>
  <si>
    <t>Producto Pila Chank a stock Sinter</t>
  </si>
  <si>
    <t>Inventario Productos en Proceso</t>
  </si>
  <si>
    <t>Inv. Inicial</t>
  </si>
  <si>
    <t>Inv. Final</t>
  </si>
  <si>
    <t>Delta</t>
  </si>
  <si>
    <t>Cubicado</t>
  </si>
  <si>
    <t>Finos para repaso</t>
  </si>
  <si>
    <t>Chunk fresco</t>
  </si>
  <si>
    <t>Chip</t>
  </si>
  <si>
    <t>Resumen TMH</t>
  </si>
  <si>
    <t>Datos Base</t>
  </si>
  <si>
    <t>Entrada Proy.</t>
  </si>
  <si>
    <t>Salidas Proy.</t>
  </si>
  <si>
    <t>Cubi.</t>
  </si>
  <si>
    <t>Dif.</t>
  </si>
  <si>
    <t>Alimentación</t>
  </si>
  <si>
    <t>Costo Fijo</t>
  </si>
  <si>
    <t>Costo Proceso M$USD</t>
  </si>
  <si>
    <t>Los Colorados</t>
  </si>
  <si>
    <t>Costo Mina</t>
  </si>
  <si>
    <t>Costo Chancado</t>
  </si>
  <si>
    <t>Costo Planta Beneficio</t>
  </si>
  <si>
    <t>Costo Planta Rechazo</t>
  </si>
  <si>
    <t>Costo Carguio Trenes</t>
  </si>
  <si>
    <t>Planta Pellets</t>
  </si>
  <si>
    <t>Concentradora</t>
  </si>
  <si>
    <t>Pelletizacion</t>
  </si>
  <si>
    <t>Staff</t>
  </si>
  <si>
    <t>Puerto</t>
  </si>
  <si>
    <t>Costo Total</t>
  </si>
  <si>
    <t>Cash Cost</t>
  </si>
  <si>
    <t>Filtro a nodo</t>
  </si>
  <si>
    <t>Pila intermedia a Stock Pellet Feed</t>
  </si>
  <si>
    <t>Delta Stock Pila intermedia</t>
  </si>
  <si>
    <t>Datos</t>
  </si>
  <si>
    <t>TMS Ajustados</t>
  </si>
  <si>
    <t>TMH Entrada</t>
  </si>
  <si>
    <t>TMH Ajustados</t>
  </si>
  <si>
    <t>Delta Stock Preconcentrado</t>
  </si>
  <si>
    <t>TMH</t>
  </si>
  <si>
    <t>Delta Stock Sinter Feed</t>
  </si>
  <si>
    <t>Delta Stock Chip</t>
  </si>
  <si>
    <t>Embarque Chip</t>
  </si>
  <si>
    <t>Chunk</t>
  </si>
  <si>
    <t>Finos Hematíticos</t>
  </si>
  <si>
    <t>DRF</t>
  </si>
  <si>
    <t>-</t>
  </si>
  <si>
    <t>Traspasos</t>
  </si>
  <si>
    <t>Pellets Basico</t>
  </si>
  <si>
    <t>Alimentacion Silos</t>
  </si>
  <si>
    <t>Alimentacion Finos a Harneo</t>
  </si>
  <si>
    <t>Producto Harneo Finos Hematiticos</t>
  </si>
  <si>
    <t>Alimentacion chip a Harneo</t>
  </si>
  <si>
    <t>Alimentacion Chunk a Harneo</t>
  </si>
  <si>
    <t>Silos</t>
  </si>
  <si>
    <t>TK Filtrado</t>
  </si>
  <si>
    <t>Pila de emergencia</t>
  </si>
  <si>
    <t>Chips</t>
  </si>
  <si>
    <t>Finos</t>
  </si>
  <si>
    <t>Derrames Molienda</t>
  </si>
  <si>
    <t>Calculado sap estadistico</t>
  </si>
  <si>
    <t>Tms</t>
  </si>
  <si>
    <t>Inventarios Proyectados al Cierre</t>
  </si>
  <si>
    <t>Inicial</t>
  </si>
  <si>
    <t>Final cub.</t>
  </si>
  <si>
    <t>delta</t>
  </si>
  <si>
    <t>%h</t>
  </si>
  <si>
    <t>Delta stock relave</t>
  </si>
  <si>
    <t>Delta stock colas</t>
  </si>
  <si>
    <t>Molienda a relave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</si>
</sst>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0.0%"/>
    <numFmt numFmtId="165" formatCode="dd\ /\ mmmm\ /\ yyyy"/>
    <numFmt numFmtId="166" formatCode="#,##0_ ;\-#,##0\ "/>
    <numFmt numFmtId="167" formatCode="#,##0.00_ ;\-#,##0.00\ "/>
    <numFmt numFmtId="168" formatCode="0.0"/>
    <numFmt numFmtId="169" formatCode="#,##0.0_ ;\-#,##0.0\ "/>
    <numFmt numFmtId="170" formatCode="#,##0.000_ ;\-#,##0.000\ "/>
    <numFmt numFmtId="171" formatCode="#,##0.0000000_ ;\-#,##0.0000000\ "/>
    <numFmt numFmtId="172" formatCode="0_)"/>
    <numFmt numFmtId="173" formatCode="#,##0.0"/>
    <numFmt numFmtId="174" formatCode="_ * #,##0_ ;_ * \-#,##0_ ;_ * &quot;-&quot;_ ;_ @_ "/>
    <numFmt numFmtId="175" formatCode="0.000%"/>
    <numFmt numFmtId="176" formatCode="_ * #,##0_ ;_ * \-#,##0_ ;_ * &quot;-&quot;??_ ;_ @_ "/>
    <numFmt numFmtId="177" formatCode="0.000"/>
    <numFmt numFmtId="178" formatCode="_ * #,##0.00_ ;_ * \-#,##0.00_ ;_ * &quot;-&quot;_ ;_ @_ "/>
    <numFmt numFmtId="179" formatCode="_ * #,##0.00_ ;_ * \-#,##0.00_ ;_ * &quot;-&quot;??_ ;_ @_ "/>
  </numFmts>
  <fonts count="7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44546A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1"/>
      <color rgb="FF0070C0"/>
      <name val="Calibri"/>
      <family val="2"/>
    </font>
    <font>
      <b/>
      <sz val="11"/>
      <color rgb="FF2F5496"/>
      <name val="Calibri"/>
      <family val="2"/>
    </font>
    <font>
      <b/>
      <sz val="11"/>
      <color rgb="FFC00000"/>
      <name val="Calibri"/>
      <family val="2"/>
    </font>
    <font>
      <sz val="11"/>
      <color rgb="FFC00000"/>
      <name val="Calibri"/>
      <family val="2"/>
    </font>
    <font>
      <b/>
      <sz val="12"/>
      <color rgb="FF2E75B5"/>
      <name val="Calibri"/>
      <family val="2"/>
    </font>
    <font>
      <sz val="12"/>
      <color theme="1"/>
      <name val="Calibri"/>
      <family val="2"/>
    </font>
    <font>
      <b/>
      <sz val="12"/>
      <color rgb="FFC00000"/>
      <name val="Calibri"/>
      <family val="2"/>
    </font>
    <font>
      <sz val="12"/>
      <color rgb="FFFF0000"/>
      <name val="Calibri"/>
      <family val="2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sz val="10"/>
      <color rgb="FF44546A"/>
      <name val="Calibri"/>
      <family val="2"/>
    </font>
    <font>
      <b/>
      <sz val="12"/>
      <color rgb="FF44546A"/>
      <name val="Calibri"/>
      <family val="2"/>
    </font>
    <font>
      <sz val="8"/>
      <color rgb="FF44546A"/>
      <name val="Calibri"/>
      <family val="2"/>
    </font>
    <font>
      <b/>
      <sz val="8"/>
      <color rgb="FF44546A"/>
      <name val="Calibri"/>
      <family val="2"/>
    </font>
    <font>
      <b/>
      <sz val="8"/>
      <color theme="0"/>
      <name val="Calibri"/>
      <family val="2"/>
    </font>
    <font>
      <sz val="8"/>
      <color theme="0"/>
      <name val="Calibri"/>
      <family val="2"/>
    </font>
    <font>
      <sz val="8"/>
      <color rgb="FFFF0000"/>
      <name val="Calibri"/>
      <family val="2"/>
    </font>
    <font>
      <b/>
      <sz val="8"/>
      <color rgb="FFFF0000"/>
      <name val="Calibri"/>
      <family val="2"/>
    </font>
    <font>
      <b/>
      <sz val="10"/>
      <color rgb="FF44546A"/>
      <name val="Calibri"/>
      <family val="2"/>
    </font>
    <font>
      <b/>
      <sz val="10"/>
      <color theme="0"/>
      <name val="Calibri"/>
      <family val="2"/>
    </font>
    <font>
      <b/>
      <sz val="9"/>
      <color theme="0"/>
      <name val="Calibri"/>
      <family val="2"/>
    </font>
    <font>
      <sz val="11"/>
      <color rgb="FFE7E6E6"/>
      <name val="Calibri"/>
      <family val="2"/>
    </font>
    <font>
      <sz val="10"/>
      <color rgb="FFE7E6E6"/>
      <name val="Calibri"/>
      <family val="2"/>
    </font>
    <font>
      <b/>
      <sz val="11"/>
      <color rgb="FFE7E6E6"/>
      <name val="Calibri"/>
      <family val="2"/>
    </font>
    <font>
      <b/>
      <sz val="16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2E75B5"/>
      <name val="Calibri"/>
      <family val="2"/>
    </font>
    <font>
      <sz val="8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sz val="9"/>
      <color rgb="FFFF0000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</font>
    <font>
      <sz val="9"/>
      <name val="Calibri"/>
      <family val="2"/>
    </font>
    <font>
      <sz val="11"/>
      <color theme="1"/>
      <name val="Calibri (Body)"/>
    </font>
    <font>
      <sz val="10"/>
      <color theme="1"/>
      <name val="Calibri (Body)"/>
    </font>
    <font>
      <b/>
      <sz val="11"/>
      <color theme="1"/>
      <name val="Calibri (Body)"/>
    </font>
    <font>
      <b/>
      <sz val="10"/>
      <color rgb="FFC00000"/>
      <name val="Calibri"/>
      <family val="2"/>
    </font>
    <font>
      <sz val="16"/>
      <color theme="1"/>
      <name val="Calibri"/>
      <family val="2"/>
      <scheme val="minor"/>
    </font>
    <font>
      <sz val="16"/>
      <color theme="1"/>
      <name val="Calibri (Body)"/>
    </font>
    <font>
      <sz val="16"/>
      <color theme="1"/>
      <name val="Calibri"/>
      <family val="2"/>
    </font>
    <font>
      <sz val="16"/>
      <name val="Calibri (Body)"/>
    </font>
    <font>
      <sz val="16"/>
      <color rgb="FF000000"/>
      <name val="Calibri (Body)"/>
    </font>
    <font>
      <sz val="16"/>
      <color rgb="FFFF0000"/>
      <name val="Calibri"/>
      <family val="2"/>
      <scheme val="minor"/>
    </font>
    <font>
      <b/>
      <sz val="16"/>
      <color theme="1"/>
      <name val="Calibri (Body)"/>
    </font>
    <font>
      <sz val="18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44546A"/>
        <bgColor rgb="FF44546A"/>
      </patternFill>
    </fill>
    <fill>
      <patternFill patternType="solid">
        <fgColor rgb="FF8EAADB"/>
        <bgColor rgb="FF8EAADB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6337778862885"/>
        <bgColor indexed="64"/>
      </patternFill>
    </fill>
  </fills>
  <borders count="8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7" fillId="0" borderId="68"/>
    <xf numFmtId="174" fontId="37" fillId="0" borderId="68" applyFont="0" applyFill="0" applyBorder="0" applyAlignment="0" applyProtection="0"/>
    <xf numFmtId="9" fontId="37" fillId="0" borderId="68" applyFont="0" applyFill="0" applyBorder="0" applyAlignment="0" applyProtection="0"/>
    <xf numFmtId="0" fontId="37" fillId="0" borderId="68"/>
    <xf numFmtId="9" fontId="37" fillId="0" borderId="68" applyFont="0" applyFill="0" applyBorder="0" applyAlignment="0" applyProtection="0"/>
  </cellStyleXfs>
  <cellXfs count="6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3" fontId="1" fillId="0" borderId="0" xfId="0" applyNumberFormat="1" applyFont="1"/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2" borderId="4" xfId="0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5" fillId="0" borderId="0" xfId="0" applyFont="1"/>
    <xf numFmtId="3" fontId="1" fillId="0" borderId="0" xfId="0" applyNumberFormat="1" applyFont="1" applyAlignment="1">
      <alignment horizontal="center"/>
    </xf>
    <xf numFmtId="0" fontId="6" fillId="3" borderId="5" xfId="0" applyFont="1" applyFill="1" applyBorder="1"/>
    <xf numFmtId="0" fontId="1" fillId="0" borderId="6" xfId="0" applyFont="1" applyBorder="1"/>
    <xf numFmtId="0" fontId="1" fillId="0" borderId="1" xfId="0" applyFont="1" applyBorder="1"/>
    <xf numFmtId="0" fontId="1" fillId="8" borderId="4" xfId="0" applyFont="1" applyFill="1" applyBorder="1"/>
    <xf numFmtId="0" fontId="1" fillId="9" borderId="4" xfId="0" applyFont="1" applyFill="1" applyBorder="1" applyAlignment="1">
      <alignment wrapText="1"/>
    </xf>
    <xf numFmtId="0" fontId="1" fillId="7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0" fontId="6" fillId="3" borderId="4" xfId="0" applyNumberFormat="1" applyFont="1" applyFill="1" applyBorder="1"/>
    <xf numFmtId="3" fontId="10" fillId="0" borderId="1" xfId="0" applyNumberFormat="1" applyFont="1" applyBorder="1"/>
    <xf numFmtId="10" fontId="10" fillId="0" borderId="1" xfId="0" applyNumberFormat="1" applyFont="1" applyBorder="1"/>
    <xf numFmtId="3" fontId="1" fillId="0" borderId="1" xfId="0" applyNumberFormat="1" applyFont="1" applyBorder="1"/>
    <xf numFmtId="10" fontId="1" fillId="0" borderId="1" xfId="0" applyNumberFormat="1" applyFont="1" applyBorder="1"/>
    <xf numFmtId="10" fontId="1" fillId="10" borderId="1" xfId="0" applyNumberFormat="1" applyFont="1" applyFill="1" applyBorder="1"/>
    <xf numFmtId="10" fontId="11" fillId="0" borderId="1" xfId="0" applyNumberFormat="1" applyFont="1" applyBorder="1"/>
    <xf numFmtId="164" fontId="1" fillId="0" borderId="1" xfId="0" applyNumberFormat="1" applyFont="1" applyBorder="1"/>
    <xf numFmtId="0" fontId="12" fillId="2" borderId="1" xfId="0" applyFont="1" applyFill="1" applyBorder="1"/>
    <xf numFmtId="0" fontId="13" fillId="0" borderId="0" xfId="0" applyFont="1"/>
    <xf numFmtId="3" fontId="6" fillId="0" borderId="0" xfId="0" applyNumberFormat="1" applyFont="1" applyAlignment="1">
      <alignment horizontal="center" vertical="center"/>
    </xf>
    <xf numFmtId="10" fontId="1" fillId="0" borderId="0" xfId="0" applyNumberFormat="1" applyFont="1"/>
    <xf numFmtId="3" fontId="1" fillId="7" borderId="1" xfId="0" applyNumberFormat="1" applyFont="1" applyFill="1" applyBorder="1"/>
    <xf numFmtId="10" fontId="1" fillId="7" borderId="1" xfId="0" applyNumberFormat="1" applyFont="1" applyFill="1" applyBorder="1"/>
    <xf numFmtId="3" fontId="1" fillId="5" borderId="4" xfId="0" applyNumberFormat="1" applyFont="1" applyFill="1" applyBorder="1"/>
    <xf numFmtId="0" fontId="12" fillId="2" borderId="2" xfId="0" applyFont="1" applyFill="1" applyBorder="1"/>
    <xf numFmtId="3" fontId="10" fillId="0" borderId="14" xfId="0" applyNumberFormat="1" applyFont="1" applyBorder="1"/>
    <xf numFmtId="10" fontId="10" fillId="0" borderId="14" xfId="0" applyNumberFormat="1" applyFont="1" applyBorder="1"/>
    <xf numFmtId="3" fontId="1" fillId="0" borderId="14" xfId="0" applyNumberFormat="1" applyFont="1" applyBorder="1"/>
    <xf numFmtId="10" fontId="1" fillId="0" borderId="14" xfId="0" applyNumberFormat="1" applyFont="1" applyBorder="1"/>
    <xf numFmtId="164" fontId="1" fillId="0" borderId="14" xfId="0" applyNumberFormat="1" applyFont="1" applyBorder="1"/>
    <xf numFmtId="0" fontId="6" fillId="3" borderId="15" xfId="0" applyFont="1" applyFill="1" applyBorder="1"/>
    <xf numFmtId="3" fontId="10" fillId="0" borderId="16" xfId="0" applyNumberFormat="1" applyFont="1" applyBorder="1"/>
    <xf numFmtId="10" fontId="10" fillId="0" borderId="16" xfId="0" applyNumberFormat="1" applyFont="1" applyBorder="1"/>
    <xf numFmtId="3" fontId="1" fillId="0" borderId="16" xfId="0" applyNumberFormat="1" applyFont="1" applyBorder="1"/>
    <xf numFmtId="10" fontId="1" fillId="0" borderId="16" xfId="0" applyNumberFormat="1" applyFont="1" applyBorder="1"/>
    <xf numFmtId="3" fontId="1" fillId="0" borderId="6" xfId="0" applyNumberFormat="1" applyFont="1" applyBorder="1"/>
    <xf numFmtId="164" fontId="1" fillId="0" borderId="16" xfId="0" applyNumberFormat="1" applyFont="1" applyBorder="1"/>
    <xf numFmtId="164" fontId="1" fillId="0" borderId="17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2" fillId="2" borderId="4" xfId="0" applyFont="1" applyFill="1" applyBorder="1"/>
    <xf numFmtId="0" fontId="12" fillId="0" borderId="0" xfId="0" applyFont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3" fontId="9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left"/>
    </xf>
    <xf numFmtId="3" fontId="14" fillId="0" borderId="0" xfId="0" applyNumberFormat="1" applyFont="1" applyAlignment="1">
      <alignment horizontal="left"/>
    </xf>
    <xf numFmtId="10" fontId="15" fillId="0" borderId="0" xfId="0" applyNumberFormat="1" applyFont="1" applyAlignment="1">
      <alignment horizontal="right"/>
    </xf>
    <xf numFmtId="10" fontId="15" fillId="0" borderId="0" xfId="0" applyNumberFormat="1" applyFont="1" applyAlignment="1">
      <alignment horizontal="left"/>
    </xf>
    <xf numFmtId="3" fontId="16" fillId="0" borderId="0" xfId="0" applyNumberFormat="1" applyFont="1" applyAlignment="1">
      <alignment horizontal="right"/>
    </xf>
    <xf numFmtId="3" fontId="16" fillId="0" borderId="0" xfId="0" applyNumberFormat="1" applyFont="1" applyAlignment="1">
      <alignment horizontal="left"/>
    </xf>
    <xf numFmtId="0" fontId="17" fillId="11" borderId="1" xfId="0" applyFont="1" applyFill="1" applyBorder="1"/>
    <xf numFmtId="10" fontId="17" fillId="11" borderId="1" xfId="0" applyNumberFormat="1" applyFont="1" applyFill="1" applyBorder="1" applyAlignment="1">
      <alignment horizontal="center"/>
    </xf>
    <xf numFmtId="3" fontId="1" fillId="0" borderId="20" xfId="0" applyNumberFormat="1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9" fillId="0" borderId="0" xfId="0" applyFont="1"/>
    <xf numFmtId="0" fontId="1" fillId="0" borderId="1" xfId="0" applyFont="1" applyBorder="1" applyAlignment="1">
      <alignment horizontal="left"/>
    </xf>
    <xf numFmtId="3" fontId="18" fillId="0" borderId="1" xfId="0" applyNumberFormat="1" applyFont="1" applyBorder="1"/>
    <xf numFmtId="3" fontId="15" fillId="0" borderId="1" xfId="0" applyNumberFormat="1" applyFont="1" applyBorder="1" applyAlignment="1">
      <alignment horizontal="left"/>
    </xf>
    <xf numFmtId="0" fontId="9" fillId="0" borderId="7" xfId="0" applyFont="1" applyBorder="1"/>
    <xf numFmtId="0" fontId="8" fillId="0" borderId="8" xfId="0" applyFont="1" applyBorder="1"/>
    <xf numFmtId="0" fontId="8" fillId="0" borderId="7" xfId="0" applyFont="1" applyBorder="1"/>
    <xf numFmtId="3" fontId="8" fillId="0" borderId="1" xfId="0" applyNumberFormat="1" applyFont="1" applyBorder="1" applyAlignment="1">
      <alignment horizontal="center"/>
    </xf>
    <xf numFmtId="0" fontId="8" fillId="0" borderId="0" xfId="0" applyFont="1"/>
    <xf numFmtId="3" fontId="8" fillId="0" borderId="0" xfId="0" applyNumberFormat="1" applyFont="1" applyAlignment="1">
      <alignment horizontal="center"/>
    </xf>
    <xf numFmtId="0" fontId="32" fillId="0" borderId="0" xfId="0" applyFont="1"/>
    <xf numFmtId="10" fontId="1" fillId="11" borderId="4" xfId="0" applyNumberFormat="1" applyFont="1" applyFill="1" applyBorder="1"/>
    <xf numFmtId="0" fontId="32" fillId="11" borderId="4" xfId="0" applyFont="1" applyFill="1" applyBorder="1"/>
    <xf numFmtId="0" fontId="33" fillId="11" borderId="4" xfId="0" applyFont="1" applyFill="1" applyBorder="1"/>
    <xf numFmtId="0" fontId="33" fillId="11" borderId="4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0" fontId="32" fillId="11" borderId="4" xfId="0" applyNumberFormat="1" applyFont="1" applyFill="1" applyBorder="1"/>
    <xf numFmtId="0" fontId="1" fillId="11" borderId="4" xfId="0" applyFont="1" applyFill="1" applyBorder="1"/>
    <xf numFmtId="0" fontId="1" fillId="0" borderId="0" xfId="0" applyFont="1" applyAlignment="1">
      <alignment wrapText="1"/>
    </xf>
    <xf numFmtId="0" fontId="1" fillId="11" borderId="4" xfId="0" applyFont="1" applyFill="1" applyBorder="1" applyAlignment="1">
      <alignment horizontal="center"/>
    </xf>
    <xf numFmtId="1" fontId="1" fillId="11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0" fontId="6" fillId="0" borderId="0" xfId="0" applyNumberFormat="1" applyFont="1"/>
    <xf numFmtId="3" fontId="6" fillId="11" borderId="4" xfId="0" applyNumberFormat="1" applyFont="1" applyFill="1" applyBorder="1"/>
    <xf numFmtId="10" fontId="6" fillId="11" borderId="4" xfId="0" applyNumberFormat="1" applyFont="1" applyFill="1" applyBorder="1"/>
    <xf numFmtId="1" fontId="1" fillId="11" borderId="4" xfId="0" applyNumberFormat="1" applyFont="1" applyFill="1" applyBorder="1"/>
    <xf numFmtId="9" fontId="1" fillId="11" borderId="4" xfId="0" applyNumberFormat="1" applyFont="1" applyFill="1" applyBorder="1"/>
    <xf numFmtId="164" fontId="1" fillId="0" borderId="0" xfId="0" applyNumberFormat="1" applyFont="1"/>
    <xf numFmtId="10" fontId="9" fillId="0" borderId="0" xfId="0" applyNumberFormat="1" applyFont="1"/>
    <xf numFmtId="3" fontId="1" fillId="0" borderId="0" xfId="0" applyNumberFormat="1" applyFont="1" applyAlignment="1">
      <alignment horizontal="right"/>
    </xf>
    <xf numFmtId="3" fontId="1" fillId="11" borderId="4" xfId="0" applyNumberFormat="1" applyFont="1" applyFill="1" applyBorder="1"/>
    <xf numFmtId="3" fontId="32" fillId="11" borderId="4" xfId="0" applyNumberFormat="1" applyFont="1" applyFill="1" applyBorder="1"/>
    <xf numFmtId="164" fontId="32" fillId="11" borderId="4" xfId="0" applyNumberFormat="1" applyFont="1" applyFill="1" applyBorder="1"/>
    <xf numFmtId="3" fontId="34" fillId="11" borderId="4" xfId="0" applyNumberFormat="1" applyFont="1" applyFill="1" applyBorder="1" applyAlignment="1">
      <alignment horizontal="center" vertical="center"/>
    </xf>
    <xf numFmtId="0" fontId="35" fillId="0" borderId="0" xfId="0" applyFont="1"/>
    <xf numFmtId="10" fontId="1" fillId="11" borderId="4" xfId="0" applyNumberFormat="1" applyFont="1" applyFill="1" applyBorder="1" applyAlignment="1">
      <alignment horizontal="center"/>
    </xf>
    <xf numFmtId="173" fontId="1" fillId="0" borderId="0" xfId="0" applyNumberFormat="1" applyFont="1"/>
    <xf numFmtId="0" fontId="32" fillId="11" borderId="4" xfId="0" applyFont="1" applyFill="1" applyBorder="1" applyAlignment="1">
      <alignment horizontal="center"/>
    </xf>
    <xf numFmtId="0" fontId="1" fillId="0" borderId="35" xfId="0" applyFont="1" applyBorder="1"/>
    <xf numFmtId="0" fontId="8" fillId="0" borderId="3" xfId="0" applyFont="1" applyBorder="1" applyAlignment="1">
      <alignment wrapText="1"/>
    </xf>
    <xf numFmtId="0" fontId="8" fillId="8" borderId="1" xfId="0" applyFont="1" applyFill="1" applyBorder="1"/>
    <xf numFmtId="0" fontId="8" fillId="9" borderId="1" xfId="0" applyFont="1" applyFill="1" applyBorder="1" applyAlignment="1">
      <alignment wrapText="1"/>
    </xf>
    <xf numFmtId="0" fontId="20" fillId="15" borderId="1" xfId="0" applyFont="1" applyFill="1" applyBorder="1"/>
    <xf numFmtId="0" fontId="20" fillId="15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0" fontId="8" fillId="3" borderId="1" xfId="0" applyNumberFormat="1" applyFont="1" applyFill="1" applyBorder="1"/>
    <xf numFmtId="1" fontId="19" fillId="0" borderId="1" xfId="0" applyNumberFormat="1" applyFont="1" applyBorder="1"/>
    <xf numFmtId="10" fontId="19" fillId="0" borderId="1" xfId="0" applyNumberFormat="1" applyFont="1" applyBorder="1"/>
    <xf numFmtId="164" fontId="18" fillId="0" borderId="1" xfId="0" applyNumberFormat="1" applyFont="1" applyBorder="1"/>
    <xf numFmtId="164" fontId="18" fillId="0" borderId="0" xfId="0" applyNumberFormat="1" applyFont="1"/>
    <xf numFmtId="10" fontId="18" fillId="0" borderId="1" xfId="0" applyNumberFormat="1" applyFont="1" applyBorder="1"/>
    <xf numFmtId="0" fontId="1" fillId="0" borderId="18" xfId="1" applyFont="1" applyBorder="1"/>
    <xf numFmtId="0" fontId="1" fillId="0" borderId="45" xfId="1" applyFont="1" applyBorder="1"/>
    <xf numFmtId="0" fontId="1" fillId="0" borderId="46" xfId="1" applyFont="1" applyBorder="1"/>
    <xf numFmtId="0" fontId="37" fillId="0" borderId="68" xfId="1"/>
    <xf numFmtId="0" fontId="1" fillId="0" borderId="31" xfId="1" applyFont="1" applyBorder="1"/>
    <xf numFmtId="0" fontId="1" fillId="0" borderId="68" xfId="1" applyFont="1"/>
    <xf numFmtId="0" fontId="6" fillId="0" borderId="68" xfId="1" applyFont="1"/>
    <xf numFmtId="0" fontId="6" fillId="0" borderId="73" xfId="1" applyFont="1" applyBorder="1"/>
    <xf numFmtId="174" fontId="6" fillId="0" borderId="73" xfId="2" applyFont="1" applyBorder="1"/>
    <xf numFmtId="0" fontId="1" fillId="0" borderId="21" xfId="1" applyFont="1" applyBorder="1"/>
    <xf numFmtId="0" fontId="1" fillId="17" borderId="31" xfId="1" applyFont="1" applyFill="1" applyBorder="1"/>
    <xf numFmtId="14" fontId="8" fillId="17" borderId="68" xfId="1" applyNumberFormat="1" applyFont="1" applyFill="1"/>
    <xf numFmtId="0" fontId="1" fillId="17" borderId="68" xfId="1" applyFont="1" applyFill="1"/>
    <xf numFmtId="3" fontId="9" fillId="0" borderId="68" xfId="1" applyNumberFormat="1" applyFont="1" applyAlignment="1">
      <alignment horizontal="left"/>
    </xf>
    <xf numFmtId="0" fontId="3" fillId="0" borderId="73" xfId="1" applyFont="1" applyBorder="1" applyAlignment="1">
      <alignment horizontal="center"/>
    </xf>
    <xf numFmtId="3" fontId="9" fillId="0" borderId="68" xfId="1" applyNumberFormat="1" applyFont="1"/>
    <xf numFmtId="0" fontId="38" fillId="0" borderId="68" xfId="1" applyFont="1" applyAlignment="1">
      <alignment horizontal="center"/>
    </xf>
    <xf numFmtId="10" fontId="15" fillId="0" borderId="68" xfId="1" applyNumberFormat="1" applyFont="1" applyAlignment="1">
      <alignment horizontal="left"/>
    </xf>
    <xf numFmtId="10" fontId="15" fillId="0" borderId="68" xfId="1" applyNumberFormat="1" applyFont="1"/>
    <xf numFmtId="0" fontId="38" fillId="0" borderId="73" xfId="1" applyFont="1" applyBorder="1" applyAlignment="1">
      <alignment horizontal="center"/>
    </xf>
    <xf numFmtId="0" fontId="6" fillId="0" borderId="68" xfId="1" applyFont="1" applyAlignment="1">
      <alignment horizontal="center"/>
    </xf>
    <xf numFmtId="3" fontId="16" fillId="0" borderId="68" xfId="1" applyNumberFormat="1" applyFont="1" applyAlignment="1">
      <alignment horizontal="left"/>
    </xf>
    <xf numFmtId="3" fontId="40" fillId="0" borderId="68" xfId="1" applyNumberFormat="1" applyFont="1"/>
    <xf numFmtId="3" fontId="16" fillId="0" borderId="68" xfId="1" applyNumberFormat="1" applyFont="1"/>
    <xf numFmtId="174" fontId="41" fillId="0" borderId="68" xfId="1" applyNumberFormat="1" applyFont="1"/>
    <xf numFmtId="0" fontId="37" fillId="0" borderId="75" xfId="1" applyBorder="1" applyAlignment="1">
      <alignment horizontal="left"/>
    </xf>
    <xf numFmtId="0" fontId="37" fillId="0" borderId="76" xfId="1" applyBorder="1" applyAlignment="1">
      <alignment horizontal="left"/>
    </xf>
    <xf numFmtId="0" fontId="37" fillId="0" borderId="77" xfId="1" applyBorder="1" applyAlignment="1">
      <alignment horizontal="left"/>
    </xf>
    <xf numFmtId="174" fontId="0" fillId="0" borderId="73" xfId="2" applyFont="1" applyFill="1" applyBorder="1" applyAlignment="1">
      <alignment horizontal="center"/>
    </xf>
    <xf numFmtId="10" fontId="0" fillId="0" borderId="73" xfId="3" applyNumberFormat="1" applyFont="1" applyFill="1" applyBorder="1" applyAlignment="1">
      <alignment horizontal="center"/>
    </xf>
    <xf numFmtId="174" fontId="0" fillId="0" borderId="73" xfId="2" applyFont="1" applyBorder="1" applyAlignment="1">
      <alignment horizontal="center"/>
    </xf>
    <xf numFmtId="10" fontId="0" fillId="18" borderId="73" xfId="3" applyNumberFormat="1" applyFont="1" applyFill="1" applyBorder="1" applyAlignment="1">
      <alignment horizontal="center"/>
    </xf>
    <xf numFmtId="174" fontId="0" fillId="18" borderId="73" xfId="2" applyFont="1" applyFill="1" applyBorder="1" applyAlignment="1">
      <alignment horizontal="center"/>
    </xf>
    <xf numFmtId="0" fontId="37" fillId="0" borderId="73" xfId="1" applyBorder="1"/>
    <xf numFmtId="174" fontId="0" fillId="18" borderId="73" xfId="2" applyFont="1" applyFill="1" applyBorder="1"/>
    <xf numFmtId="174" fontId="0" fillId="0" borderId="73" xfId="2" applyFont="1" applyBorder="1"/>
    <xf numFmtId="3" fontId="9" fillId="0" borderId="68" xfId="1" applyNumberFormat="1" applyFont="1" applyAlignment="1">
      <alignment horizontal="right"/>
    </xf>
    <xf numFmtId="10" fontId="15" fillId="0" borderId="68" xfId="1" applyNumberFormat="1" applyFont="1" applyAlignment="1">
      <alignment horizontal="right"/>
    </xf>
    <xf numFmtId="174" fontId="1" fillId="0" borderId="73" xfId="1" applyNumberFormat="1" applyFont="1" applyBorder="1"/>
    <xf numFmtId="3" fontId="16" fillId="0" borderId="68" xfId="1" applyNumberFormat="1" applyFont="1" applyAlignment="1">
      <alignment horizontal="right"/>
    </xf>
    <xf numFmtId="0" fontId="1" fillId="19" borderId="68" xfId="1" applyFont="1" applyFill="1" applyAlignment="1">
      <alignment horizontal="right"/>
    </xf>
    <xf numFmtId="1" fontId="6" fillId="0" borderId="68" xfId="1" applyNumberFormat="1" applyFont="1" applyAlignment="1">
      <alignment horizontal="left"/>
    </xf>
    <xf numFmtId="0" fontId="3" fillId="0" borderId="68" xfId="1" applyFont="1"/>
    <xf numFmtId="174" fontId="6" fillId="0" borderId="68" xfId="1" applyNumberFormat="1" applyFont="1" applyAlignment="1">
      <alignment horizontal="left" vertical="center"/>
    </xf>
    <xf numFmtId="0" fontId="48" fillId="0" borderId="68" xfId="1" applyFont="1" applyAlignment="1">
      <alignment horizontal="right" indent="1"/>
    </xf>
    <xf numFmtId="174" fontId="6" fillId="0" borderId="68" xfId="1" applyNumberFormat="1" applyFont="1" applyAlignment="1">
      <alignment horizontal="left" indent="3"/>
    </xf>
    <xf numFmtId="1" fontId="6" fillId="0" borderId="68" xfId="1" applyNumberFormat="1" applyFont="1" applyAlignment="1">
      <alignment horizontal="left" indent="3"/>
    </xf>
    <xf numFmtId="174" fontId="1" fillId="0" borderId="68" xfId="1" applyNumberFormat="1" applyFont="1"/>
    <xf numFmtId="3" fontId="50" fillId="0" borderId="68" xfId="1" applyNumberFormat="1" applyFont="1"/>
    <xf numFmtId="0" fontId="38" fillId="0" borderId="73" xfId="1" applyFont="1" applyBorder="1"/>
    <xf numFmtId="0" fontId="6" fillId="0" borderId="73" xfId="1" applyFont="1" applyBorder="1" applyAlignment="1">
      <alignment horizontal="center"/>
    </xf>
    <xf numFmtId="3" fontId="14" fillId="0" borderId="68" xfId="1" applyNumberFormat="1" applyFont="1"/>
    <xf numFmtId="1" fontId="6" fillId="0" borderId="68" xfId="1" applyNumberFormat="1" applyFont="1" applyAlignment="1">
      <alignment horizontal="center"/>
    </xf>
    <xf numFmtId="0" fontId="38" fillId="0" borderId="68" xfId="1" applyFont="1"/>
    <xf numFmtId="0" fontId="38" fillId="0" borderId="68" xfId="1" applyFont="1" applyAlignment="1">
      <alignment horizontal="right"/>
    </xf>
    <xf numFmtId="174" fontId="0" fillId="0" borderId="68" xfId="2" applyFont="1"/>
    <xf numFmtId="3" fontId="1" fillId="0" borderId="73" xfId="1" applyNumberFormat="1" applyFont="1" applyBorder="1"/>
    <xf numFmtId="10" fontId="1" fillId="0" borderId="73" xfId="3" applyNumberFormat="1" applyFont="1" applyBorder="1" applyAlignment="1">
      <alignment horizontal="center"/>
    </xf>
    <xf numFmtId="174" fontId="38" fillId="0" borderId="68" xfId="1" applyNumberFormat="1" applyFont="1"/>
    <xf numFmtId="3" fontId="37" fillId="0" borderId="68" xfId="1" applyNumberFormat="1"/>
    <xf numFmtId="0" fontId="37" fillId="19" borderId="68" xfId="1" applyFill="1"/>
    <xf numFmtId="3" fontId="49" fillId="0" borderId="68" xfId="1" applyNumberFormat="1" applyFont="1" applyAlignment="1">
      <alignment horizontal="right"/>
    </xf>
    <xf numFmtId="0" fontId="1" fillId="0" borderId="73" xfId="1" applyFont="1" applyBorder="1"/>
    <xf numFmtId="174" fontId="37" fillId="0" borderId="68" xfId="1" applyNumberFormat="1"/>
    <xf numFmtId="3" fontId="51" fillId="0" borderId="68" xfId="1" applyNumberFormat="1" applyFont="1" applyAlignment="1">
      <alignment horizontal="right"/>
    </xf>
    <xf numFmtId="176" fontId="1" fillId="0" borderId="73" xfId="1" applyNumberFormat="1" applyFont="1" applyBorder="1"/>
    <xf numFmtId="3" fontId="1" fillId="0" borderId="68" xfId="1" applyNumberFormat="1" applyFont="1"/>
    <xf numFmtId="1" fontId="37" fillId="0" borderId="68" xfId="1" applyNumberFormat="1"/>
    <xf numFmtId="3" fontId="42" fillId="0" borderId="68" xfId="1" applyNumberFormat="1" applyFont="1" applyAlignment="1">
      <alignment horizontal="center"/>
    </xf>
    <xf numFmtId="174" fontId="6" fillId="0" borderId="68" xfId="1" applyNumberFormat="1" applyFont="1"/>
    <xf numFmtId="10" fontId="52" fillId="0" borderId="68" xfId="1" applyNumberFormat="1" applyFont="1" applyAlignment="1">
      <alignment horizontal="left"/>
    </xf>
    <xf numFmtId="174" fontId="6" fillId="0" borderId="68" xfId="2" applyFont="1"/>
    <xf numFmtId="0" fontId="37" fillId="0" borderId="78" xfId="1" applyBorder="1" applyAlignment="1">
      <alignment horizontal="left"/>
    </xf>
    <xf numFmtId="0" fontId="37" fillId="0" borderId="79" xfId="1" applyBorder="1" applyAlignment="1">
      <alignment horizontal="left"/>
    </xf>
    <xf numFmtId="0" fontId="37" fillId="0" borderId="80" xfId="1" applyBorder="1" applyAlignment="1">
      <alignment horizontal="left"/>
    </xf>
    <xf numFmtId="174" fontId="0" fillId="18" borderId="81" xfId="2" applyFont="1" applyFill="1" applyBorder="1" applyAlignment="1">
      <alignment horizontal="center"/>
    </xf>
    <xf numFmtId="3" fontId="9" fillId="0" borderId="68" xfId="1" applyNumberFormat="1" applyFont="1" applyAlignment="1">
      <alignment horizontal="center"/>
    </xf>
    <xf numFmtId="3" fontId="53" fillId="0" borderId="68" xfId="1" applyNumberFormat="1" applyFont="1" applyAlignment="1">
      <alignment horizontal="center"/>
    </xf>
    <xf numFmtId="164" fontId="1" fillId="0" borderId="68" xfId="3" applyNumberFormat="1" applyFont="1"/>
    <xf numFmtId="0" fontId="38" fillId="0" borderId="84" xfId="1" applyFont="1" applyBorder="1" applyAlignment="1">
      <alignment horizontal="center"/>
    </xf>
    <xf numFmtId="10" fontId="15" fillId="20" borderId="68" xfId="1" applyNumberFormat="1" applyFont="1" applyFill="1" applyAlignment="1">
      <alignment horizontal="center"/>
    </xf>
    <xf numFmtId="177" fontId="37" fillId="0" borderId="68" xfId="1" applyNumberFormat="1"/>
    <xf numFmtId="0" fontId="37" fillId="0" borderId="85" xfId="1" applyBorder="1" applyAlignment="1">
      <alignment horizontal="left"/>
    </xf>
    <xf numFmtId="0" fontId="37" fillId="0" borderId="74" xfId="1" applyBorder="1" applyAlignment="1">
      <alignment horizontal="left"/>
    </xf>
    <xf numFmtId="0" fontId="37" fillId="0" borderId="86" xfId="1" applyBorder="1" applyAlignment="1">
      <alignment horizontal="left"/>
    </xf>
    <xf numFmtId="174" fontId="0" fillId="18" borderId="87" xfId="2" applyFont="1" applyFill="1" applyBorder="1" applyAlignment="1">
      <alignment horizontal="center"/>
    </xf>
    <xf numFmtId="3" fontId="16" fillId="0" borderId="68" xfId="1" applyNumberFormat="1" applyFont="1" applyAlignment="1">
      <alignment horizontal="center"/>
    </xf>
    <xf numFmtId="0" fontId="37" fillId="0" borderId="68" xfId="1" applyAlignment="1">
      <alignment horizontal="center"/>
    </xf>
    <xf numFmtId="3" fontId="42" fillId="0" borderId="68" xfId="1" applyNumberFormat="1" applyFont="1" applyAlignment="1">
      <alignment horizontal="left"/>
    </xf>
    <xf numFmtId="1" fontId="37" fillId="0" borderId="73" xfId="1" applyNumberFormat="1" applyBorder="1"/>
    <xf numFmtId="1" fontId="54" fillId="0" borderId="68" xfId="2" applyNumberFormat="1" applyFont="1" applyAlignment="1">
      <alignment horizontal="left"/>
    </xf>
    <xf numFmtId="2" fontId="37" fillId="0" borderId="68" xfId="1" applyNumberFormat="1" applyAlignment="1">
      <alignment horizontal="center"/>
    </xf>
    <xf numFmtId="1" fontId="37" fillId="18" borderId="73" xfId="1" applyNumberFormat="1" applyFill="1" applyBorder="1"/>
    <xf numFmtId="1" fontId="0" fillId="0" borderId="68" xfId="2" applyNumberFormat="1" applyFont="1" applyAlignment="1">
      <alignment horizontal="left"/>
    </xf>
    <xf numFmtId="0" fontId="37" fillId="18" borderId="73" xfId="1" applyFill="1" applyBorder="1"/>
    <xf numFmtId="3" fontId="14" fillId="0" borderId="68" xfId="1" applyNumberFormat="1" applyFont="1" applyAlignment="1">
      <alignment horizontal="left"/>
    </xf>
    <xf numFmtId="10" fontId="0" fillId="0" borderId="68" xfId="3" applyNumberFormat="1" applyFont="1"/>
    <xf numFmtId="1" fontId="37" fillId="0" borderId="68" xfId="1" applyNumberFormat="1" applyAlignment="1">
      <alignment horizontal="left"/>
    </xf>
    <xf numFmtId="3" fontId="38" fillId="0" borderId="68" xfId="1" applyNumberFormat="1" applyFont="1"/>
    <xf numFmtId="10" fontId="15" fillId="0" borderId="68" xfId="1" applyNumberFormat="1" applyFont="1" applyAlignment="1">
      <alignment horizontal="center"/>
    </xf>
    <xf numFmtId="10" fontId="37" fillId="0" borderId="68" xfId="1" applyNumberFormat="1"/>
    <xf numFmtId="174" fontId="37" fillId="0" borderId="73" xfId="1" applyNumberFormat="1" applyBorder="1"/>
    <xf numFmtId="174" fontId="37" fillId="0" borderId="73" xfId="2" applyFont="1" applyBorder="1"/>
    <xf numFmtId="1" fontId="54" fillId="0" borderId="68" xfId="1" applyNumberFormat="1" applyFont="1" applyAlignment="1">
      <alignment horizontal="left"/>
    </xf>
    <xf numFmtId="9" fontId="9" fillId="0" borderId="68" xfId="3" applyFont="1" applyAlignment="1">
      <alignment horizontal="left"/>
    </xf>
    <xf numFmtId="0" fontId="1" fillId="0" borderId="22" xfId="1" applyFont="1" applyBorder="1"/>
    <xf numFmtId="0" fontId="1" fillId="0" borderId="23" xfId="1" applyFont="1" applyBorder="1"/>
    <xf numFmtId="0" fontId="1" fillId="0" borderId="24" xfId="1" applyFont="1" applyBorder="1"/>
    <xf numFmtId="0" fontId="9" fillId="0" borderId="68" xfId="1" applyFont="1"/>
    <xf numFmtId="0" fontId="56" fillId="16" borderId="7" xfId="1" applyFont="1" applyFill="1" applyBorder="1" applyAlignment="1">
      <alignment horizontal="center" vertical="center" wrapText="1"/>
    </xf>
    <xf numFmtId="0" fontId="56" fillId="16" borderId="1" xfId="1" applyFont="1" applyFill="1" applyBorder="1" applyAlignment="1">
      <alignment horizontal="center" vertical="center" wrapText="1"/>
    </xf>
    <xf numFmtId="0" fontId="56" fillId="16" borderId="15" xfId="1" applyFont="1" applyFill="1" applyBorder="1" applyAlignment="1">
      <alignment horizontal="center" vertical="center" wrapText="1"/>
    </xf>
    <xf numFmtId="0" fontId="56" fillId="16" borderId="17" xfId="1" applyFont="1" applyFill="1" applyBorder="1" applyAlignment="1">
      <alignment horizontal="center" vertical="center" wrapText="1"/>
    </xf>
    <xf numFmtId="0" fontId="56" fillId="16" borderId="8" xfId="1" applyFont="1" applyFill="1" applyBorder="1" applyAlignment="1">
      <alignment horizontal="center" vertical="center" wrapText="1"/>
    </xf>
    <xf numFmtId="0" fontId="56" fillId="16" borderId="73" xfId="1" applyFont="1" applyFill="1" applyBorder="1" applyAlignment="1">
      <alignment horizontal="center" vertical="center" wrapText="1"/>
    </xf>
    <xf numFmtId="174" fontId="6" fillId="0" borderId="7" xfId="2" applyFont="1" applyBorder="1" applyAlignment="1">
      <alignment horizontal="left"/>
    </xf>
    <xf numFmtId="174" fontId="1" fillId="0" borderId="72" xfId="2" applyFont="1" applyFill="1" applyBorder="1" applyAlignment="1">
      <alignment horizontal="center"/>
    </xf>
    <xf numFmtId="174" fontId="36" fillId="0" borderId="72" xfId="2" applyFont="1" applyFill="1" applyBorder="1" applyAlignment="1">
      <alignment horizontal="center"/>
    </xf>
    <xf numFmtId="3" fontId="1" fillId="0" borderId="72" xfId="1" applyNumberFormat="1" applyFont="1" applyBorder="1" applyAlignment="1">
      <alignment horizontal="center"/>
    </xf>
    <xf numFmtId="3" fontId="1" fillId="0" borderId="69" xfId="1" applyNumberFormat="1" applyFont="1" applyBorder="1" applyAlignment="1">
      <alignment horizontal="center"/>
    </xf>
    <xf numFmtId="3" fontId="1" fillId="0" borderId="30" xfId="1" applyNumberFormat="1" applyFont="1" applyBorder="1" applyAlignment="1">
      <alignment horizontal="center"/>
    </xf>
    <xf numFmtId="3" fontId="1" fillId="0" borderId="61" xfId="1" applyNumberFormat="1" applyFont="1" applyBorder="1" applyAlignment="1">
      <alignment horizontal="center"/>
    </xf>
    <xf numFmtId="3" fontId="36" fillId="18" borderId="71" xfId="1" applyNumberFormat="1" applyFont="1" applyFill="1" applyBorder="1" applyAlignment="1">
      <alignment horizontal="center"/>
    </xf>
    <xf numFmtId="3" fontId="36" fillId="0" borderId="72" xfId="1" applyNumberFormat="1" applyFont="1" applyBorder="1" applyAlignment="1">
      <alignment horizontal="center"/>
    </xf>
    <xf numFmtId="3" fontId="6" fillId="0" borderId="1" xfId="1" applyNumberFormat="1" applyFont="1" applyBorder="1" applyAlignment="1">
      <alignment horizontal="center"/>
    </xf>
    <xf numFmtId="2" fontId="1" fillId="0" borderId="7" xfId="1" applyNumberFormat="1" applyFont="1" applyBorder="1" applyAlignment="1">
      <alignment horizontal="center"/>
    </xf>
    <xf numFmtId="1" fontId="6" fillId="0" borderId="73" xfId="1" applyNumberFormat="1" applyFont="1" applyBorder="1" applyAlignment="1">
      <alignment horizontal="center"/>
    </xf>
    <xf numFmtId="1" fontId="1" fillId="0" borderId="68" xfId="1" applyNumberFormat="1" applyFont="1"/>
    <xf numFmtId="174" fontId="1" fillId="0" borderId="1" xfId="2" applyFont="1" applyFill="1" applyBorder="1" applyAlignment="1">
      <alignment horizontal="center"/>
    </xf>
    <xf numFmtId="3" fontId="1" fillId="0" borderId="1" xfId="1" applyNumberFormat="1" applyFont="1" applyBorder="1" applyAlignment="1">
      <alignment horizontal="center"/>
    </xf>
    <xf numFmtId="3" fontId="1" fillId="0" borderId="7" xfId="1" applyNumberFormat="1" applyFont="1" applyBorder="1" applyAlignment="1">
      <alignment horizontal="center"/>
    </xf>
    <xf numFmtId="174" fontId="1" fillId="0" borderId="61" xfId="2" applyFont="1" applyFill="1" applyBorder="1" applyAlignment="1">
      <alignment horizontal="center"/>
    </xf>
    <xf numFmtId="3" fontId="1" fillId="18" borderId="7" xfId="1" applyNumberFormat="1" applyFont="1" applyFill="1" applyBorder="1" applyAlignment="1">
      <alignment horizontal="center"/>
    </xf>
    <xf numFmtId="3" fontId="1" fillId="21" borderId="30" xfId="1" applyNumberFormat="1" applyFont="1" applyFill="1" applyBorder="1" applyAlignment="1">
      <alignment horizontal="center"/>
    </xf>
    <xf numFmtId="3" fontId="1" fillId="21" borderId="61" xfId="1" applyNumberFormat="1" applyFont="1" applyFill="1" applyBorder="1" applyAlignment="1">
      <alignment horizontal="center"/>
    </xf>
    <xf numFmtId="3" fontId="1" fillId="21" borderId="72" xfId="1" applyNumberFormat="1" applyFont="1" applyFill="1" applyBorder="1" applyAlignment="1">
      <alignment horizontal="center"/>
    </xf>
    <xf numFmtId="3" fontId="6" fillId="21" borderId="1" xfId="1" applyNumberFormat="1" applyFont="1" applyFill="1" applyBorder="1" applyAlignment="1">
      <alignment horizontal="center"/>
    </xf>
    <xf numFmtId="2" fontId="1" fillId="21" borderId="7" xfId="1" applyNumberFormat="1" applyFont="1" applyFill="1" applyBorder="1" applyAlignment="1">
      <alignment horizontal="center"/>
    </xf>
    <xf numFmtId="1" fontId="6" fillId="21" borderId="73" xfId="1" applyNumberFormat="1" applyFont="1" applyFill="1" applyBorder="1" applyAlignment="1">
      <alignment horizontal="center"/>
    </xf>
    <xf numFmtId="174" fontId="1" fillId="0" borderId="68" xfId="2" applyFont="1"/>
    <xf numFmtId="174" fontId="1" fillId="0" borderId="30" xfId="2" applyFont="1" applyFill="1" applyBorder="1" applyAlignment="1">
      <alignment horizontal="center"/>
    </xf>
    <xf numFmtId="3" fontId="1" fillId="18" borderId="1" xfId="1" applyNumberFormat="1" applyFont="1" applyFill="1" applyBorder="1" applyAlignment="1">
      <alignment horizontal="center"/>
    </xf>
    <xf numFmtId="3" fontId="1" fillId="18" borderId="72" xfId="1" applyNumberFormat="1" applyFont="1" applyFill="1" applyBorder="1" applyAlignment="1">
      <alignment horizontal="center"/>
    </xf>
    <xf numFmtId="0" fontId="1" fillId="0" borderId="68" xfId="1" applyFont="1" applyAlignment="1">
      <alignment horizontal="left"/>
    </xf>
    <xf numFmtId="3" fontId="6" fillId="0" borderId="27" xfId="1" applyNumberFormat="1" applyFont="1" applyBorder="1" applyAlignment="1">
      <alignment horizontal="center"/>
    </xf>
    <xf numFmtId="3" fontId="6" fillId="0" borderId="44" xfId="1" applyNumberFormat="1" applyFont="1" applyBorder="1" applyAlignment="1">
      <alignment horizontal="center"/>
    </xf>
    <xf numFmtId="0" fontId="1" fillId="0" borderId="68" xfId="1" applyFont="1" applyAlignment="1">
      <alignment horizontal="center"/>
    </xf>
    <xf numFmtId="3" fontId="1" fillId="0" borderId="68" xfId="1" applyNumberFormat="1" applyFont="1" applyAlignment="1">
      <alignment horizontal="center"/>
    </xf>
    <xf numFmtId="3" fontId="6" fillId="0" borderId="73" xfId="1" applyNumberFormat="1" applyFont="1" applyBorder="1" applyAlignment="1">
      <alignment horizontal="center"/>
    </xf>
    <xf numFmtId="0" fontId="43" fillId="22" borderId="73" xfId="1" applyFont="1" applyFill="1" applyBorder="1" applyAlignment="1">
      <alignment horizontal="center"/>
    </xf>
    <xf numFmtId="0" fontId="43" fillId="22" borderId="73" xfId="1" applyFont="1" applyFill="1" applyBorder="1" applyAlignment="1">
      <alignment horizontal="center" wrapText="1"/>
    </xf>
    <xf numFmtId="0" fontId="38" fillId="22" borderId="75" xfId="1" applyFont="1" applyFill="1" applyBorder="1" applyAlignment="1">
      <alignment horizontal="left"/>
    </xf>
    <xf numFmtId="0" fontId="38" fillId="22" borderId="77" xfId="1" applyFont="1" applyFill="1" applyBorder="1" applyAlignment="1">
      <alignment horizontal="left"/>
    </xf>
    <xf numFmtId="174" fontId="1" fillId="0" borderId="73" xfId="2" applyFont="1" applyBorder="1"/>
    <xf numFmtId="177" fontId="1" fillId="0" borderId="68" xfId="1" applyNumberFormat="1" applyFont="1"/>
    <xf numFmtId="178" fontId="6" fillId="0" borderId="73" xfId="2" applyNumberFormat="1" applyFont="1" applyBorder="1"/>
    <xf numFmtId="164" fontId="0" fillId="0" borderId="73" xfId="2" applyNumberFormat="1" applyFont="1" applyBorder="1"/>
    <xf numFmtId="2" fontId="37" fillId="0" borderId="68" xfId="1" applyNumberFormat="1" applyAlignment="1">
      <alignment horizontal="right"/>
    </xf>
    <xf numFmtId="164" fontId="0" fillId="0" borderId="73" xfId="3" applyNumberFormat="1" applyFont="1" applyBorder="1"/>
    <xf numFmtId="9" fontId="0" fillId="0" borderId="73" xfId="3" applyFont="1" applyBorder="1"/>
    <xf numFmtId="0" fontId="6" fillId="0" borderId="68" xfId="1" applyFont="1" applyAlignment="1">
      <alignment horizontal="right"/>
    </xf>
    <xf numFmtId="179" fontId="6" fillId="0" borderId="73" xfId="1" applyNumberFormat="1" applyFont="1" applyBorder="1"/>
    <xf numFmtId="2" fontId="1" fillId="0" borderId="68" xfId="1" applyNumberFormat="1" applyFont="1"/>
    <xf numFmtId="0" fontId="58" fillId="23" borderId="0" xfId="0" applyFont="1" applyFill="1"/>
    <xf numFmtId="10" fontId="58" fillId="23" borderId="0" xfId="0" applyNumberFormat="1" applyFont="1" applyFill="1"/>
    <xf numFmtId="10" fontId="58" fillId="11" borderId="4" xfId="0" applyNumberFormat="1" applyFont="1" applyFill="1" applyBorder="1"/>
    <xf numFmtId="0" fontId="58" fillId="11" borderId="4" xfId="0" applyFont="1" applyFill="1" applyBorder="1"/>
    <xf numFmtId="0" fontId="59" fillId="11" borderId="4" xfId="0" applyFont="1" applyFill="1" applyBorder="1"/>
    <xf numFmtId="3" fontId="58" fillId="11" borderId="4" xfId="0" applyNumberFormat="1" applyFont="1" applyFill="1" applyBorder="1"/>
    <xf numFmtId="164" fontId="58" fillId="11" borderId="4" xfId="0" applyNumberFormat="1" applyFont="1" applyFill="1" applyBorder="1"/>
    <xf numFmtId="0" fontId="37" fillId="0" borderId="0" xfId="0" applyFont="1"/>
    <xf numFmtId="0" fontId="37" fillId="0" borderId="0" xfId="0" applyFont="1" applyAlignment="1">
      <alignment horizontal="left"/>
    </xf>
    <xf numFmtId="0" fontId="37" fillId="0" borderId="73" xfId="0" applyFont="1" applyBorder="1" applyAlignment="1">
      <alignment horizontal="left"/>
    </xf>
    <xf numFmtId="10" fontId="60" fillId="0" borderId="73" xfId="0" applyNumberFormat="1" applyFont="1" applyBorder="1"/>
    <xf numFmtId="10" fontId="60" fillId="17" borderId="73" xfId="0" applyNumberFormat="1" applyFont="1" applyFill="1" applyBorder="1"/>
    <xf numFmtId="10" fontId="60" fillId="0" borderId="81" xfId="0" applyNumberFormat="1" applyFont="1" applyBorder="1"/>
    <xf numFmtId="0" fontId="20" fillId="15" borderId="14" xfId="0" applyFont="1" applyFill="1" applyBorder="1"/>
    <xf numFmtId="0" fontId="0" fillId="0" borderId="68" xfId="0" applyBorder="1"/>
    <xf numFmtId="164" fontId="18" fillId="0" borderId="14" xfId="0" applyNumberFormat="1" applyFont="1" applyBorder="1"/>
    <xf numFmtId="0" fontId="1" fillId="0" borderId="68" xfId="0" applyFont="1" applyBorder="1"/>
    <xf numFmtId="10" fontId="18" fillId="0" borderId="14" xfId="0" applyNumberFormat="1" applyFont="1" applyBorder="1"/>
    <xf numFmtId="0" fontId="20" fillId="0" borderId="68" xfId="0" applyFont="1" applyBorder="1"/>
    <xf numFmtId="1" fontId="19" fillId="0" borderId="68" xfId="0" applyNumberFormat="1" applyFont="1" applyBorder="1"/>
    <xf numFmtId="10" fontId="19" fillId="0" borderId="68" xfId="0" applyNumberFormat="1" applyFont="1" applyBorder="1"/>
    <xf numFmtId="164" fontId="18" fillId="0" borderId="68" xfId="0" applyNumberFormat="1" applyFont="1" applyBorder="1"/>
    <xf numFmtId="10" fontId="18" fillId="0" borderId="68" xfId="0" applyNumberFormat="1" applyFont="1" applyBorder="1"/>
    <xf numFmtId="0" fontId="20" fillId="15" borderId="73" xfId="0" applyFont="1" applyFill="1" applyBorder="1"/>
    <xf numFmtId="0" fontId="0" fillId="0" borderId="73" xfId="0" applyBorder="1"/>
    <xf numFmtId="164" fontId="18" fillId="0" borderId="73" xfId="0" applyNumberFormat="1" applyFont="1" applyBorder="1"/>
    <xf numFmtId="0" fontId="1" fillId="0" borderId="73" xfId="0" applyFont="1" applyBorder="1"/>
    <xf numFmtId="10" fontId="18" fillId="0" borderId="73" xfId="0" applyNumberFormat="1" applyFont="1" applyBorder="1"/>
    <xf numFmtId="10" fontId="0" fillId="0" borderId="73" xfId="2" applyNumberFormat="1" applyFont="1" applyBorder="1" applyAlignment="1">
      <alignment horizontal="center"/>
    </xf>
    <xf numFmtId="10" fontId="0" fillId="18" borderId="73" xfId="2" applyNumberFormat="1" applyFont="1" applyFill="1" applyBorder="1"/>
    <xf numFmtId="167" fontId="0" fillId="18" borderId="73" xfId="2" applyNumberFormat="1" applyFont="1" applyFill="1" applyBorder="1"/>
    <xf numFmtId="1" fontId="42" fillId="0" borderId="68" xfId="1" applyNumberFormat="1" applyFont="1" applyAlignment="1">
      <alignment horizontal="left"/>
    </xf>
    <xf numFmtId="0" fontId="43" fillId="0" borderId="68" xfId="1" applyFont="1" applyAlignment="1">
      <alignment horizontal="center" vertical="center"/>
    </xf>
    <xf numFmtId="0" fontId="44" fillId="0" borderId="68" xfId="1" applyFont="1" applyAlignment="1">
      <alignment horizontal="left" vertical="center"/>
    </xf>
    <xf numFmtId="3" fontId="45" fillId="0" borderId="68" xfId="1" applyNumberFormat="1" applyFont="1" applyProtection="1">
      <protection locked="0"/>
    </xf>
    <xf numFmtId="3" fontId="46" fillId="0" borderId="68" xfId="1" applyNumberFormat="1" applyFont="1"/>
    <xf numFmtId="0" fontId="44" fillId="0" borderId="68" xfId="1" applyFont="1"/>
    <xf numFmtId="0" fontId="44" fillId="0" borderId="68" xfId="1" applyFont="1" applyAlignment="1">
      <alignment horizontal="right"/>
    </xf>
    <xf numFmtId="3" fontId="47" fillId="0" borderId="68" xfId="1" applyNumberFormat="1" applyFont="1"/>
    <xf numFmtId="0" fontId="44" fillId="0" borderId="68" xfId="1" applyFont="1" applyAlignment="1">
      <alignment horizontal="center"/>
    </xf>
    <xf numFmtId="175" fontId="37" fillId="0" borderId="68" xfId="1" applyNumberFormat="1"/>
    <xf numFmtId="0" fontId="37" fillId="17" borderId="75" xfId="1" applyFill="1" applyBorder="1" applyAlignment="1">
      <alignment horizontal="left"/>
    </xf>
    <xf numFmtId="0" fontId="37" fillId="17" borderId="76" xfId="1" applyFill="1" applyBorder="1" applyAlignment="1">
      <alignment horizontal="left"/>
    </xf>
    <xf numFmtId="0" fontId="37" fillId="17" borderId="77" xfId="1" applyFill="1" applyBorder="1" applyAlignment="1">
      <alignment horizontal="left"/>
    </xf>
    <xf numFmtId="0" fontId="21" fillId="12" borderId="18" xfId="1" applyFont="1" applyFill="1" applyBorder="1" applyAlignment="1">
      <alignment horizontal="center" vertical="center"/>
    </xf>
    <xf numFmtId="0" fontId="21" fillId="12" borderId="45" xfId="1" applyFont="1" applyFill="1" applyBorder="1" applyAlignment="1">
      <alignment horizontal="center" vertical="center"/>
    </xf>
    <xf numFmtId="0" fontId="21" fillId="0" borderId="45" xfId="1" applyFont="1" applyBorder="1"/>
    <xf numFmtId="0" fontId="21" fillId="0" borderId="46" xfId="1" applyFont="1" applyBorder="1"/>
    <xf numFmtId="0" fontId="21" fillId="12" borderId="31" xfId="1" applyFont="1" applyFill="1" applyBorder="1" applyAlignment="1">
      <alignment horizontal="center" vertical="center"/>
    </xf>
    <xf numFmtId="0" fontId="21" fillId="12" borderId="68" xfId="1" applyFont="1" applyFill="1" applyAlignment="1">
      <alignment horizontal="center" vertical="center"/>
    </xf>
    <xf numFmtId="0" fontId="21" fillId="0" borderId="21" xfId="1" applyFont="1" applyBorder="1"/>
    <xf numFmtId="0" fontId="7" fillId="0" borderId="39" xfId="1" applyFont="1" applyBorder="1"/>
    <xf numFmtId="0" fontId="21" fillId="12" borderId="68" xfId="1" applyFont="1" applyFill="1"/>
    <xf numFmtId="14" fontId="21" fillId="12" borderId="68" xfId="1" applyNumberFormat="1" applyFont="1" applyFill="1"/>
    <xf numFmtId="0" fontId="21" fillId="0" borderId="31" xfId="1" applyFont="1" applyBorder="1"/>
    <xf numFmtId="0" fontId="23" fillId="0" borderId="68" xfId="1" applyFont="1"/>
    <xf numFmtId="0" fontId="24" fillId="12" borderId="16" xfId="1" applyFont="1" applyFill="1" applyBorder="1" applyAlignment="1">
      <alignment horizontal="center" vertical="center"/>
    </xf>
    <xf numFmtId="0" fontId="24" fillId="12" borderId="17" xfId="1" applyFont="1" applyFill="1" applyBorder="1" applyAlignment="1">
      <alignment horizontal="center" vertical="center"/>
    </xf>
    <xf numFmtId="0" fontId="7" fillId="0" borderId="71" xfId="1" applyFont="1" applyBorder="1"/>
    <xf numFmtId="0" fontId="24" fillId="12" borderId="28" xfId="1" applyFont="1" applyFill="1" applyBorder="1" applyAlignment="1">
      <alignment horizontal="center" vertical="center"/>
    </xf>
    <xf numFmtId="0" fontId="24" fillId="12" borderId="44" xfId="1" applyFont="1" applyFill="1" applyBorder="1" applyAlignment="1">
      <alignment horizontal="center" vertical="center"/>
    </xf>
    <xf numFmtId="166" fontId="23" fillId="0" borderId="14" xfId="1" applyNumberFormat="1" applyFont="1" applyBorder="1" applyAlignment="1">
      <alignment horizontal="center" vertical="center"/>
    </xf>
    <xf numFmtId="10" fontId="23" fillId="0" borderId="14" xfId="1" applyNumberFormat="1" applyFont="1" applyBorder="1" applyAlignment="1">
      <alignment horizontal="center" vertical="center"/>
    </xf>
    <xf numFmtId="0" fontId="7" fillId="0" borderId="51" xfId="1" applyFont="1" applyBorder="1"/>
    <xf numFmtId="167" fontId="21" fillId="0" borderId="68" xfId="1" applyNumberFormat="1" applyFont="1"/>
    <xf numFmtId="0" fontId="7" fillId="0" borderId="53" xfId="1" applyFont="1" applyBorder="1"/>
    <xf numFmtId="168" fontId="21" fillId="0" borderId="68" xfId="1" applyNumberFormat="1" applyFont="1"/>
    <xf numFmtId="169" fontId="21" fillId="0" borderId="68" xfId="1" applyNumberFormat="1" applyFont="1"/>
    <xf numFmtId="166" fontId="24" fillId="10" borderId="54" xfId="1" applyNumberFormat="1" applyFont="1" applyFill="1" applyBorder="1" applyAlignment="1">
      <alignment horizontal="center" vertical="center"/>
    </xf>
    <xf numFmtId="10" fontId="24" fillId="10" borderId="54" xfId="1" applyNumberFormat="1" applyFont="1" applyFill="1" applyBorder="1" applyAlignment="1">
      <alignment horizontal="center" vertical="center"/>
    </xf>
    <xf numFmtId="166" fontId="24" fillId="10" borderId="57" xfId="1" applyNumberFormat="1" applyFont="1" applyFill="1" applyBorder="1" applyAlignment="1">
      <alignment horizontal="center" vertical="center"/>
    </xf>
    <xf numFmtId="170" fontId="26" fillId="0" borderId="68" xfId="1" applyNumberFormat="1" applyFont="1" applyAlignment="1">
      <alignment horizontal="center" vertical="center"/>
    </xf>
    <xf numFmtId="167" fontId="27" fillId="0" borderId="68" xfId="1" applyNumberFormat="1" applyFont="1" applyAlignment="1">
      <alignment horizontal="center" vertical="center"/>
    </xf>
    <xf numFmtId="166" fontId="27" fillId="0" borderId="68" xfId="1" applyNumberFormat="1" applyFont="1" applyAlignment="1">
      <alignment horizontal="center" vertical="center"/>
    </xf>
    <xf numFmtId="0" fontId="24" fillId="0" borderId="68" xfId="1" applyFont="1" applyAlignment="1">
      <alignment horizontal="left" vertical="center" wrapText="1"/>
    </xf>
    <xf numFmtId="166" fontId="25" fillId="0" borderId="68" xfId="1" applyNumberFormat="1" applyFont="1" applyAlignment="1">
      <alignment horizontal="center" vertical="center"/>
    </xf>
    <xf numFmtId="170" fontId="28" fillId="0" borderId="68" xfId="1" applyNumberFormat="1" applyFont="1" applyAlignment="1">
      <alignment horizontal="center" vertical="center"/>
    </xf>
    <xf numFmtId="166" fontId="28" fillId="0" borderId="68" xfId="1" applyNumberFormat="1" applyFont="1" applyAlignment="1">
      <alignment horizontal="center" vertical="center"/>
    </xf>
    <xf numFmtId="0" fontId="25" fillId="14" borderId="58" xfId="1" applyFont="1" applyFill="1" applyBorder="1" applyAlignment="1">
      <alignment horizontal="center" vertical="center"/>
    </xf>
    <xf numFmtId="0" fontId="25" fillId="14" borderId="54" xfId="1" applyFont="1" applyFill="1" applyBorder="1" applyAlignment="1">
      <alignment horizontal="center" vertical="center"/>
    </xf>
    <xf numFmtId="0" fontId="25" fillId="14" borderId="57" xfId="1" applyFont="1" applyFill="1" applyBorder="1" applyAlignment="1">
      <alignment horizontal="center" vertical="center"/>
    </xf>
    <xf numFmtId="0" fontId="25" fillId="14" borderId="59" xfId="1" applyFont="1" applyFill="1" applyBorder="1" applyAlignment="1">
      <alignment horizontal="center" vertical="center"/>
    </xf>
    <xf numFmtId="0" fontId="28" fillId="0" borderId="68" xfId="1" applyFont="1" applyAlignment="1">
      <alignment vertical="center"/>
    </xf>
    <xf numFmtId="0" fontId="25" fillId="0" borderId="68" xfId="1" applyFont="1" applyAlignment="1">
      <alignment vertical="center"/>
    </xf>
    <xf numFmtId="166" fontId="21" fillId="0" borderId="21" xfId="1" applyNumberFormat="1" applyFont="1" applyBorder="1"/>
    <xf numFmtId="166" fontId="23" fillId="0" borderId="72" xfId="1" applyNumberFormat="1" applyFont="1" applyBorder="1" applyAlignment="1">
      <alignment horizontal="center" vertical="center"/>
    </xf>
    <xf numFmtId="10" fontId="23" fillId="0" borderId="60" xfId="1" applyNumberFormat="1" applyFont="1" applyBorder="1" applyAlignment="1">
      <alignment horizontal="center" vertical="center"/>
    </xf>
    <xf numFmtId="166" fontId="23" fillId="12" borderId="69" xfId="1" applyNumberFormat="1" applyFont="1" applyFill="1" applyBorder="1" applyAlignment="1">
      <alignment horizontal="center" vertical="center"/>
    </xf>
    <xf numFmtId="166" fontId="23" fillId="0" borderId="12" xfId="1" applyNumberFormat="1" applyFont="1" applyBorder="1" applyAlignment="1">
      <alignment horizontal="center" vertical="center"/>
    </xf>
    <xf numFmtId="166" fontId="23" fillId="5" borderId="61" xfId="1" applyNumberFormat="1" applyFont="1" applyFill="1" applyBorder="1" applyAlignment="1">
      <alignment horizontal="center" vertical="center"/>
    </xf>
    <xf numFmtId="168" fontId="27" fillId="0" borderId="68" xfId="1" applyNumberFormat="1" applyFont="1" applyAlignment="1">
      <alignment horizontal="center" vertical="center"/>
    </xf>
    <xf numFmtId="167" fontId="26" fillId="0" borderId="68" xfId="1" applyNumberFormat="1" applyFont="1" applyAlignment="1">
      <alignment horizontal="center" vertical="center"/>
    </xf>
    <xf numFmtId="171" fontId="21" fillId="0" borderId="68" xfId="1" applyNumberFormat="1" applyFont="1"/>
    <xf numFmtId="0" fontId="23" fillId="0" borderId="47" xfId="1" applyFont="1" applyBorder="1" applyAlignment="1">
      <alignment vertical="center"/>
    </xf>
    <xf numFmtId="166" fontId="23" fillId="12" borderId="7" xfId="1" applyNumberFormat="1" applyFont="1" applyFill="1" applyBorder="1" applyAlignment="1">
      <alignment horizontal="center" vertical="center"/>
    </xf>
    <xf numFmtId="166" fontId="23" fillId="5" borderId="13" xfId="1" applyNumberFormat="1" applyFont="1" applyFill="1" applyBorder="1" applyAlignment="1">
      <alignment horizontal="center" vertical="center"/>
    </xf>
    <xf numFmtId="0" fontId="23" fillId="0" borderId="26" xfId="1" applyFont="1" applyBorder="1" applyAlignment="1">
      <alignment vertical="center"/>
    </xf>
    <xf numFmtId="0" fontId="23" fillId="0" borderId="8" xfId="1" applyFont="1" applyBorder="1" applyAlignment="1">
      <alignment vertical="center"/>
    </xf>
    <xf numFmtId="0" fontId="23" fillId="0" borderId="39" xfId="1" applyFont="1" applyBorder="1" applyAlignment="1">
      <alignment vertical="center"/>
    </xf>
    <xf numFmtId="166" fontId="23" fillId="0" borderId="37" xfId="1" applyNumberFormat="1" applyFont="1" applyBorder="1" applyAlignment="1">
      <alignment horizontal="center" vertical="center"/>
    </xf>
    <xf numFmtId="166" fontId="23" fillId="0" borderId="62" xfId="1" applyNumberFormat="1" applyFont="1" applyBorder="1" applyAlignment="1">
      <alignment horizontal="center" vertical="center"/>
    </xf>
    <xf numFmtId="166" fontId="23" fillId="5" borderId="63" xfId="1" applyNumberFormat="1" applyFont="1" applyFill="1" applyBorder="1" applyAlignment="1">
      <alignment horizontal="center" vertical="center"/>
    </xf>
    <xf numFmtId="166" fontId="23" fillId="0" borderId="28" xfId="1" applyNumberFormat="1" applyFont="1" applyBorder="1" applyAlignment="1">
      <alignment horizontal="center" vertical="center"/>
    </xf>
    <xf numFmtId="10" fontId="23" fillId="0" borderId="28" xfId="1" applyNumberFormat="1" applyFont="1" applyBorder="1" applyAlignment="1">
      <alignment horizontal="center" vertical="center"/>
    </xf>
    <xf numFmtId="166" fontId="23" fillId="12" borderId="64" xfId="1" applyNumberFormat="1" applyFont="1" applyFill="1" applyBorder="1" applyAlignment="1">
      <alignment horizontal="center" vertical="center"/>
    </xf>
    <xf numFmtId="166" fontId="24" fillId="10" borderId="65" xfId="1" applyNumberFormat="1" applyFont="1" applyFill="1" applyBorder="1" applyAlignment="1">
      <alignment horizontal="center" vertical="center"/>
    </xf>
    <xf numFmtId="166" fontId="24" fillId="10" borderId="29" xfId="1" applyNumberFormat="1" applyFont="1" applyFill="1" applyBorder="1" applyAlignment="1">
      <alignment horizontal="center" vertical="center"/>
    </xf>
    <xf numFmtId="0" fontId="21" fillId="0" borderId="55" xfId="1" applyFont="1" applyBorder="1"/>
    <xf numFmtId="3" fontId="29" fillId="0" borderId="68" xfId="1" applyNumberFormat="1" applyFont="1" applyAlignment="1">
      <alignment horizontal="right" vertical="center"/>
    </xf>
    <xf numFmtId="3" fontId="29" fillId="0" borderId="68" xfId="1" applyNumberFormat="1" applyFont="1" applyAlignment="1">
      <alignment horizontal="right"/>
    </xf>
    <xf numFmtId="172" fontId="29" fillId="0" borderId="68" xfId="1" applyNumberFormat="1" applyFont="1" applyAlignment="1">
      <alignment horizontal="center" vertical="center"/>
    </xf>
    <xf numFmtId="0" fontId="7" fillId="0" borderId="68" xfId="1" applyFont="1"/>
    <xf numFmtId="9" fontId="29" fillId="11" borderId="68" xfId="1" applyNumberFormat="1" applyFont="1" applyFill="1" applyAlignment="1">
      <alignment horizontal="center"/>
    </xf>
    <xf numFmtId="0" fontId="29" fillId="11" borderId="68" xfId="1" applyFont="1" applyFill="1" applyAlignment="1">
      <alignment horizontal="center"/>
    </xf>
    <xf numFmtId="164" fontId="7" fillId="0" borderId="68" xfId="1" applyNumberFormat="1" applyFont="1"/>
    <xf numFmtId="9" fontId="21" fillId="11" borderId="68" xfId="1" applyNumberFormat="1" applyFont="1" applyFill="1" applyAlignment="1">
      <alignment horizontal="center"/>
    </xf>
    <xf numFmtId="2" fontId="21" fillId="11" borderId="68" xfId="1" applyNumberFormat="1" applyFont="1" applyFill="1" applyAlignment="1">
      <alignment horizontal="center"/>
    </xf>
    <xf numFmtId="166" fontId="21" fillId="11" borderId="68" xfId="1" applyNumberFormat="1" applyFont="1" applyFill="1" applyAlignment="1">
      <alignment horizontal="center"/>
    </xf>
    <xf numFmtId="168" fontId="21" fillId="0" borderId="68" xfId="1" applyNumberFormat="1" applyFont="1" applyAlignment="1">
      <alignment horizontal="center" vertical="center"/>
    </xf>
    <xf numFmtId="9" fontId="21" fillId="0" borderId="68" xfId="1" applyNumberFormat="1" applyFont="1" applyAlignment="1">
      <alignment horizontal="center"/>
    </xf>
    <xf numFmtId="10" fontId="21" fillId="0" borderId="68" xfId="1" applyNumberFormat="1" applyFont="1" applyAlignment="1">
      <alignment horizontal="center"/>
    </xf>
    <xf numFmtId="166" fontId="21" fillId="0" borderId="68" xfId="1" applyNumberFormat="1" applyFont="1" applyAlignment="1">
      <alignment horizontal="center"/>
    </xf>
    <xf numFmtId="2" fontId="21" fillId="0" borderId="68" xfId="1" applyNumberFormat="1" applyFont="1" applyAlignment="1">
      <alignment horizontal="center"/>
    </xf>
    <xf numFmtId="0" fontId="21" fillId="0" borderId="22" xfId="1" applyFont="1" applyBorder="1"/>
    <xf numFmtId="0" fontId="21" fillId="0" borderId="23" xfId="1" applyFont="1" applyBorder="1"/>
    <xf numFmtId="0" fontId="21" fillId="0" borderId="24" xfId="1" applyFont="1" applyBorder="1"/>
    <xf numFmtId="10" fontId="21" fillId="0" borderId="68" xfId="1" applyNumberFormat="1" applyFont="1"/>
    <xf numFmtId="0" fontId="3" fillId="0" borderId="68" xfId="1" applyFont="1" applyAlignment="1">
      <alignment horizontal="center"/>
    </xf>
    <xf numFmtId="3" fontId="14" fillId="0" borderId="68" xfId="1" applyNumberFormat="1" applyFont="1" applyAlignment="1">
      <alignment horizontal="center"/>
    </xf>
    <xf numFmtId="10" fontId="37" fillId="0" borderId="81" xfId="3" applyNumberFormat="1" applyFont="1" applyFill="1" applyBorder="1" applyAlignment="1">
      <alignment horizontal="center"/>
    </xf>
    <xf numFmtId="10" fontId="58" fillId="11" borderId="68" xfId="0" applyNumberFormat="1" applyFont="1" applyFill="1" applyBorder="1"/>
    <xf numFmtId="0" fontId="58" fillId="11" borderId="68" xfId="0" applyFont="1" applyFill="1" applyBorder="1"/>
    <xf numFmtId="1" fontId="0" fillId="18" borderId="73" xfId="0" applyNumberFormat="1" applyFill="1" applyBorder="1" applyAlignment="1">
      <alignment horizontal="center"/>
    </xf>
    <xf numFmtId="0" fontId="0" fillId="18" borderId="73" xfId="0" applyFill="1" applyBorder="1" applyAlignment="1">
      <alignment horizontal="center"/>
    </xf>
    <xf numFmtId="2" fontId="37" fillId="0" borderId="73" xfId="1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37" fillId="24" borderId="73" xfId="1" applyNumberFormat="1" applyFill="1" applyBorder="1" applyAlignment="1">
      <alignment horizontal="center"/>
    </xf>
    <xf numFmtId="10" fontId="0" fillId="18" borderId="87" xfId="2" applyNumberFormat="1" applyFont="1" applyFill="1" applyBorder="1" applyAlignment="1">
      <alignment horizontal="center"/>
    </xf>
    <xf numFmtId="166" fontId="23" fillId="0" borderId="14" xfId="0" applyNumberFormat="1" applyFont="1" applyBorder="1" applyAlignment="1">
      <alignment horizontal="center" vertical="center"/>
    </xf>
    <xf numFmtId="10" fontId="23" fillId="0" borderId="14" xfId="0" applyNumberFormat="1" applyFont="1" applyBorder="1" applyAlignment="1">
      <alignment horizontal="center" vertical="center"/>
    </xf>
    <xf numFmtId="166" fontId="23" fillId="12" borderId="13" xfId="0" applyNumberFormat="1" applyFont="1" applyFill="1" applyBorder="1" applyAlignment="1">
      <alignment horizontal="center" vertical="center"/>
    </xf>
    <xf numFmtId="166" fontId="23" fillId="0" borderId="16" xfId="0" applyNumberFormat="1" applyFont="1" applyBorder="1" applyAlignment="1">
      <alignment horizontal="center" vertical="center"/>
    </xf>
    <xf numFmtId="10" fontId="23" fillId="0" borderId="16" xfId="0" applyNumberFormat="1" applyFont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/>
    </xf>
    <xf numFmtId="10" fontId="23" fillId="0" borderId="1" xfId="0" applyNumberFormat="1" applyFont="1" applyBorder="1" applyAlignment="1">
      <alignment horizontal="center" vertical="center"/>
    </xf>
    <xf numFmtId="0" fontId="23" fillId="0" borderId="22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41" xfId="0" applyFont="1" applyBorder="1" applyAlignment="1">
      <alignment horizontal="left" vertical="center"/>
    </xf>
    <xf numFmtId="166" fontId="23" fillId="0" borderId="52" xfId="0" applyNumberFormat="1" applyFont="1" applyBorder="1" applyAlignment="1">
      <alignment horizontal="center" vertical="center"/>
    </xf>
    <xf numFmtId="166" fontId="24" fillId="10" borderId="54" xfId="0" applyNumberFormat="1" applyFont="1" applyFill="1" applyBorder="1" applyAlignment="1">
      <alignment horizontal="center" vertical="center" wrapText="1"/>
    </xf>
    <xf numFmtId="10" fontId="24" fillId="10" borderId="54" xfId="0" applyNumberFormat="1" applyFont="1" applyFill="1" applyBorder="1" applyAlignment="1">
      <alignment horizontal="center" vertical="center" wrapText="1"/>
    </xf>
    <xf numFmtId="0" fontId="23" fillId="0" borderId="26" xfId="0" applyFont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166" fontId="24" fillId="10" borderId="54" xfId="0" applyNumberFormat="1" applyFont="1" applyFill="1" applyBorder="1" applyAlignment="1">
      <alignment horizontal="center" vertical="center"/>
    </xf>
    <xf numFmtId="10" fontId="24" fillId="10" borderId="54" xfId="0" applyNumberFormat="1" applyFont="1" applyFill="1" applyBorder="1" applyAlignment="1">
      <alignment horizontal="center" vertical="center"/>
    </xf>
    <xf numFmtId="166" fontId="24" fillId="10" borderId="57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0" borderId="73" xfId="0" applyFont="1" applyBorder="1" applyAlignment="1">
      <alignment horizontal="center"/>
    </xf>
    <xf numFmtId="174" fontId="0" fillId="0" borderId="73" xfId="2" applyFont="1" applyFill="1" applyBorder="1"/>
    <xf numFmtId="0" fontId="37" fillId="0" borderId="73" xfId="0" applyFont="1" applyBorder="1"/>
    <xf numFmtId="3" fontId="14" fillId="0" borderId="73" xfId="0" applyNumberFormat="1" applyFont="1" applyBorder="1" applyAlignment="1">
      <alignment horizontal="center"/>
    </xf>
    <xf numFmtId="3" fontId="49" fillId="0" borderId="73" xfId="0" applyNumberFormat="1" applyFont="1" applyBorder="1" applyAlignment="1">
      <alignment horizontal="center"/>
    </xf>
    <xf numFmtId="3" fontId="1" fillId="0" borderId="70" xfId="1" applyNumberFormat="1" applyFont="1" applyBorder="1" applyAlignment="1">
      <alignment horizontal="center"/>
    </xf>
    <xf numFmtId="3" fontId="1" fillId="0" borderId="26" xfId="1" applyNumberFormat="1" applyFont="1" applyBorder="1" applyAlignment="1">
      <alignment horizontal="center"/>
    </xf>
    <xf numFmtId="0" fontId="56" fillId="16" borderId="14" xfId="0" applyFont="1" applyFill="1" applyBorder="1" applyAlignment="1">
      <alignment horizontal="center" vertical="center" wrapText="1"/>
    </xf>
    <xf numFmtId="1" fontId="1" fillId="0" borderId="73" xfId="1" applyNumberFormat="1" applyFont="1" applyBorder="1"/>
    <xf numFmtId="3" fontId="49" fillId="0" borderId="68" xfId="1" applyNumberFormat="1" applyFont="1" applyAlignment="1">
      <alignment horizontal="left"/>
    </xf>
    <xf numFmtId="3" fontId="51" fillId="0" borderId="68" xfId="1" applyNumberFormat="1" applyFont="1" applyAlignment="1">
      <alignment horizontal="left"/>
    </xf>
    <xf numFmtId="3" fontId="48" fillId="0" borderId="68" xfId="1" applyNumberFormat="1" applyFont="1" applyAlignment="1">
      <alignment horizontal="left"/>
    </xf>
    <xf numFmtId="10" fontId="3" fillId="0" borderId="68" xfId="1" applyNumberFormat="1" applyFont="1" applyAlignment="1">
      <alignment horizontal="left"/>
    </xf>
    <xf numFmtId="3" fontId="61" fillId="0" borderId="68" xfId="1" applyNumberFormat="1" applyFont="1" applyAlignment="1">
      <alignment horizontal="left"/>
    </xf>
    <xf numFmtId="0" fontId="62" fillId="0" borderId="73" xfId="0" applyFont="1" applyBorder="1" applyAlignment="1">
      <alignment horizontal="right"/>
    </xf>
    <xf numFmtId="0" fontId="62" fillId="0" borderId="73" xfId="0" applyFont="1" applyBorder="1"/>
    <xf numFmtId="10" fontId="62" fillId="0" borderId="73" xfId="0" applyNumberFormat="1" applyFont="1" applyBorder="1"/>
    <xf numFmtId="3" fontId="35" fillId="0" borderId="73" xfId="0" applyNumberFormat="1" applyFont="1" applyBorder="1"/>
    <xf numFmtId="0" fontId="63" fillId="0" borderId="73" xfId="1" applyFont="1" applyBorder="1" applyAlignment="1">
      <alignment horizontal="right"/>
    </xf>
    <xf numFmtId="0" fontId="63" fillId="0" borderId="73" xfId="0" applyFont="1" applyBorder="1" applyAlignment="1">
      <alignment horizontal="right"/>
    </xf>
    <xf numFmtId="10" fontId="63" fillId="0" borderId="73" xfId="1" applyNumberFormat="1" applyFont="1" applyBorder="1" applyAlignment="1">
      <alignment horizontal="right"/>
    </xf>
    <xf numFmtId="0" fontId="64" fillId="0" borderId="73" xfId="0" applyFont="1" applyBorder="1"/>
    <xf numFmtId="0" fontId="63" fillId="0" borderId="73" xfId="4" applyFont="1" applyBorder="1" applyAlignment="1">
      <alignment horizontal="right"/>
    </xf>
    <xf numFmtId="3" fontId="65" fillId="0" borderId="73" xfId="0" applyNumberFormat="1" applyFont="1" applyBorder="1" applyAlignment="1">
      <alignment horizontal="right"/>
    </xf>
    <xf numFmtId="10" fontId="63" fillId="0" borderId="73" xfId="0" applyNumberFormat="1" applyFont="1" applyBorder="1" applyAlignment="1">
      <alignment horizontal="right"/>
    </xf>
    <xf numFmtId="0" fontId="62" fillId="0" borderId="73" xfId="0" applyFont="1" applyBorder="1" applyAlignment="1">
      <alignment horizontal="left"/>
    </xf>
    <xf numFmtId="0" fontId="63" fillId="0" borderId="73" xfId="4" applyFont="1" applyBorder="1" applyAlignment="1">
      <alignment horizontal="left"/>
    </xf>
    <xf numFmtId="0" fontId="63" fillId="0" borderId="73" xfId="0" applyFont="1" applyBorder="1" applyAlignment="1">
      <alignment horizontal="center"/>
    </xf>
    <xf numFmtId="1" fontId="65" fillId="0" borderId="73" xfId="0" applyNumberFormat="1" applyFont="1" applyBorder="1" applyAlignment="1">
      <alignment horizontal="left"/>
    </xf>
    <xf numFmtId="1" fontId="63" fillId="0" borderId="73" xfId="0" applyNumberFormat="1" applyFont="1" applyBorder="1" applyAlignment="1">
      <alignment horizontal="left"/>
    </xf>
    <xf numFmtId="0" fontId="63" fillId="0" borderId="73" xfId="4" applyFont="1" applyBorder="1"/>
    <xf numFmtId="3" fontId="66" fillId="0" borderId="73" xfId="4" applyNumberFormat="1" applyFont="1" applyBorder="1" applyAlignment="1">
      <alignment horizontal="center"/>
    </xf>
    <xf numFmtId="1" fontId="63" fillId="0" borderId="73" xfId="0" applyNumberFormat="1" applyFont="1" applyBorder="1"/>
    <xf numFmtId="1" fontId="62" fillId="0" borderId="73" xfId="1" applyNumberFormat="1" applyFont="1" applyBorder="1"/>
    <xf numFmtId="1" fontId="62" fillId="0" borderId="73" xfId="2" applyNumberFormat="1" applyFont="1" applyFill="1" applyBorder="1" applyAlignment="1">
      <alignment horizontal="left"/>
    </xf>
    <xf numFmtId="2" fontId="62" fillId="0" borderId="73" xfId="1" applyNumberFormat="1" applyFont="1" applyBorder="1" applyAlignment="1">
      <alignment horizontal="center"/>
    </xf>
    <xf numFmtId="0" fontId="62" fillId="0" borderId="73" xfId="1" applyFont="1" applyBorder="1"/>
    <xf numFmtId="1" fontId="62" fillId="0" borderId="73" xfId="0" applyNumberFormat="1" applyFont="1" applyBorder="1" applyAlignment="1">
      <alignment horizontal="center"/>
    </xf>
    <xf numFmtId="1" fontId="62" fillId="0" borderId="73" xfId="1" applyNumberFormat="1" applyFont="1" applyBorder="1" applyAlignment="1">
      <alignment horizontal="left"/>
    </xf>
    <xf numFmtId="0" fontId="62" fillId="0" borderId="73" xfId="0" applyFont="1" applyBorder="1" applyAlignment="1">
      <alignment horizontal="center"/>
    </xf>
    <xf numFmtId="1" fontId="67" fillId="0" borderId="73" xfId="1" applyNumberFormat="1" applyFont="1" applyBorder="1" applyAlignment="1">
      <alignment horizontal="left"/>
    </xf>
    <xf numFmtId="0" fontId="68" fillId="0" borderId="73" xfId="4" applyFont="1" applyBorder="1"/>
    <xf numFmtId="10" fontId="63" fillId="0" borderId="73" xfId="0" applyNumberFormat="1" applyFont="1" applyBorder="1"/>
    <xf numFmtId="2" fontId="63" fillId="0" borderId="73" xfId="4" applyNumberFormat="1" applyFont="1" applyBorder="1" applyAlignment="1">
      <alignment horizontal="right"/>
    </xf>
    <xf numFmtId="0" fontId="62" fillId="0" borderId="81" xfId="0" applyFont="1" applyBorder="1"/>
    <xf numFmtId="0" fontId="68" fillId="0" borderId="68" xfId="4" applyFont="1"/>
    <xf numFmtId="10" fontId="63" fillId="0" borderId="68" xfId="0" applyNumberFormat="1" applyFont="1" applyBorder="1"/>
    <xf numFmtId="2" fontId="63" fillId="0" borderId="68" xfId="4" applyNumberFormat="1" applyFont="1" applyAlignment="1">
      <alignment horizontal="right"/>
    </xf>
    <xf numFmtId="0" fontId="62" fillId="0" borderId="68" xfId="0" applyFont="1" applyBorder="1"/>
    <xf numFmtId="0" fontId="63" fillId="0" borderId="81" xfId="4" applyFont="1" applyBorder="1"/>
    <xf numFmtId="3" fontId="66" fillId="0" borderId="81" xfId="4" applyNumberFormat="1" applyFont="1" applyBorder="1" applyAlignment="1">
      <alignment horizontal="center"/>
    </xf>
    <xf numFmtId="1" fontId="63" fillId="0" borderId="81" xfId="0" applyNumberFormat="1" applyFont="1" applyBorder="1"/>
    <xf numFmtId="0" fontId="69" fillId="0" borderId="0" xfId="0" applyFont="1"/>
    <xf numFmtId="10" fontId="21" fillId="0" borderId="18" xfId="1" applyNumberFormat="1" applyFont="1" applyBorder="1" applyAlignment="1">
      <alignment horizontal="center" vertical="center"/>
    </xf>
    <xf numFmtId="0" fontId="7" fillId="0" borderId="45" xfId="1" applyFont="1" applyBorder="1"/>
    <xf numFmtId="0" fontId="7" fillId="0" borderId="46" xfId="1" applyFont="1" applyBorder="1"/>
    <xf numFmtId="0" fontId="7" fillId="0" borderId="22" xfId="1" applyFont="1" applyBorder="1"/>
    <xf numFmtId="0" fontId="7" fillId="0" borderId="23" xfId="1" applyFont="1" applyBorder="1"/>
    <xf numFmtId="0" fontId="7" fillId="0" borderId="24" xfId="1" applyFont="1" applyBorder="1"/>
    <xf numFmtId="10" fontId="7" fillId="0" borderId="45" xfId="1" applyNumberFormat="1" applyFont="1" applyBorder="1"/>
    <xf numFmtId="10" fontId="7" fillId="0" borderId="46" xfId="1" applyNumberFormat="1" applyFont="1" applyBorder="1"/>
    <xf numFmtId="10" fontId="7" fillId="0" borderId="22" xfId="1" applyNumberFormat="1" applyFont="1" applyBorder="1"/>
    <xf numFmtId="10" fontId="7" fillId="0" borderId="23" xfId="1" applyNumberFormat="1" applyFont="1" applyBorder="1"/>
    <xf numFmtId="10" fontId="7" fillId="0" borderId="24" xfId="1" applyNumberFormat="1" applyFont="1" applyBorder="1"/>
    <xf numFmtId="0" fontId="23" fillId="0" borderId="47" xfId="1" applyFont="1" applyBorder="1" applyAlignment="1">
      <alignment vertical="center"/>
    </xf>
    <xf numFmtId="0" fontId="7" fillId="0" borderId="26" xfId="1" applyFont="1" applyBorder="1"/>
    <xf numFmtId="0" fontId="7" fillId="0" borderId="8" xfId="1" applyFont="1" applyBorder="1"/>
    <xf numFmtId="0" fontId="23" fillId="0" borderId="47" xfId="1" applyFont="1" applyBorder="1" applyAlignment="1">
      <alignment horizontal="left" vertical="center"/>
    </xf>
    <xf numFmtId="0" fontId="23" fillId="0" borderId="49" xfId="1" applyFont="1" applyBorder="1" applyAlignment="1">
      <alignment vertical="center"/>
    </xf>
    <xf numFmtId="0" fontId="7" fillId="0" borderId="50" xfId="1" applyFont="1" applyBorder="1"/>
    <xf numFmtId="0" fontId="7" fillId="0" borderId="51" xfId="1" applyFont="1" applyBorder="1"/>
    <xf numFmtId="0" fontId="24" fillId="10" borderId="58" xfId="1" applyFont="1" applyFill="1" applyBorder="1" applyAlignment="1">
      <alignment horizontal="left" vertical="center"/>
    </xf>
    <xf numFmtId="0" fontId="7" fillId="0" borderId="55" xfId="1" applyFont="1" applyBorder="1"/>
    <xf numFmtId="0" fontId="7" fillId="0" borderId="53" xfId="1" applyFont="1" applyBorder="1"/>
    <xf numFmtId="0" fontId="30" fillId="14" borderId="58" xfId="1" applyFont="1" applyFill="1" applyBorder="1" applyAlignment="1">
      <alignment horizontal="center" vertical="center"/>
    </xf>
    <xf numFmtId="0" fontId="7" fillId="0" borderId="56" xfId="1" applyFont="1" applyBorder="1"/>
    <xf numFmtId="0" fontId="31" fillId="14" borderId="58" xfId="1" applyFont="1" applyFill="1" applyBorder="1" applyAlignment="1">
      <alignment horizontal="center"/>
    </xf>
    <xf numFmtId="0" fontId="30" fillId="11" borderId="68" xfId="1" applyFont="1" applyFill="1" applyAlignment="1">
      <alignment horizontal="center"/>
    </xf>
    <xf numFmtId="0" fontId="7" fillId="0" borderId="68" xfId="1" applyFont="1"/>
    <xf numFmtId="0" fontId="23" fillId="0" borderId="43" xfId="1" applyFont="1" applyBorder="1" applyAlignment="1">
      <alignment vertical="center"/>
    </xf>
    <xf numFmtId="0" fontId="7" fillId="0" borderId="70" xfId="1" applyFont="1" applyBorder="1"/>
    <xf numFmtId="0" fontId="7" fillId="0" borderId="71" xfId="1" applyFont="1" applyBorder="1"/>
    <xf numFmtId="0" fontId="23" fillId="0" borderId="47" xfId="0" applyFont="1" applyBorder="1" applyAlignment="1">
      <alignment horizontal="left" vertical="center"/>
    </xf>
    <xf numFmtId="0" fontId="7" fillId="0" borderId="26" xfId="0" applyFont="1" applyBorder="1"/>
    <xf numFmtId="0" fontId="7" fillId="0" borderId="8" xfId="0" applyFont="1" applyBorder="1"/>
    <xf numFmtId="0" fontId="23" fillId="0" borderId="68" xfId="1" applyFont="1" applyAlignment="1">
      <alignment horizontal="left" vertical="center"/>
    </xf>
    <xf numFmtId="0" fontId="37" fillId="0" borderId="68" xfId="1"/>
    <xf numFmtId="0" fontId="24" fillId="0" borderId="68" xfId="1" applyFont="1" applyAlignment="1">
      <alignment horizontal="left" vertical="center" wrapText="1"/>
    </xf>
    <xf numFmtId="0" fontId="25" fillId="14" borderId="58" xfId="1" applyFont="1" applyFill="1" applyBorder="1" applyAlignment="1">
      <alignment horizontal="center" vertical="center"/>
    </xf>
    <xf numFmtId="0" fontId="25" fillId="14" borderId="55" xfId="0" applyFont="1" applyFill="1" applyBorder="1" applyAlignment="1">
      <alignment horizontal="center" vertical="center"/>
    </xf>
    <xf numFmtId="0" fontId="7" fillId="0" borderId="55" xfId="0" applyFont="1" applyBorder="1"/>
    <xf numFmtId="0" fontId="7" fillId="0" borderId="56" xfId="0" applyFont="1" applyBorder="1"/>
    <xf numFmtId="0" fontId="24" fillId="10" borderId="55" xfId="0" applyFont="1" applyFill="1" applyBorder="1" applyAlignment="1">
      <alignment horizontal="left" vertical="center" wrapText="1"/>
    </xf>
    <xf numFmtId="0" fontId="7" fillId="0" borderId="53" xfId="0" applyFont="1" applyBorder="1"/>
    <xf numFmtId="0" fontId="25" fillId="14" borderId="9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1" xfId="0" applyFont="1" applyBorder="1"/>
    <xf numFmtId="0" fontId="24" fillId="10" borderId="58" xfId="0" applyFont="1" applyFill="1" applyBorder="1" applyAlignment="1">
      <alignment horizontal="left" vertical="center" wrapText="1"/>
    </xf>
    <xf numFmtId="0" fontId="25" fillId="14" borderId="45" xfId="0" applyFont="1" applyFill="1" applyBorder="1" applyAlignment="1">
      <alignment horizontal="center" vertical="center"/>
    </xf>
    <xf numFmtId="0" fontId="7" fillId="0" borderId="45" xfId="0" applyFont="1" applyBorder="1"/>
    <xf numFmtId="0" fontId="7" fillId="0" borderId="46" xfId="0" applyFont="1" applyBorder="1"/>
    <xf numFmtId="0" fontId="23" fillId="0" borderId="9" xfId="0" applyFont="1" applyBorder="1" applyAlignment="1">
      <alignment horizontal="left" vertical="center"/>
    </xf>
    <xf numFmtId="0" fontId="7" fillId="0" borderId="48" xfId="0" applyFont="1" applyBorder="1"/>
    <xf numFmtId="0" fontId="23" fillId="0" borderId="49" xfId="0" applyFont="1" applyBorder="1" applyAlignment="1">
      <alignment horizontal="left" vertical="center"/>
    </xf>
    <xf numFmtId="0" fontId="7" fillId="0" borderId="50" xfId="0" applyFont="1" applyBorder="1"/>
    <xf numFmtId="0" fontId="7" fillId="0" borderId="51" xfId="0" applyFont="1" applyBorder="1"/>
    <xf numFmtId="0" fontId="23" fillId="0" borderId="18" xfId="1" applyFont="1" applyBorder="1" applyAlignment="1">
      <alignment horizontal="center" vertical="center"/>
    </xf>
    <xf numFmtId="0" fontId="7" fillId="0" borderId="32" xfId="1" applyFont="1" applyBorder="1"/>
    <xf numFmtId="0" fontId="7" fillId="0" borderId="43" xfId="1" applyFont="1" applyBorder="1"/>
    <xf numFmtId="0" fontId="23" fillId="0" borderId="45" xfId="1" applyFont="1" applyBorder="1" applyAlignment="1">
      <alignment horizontal="center" vertical="center"/>
    </xf>
    <xf numFmtId="0" fontId="7" fillId="0" borderId="41" xfId="1" applyFont="1" applyBorder="1"/>
    <xf numFmtId="0" fontId="2" fillId="13" borderId="18" xfId="1" applyFont="1" applyFill="1" applyBorder="1" applyAlignment="1">
      <alignment horizontal="center"/>
    </xf>
    <xf numFmtId="0" fontId="7" fillId="0" borderId="31" xfId="1" applyFont="1" applyBorder="1"/>
    <xf numFmtId="0" fontId="7" fillId="0" borderId="34" xfId="1" applyFont="1" applyBorder="1"/>
    <xf numFmtId="49" fontId="22" fillId="13" borderId="33" xfId="1" applyNumberFormat="1" applyFont="1" applyFill="1" applyBorder="1" applyAlignment="1">
      <alignment horizontal="center" vertical="center" wrapText="1"/>
    </xf>
    <xf numFmtId="49" fontId="22" fillId="13" borderId="45" xfId="1" applyNumberFormat="1" applyFont="1" applyFill="1" applyBorder="1" applyAlignment="1">
      <alignment horizontal="center" vertical="center" wrapText="1"/>
    </xf>
    <xf numFmtId="0" fontId="7" fillId="0" borderId="69" xfId="1" applyFont="1" applyBorder="1"/>
    <xf numFmtId="0" fontId="7" fillId="0" borderId="36" xfId="1" applyFont="1" applyBorder="1"/>
    <xf numFmtId="49" fontId="22" fillId="13" borderId="37" xfId="1" applyNumberFormat="1" applyFont="1" applyFill="1" applyBorder="1" applyAlignment="1">
      <alignment horizontal="center" vertical="center" wrapText="1"/>
    </xf>
    <xf numFmtId="49" fontId="22" fillId="13" borderId="38" xfId="1" applyNumberFormat="1" applyFont="1" applyFill="1" applyBorder="1" applyAlignment="1">
      <alignment horizontal="center" vertical="center" wrapText="1"/>
    </xf>
    <xf numFmtId="0" fontId="7" fillId="0" borderId="38" xfId="1" applyFont="1" applyBorder="1"/>
    <xf numFmtId="0" fontId="7" fillId="0" borderId="39" xfId="1" applyFont="1" applyBorder="1"/>
    <xf numFmtId="0" fontId="7" fillId="0" borderId="42" xfId="1" applyFont="1" applyBorder="1"/>
    <xf numFmtId="165" fontId="22" fillId="13" borderId="37" xfId="1" applyNumberFormat="1" applyFont="1" applyFill="1" applyBorder="1" applyAlignment="1">
      <alignment horizontal="center" vertical="center" wrapText="1"/>
    </xf>
    <xf numFmtId="0" fontId="7" fillId="0" borderId="40" xfId="1" applyFont="1" applyBorder="1"/>
    <xf numFmtId="0" fontId="6" fillId="7" borderId="7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9" fillId="11" borderId="7" xfId="0" applyFont="1" applyFill="1" applyBorder="1" applyAlignment="1">
      <alignment horizontal="left"/>
    </xf>
    <xf numFmtId="0" fontId="9" fillId="5" borderId="7" xfId="0" applyFont="1" applyFill="1" applyBorder="1" applyAlignment="1">
      <alignment horizontal="left"/>
    </xf>
    <xf numFmtId="0" fontId="8" fillId="6" borderId="7" xfId="0" applyFont="1" applyFill="1" applyBorder="1" applyAlignment="1">
      <alignment horizontal="center" vertical="center"/>
    </xf>
    <xf numFmtId="0" fontId="7" fillId="0" borderId="25" xfId="0" applyFont="1" applyBorder="1"/>
    <xf numFmtId="0" fontId="8" fillId="6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3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62" fillId="0" borderId="73" xfId="1" applyFont="1" applyBorder="1" applyAlignment="1">
      <alignment horizontal="left"/>
    </xf>
    <xf numFmtId="0" fontId="6" fillId="11" borderId="66" xfId="0" applyFont="1" applyFill="1" applyBorder="1" applyAlignment="1">
      <alignment horizontal="center"/>
    </xf>
    <xf numFmtId="0" fontId="7" fillId="0" borderId="67" xfId="0" applyFont="1" applyBorder="1"/>
    <xf numFmtId="0" fontId="8" fillId="11" borderId="66" xfId="0" applyFont="1" applyFill="1" applyBorder="1" applyAlignment="1">
      <alignment horizontal="center"/>
    </xf>
    <xf numFmtId="0" fontId="7" fillId="0" borderId="68" xfId="0" applyFont="1" applyBorder="1"/>
    <xf numFmtId="0" fontId="9" fillId="0" borderId="0" xfId="0" applyFont="1" applyAlignment="1">
      <alignment horizontal="center" wrapText="1"/>
    </xf>
    <xf numFmtId="0" fontId="0" fillId="0" borderId="0" xfId="0"/>
    <xf numFmtId="0" fontId="32" fillId="11" borderId="66" xfId="0" applyFont="1" applyFill="1" applyBorder="1" applyAlignment="1">
      <alignment horizontal="center"/>
    </xf>
    <xf numFmtId="0" fontId="20" fillId="15" borderId="69" xfId="0" applyFont="1" applyFill="1" applyBorder="1" applyAlignment="1">
      <alignment horizontal="center"/>
    </xf>
    <xf numFmtId="0" fontId="7" fillId="0" borderId="70" xfId="0" applyFont="1" applyBorder="1"/>
    <xf numFmtId="0" fontId="7" fillId="0" borderId="71" xfId="0" applyFont="1" applyBorder="1"/>
    <xf numFmtId="0" fontId="8" fillId="5" borderId="7" xfId="0" applyFont="1" applyFill="1" applyBorder="1" applyAlignment="1">
      <alignment horizontal="center" wrapText="1"/>
    </xf>
    <xf numFmtId="0" fontId="38" fillId="22" borderId="75" xfId="1" applyFont="1" applyFill="1" applyBorder="1" applyAlignment="1">
      <alignment horizontal="left"/>
    </xf>
    <xf numFmtId="0" fontId="38" fillId="22" borderId="77" xfId="1" applyFont="1" applyFill="1" applyBorder="1" applyAlignment="1">
      <alignment horizontal="left"/>
    </xf>
    <xf numFmtId="0" fontId="1" fillId="0" borderId="68" xfId="1" applyFont="1" applyAlignment="1">
      <alignment horizontal="center"/>
    </xf>
    <xf numFmtId="0" fontId="38" fillId="22" borderId="75" xfId="1" applyFont="1" applyFill="1" applyBorder="1" applyAlignment="1">
      <alignment horizontal="center"/>
    </xf>
    <xf numFmtId="0" fontId="38" fillId="22" borderId="76" xfId="1" applyFont="1" applyFill="1" applyBorder="1" applyAlignment="1">
      <alignment horizontal="center"/>
    </xf>
    <xf numFmtId="0" fontId="38" fillId="22" borderId="77" xfId="1" applyFont="1" applyFill="1" applyBorder="1" applyAlignment="1">
      <alignment horizontal="center"/>
    </xf>
    <xf numFmtId="0" fontId="1" fillId="0" borderId="7" xfId="1" applyFont="1" applyBorder="1" applyAlignment="1">
      <alignment horizontal="left"/>
    </xf>
    <xf numFmtId="0" fontId="37" fillId="0" borderId="75" xfId="1" applyBorder="1" applyAlignment="1">
      <alignment horizontal="center"/>
    </xf>
    <xf numFmtId="0" fontId="37" fillId="0" borderId="77" xfId="1" applyBorder="1" applyAlignment="1">
      <alignment horizontal="center"/>
    </xf>
    <xf numFmtId="0" fontId="38" fillId="0" borderId="75" xfId="1" applyFont="1" applyBorder="1" applyAlignment="1">
      <alignment horizontal="center"/>
    </xf>
    <xf numFmtId="0" fontId="38" fillId="0" borderId="77" xfId="1" applyFont="1" applyBorder="1" applyAlignment="1">
      <alignment horizontal="center"/>
    </xf>
    <xf numFmtId="0" fontId="6" fillId="0" borderId="70" xfId="1" applyFont="1" applyBorder="1" applyAlignment="1">
      <alignment horizontal="center"/>
    </xf>
    <xf numFmtId="0" fontId="55" fillId="0" borderId="70" xfId="1" applyFont="1" applyBorder="1"/>
    <xf numFmtId="0" fontId="55" fillId="0" borderId="68" xfId="1" applyFont="1"/>
    <xf numFmtId="0" fontId="56" fillId="16" borderId="7" xfId="1" applyFont="1" applyFill="1" applyBorder="1" applyAlignment="1">
      <alignment horizontal="center" vertical="center" wrapText="1"/>
    </xf>
    <xf numFmtId="0" fontId="57" fillId="0" borderId="8" xfId="1" applyFont="1" applyBorder="1"/>
    <xf numFmtId="0" fontId="38" fillId="0" borderId="68" xfId="1" applyFont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73" xfId="0" applyFont="1" applyBorder="1" applyAlignment="1">
      <alignment horizontal="center"/>
    </xf>
    <xf numFmtId="0" fontId="38" fillId="0" borderId="76" xfId="1" applyFont="1" applyBorder="1" applyAlignment="1">
      <alignment horizontal="center"/>
    </xf>
    <xf numFmtId="0" fontId="39" fillId="0" borderId="68" xfId="1" applyFont="1" applyAlignment="1">
      <alignment horizontal="center"/>
    </xf>
    <xf numFmtId="0" fontId="37" fillId="0" borderId="75" xfId="1" applyBorder="1" applyAlignment="1">
      <alignment horizontal="left"/>
    </xf>
    <xf numFmtId="0" fontId="37" fillId="0" borderId="76" xfId="1" applyBorder="1" applyAlignment="1">
      <alignment horizontal="left"/>
    </xf>
    <xf numFmtId="0" fontId="37" fillId="0" borderId="77" xfId="1" applyBorder="1" applyAlignment="1">
      <alignment horizontal="left"/>
    </xf>
    <xf numFmtId="0" fontId="37" fillId="17" borderId="75" xfId="1" applyFill="1" applyBorder="1" applyAlignment="1">
      <alignment horizontal="left"/>
    </xf>
    <xf numFmtId="0" fontId="37" fillId="17" borderId="76" xfId="1" applyFill="1" applyBorder="1" applyAlignment="1">
      <alignment horizontal="left"/>
    </xf>
    <xf numFmtId="0" fontId="37" fillId="17" borderId="77" xfId="1" applyFill="1" applyBorder="1" applyAlignment="1">
      <alignment horizontal="left"/>
    </xf>
    <xf numFmtId="0" fontId="38" fillId="0" borderId="82" xfId="1" applyFont="1" applyBorder="1" applyAlignment="1">
      <alignment horizontal="center"/>
    </xf>
    <xf numFmtId="0" fontId="38" fillId="0" borderId="83" xfId="1" applyFont="1" applyBorder="1" applyAlignment="1">
      <alignment horizontal="center"/>
    </xf>
  </cellXfs>
  <cellStyles count="6">
    <cellStyle name="Comma [0] 2" xfId="2" xr:uid="{6664C865-785A-454E-94F0-070F105AEA6F}"/>
    <cellStyle name="Normal" xfId="0" builtinId="0"/>
    <cellStyle name="Normal 2" xfId="1" xr:uid="{95CB7956-251D-E74F-AB15-BC3AC02C52DF}"/>
    <cellStyle name="Normal 2 3" xfId="4" xr:uid="{558ED75A-DDF3-B94A-B72B-BD429E4F9C66}"/>
    <cellStyle name="Percent 2" xfId="3" xr:uid="{8A321130-4F89-FB46-BC2B-0ADE3EDE2DCA}"/>
    <cellStyle name="Percent 2 2" xfId="5" xr:uid="{6DE36F09-6ED6-7742-8A5C-97C74EEEFF32}"/>
  </cellStyles>
  <dxfs count="10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b/>
        <color rgb="FFC55A11"/>
      </font>
      <fill>
        <patternFill patternType="none"/>
      </fill>
    </dxf>
    <dxf>
      <font>
        <b/>
        <color rgb="FFC55A11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C55A11"/>
      </font>
      <fill>
        <patternFill patternType="none"/>
      </fill>
    </dxf>
  </dxfs>
  <tableStyles count="1" defaultTableStyle="TableStyleMedium2" defaultPivotStyle="PivotStyleLight16">
    <tableStyle name="Invisible" pivot="0" table="0" count="0" xr9:uid="{CCD421D3-A503-40AC-9E9A-9C3C1F14F1B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customschemas.google.com/relationships/workbookmetadata" Target="metadata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152400</xdr:colOff>
      <xdr:row>1</xdr:row>
      <xdr:rowOff>161925</xdr:rowOff>
    </xdr:from>
    <xdr:ext cx="1381125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47925B9-DB63-C549-9CC3-5BA42498F9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2600" y="352425"/>
          <a:ext cx="13811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</xdr:row>
      <xdr:rowOff>161925</xdr:rowOff>
    </xdr:from>
    <xdr:ext cx="1381125" cy="476250"/>
    <xdr:pic>
      <xdr:nvPicPr>
        <xdr:cNvPr id="3" name="image3.png">
          <a:extLst>
            <a:ext uri="{FF2B5EF4-FFF2-40B4-BE49-F238E27FC236}">
              <a16:creationId xmlns:a16="http://schemas.microsoft.com/office/drawing/2014/main" id="{2472BE1D-8575-BA40-AB63-F07A3C63DE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2600" y="352425"/>
          <a:ext cx="1381125" cy="4762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638175</xdr:colOff>
      <xdr:row>2</xdr:row>
      <xdr:rowOff>0</xdr:rowOff>
    </xdr:from>
    <xdr:ext cx="561975" cy="571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069775" y="3499013"/>
          <a:ext cx="552450" cy="561975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495300</xdr:colOff>
      <xdr:row>14</xdr:row>
      <xdr:rowOff>9525</xdr:rowOff>
    </xdr:from>
    <xdr:ext cx="1495425" cy="5429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603050" y="3513300"/>
          <a:ext cx="1485900" cy="533400"/>
        </a:xfrm>
        <a:prstGeom prst="rect">
          <a:avLst/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CHANCADO</a:t>
          </a:r>
          <a:endParaRPr sz="1400"/>
        </a:p>
      </xdr:txBody>
    </xdr:sp>
    <xdr:clientData fLocksWithSheet="0"/>
  </xdr:oneCellAnchor>
  <xdr:oneCellAnchor>
    <xdr:from>
      <xdr:col>6</xdr:col>
      <xdr:colOff>523875</xdr:colOff>
      <xdr:row>9</xdr:row>
      <xdr:rowOff>47625</xdr:rowOff>
    </xdr:from>
    <xdr:ext cx="38100" cy="952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362575" y="1812925"/>
          <a:ext cx="38100" cy="952500"/>
          <a:chOff x="5326950" y="3303750"/>
          <a:chExt cx="38100" cy="952500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pSpPr/>
        </xdr:nvGrpSpPr>
        <xdr:grpSpPr>
          <a:xfrm>
            <a:off x="5326950" y="3303750"/>
            <a:ext cx="38100" cy="952500"/>
            <a:chOff x="5341238" y="3303750"/>
            <a:chExt cx="9525" cy="952500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5341238" y="3303750"/>
              <a:ext cx="9525" cy="952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CxnSpPr/>
          </xdr:nvCxnSpPr>
          <xdr:spPr>
            <a:xfrm>
              <a:off x="5341238" y="3303750"/>
              <a:ext cx="9525" cy="952500"/>
            </a:xfrm>
            <a:prstGeom prst="straightConnector1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6</xdr:col>
      <xdr:colOff>390525</xdr:colOff>
      <xdr:row>8</xdr:row>
      <xdr:rowOff>47625</xdr:rowOff>
    </xdr:from>
    <xdr:ext cx="238125" cy="2286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ellipse">
          <a:avLst/>
        </a:prstGeom>
        <a:solidFill>
          <a:srgbClr val="1F3864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</xdr:colOff>
      <xdr:row>4</xdr:row>
      <xdr:rowOff>9525</xdr:rowOff>
    </xdr:from>
    <xdr:ext cx="762000" cy="2857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969763" y="3641888"/>
          <a:ext cx="7524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ACOPIO MINA</a:t>
          </a:r>
          <a:endParaRPr sz="1400"/>
        </a:p>
      </xdr:txBody>
    </xdr:sp>
    <xdr:clientData fLocksWithSheet="0"/>
  </xdr:oneCellAnchor>
  <xdr:oneCellAnchor>
    <xdr:from>
      <xdr:col>6</xdr:col>
      <xdr:colOff>542925</xdr:colOff>
      <xdr:row>2</xdr:row>
      <xdr:rowOff>123825</xdr:rowOff>
    </xdr:from>
    <xdr:ext cx="1676400" cy="3905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512563" y="3589500"/>
          <a:ext cx="1666875" cy="381000"/>
        </a:xfrm>
        <a:prstGeom prst="flowChartManualOperation">
          <a:avLst/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657225</xdr:colOff>
      <xdr:row>3</xdr:row>
      <xdr:rowOff>0</xdr:rowOff>
    </xdr:from>
    <xdr:ext cx="1447800" cy="2381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626863" y="3665700"/>
          <a:ext cx="14382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MINA</a:t>
          </a:r>
          <a:endParaRPr sz="1400"/>
        </a:p>
      </xdr:txBody>
    </xdr:sp>
    <xdr:clientData fLocksWithSheet="0"/>
  </xdr:oneCellAnchor>
  <xdr:oneCellAnchor>
    <xdr:from>
      <xdr:col>1</xdr:col>
      <xdr:colOff>266700</xdr:colOff>
      <xdr:row>4</xdr:row>
      <xdr:rowOff>114300</xdr:rowOff>
    </xdr:from>
    <xdr:ext cx="1143000" cy="2381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79263" y="3665700"/>
          <a:ext cx="11334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Venta a Terceros</a:t>
          </a:r>
          <a:endParaRPr sz="1400"/>
        </a:p>
      </xdr:txBody>
    </xdr:sp>
    <xdr:clientData fLocksWithSheet="0"/>
  </xdr:oneCellAnchor>
  <xdr:oneCellAnchor>
    <xdr:from>
      <xdr:col>9</xdr:col>
      <xdr:colOff>342900</xdr:colOff>
      <xdr:row>14</xdr:row>
      <xdr:rowOff>38100</xdr:rowOff>
    </xdr:from>
    <xdr:ext cx="828675" cy="6953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936425" y="3437100"/>
          <a:ext cx="819150" cy="685800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381000</xdr:colOff>
      <xdr:row>16</xdr:row>
      <xdr:rowOff>0</xdr:rowOff>
    </xdr:from>
    <xdr:ext cx="819150" cy="2667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941188" y="3651413"/>
          <a:ext cx="8096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STOCK GRUESO</a:t>
          </a:r>
          <a:endParaRPr sz="1400"/>
        </a:p>
      </xdr:txBody>
    </xdr:sp>
    <xdr:clientData fLocksWithSheet="0"/>
  </xdr:oneCellAnchor>
  <xdr:oneCellAnchor>
    <xdr:from>
      <xdr:col>6</xdr:col>
      <xdr:colOff>171450</xdr:colOff>
      <xdr:row>22</xdr:row>
      <xdr:rowOff>9525</xdr:rowOff>
    </xdr:from>
    <xdr:ext cx="714375" cy="6572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4993575" y="3456150"/>
          <a:ext cx="704850" cy="647700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38100</xdr:colOff>
      <xdr:row>23</xdr:row>
      <xdr:rowOff>114300</xdr:rowOff>
    </xdr:from>
    <xdr:ext cx="981075" cy="4095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4860225" y="3579975"/>
          <a:ext cx="97155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STOCK  PRE CONCENTRADO</a:t>
          </a:r>
          <a:endParaRPr sz="1400"/>
        </a:p>
      </xdr:txBody>
    </xdr:sp>
    <xdr:clientData fLocksWithSheet="0"/>
  </xdr:oneCellAnchor>
  <xdr:oneCellAnchor>
    <xdr:from>
      <xdr:col>9</xdr:col>
      <xdr:colOff>104775</xdr:colOff>
      <xdr:row>22</xdr:row>
      <xdr:rowOff>19050</xdr:rowOff>
    </xdr:from>
    <xdr:ext cx="1285875" cy="5429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4707825" y="3513300"/>
          <a:ext cx="1276350" cy="533400"/>
        </a:xfrm>
        <a:prstGeom prst="rect">
          <a:avLst/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CONCENTRACIÓN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MAGNÉTICA</a:t>
          </a:r>
          <a:endParaRPr sz="1400"/>
        </a:p>
      </xdr:txBody>
    </xdr:sp>
    <xdr:clientData fLocksWithSheet="0"/>
  </xdr:oneCellAnchor>
  <xdr:oneCellAnchor>
    <xdr:from>
      <xdr:col>12</xdr:col>
      <xdr:colOff>285750</xdr:colOff>
      <xdr:row>22</xdr:row>
      <xdr:rowOff>152400</xdr:rowOff>
    </xdr:from>
    <xdr:ext cx="238125" cy="228600"/>
    <xdr:sp macro="" textlink="">
      <xdr:nvSpPr>
        <xdr:cNvPr id="18" name="Shape 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ellipse">
          <a:avLst/>
        </a:prstGeom>
        <a:solidFill>
          <a:srgbClr val="1F3864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371475</xdr:colOff>
      <xdr:row>15</xdr:row>
      <xdr:rowOff>76200</xdr:rowOff>
    </xdr:from>
    <xdr:ext cx="790575" cy="695325"/>
    <xdr:sp macro="" textlink="">
      <xdr:nvSpPr>
        <xdr:cNvPr id="19" name="Shap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4955475" y="3437100"/>
          <a:ext cx="781050" cy="685800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314325</xdr:colOff>
      <xdr:row>17</xdr:row>
      <xdr:rowOff>38100</xdr:rowOff>
    </xdr:from>
    <xdr:ext cx="923925" cy="333375"/>
    <xdr:sp macro="" textlink="">
      <xdr:nvSpPr>
        <xdr:cNvPr id="20" name="Shap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4888800" y="3618075"/>
          <a:ext cx="91440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STOCK RECHAZO</a:t>
          </a:r>
          <a:endParaRPr sz="1400"/>
        </a:p>
      </xdr:txBody>
    </xdr:sp>
    <xdr:clientData fLocksWithSheet="0"/>
  </xdr:oneCellAnchor>
  <xdr:oneCellAnchor>
    <xdr:from>
      <xdr:col>14</xdr:col>
      <xdr:colOff>238125</xdr:colOff>
      <xdr:row>26</xdr:row>
      <xdr:rowOff>171450</xdr:rowOff>
    </xdr:from>
    <xdr:ext cx="1419225" cy="552450"/>
    <xdr:sp macro="" textlink="">
      <xdr:nvSpPr>
        <xdr:cNvPr id="21" name="Shap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641150" y="3508538"/>
          <a:ext cx="1409700" cy="542925"/>
        </a:xfrm>
        <a:prstGeom prst="rect">
          <a:avLst/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PLANTA RECHAZOS</a:t>
          </a:r>
          <a:endParaRPr sz="1400"/>
        </a:p>
      </xdr:txBody>
    </xdr:sp>
    <xdr:clientData fLocksWithSheet="0"/>
  </xdr:oneCellAnchor>
  <xdr:oneCellAnchor>
    <xdr:from>
      <xdr:col>14</xdr:col>
      <xdr:colOff>495300</xdr:colOff>
      <xdr:row>35</xdr:row>
      <xdr:rowOff>19050</xdr:rowOff>
    </xdr:from>
    <xdr:ext cx="962025" cy="695325"/>
    <xdr:sp macro="" textlink="">
      <xdr:nvSpPr>
        <xdr:cNvPr id="22" name="Shap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869750" y="3437100"/>
          <a:ext cx="952500" cy="685800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152400</xdr:colOff>
      <xdr:row>36</xdr:row>
      <xdr:rowOff>152400</xdr:rowOff>
    </xdr:from>
    <xdr:ext cx="857250" cy="361950"/>
    <xdr:sp macro="" textlink="">
      <xdr:nvSpPr>
        <xdr:cNvPr id="23" name="Shap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922138" y="3603788"/>
          <a:ext cx="84772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STOCK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 40</a:t>
          </a:r>
          <a:endParaRPr sz="1400"/>
        </a:p>
      </xdr:txBody>
    </xdr:sp>
    <xdr:clientData fLocksWithSheet="0"/>
  </xdr:oneCellAnchor>
  <xdr:oneCellAnchor>
    <xdr:from>
      <xdr:col>1</xdr:col>
      <xdr:colOff>333375</xdr:colOff>
      <xdr:row>25</xdr:row>
      <xdr:rowOff>114300</xdr:rowOff>
    </xdr:from>
    <xdr:ext cx="1104900" cy="238125"/>
    <xdr:sp macro="" textlink="">
      <xdr:nvSpPr>
        <xdr:cNvPr id="24" name="Shap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4798313" y="3665700"/>
          <a:ext cx="10953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Venta a Terceros</a:t>
          </a:r>
          <a:endParaRPr sz="1400"/>
        </a:p>
      </xdr:txBody>
    </xdr:sp>
    <xdr:clientData fLocksWithSheet="0"/>
  </xdr:oneCellAnchor>
  <xdr:oneCellAnchor>
    <xdr:from>
      <xdr:col>15</xdr:col>
      <xdr:colOff>676275</xdr:colOff>
      <xdr:row>26</xdr:row>
      <xdr:rowOff>123825</xdr:rowOff>
    </xdr:from>
    <xdr:ext cx="1181100" cy="238125"/>
    <xdr:sp macro="" textlink="">
      <xdr:nvSpPr>
        <xdr:cNvPr id="25" name="Shap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4760213" y="3665700"/>
          <a:ext cx="11715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RECHAZO FINAL</a:t>
          </a:r>
          <a:endParaRPr sz="1400"/>
        </a:p>
      </xdr:txBody>
    </xdr:sp>
    <xdr:clientData fLocksWithSheet="0"/>
  </xdr:oneCellAnchor>
  <xdr:oneCellAnchor>
    <xdr:from>
      <xdr:col>4</xdr:col>
      <xdr:colOff>457200</xdr:colOff>
      <xdr:row>5</xdr:row>
      <xdr:rowOff>0</xdr:rowOff>
    </xdr:from>
    <xdr:ext cx="1724025" cy="809625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pSpPr/>
      </xdr:nvGrpSpPr>
      <xdr:grpSpPr>
        <a:xfrm>
          <a:off x="3263900" y="952500"/>
          <a:ext cx="1724025" cy="809625"/>
          <a:chOff x="3498830" y="3375188"/>
          <a:chExt cx="3694339" cy="809625"/>
        </a:xfrm>
      </xdr:grpSpPr>
      <xdr:grpSp>
        <xdr:nvGrpSpPr>
          <xdr:cNvPr id="27" name="Shape 25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GrpSpPr/>
        </xdr:nvGrpSpPr>
        <xdr:grpSpPr>
          <a:xfrm>
            <a:off x="3498830" y="3375188"/>
            <a:ext cx="3694339" cy="809625"/>
            <a:chOff x="4488750" y="2922750"/>
            <a:chExt cx="1714500" cy="1714500"/>
          </a:xfrm>
        </xdr:grpSpPr>
        <xdr:sp macro="" textlink="">
          <xdr:nvSpPr>
            <xdr:cNvPr id="28" name="Shape 6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SpPr/>
          </xdr:nvSpPr>
          <xdr:spPr>
            <a:xfrm>
              <a:off x="4945950" y="2922750"/>
              <a:ext cx="800100" cy="1714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9" name="Shape 26">
              <a:extLst>
                <a:ext uri="{FF2B5EF4-FFF2-40B4-BE49-F238E27FC236}">
                  <a16:creationId xmlns:a16="http://schemas.microsoft.com/office/drawing/2014/main" id="{00000000-0008-0000-0200-00001D000000}"/>
                </a:ext>
              </a:extLst>
            </xdr:cNvPr>
            <xdr:cNvCxnSpPr/>
          </xdr:nvCxnSpPr>
          <xdr:spPr>
            <a:xfrm rot="-5400000" flipH="1">
              <a:off x="4945950" y="2922750"/>
              <a:ext cx="800100" cy="1714500"/>
            </a:xfrm>
            <a:prstGeom prst="bentConnector2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6</xdr:col>
      <xdr:colOff>619125</xdr:colOff>
      <xdr:row>4</xdr:row>
      <xdr:rowOff>95250</xdr:rowOff>
    </xdr:from>
    <xdr:ext cx="762000" cy="866775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pSpPr/>
      </xdr:nvGrpSpPr>
      <xdr:grpSpPr>
        <a:xfrm>
          <a:off x="5457825" y="857250"/>
          <a:ext cx="762000" cy="866775"/>
          <a:chOff x="4965000" y="3286132"/>
          <a:chExt cx="762000" cy="987736"/>
        </a:xfrm>
      </xdr:grpSpPr>
      <xdr:grpSp>
        <xdr:nvGrpSpPr>
          <xdr:cNvPr id="31" name="Shape 27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GrpSpPr/>
        </xdr:nvGrpSpPr>
        <xdr:grpSpPr>
          <a:xfrm>
            <a:off x="4965000" y="3286132"/>
            <a:ext cx="762000" cy="987736"/>
            <a:chOff x="4917338" y="3351375"/>
            <a:chExt cx="857400" cy="857400"/>
          </a:xfrm>
        </xdr:grpSpPr>
        <xdr:sp macro="" textlink="">
          <xdr:nvSpPr>
            <xdr:cNvPr id="32" name="Shape 6">
              <a:extLst>
                <a:ext uri="{FF2B5EF4-FFF2-40B4-BE49-F238E27FC236}">
                  <a16:creationId xmlns:a16="http://schemas.microsoft.com/office/drawing/2014/main" id="{00000000-0008-0000-0200-000020000000}"/>
                </a:ext>
              </a:extLst>
            </xdr:cNvPr>
            <xdr:cNvSpPr/>
          </xdr:nvSpPr>
          <xdr:spPr>
            <a:xfrm>
              <a:off x="4917338" y="3403875"/>
              <a:ext cx="857400" cy="752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3" name="Shape 28">
              <a:extLst>
                <a:ext uri="{FF2B5EF4-FFF2-40B4-BE49-F238E27FC236}">
                  <a16:creationId xmlns:a16="http://schemas.microsoft.com/office/drawing/2014/main" id="{00000000-0008-0000-0200-000021000000}"/>
                </a:ext>
              </a:extLst>
            </xdr:cNvPr>
            <xdr:cNvCxnSpPr>
              <a:stCxn id="29" idx="2"/>
              <a:endCxn id="8" idx="6"/>
            </xdr:cNvCxnSpPr>
          </xdr:nvCxnSpPr>
          <xdr:spPr>
            <a:xfrm rot="5400000">
              <a:off x="4917338" y="3403875"/>
              <a:ext cx="857400" cy="752400"/>
            </a:xfrm>
            <a:prstGeom prst="bentConnector2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4</xdr:col>
      <xdr:colOff>180975</xdr:colOff>
      <xdr:row>4</xdr:row>
      <xdr:rowOff>142875</xdr:rowOff>
    </xdr:from>
    <xdr:ext cx="1971675" cy="3800475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pSpPr/>
      </xdr:nvGrpSpPr>
      <xdr:grpSpPr>
        <a:xfrm>
          <a:off x="2987675" y="904875"/>
          <a:ext cx="1971675" cy="3800475"/>
          <a:chOff x="4360163" y="99235"/>
          <a:chExt cx="1971675" cy="7361532"/>
        </a:xfrm>
      </xdr:grpSpPr>
      <xdr:grpSp>
        <xdr:nvGrpSpPr>
          <xdr:cNvPr id="35" name="Shape 3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GrpSpPr/>
        </xdr:nvGrpSpPr>
        <xdr:grpSpPr>
          <a:xfrm>
            <a:off x="4360163" y="99235"/>
            <a:ext cx="1971675" cy="7361532"/>
            <a:chOff x="3445875" y="1879838"/>
            <a:chExt cx="3800400" cy="3800400"/>
          </a:xfrm>
        </xdr:grpSpPr>
        <xdr:sp macro="" textlink="">
          <xdr:nvSpPr>
            <xdr:cNvPr id="36" name="Shape 6">
              <a:extLst>
                <a:ext uri="{FF2B5EF4-FFF2-40B4-BE49-F238E27FC236}">
                  <a16:creationId xmlns:a16="http://schemas.microsoft.com/office/drawing/2014/main" id="{00000000-0008-0000-0200-000024000000}"/>
                </a:ext>
              </a:extLst>
            </xdr:cNvPr>
            <xdr:cNvSpPr/>
          </xdr:nvSpPr>
          <xdr:spPr>
            <a:xfrm>
              <a:off x="3445875" y="2799038"/>
              <a:ext cx="3800400" cy="1962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7" name="Shape 31">
              <a:extLst>
                <a:ext uri="{FF2B5EF4-FFF2-40B4-BE49-F238E27FC236}">
                  <a16:creationId xmlns:a16="http://schemas.microsoft.com/office/drawing/2014/main" id="{00000000-0008-0000-0200-000025000000}"/>
                </a:ext>
              </a:extLst>
            </xdr:cNvPr>
            <xdr:cNvCxnSpPr>
              <a:stCxn id="32" idx="1"/>
              <a:endCxn id="33" idx="3"/>
            </xdr:cNvCxnSpPr>
          </xdr:nvCxnSpPr>
          <xdr:spPr>
            <a:xfrm rot="5400000" flipH="1">
              <a:off x="3445875" y="2799038"/>
              <a:ext cx="3800400" cy="1962000"/>
            </a:xfrm>
            <a:prstGeom prst="bentConnector2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7</xdr:col>
      <xdr:colOff>381000</xdr:colOff>
      <xdr:row>14</xdr:row>
      <xdr:rowOff>47625</xdr:rowOff>
    </xdr:from>
    <xdr:ext cx="2190750" cy="247650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GrpSpPr/>
      </xdr:nvGrpSpPr>
      <xdr:grpSpPr>
        <a:xfrm>
          <a:off x="6223000" y="2828925"/>
          <a:ext cx="2190750" cy="247650"/>
          <a:chOff x="4250625" y="3656175"/>
          <a:chExt cx="2190750" cy="247650"/>
        </a:xfrm>
      </xdr:grpSpPr>
      <xdr:grpSp>
        <xdr:nvGrpSpPr>
          <xdr:cNvPr id="39" name="Shape 3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GrpSpPr/>
        </xdr:nvGrpSpPr>
        <xdr:grpSpPr>
          <a:xfrm>
            <a:off x="4250625" y="3656175"/>
            <a:ext cx="2190750" cy="247650"/>
            <a:chOff x="4255388" y="3660863"/>
            <a:chExt cx="2181300" cy="238200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200-000028000000}"/>
                </a:ext>
              </a:extLst>
            </xdr:cNvPr>
            <xdr:cNvSpPr/>
          </xdr:nvSpPr>
          <xdr:spPr>
            <a:xfrm>
              <a:off x="4255388" y="3660863"/>
              <a:ext cx="2181300" cy="238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1" name="Shape 35">
              <a:extLst>
                <a:ext uri="{FF2B5EF4-FFF2-40B4-BE49-F238E27FC236}">
                  <a16:creationId xmlns:a16="http://schemas.microsoft.com/office/drawing/2014/main" id="{00000000-0008-0000-0200-000029000000}"/>
                </a:ext>
              </a:extLst>
            </xdr:cNvPr>
            <xdr:cNvCxnSpPr>
              <a:stCxn id="28" idx="3"/>
              <a:endCxn id="36" idx="0"/>
            </xdr:cNvCxnSpPr>
          </xdr:nvCxnSpPr>
          <xdr:spPr>
            <a:xfrm rot="10800000" flipH="1">
              <a:off x="4255388" y="3660863"/>
              <a:ext cx="2181300" cy="238200"/>
            </a:xfrm>
            <a:prstGeom prst="bentConnector4">
              <a:avLst>
                <a:gd name="adj1" fmla="val -49075"/>
                <a:gd name="adj2" fmla="val -133006"/>
              </a:avLst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6</xdr:col>
      <xdr:colOff>733425</xdr:colOff>
      <xdr:row>23</xdr:row>
      <xdr:rowOff>95250</xdr:rowOff>
    </xdr:from>
    <xdr:ext cx="2162175" cy="47625"/>
    <xdr:grpSp>
      <xdr:nvGrpSpPr>
        <xdr:cNvPr id="42" name="Shape 2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GrpSpPr/>
      </xdr:nvGrpSpPr>
      <xdr:grpSpPr>
        <a:xfrm>
          <a:off x="5572125" y="4667250"/>
          <a:ext cx="2162175" cy="47625"/>
          <a:chOff x="4264913" y="3756188"/>
          <a:chExt cx="2162175" cy="47625"/>
        </a:xfrm>
      </xdr:grpSpPr>
      <xdr:grpSp>
        <xdr:nvGrpSpPr>
          <xdr:cNvPr id="43" name="Shape 37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GrpSpPr/>
        </xdr:nvGrpSpPr>
        <xdr:grpSpPr>
          <a:xfrm>
            <a:off x="4264913" y="3756188"/>
            <a:ext cx="2162175" cy="47625"/>
            <a:chOff x="4269825" y="3760950"/>
            <a:chExt cx="2152500" cy="38100"/>
          </a:xfrm>
        </xdr:grpSpPr>
        <xdr:sp macro="" textlink="">
          <xdr:nvSpPr>
            <xdr:cNvPr id="44" name="Shape 6">
              <a:extLst>
                <a:ext uri="{FF2B5EF4-FFF2-40B4-BE49-F238E27FC236}">
                  <a16:creationId xmlns:a16="http://schemas.microsoft.com/office/drawing/2014/main" id="{00000000-0008-0000-0200-00002C000000}"/>
                </a:ext>
              </a:extLst>
            </xdr:cNvPr>
            <xdr:cNvSpPr/>
          </xdr:nvSpPr>
          <xdr:spPr>
            <a:xfrm>
              <a:off x="4269825" y="3760950"/>
              <a:ext cx="21525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" name="Shape 38">
              <a:extLst>
                <a:ext uri="{FF2B5EF4-FFF2-40B4-BE49-F238E27FC236}">
                  <a16:creationId xmlns:a16="http://schemas.microsoft.com/office/drawing/2014/main" id="{00000000-0008-0000-0200-00002D000000}"/>
                </a:ext>
              </a:extLst>
            </xdr:cNvPr>
            <xdr:cNvCxnSpPr>
              <a:stCxn id="39" idx="1"/>
              <a:endCxn id="32" idx="5"/>
            </xdr:cNvCxnSpPr>
          </xdr:nvCxnSpPr>
          <xdr:spPr>
            <a:xfrm flipH="1">
              <a:off x="4269825" y="3760950"/>
              <a:ext cx="2152500" cy="38100"/>
            </a:xfrm>
            <a:prstGeom prst="straightConnector1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10</xdr:col>
      <xdr:colOff>495300</xdr:colOff>
      <xdr:row>23</xdr:row>
      <xdr:rowOff>66675</xdr:rowOff>
    </xdr:from>
    <xdr:ext cx="1228725" cy="38100"/>
    <xdr:grpSp>
      <xdr:nvGrpSpPr>
        <xdr:cNvPr id="46" name="Shape 2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GrpSpPr/>
      </xdr:nvGrpSpPr>
      <xdr:grpSpPr>
        <a:xfrm>
          <a:off x="9525000" y="4638675"/>
          <a:ext cx="1228725" cy="38100"/>
          <a:chOff x="4731638" y="3760950"/>
          <a:chExt cx="1228725" cy="38100"/>
        </a:xfrm>
      </xdr:grpSpPr>
      <xdr:grpSp>
        <xdr:nvGrpSpPr>
          <xdr:cNvPr id="47" name="Shape 40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GrpSpPr/>
        </xdr:nvGrpSpPr>
        <xdr:grpSpPr>
          <a:xfrm>
            <a:off x="4731638" y="3760950"/>
            <a:ext cx="1228725" cy="38100"/>
            <a:chOff x="4731638" y="3775163"/>
            <a:chExt cx="1228800" cy="9600"/>
          </a:xfrm>
        </xdr:grpSpPr>
        <xdr:sp macro="" textlink="">
          <xdr:nvSpPr>
            <xdr:cNvPr id="48" name="Shape 6">
              <a:extLst>
                <a:ext uri="{FF2B5EF4-FFF2-40B4-BE49-F238E27FC236}">
                  <a16:creationId xmlns:a16="http://schemas.microsoft.com/office/drawing/2014/main" id="{00000000-0008-0000-0200-000030000000}"/>
                </a:ext>
              </a:extLst>
            </xdr:cNvPr>
            <xdr:cNvSpPr/>
          </xdr:nvSpPr>
          <xdr:spPr>
            <a:xfrm>
              <a:off x="4731638" y="3775163"/>
              <a:ext cx="1228800" cy="9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9" name="Shape 41">
              <a:extLst>
                <a:ext uri="{FF2B5EF4-FFF2-40B4-BE49-F238E27FC236}">
                  <a16:creationId xmlns:a16="http://schemas.microsoft.com/office/drawing/2014/main" id="{00000000-0008-0000-0200-000031000000}"/>
                </a:ext>
              </a:extLst>
            </xdr:cNvPr>
            <xdr:cNvCxnSpPr>
              <a:stCxn id="39" idx="3"/>
              <a:endCxn id="42" idx="2"/>
            </xdr:cNvCxnSpPr>
          </xdr:nvCxnSpPr>
          <xdr:spPr>
            <a:xfrm rot="10800000" flipH="1">
              <a:off x="4731638" y="3775163"/>
              <a:ext cx="1228800" cy="9600"/>
            </a:xfrm>
            <a:prstGeom prst="straightConnector1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12</xdr:col>
      <xdr:colOff>400050</xdr:colOff>
      <xdr:row>17</xdr:row>
      <xdr:rowOff>28575</xdr:rowOff>
    </xdr:from>
    <xdr:ext cx="876300" cy="11334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GrpSpPr/>
      </xdr:nvGrpSpPr>
      <xdr:grpSpPr>
        <a:xfrm>
          <a:off x="11055350" y="3419475"/>
          <a:ext cx="876300" cy="1133475"/>
          <a:chOff x="4907850" y="3044948"/>
          <a:chExt cx="876300" cy="1470104"/>
        </a:xfrm>
      </xdr:grpSpPr>
      <xdr:grpSp>
        <xdr:nvGrpSpPr>
          <xdr:cNvPr id="51" name="Shape 43">
            <a:extLst>
              <a:ext uri="{FF2B5EF4-FFF2-40B4-BE49-F238E27FC236}">
                <a16:creationId xmlns:a16="http://schemas.microsoft.com/office/drawing/2014/main" id="{00000000-0008-0000-0200-000033000000}"/>
              </a:ext>
            </a:extLst>
          </xdr:cNvPr>
          <xdr:cNvGrpSpPr/>
        </xdr:nvGrpSpPr>
        <xdr:grpSpPr>
          <a:xfrm>
            <a:off x="4907850" y="3044948"/>
            <a:ext cx="876300" cy="1470104"/>
            <a:chOff x="4783913" y="3217875"/>
            <a:chExt cx="1124100" cy="1124100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200-000034000000}"/>
                </a:ext>
              </a:extLst>
            </xdr:cNvPr>
            <xdr:cNvSpPr/>
          </xdr:nvSpPr>
          <xdr:spPr>
            <a:xfrm>
              <a:off x="4783913" y="3346575"/>
              <a:ext cx="1124100" cy="8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3" name="Shape 44">
              <a:extLst>
                <a:ext uri="{FF2B5EF4-FFF2-40B4-BE49-F238E27FC236}">
                  <a16:creationId xmlns:a16="http://schemas.microsoft.com/office/drawing/2014/main" id="{00000000-0008-0000-0200-000035000000}"/>
                </a:ext>
              </a:extLst>
            </xdr:cNvPr>
            <xdr:cNvCxnSpPr>
              <a:stCxn id="42" idx="0"/>
              <a:endCxn id="45" idx="1"/>
            </xdr:cNvCxnSpPr>
          </xdr:nvCxnSpPr>
          <xdr:spPr>
            <a:xfrm rot="-5400000">
              <a:off x="4783913" y="3346575"/>
              <a:ext cx="1124100" cy="866700"/>
            </a:xfrm>
            <a:prstGeom prst="bentConnector2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12</xdr:col>
      <xdr:colOff>400050</xdr:colOff>
      <xdr:row>24</xdr:row>
      <xdr:rowOff>0</xdr:rowOff>
    </xdr:from>
    <xdr:ext cx="1438275" cy="857250"/>
    <xdr:grpSp>
      <xdr:nvGrpSpPr>
        <xdr:cNvPr id="54" name="Shape 2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/>
      </xdr:nvGrpSpPr>
      <xdr:grpSpPr>
        <a:xfrm>
          <a:off x="11055350" y="4762500"/>
          <a:ext cx="1438275" cy="857250"/>
          <a:chOff x="4626863" y="3351375"/>
          <a:chExt cx="1438275" cy="857250"/>
        </a:xfrm>
      </xdr:grpSpPr>
      <xdr:grpSp>
        <xdr:nvGrpSpPr>
          <xdr:cNvPr id="55" name="Shape 46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GrpSpPr/>
        </xdr:nvGrpSpPr>
        <xdr:grpSpPr>
          <a:xfrm>
            <a:off x="4626863" y="3351375"/>
            <a:ext cx="1438275" cy="857250"/>
            <a:chOff x="4631625" y="3356138"/>
            <a:chExt cx="1428600" cy="847800"/>
          </a:xfrm>
        </xdr:grpSpPr>
        <xdr:sp macro="" textlink="">
          <xdr:nvSpPr>
            <xdr:cNvPr id="56" name="Shape 6">
              <a:extLst>
                <a:ext uri="{FF2B5EF4-FFF2-40B4-BE49-F238E27FC236}">
                  <a16:creationId xmlns:a16="http://schemas.microsoft.com/office/drawing/2014/main" id="{00000000-0008-0000-0200-000038000000}"/>
                </a:ext>
              </a:extLst>
            </xdr:cNvPr>
            <xdr:cNvSpPr/>
          </xdr:nvSpPr>
          <xdr:spPr>
            <a:xfrm>
              <a:off x="4631625" y="3356138"/>
              <a:ext cx="1428600" cy="847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7" name="Shape 4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CxnSpPr>
              <a:stCxn id="42" idx="4"/>
              <a:endCxn id="48" idx="1"/>
            </xdr:cNvCxnSpPr>
          </xdr:nvCxnSpPr>
          <xdr:spPr>
            <a:xfrm>
              <a:off x="4631625" y="3356138"/>
              <a:ext cx="1428600" cy="847800"/>
            </a:xfrm>
            <a:prstGeom prst="bentConnector2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14</xdr:col>
      <xdr:colOff>123825</xdr:colOff>
      <xdr:row>17</xdr:row>
      <xdr:rowOff>28575</xdr:rowOff>
    </xdr:from>
    <xdr:ext cx="971550" cy="1952625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GrpSpPr/>
      </xdr:nvGrpSpPr>
      <xdr:grpSpPr>
        <a:xfrm>
          <a:off x="12582525" y="3419475"/>
          <a:ext cx="971550" cy="1952625"/>
          <a:chOff x="4860225" y="1808197"/>
          <a:chExt cx="971550" cy="3943609"/>
        </a:xfrm>
      </xdr:grpSpPr>
      <xdr:grpSp>
        <xdr:nvGrpSpPr>
          <xdr:cNvPr id="59" name="Shape 4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4860225" y="1808197"/>
            <a:ext cx="971550" cy="3943609"/>
            <a:chOff x="4374488" y="2808450"/>
            <a:chExt cx="1943100" cy="1943100"/>
          </a:xfrm>
        </xdr:grpSpPr>
        <xdr:sp macro="" textlink="">
          <xdr:nvSpPr>
            <xdr:cNvPr id="60" name="Shape 6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SpPr/>
          </xdr:nvSpPr>
          <xdr:spPr>
            <a:xfrm>
              <a:off x="4374488" y="3298950"/>
              <a:ext cx="1943100" cy="962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1" name="Shape 50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>
              <a:stCxn id="45" idx="5"/>
              <a:endCxn id="48" idx="0"/>
            </xdr:cNvCxnSpPr>
          </xdr:nvCxnSpPr>
          <xdr:spPr>
            <a:xfrm rot="-5400000" flipH="1">
              <a:off x="4374488" y="3298950"/>
              <a:ext cx="1943100" cy="962100"/>
            </a:xfrm>
            <a:prstGeom prst="bentConnector2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14</xdr:col>
      <xdr:colOff>676275</xdr:colOff>
      <xdr:row>29</xdr:row>
      <xdr:rowOff>114300</xdr:rowOff>
    </xdr:from>
    <xdr:ext cx="419100" cy="1447800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GrpSpPr/>
      </xdr:nvGrpSpPr>
      <xdr:grpSpPr>
        <a:xfrm>
          <a:off x="13134975" y="5829300"/>
          <a:ext cx="419100" cy="1447800"/>
          <a:chOff x="5136450" y="1237600"/>
          <a:chExt cx="419100" cy="5084801"/>
        </a:xfrm>
      </xdr:grpSpPr>
      <xdr:grpSp>
        <xdr:nvGrpSpPr>
          <xdr:cNvPr id="63" name="Shape 51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GrpSpPr/>
        </xdr:nvGrpSpPr>
        <xdr:grpSpPr>
          <a:xfrm>
            <a:off x="5136450" y="1237600"/>
            <a:ext cx="419100" cy="5084801"/>
            <a:chOff x="4626938" y="3060863"/>
            <a:chExt cx="1438200" cy="1438200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200-000040000000}"/>
                </a:ext>
              </a:extLst>
            </xdr:cNvPr>
            <xdr:cNvSpPr/>
          </xdr:nvSpPr>
          <xdr:spPr>
            <a:xfrm>
              <a:off x="4626938" y="3575213"/>
              <a:ext cx="1438200" cy="409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" name="Shape 52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CxnSpPr>
              <a:stCxn id="48" idx="2"/>
              <a:endCxn id="53" idx="1"/>
            </xdr:cNvCxnSpPr>
          </xdr:nvCxnSpPr>
          <xdr:spPr>
            <a:xfrm rot="5400000">
              <a:off x="4626938" y="3575213"/>
              <a:ext cx="1438200" cy="409500"/>
            </a:xfrm>
            <a:prstGeom prst="bentConnector4">
              <a:avLst>
                <a:gd name="adj1" fmla="val -12571"/>
                <a:gd name="adj2" fmla="val 7692262"/>
              </a:avLst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15</xdr:col>
      <xdr:colOff>666750</xdr:colOff>
      <xdr:row>35</xdr:row>
      <xdr:rowOff>85725</xdr:rowOff>
    </xdr:from>
    <xdr:ext cx="1181100" cy="238125"/>
    <xdr:sp macro="" textlink="">
      <xdr:nvSpPr>
        <xdr:cNvPr id="66" name="Shape 54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4760213" y="3665700"/>
          <a:ext cx="11715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VENTA</a:t>
          </a:r>
          <a:endParaRPr sz="1400"/>
        </a:p>
      </xdr:txBody>
    </xdr:sp>
    <xdr:clientData fLocksWithSheet="0"/>
  </xdr:oneCellAnchor>
  <xdr:oneCellAnchor>
    <xdr:from>
      <xdr:col>2</xdr:col>
      <xdr:colOff>733425</xdr:colOff>
      <xdr:row>25</xdr:row>
      <xdr:rowOff>57150</xdr:rowOff>
    </xdr:from>
    <xdr:ext cx="2667000" cy="47625"/>
    <xdr:grpSp>
      <xdr:nvGrpSpPr>
        <xdr:cNvPr id="67" name="Shape 2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GrpSpPr/>
      </xdr:nvGrpSpPr>
      <xdr:grpSpPr>
        <a:xfrm>
          <a:off x="1914525" y="5010150"/>
          <a:ext cx="2667000" cy="47625"/>
          <a:chOff x="4012500" y="3756188"/>
          <a:chExt cx="2667000" cy="47625"/>
        </a:xfrm>
      </xdr:grpSpPr>
      <xdr:grpSp>
        <xdr:nvGrpSpPr>
          <xdr:cNvPr id="68" name="Shape 55">
            <a:extLst>
              <a:ext uri="{FF2B5EF4-FFF2-40B4-BE49-F238E27FC236}">
                <a16:creationId xmlns:a16="http://schemas.microsoft.com/office/drawing/2014/main" id="{00000000-0008-0000-0200-000044000000}"/>
              </a:ext>
            </a:extLst>
          </xdr:cNvPr>
          <xdr:cNvGrpSpPr/>
        </xdr:nvGrpSpPr>
        <xdr:grpSpPr>
          <a:xfrm>
            <a:off x="4012500" y="3756188"/>
            <a:ext cx="2667000" cy="47625"/>
            <a:chOff x="4017338" y="3760950"/>
            <a:chExt cx="2657400" cy="38100"/>
          </a:xfrm>
        </xdr:grpSpPr>
        <xdr:sp macro="" textlink="">
          <xdr:nvSpPr>
            <xdr:cNvPr id="69" name="Shape 6">
              <a:extLst>
                <a:ext uri="{FF2B5EF4-FFF2-40B4-BE49-F238E27FC236}">
                  <a16:creationId xmlns:a16="http://schemas.microsoft.com/office/drawing/2014/main" id="{00000000-0008-0000-0200-000045000000}"/>
                </a:ext>
              </a:extLst>
            </xdr:cNvPr>
            <xdr:cNvSpPr/>
          </xdr:nvSpPr>
          <xdr:spPr>
            <a:xfrm>
              <a:off x="4017338" y="3760950"/>
              <a:ext cx="26574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" name="Shape 56">
              <a:extLst>
                <a:ext uri="{FF2B5EF4-FFF2-40B4-BE49-F238E27FC236}">
                  <a16:creationId xmlns:a16="http://schemas.microsoft.com/office/drawing/2014/main" id="{00000000-0008-0000-0200-000046000000}"/>
                </a:ext>
              </a:extLst>
            </xdr:cNvPr>
            <xdr:cNvCxnSpPr>
              <a:stCxn id="32" idx="2"/>
            </xdr:cNvCxnSpPr>
          </xdr:nvCxnSpPr>
          <xdr:spPr>
            <a:xfrm flipH="1">
              <a:off x="4017338" y="3760950"/>
              <a:ext cx="2657400" cy="38100"/>
            </a:xfrm>
            <a:prstGeom prst="bentConnector2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</xdr:col>
      <xdr:colOff>657225</xdr:colOff>
      <xdr:row>3</xdr:row>
      <xdr:rowOff>66675</xdr:rowOff>
    </xdr:from>
    <xdr:ext cx="1543050" cy="638175"/>
    <xdr:grpSp>
      <xdr:nvGrpSpPr>
        <xdr:cNvPr id="71" name="Shape 2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GrpSpPr/>
      </xdr:nvGrpSpPr>
      <xdr:grpSpPr>
        <a:xfrm>
          <a:off x="1025525" y="638175"/>
          <a:ext cx="1543050" cy="638175"/>
          <a:chOff x="4574475" y="3460913"/>
          <a:chExt cx="1543050" cy="638175"/>
        </a:xfrm>
      </xdr:grpSpPr>
      <xdr:grpSp>
        <xdr:nvGrpSpPr>
          <xdr:cNvPr id="72" name="Shape 57">
            <a:extLst>
              <a:ext uri="{FF2B5EF4-FFF2-40B4-BE49-F238E27FC236}">
                <a16:creationId xmlns:a16="http://schemas.microsoft.com/office/drawing/2014/main" id="{00000000-0008-0000-0200-000048000000}"/>
              </a:ext>
            </a:extLst>
          </xdr:cNvPr>
          <xdr:cNvGrpSpPr/>
        </xdr:nvGrpSpPr>
        <xdr:grpSpPr>
          <a:xfrm>
            <a:off x="4574475" y="3460913"/>
            <a:ext cx="1543050" cy="638175"/>
            <a:chOff x="4579163" y="3465675"/>
            <a:chExt cx="1533600" cy="628500"/>
          </a:xfrm>
        </xdr:grpSpPr>
        <xdr:sp macro="" textlink="">
          <xdr:nvSpPr>
            <xdr:cNvPr id="73" name="Shape 6">
              <a:extLst>
                <a:ext uri="{FF2B5EF4-FFF2-40B4-BE49-F238E27FC236}">
                  <a16:creationId xmlns:a16="http://schemas.microsoft.com/office/drawing/2014/main" id="{00000000-0008-0000-0200-000049000000}"/>
                </a:ext>
              </a:extLst>
            </xdr:cNvPr>
            <xdr:cNvSpPr/>
          </xdr:nvSpPr>
          <xdr:spPr>
            <a:xfrm>
              <a:off x="4579163" y="3465675"/>
              <a:ext cx="1533600" cy="628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58">
              <a:extLst>
                <a:ext uri="{FF2B5EF4-FFF2-40B4-BE49-F238E27FC236}">
                  <a16:creationId xmlns:a16="http://schemas.microsoft.com/office/drawing/2014/main" id="{00000000-0008-0000-0200-00004A000000}"/>
                </a:ext>
              </a:extLst>
            </xdr:cNvPr>
            <xdr:cNvCxnSpPr>
              <a:stCxn id="33" idx="1"/>
            </xdr:cNvCxnSpPr>
          </xdr:nvCxnSpPr>
          <xdr:spPr>
            <a:xfrm flipH="1">
              <a:off x="4579163" y="3465675"/>
              <a:ext cx="1533600" cy="628500"/>
            </a:xfrm>
            <a:prstGeom prst="bentConnector3">
              <a:avLst>
                <a:gd name="adj1" fmla="val -179993"/>
              </a:avLst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6</xdr:col>
      <xdr:colOff>333375</xdr:colOff>
      <xdr:row>25</xdr:row>
      <xdr:rowOff>76200</xdr:rowOff>
    </xdr:from>
    <xdr:ext cx="38100" cy="1857375"/>
    <xdr:grpSp>
      <xdr:nvGrpSpPr>
        <xdr:cNvPr id="75" name="Shape 2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GrpSpPr/>
      </xdr:nvGrpSpPr>
      <xdr:grpSpPr>
        <a:xfrm>
          <a:off x="5172075" y="5029200"/>
          <a:ext cx="38100" cy="1857375"/>
          <a:chOff x="5326950" y="2851313"/>
          <a:chExt cx="38100" cy="1857375"/>
        </a:xfrm>
      </xdr:grpSpPr>
      <xdr:grpSp>
        <xdr:nvGrpSpPr>
          <xdr:cNvPr id="76" name="Shape 59">
            <a:extLst>
              <a:ext uri="{FF2B5EF4-FFF2-40B4-BE49-F238E27FC236}">
                <a16:creationId xmlns:a16="http://schemas.microsoft.com/office/drawing/2014/main" id="{00000000-0008-0000-0200-00004C000000}"/>
              </a:ext>
            </a:extLst>
          </xdr:cNvPr>
          <xdr:cNvGrpSpPr/>
        </xdr:nvGrpSpPr>
        <xdr:grpSpPr>
          <a:xfrm>
            <a:off x="5326950" y="2851313"/>
            <a:ext cx="38100" cy="1857375"/>
            <a:chOff x="5341238" y="2851313"/>
            <a:chExt cx="9525" cy="1857375"/>
          </a:xfrm>
        </xdr:grpSpPr>
        <xdr:sp macro="" textlink="">
          <xdr:nvSpPr>
            <xdr:cNvPr id="77" name="Shape 6">
              <a:extLst>
                <a:ext uri="{FF2B5EF4-FFF2-40B4-BE49-F238E27FC236}">
                  <a16:creationId xmlns:a16="http://schemas.microsoft.com/office/drawing/2014/main" id="{00000000-0008-0000-0200-00004D000000}"/>
                </a:ext>
              </a:extLst>
            </xdr:cNvPr>
            <xdr:cNvSpPr/>
          </xdr:nvSpPr>
          <xdr:spPr>
            <a:xfrm>
              <a:off x="5341238" y="2851313"/>
              <a:ext cx="9525" cy="1857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" name="Shape 60">
              <a:extLst>
                <a:ext uri="{FF2B5EF4-FFF2-40B4-BE49-F238E27FC236}">
                  <a16:creationId xmlns:a16="http://schemas.microsoft.com/office/drawing/2014/main" id="{00000000-0008-0000-0200-00004E000000}"/>
                </a:ext>
              </a:extLst>
            </xdr:cNvPr>
            <xdr:cNvCxnSpPr/>
          </xdr:nvCxnSpPr>
          <xdr:spPr>
            <a:xfrm>
              <a:off x="5341238" y="2851313"/>
              <a:ext cx="9525" cy="1857375"/>
            </a:xfrm>
            <a:prstGeom prst="straightConnector1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5</xdr:col>
      <xdr:colOff>0</xdr:colOff>
      <xdr:row>35</xdr:row>
      <xdr:rowOff>9525</xdr:rowOff>
    </xdr:from>
    <xdr:ext cx="914400" cy="276225"/>
    <xdr:sp macro="" textlink="">
      <xdr:nvSpPr>
        <xdr:cNvPr id="79" name="Shape 61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4893563" y="3646650"/>
          <a:ext cx="9048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 PLANTA PELLETS Y PUERTO</a:t>
          </a:r>
          <a:endParaRPr sz="10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912869</xdr:colOff>
      <xdr:row>43</xdr:row>
      <xdr:rowOff>46916</xdr:rowOff>
    </xdr:from>
    <xdr:ext cx="2127212" cy="628650"/>
    <xdr:sp macro="" textlink="">
      <xdr:nvSpPr>
        <xdr:cNvPr id="2" name="Shape 64">
          <a:extLst>
            <a:ext uri="{FF2B5EF4-FFF2-40B4-BE49-F238E27FC236}">
              <a16:creationId xmlns:a16="http://schemas.microsoft.com/office/drawing/2014/main" id="{67D0F910-1E7C-8E46-8409-8C99D2B71365}"/>
            </a:ext>
          </a:extLst>
        </xdr:cNvPr>
        <xdr:cNvSpPr/>
      </xdr:nvSpPr>
      <xdr:spPr>
        <a:xfrm>
          <a:off x="8827509" y="8530516"/>
          <a:ext cx="2127212" cy="628650"/>
        </a:xfrm>
        <a:prstGeom prst="rect">
          <a:avLst/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Filtrado</a:t>
          </a:r>
          <a:endParaRPr sz="1400"/>
        </a:p>
      </xdr:txBody>
    </xdr:sp>
    <xdr:clientData fLocksWithSheet="0"/>
  </xdr:oneCellAnchor>
  <xdr:oneCellAnchor>
    <xdr:from>
      <xdr:col>7</xdr:col>
      <xdr:colOff>131096</xdr:colOff>
      <xdr:row>11</xdr:row>
      <xdr:rowOff>160867</xdr:rowOff>
    </xdr:from>
    <xdr:ext cx="1232037" cy="717114"/>
    <xdr:sp macro="" textlink="">
      <xdr:nvSpPr>
        <xdr:cNvPr id="3" name="Shape 68">
          <a:extLst>
            <a:ext uri="{FF2B5EF4-FFF2-40B4-BE49-F238E27FC236}">
              <a16:creationId xmlns:a16="http://schemas.microsoft.com/office/drawing/2014/main" id="{211081B3-53B6-4B47-9DAA-BA10CC124872}"/>
            </a:ext>
          </a:extLst>
        </xdr:cNvPr>
        <xdr:cNvSpPr/>
      </xdr:nvSpPr>
      <xdr:spPr>
        <a:xfrm>
          <a:off x="8030496" y="2396067"/>
          <a:ext cx="1232037" cy="717114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34888</xdr:colOff>
      <xdr:row>7</xdr:row>
      <xdr:rowOff>112060</xdr:rowOff>
    </xdr:from>
    <xdr:ext cx="1766272" cy="904989"/>
    <xdr:grpSp>
      <xdr:nvGrpSpPr>
        <xdr:cNvPr id="4" name="Shape 2">
          <a:extLst>
            <a:ext uri="{FF2B5EF4-FFF2-40B4-BE49-F238E27FC236}">
              <a16:creationId xmlns:a16="http://schemas.microsoft.com/office/drawing/2014/main" id="{1A077A97-DCFD-D642-9223-C593FDEDADAC}"/>
            </a:ext>
          </a:extLst>
        </xdr:cNvPr>
        <xdr:cNvGrpSpPr/>
      </xdr:nvGrpSpPr>
      <xdr:grpSpPr>
        <a:xfrm>
          <a:off x="6770968" y="1544620"/>
          <a:ext cx="1766272" cy="904989"/>
          <a:chOff x="4412550" y="3256014"/>
          <a:chExt cx="1917983" cy="904989"/>
        </a:xfrm>
      </xdr:grpSpPr>
      <xdr:grpSp>
        <xdr:nvGrpSpPr>
          <xdr:cNvPr id="5" name="Shape 33">
            <a:extLst>
              <a:ext uri="{FF2B5EF4-FFF2-40B4-BE49-F238E27FC236}">
                <a16:creationId xmlns:a16="http://schemas.microsoft.com/office/drawing/2014/main" id="{4F71C4DF-1F5C-F855-80D5-0C048F943AF0}"/>
              </a:ext>
            </a:extLst>
          </xdr:cNvPr>
          <xdr:cNvGrpSpPr/>
        </xdr:nvGrpSpPr>
        <xdr:grpSpPr>
          <a:xfrm>
            <a:off x="4412550" y="3256014"/>
            <a:ext cx="1917983" cy="904989"/>
            <a:chOff x="4417313" y="3262576"/>
            <a:chExt cx="1908120" cy="893587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D01529CD-6BAD-1BF0-D299-738C2A04D8C2}"/>
                </a:ext>
              </a:extLst>
            </xdr:cNvPr>
            <xdr:cNvSpPr/>
          </xdr:nvSpPr>
          <xdr:spPr>
            <a:xfrm>
              <a:off x="4417313" y="3403763"/>
              <a:ext cx="1857300" cy="752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" name="Shape 71">
              <a:extLst>
                <a:ext uri="{FF2B5EF4-FFF2-40B4-BE49-F238E27FC236}">
                  <a16:creationId xmlns:a16="http://schemas.microsoft.com/office/drawing/2014/main" id="{F27C0FB8-0213-9540-CD20-49024711CCCF}"/>
                </a:ext>
              </a:extLst>
            </xdr:cNvPr>
            <xdr:cNvCxnSpPr/>
          </xdr:nvCxnSpPr>
          <xdr:spPr>
            <a:xfrm>
              <a:off x="4504933" y="3262576"/>
              <a:ext cx="1820500" cy="815026"/>
            </a:xfrm>
            <a:prstGeom prst="bentConnector3">
              <a:avLst>
                <a:gd name="adj1" fmla="val 100168"/>
              </a:avLst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7</xdr:col>
      <xdr:colOff>307937</xdr:colOff>
      <xdr:row>18</xdr:row>
      <xdr:rowOff>167864</xdr:rowOff>
    </xdr:from>
    <xdr:ext cx="932106" cy="771525"/>
    <xdr:sp macro="" textlink="">
      <xdr:nvSpPr>
        <xdr:cNvPr id="8" name="Shape 72">
          <a:extLst>
            <a:ext uri="{FF2B5EF4-FFF2-40B4-BE49-F238E27FC236}">
              <a16:creationId xmlns:a16="http://schemas.microsoft.com/office/drawing/2014/main" id="{1CF6138C-6B95-C044-8BCC-39D37A84C971}"/>
            </a:ext>
          </a:extLst>
        </xdr:cNvPr>
        <xdr:cNvSpPr/>
      </xdr:nvSpPr>
      <xdr:spPr>
        <a:xfrm>
          <a:off x="8207337" y="3787364"/>
          <a:ext cx="932106" cy="771525"/>
        </a:xfrm>
        <a:prstGeom prst="can">
          <a:avLst>
            <a:gd name="adj" fmla="val 25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629546</xdr:colOff>
      <xdr:row>27</xdr:row>
      <xdr:rowOff>194534</xdr:rowOff>
    </xdr:from>
    <xdr:ext cx="2124075" cy="714375"/>
    <xdr:sp macro="" textlink="">
      <xdr:nvSpPr>
        <xdr:cNvPr id="9" name="Shape 73">
          <a:extLst>
            <a:ext uri="{FF2B5EF4-FFF2-40B4-BE49-F238E27FC236}">
              <a16:creationId xmlns:a16="http://schemas.microsoft.com/office/drawing/2014/main" id="{6A13DDFA-0E8B-F14C-85A5-DC39E2AFC31C}"/>
            </a:ext>
          </a:extLst>
        </xdr:cNvPr>
        <xdr:cNvSpPr/>
      </xdr:nvSpPr>
      <xdr:spPr>
        <a:xfrm>
          <a:off x="7347846" y="5553934"/>
          <a:ext cx="2124075" cy="714375"/>
        </a:xfrm>
        <a:prstGeom prst="rect">
          <a:avLst/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Molienda Clasificación</a:t>
          </a:r>
          <a:endParaRPr sz="1400"/>
        </a:p>
      </xdr:txBody>
    </xdr:sp>
    <xdr:clientData fLocksWithSheet="0"/>
  </xdr:oneCellAnchor>
  <xdr:oneCellAnchor>
    <xdr:from>
      <xdr:col>6</xdr:col>
      <xdr:colOff>1039</xdr:colOff>
      <xdr:row>41</xdr:row>
      <xdr:rowOff>110592</xdr:rowOff>
    </xdr:from>
    <xdr:ext cx="704850" cy="333375"/>
    <xdr:sp macro="" textlink="">
      <xdr:nvSpPr>
        <xdr:cNvPr id="10" name="Shape 74">
          <a:extLst>
            <a:ext uri="{FF2B5EF4-FFF2-40B4-BE49-F238E27FC236}">
              <a16:creationId xmlns:a16="http://schemas.microsoft.com/office/drawing/2014/main" id="{563C353B-C5E4-1049-A698-BDF318C06AED}"/>
            </a:ext>
          </a:extLst>
        </xdr:cNvPr>
        <xdr:cNvSpPr/>
      </xdr:nvSpPr>
      <xdr:spPr>
        <a:xfrm>
          <a:off x="6719339" y="8136992"/>
          <a:ext cx="704850" cy="333375"/>
        </a:xfrm>
        <a:prstGeom prst="ellipse">
          <a:avLst/>
        </a:prstGeom>
        <a:solidFill>
          <a:srgbClr val="1F3864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386492</xdr:colOff>
      <xdr:row>38</xdr:row>
      <xdr:rowOff>125169</xdr:rowOff>
    </xdr:from>
    <xdr:ext cx="1258868" cy="269726"/>
    <xdr:sp macro="" textlink="">
      <xdr:nvSpPr>
        <xdr:cNvPr id="15" name="Shape 84">
          <a:extLst>
            <a:ext uri="{FF2B5EF4-FFF2-40B4-BE49-F238E27FC236}">
              <a16:creationId xmlns:a16="http://schemas.microsoft.com/office/drawing/2014/main" id="{D3986C2C-4118-6545-A01C-951466180138}"/>
            </a:ext>
          </a:extLst>
        </xdr:cNvPr>
        <xdr:cNvSpPr/>
      </xdr:nvSpPr>
      <xdr:spPr>
        <a:xfrm>
          <a:off x="576992" y="7580069"/>
          <a:ext cx="1258868" cy="26972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Embarque</a:t>
          </a:r>
          <a:endParaRPr sz="1400" b="1"/>
        </a:p>
      </xdr:txBody>
    </xdr:sp>
    <xdr:clientData fLocksWithSheet="0"/>
  </xdr:oneCellAnchor>
  <xdr:oneCellAnchor>
    <xdr:from>
      <xdr:col>5</xdr:col>
      <xdr:colOff>56193</xdr:colOff>
      <xdr:row>48</xdr:row>
      <xdr:rowOff>186202</xdr:rowOff>
    </xdr:from>
    <xdr:ext cx="828675" cy="352425"/>
    <xdr:sp macro="" textlink="">
      <xdr:nvSpPr>
        <xdr:cNvPr id="16" name="Shape 85">
          <a:extLst>
            <a:ext uri="{FF2B5EF4-FFF2-40B4-BE49-F238E27FC236}">
              <a16:creationId xmlns:a16="http://schemas.microsoft.com/office/drawing/2014/main" id="{2C188D36-DD07-E345-9A49-DD1533792082}"/>
            </a:ext>
          </a:extLst>
        </xdr:cNvPr>
        <xdr:cNvSpPr/>
      </xdr:nvSpPr>
      <xdr:spPr>
        <a:xfrm>
          <a:off x="5821993" y="9546102"/>
          <a:ext cx="8286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Calibri"/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Pila Intermedia</a:t>
          </a:r>
          <a:endParaRPr sz="1400"/>
        </a:p>
      </xdr:txBody>
    </xdr:sp>
    <xdr:clientData fLocksWithSheet="0"/>
  </xdr:oneCellAnchor>
  <xdr:oneCellAnchor>
    <xdr:from>
      <xdr:col>19</xdr:col>
      <xdr:colOff>38071</xdr:colOff>
      <xdr:row>44</xdr:row>
      <xdr:rowOff>145422</xdr:rowOff>
    </xdr:from>
    <xdr:ext cx="1476375" cy="314325"/>
    <xdr:sp macro="" textlink="">
      <xdr:nvSpPr>
        <xdr:cNvPr id="17" name="Shape 90">
          <a:extLst>
            <a:ext uri="{FF2B5EF4-FFF2-40B4-BE49-F238E27FC236}">
              <a16:creationId xmlns:a16="http://schemas.microsoft.com/office/drawing/2014/main" id="{9EC4EB2F-A629-2F4F-91E7-07B2FA3E0BFA}"/>
            </a:ext>
          </a:extLst>
        </xdr:cNvPr>
        <xdr:cNvSpPr/>
      </xdr:nvSpPr>
      <xdr:spPr>
        <a:xfrm>
          <a:off x="20954971" y="8743322"/>
          <a:ext cx="14763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Planta de Harneo</a:t>
          </a:r>
          <a:endParaRPr sz="1400" b="1"/>
        </a:p>
      </xdr:txBody>
    </xdr:sp>
    <xdr:clientData fLocksWithSheet="0"/>
  </xdr:oneCellAnchor>
  <xdr:oneCellAnchor>
    <xdr:from>
      <xdr:col>9</xdr:col>
      <xdr:colOff>1112678</xdr:colOff>
      <xdr:row>32</xdr:row>
      <xdr:rowOff>173355</xdr:rowOff>
    </xdr:from>
    <xdr:ext cx="1333500" cy="222282"/>
    <xdr:sp macro="" textlink="">
      <xdr:nvSpPr>
        <xdr:cNvPr id="18" name="Shape 99">
          <a:extLst>
            <a:ext uri="{FF2B5EF4-FFF2-40B4-BE49-F238E27FC236}">
              <a16:creationId xmlns:a16="http://schemas.microsoft.com/office/drawing/2014/main" id="{8710BB4B-FAA1-BC42-A6D9-1855BF5CC5D5}"/>
            </a:ext>
          </a:extLst>
        </xdr:cNvPr>
        <xdr:cNvSpPr/>
      </xdr:nvSpPr>
      <xdr:spPr>
        <a:xfrm>
          <a:off x="11450478" y="6485255"/>
          <a:ext cx="1333500" cy="2222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Aditivo</a:t>
          </a:r>
          <a:endParaRPr sz="1400"/>
        </a:p>
      </xdr:txBody>
    </xdr:sp>
    <xdr:clientData fLocksWithSheet="0"/>
  </xdr:oneCellAnchor>
  <xdr:oneCellAnchor>
    <xdr:from>
      <xdr:col>17</xdr:col>
      <xdr:colOff>1009154</xdr:colOff>
      <xdr:row>8</xdr:row>
      <xdr:rowOff>155312</xdr:rowOff>
    </xdr:from>
    <xdr:ext cx="536617" cy="421631"/>
    <xdr:sp macro="" textlink="">
      <xdr:nvSpPr>
        <xdr:cNvPr id="19" name="Shape 109">
          <a:extLst>
            <a:ext uri="{FF2B5EF4-FFF2-40B4-BE49-F238E27FC236}">
              <a16:creationId xmlns:a16="http://schemas.microsoft.com/office/drawing/2014/main" id="{F3C6487D-D0F9-0843-A957-1D1F76A851DD}"/>
            </a:ext>
          </a:extLst>
        </xdr:cNvPr>
        <xdr:cNvSpPr/>
      </xdr:nvSpPr>
      <xdr:spPr>
        <a:xfrm>
          <a:off x="19513054" y="1780912"/>
          <a:ext cx="536617" cy="421631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782883</xdr:colOff>
      <xdr:row>23</xdr:row>
      <xdr:rowOff>193503</xdr:rowOff>
    </xdr:from>
    <xdr:ext cx="1476375" cy="323850"/>
    <xdr:sp macro="" textlink="">
      <xdr:nvSpPr>
        <xdr:cNvPr id="20" name="Shape 115">
          <a:extLst>
            <a:ext uri="{FF2B5EF4-FFF2-40B4-BE49-F238E27FC236}">
              <a16:creationId xmlns:a16="http://schemas.microsoft.com/office/drawing/2014/main" id="{047677A5-F689-EF49-BB4E-29827D1701CF}"/>
            </a:ext>
          </a:extLst>
        </xdr:cNvPr>
        <xdr:cNvSpPr/>
      </xdr:nvSpPr>
      <xdr:spPr>
        <a:xfrm>
          <a:off x="21699783" y="4790903"/>
          <a:ext cx="14763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Stock Chip Limpio</a:t>
          </a:r>
          <a:endParaRPr sz="1400"/>
        </a:p>
      </xdr:txBody>
    </xdr:sp>
    <xdr:clientData fLocksWithSheet="0"/>
  </xdr:oneCellAnchor>
  <xdr:oneCellAnchor>
    <xdr:from>
      <xdr:col>17</xdr:col>
      <xdr:colOff>526036</xdr:colOff>
      <xdr:row>23</xdr:row>
      <xdr:rowOff>167993</xdr:rowOff>
    </xdr:from>
    <xdr:ext cx="1629334" cy="300093"/>
    <xdr:sp macro="" textlink="">
      <xdr:nvSpPr>
        <xdr:cNvPr id="21" name="Shape 129">
          <a:extLst>
            <a:ext uri="{FF2B5EF4-FFF2-40B4-BE49-F238E27FC236}">
              <a16:creationId xmlns:a16="http://schemas.microsoft.com/office/drawing/2014/main" id="{08FADE44-2767-C345-8BB6-C4E554A5A0BA}"/>
            </a:ext>
          </a:extLst>
        </xdr:cNvPr>
        <xdr:cNvSpPr/>
      </xdr:nvSpPr>
      <xdr:spPr>
        <a:xfrm>
          <a:off x="19029936" y="4765393"/>
          <a:ext cx="1629334" cy="30009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Stock Pila Finos Huasco</a:t>
          </a:r>
          <a:endParaRPr sz="1400"/>
        </a:p>
      </xdr:txBody>
    </xdr:sp>
    <xdr:clientData fLocksWithSheet="0"/>
  </xdr:oneCellAnchor>
  <xdr:oneCellAnchor>
    <xdr:from>
      <xdr:col>13</xdr:col>
      <xdr:colOff>641864</xdr:colOff>
      <xdr:row>49</xdr:row>
      <xdr:rowOff>93795</xdr:rowOff>
    </xdr:from>
    <xdr:ext cx="971550" cy="523875"/>
    <xdr:sp macro="" textlink="">
      <xdr:nvSpPr>
        <xdr:cNvPr id="22" name="Shape 133">
          <a:extLst>
            <a:ext uri="{FF2B5EF4-FFF2-40B4-BE49-F238E27FC236}">
              <a16:creationId xmlns:a16="http://schemas.microsoft.com/office/drawing/2014/main" id="{7FC9DC6C-85E5-F14F-A13E-BA2F3C315BD1}"/>
            </a:ext>
          </a:extLst>
        </xdr:cNvPr>
        <xdr:cNvSpPr/>
      </xdr:nvSpPr>
      <xdr:spPr>
        <a:xfrm>
          <a:off x="15297664" y="9644195"/>
          <a:ext cx="971550" cy="523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Stock Pellet Producto</a:t>
          </a:r>
          <a:endParaRPr sz="1400"/>
        </a:p>
      </xdr:txBody>
    </xdr:sp>
    <xdr:clientData fLocksWithSheet="0"/>
  </xdr:oneCellAnchor>
  <xdr:oneCellAnchor>
    <xdr:from>
      <xdr:col>10</xdr:col>
      <xdr:colOff>500240</xdr:colOff>
      <xdr:row>4</xdr:row>
      <xdr:rowOff>1781</xdr:rowOff>
    </xdr:from>
    <xdr:ext cx="1504950" cy="362959"/>
    <xdr:sp macro="" textlink="">
      <xdr:nvSpPr>
        <xdr:cNvPr id="23" name="Shape 135">
          <a:extLst>
            <a:ext uri="{FF2B5EF4-FFF2-40B4-BE49-F238E27FC236}">
              <a16:creationId xmlns:a16="http://schemas.microsoft.com/office/drawing/2014/main" id="{7E2D372D-949B-4A4C-B549-12B82472786B}"/>
            </a:ext>
          </a:extLst>
        </xdr:cNvPr>
        <xdr:cNvSpPr/>
      </xdr:nvSpPr>
      <xdr:spPr>
        <a:xfrm>
          <a:off x="12171540" y="814581"/>
          <a:ext cx="1504950" cy="36295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Stock Sinter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Feed</a:t>
          </a:r>
          <a:endParaRPr sz="1400"/>
        </a:p>
      </xdr:txBody>
    </xdr:sp>
    <xdr:clientData fLocksWithSheet="0"/>
  </xdr:oneCellAnchor>
  <xdr:oneCellAnchor>
    <xdr:from>
      <xdr:col>7</xdr:col>
      <xdr:colOff>88511</xdr:colOff>
      <xdr:row>20</xdr:row>
      <xdr:rowOff>116187</xdr:rowOff>
    </xdr:from>
    <xdr:ext cx="1457325" cy="188259"/>
    <xdr:sp macro="" textlink="">
      <xdr:nvSpPr>
        <xdr:cNvPr id="24" name="Shape 154">
          <a:extLst>
            <a:ext uri="{FF2B5EF4-FFF2-40B4-BE49-F238E27FC236}">
              <a16:creationId xmlns:a16="http://schemas.microsoft.com/office/drawing/2014/main" id="{5C5C37C9-69C8-C144-A2ED-AD4D0DD2D69C}"/>
            </a:ext>
          </a:extLst>
        </xdr:cNvPr>
        <xdr:cNvSpPr/>
      </xdr:nvSpPr>
      <xdr:spPr>
        <a:xfrm>
          <a:off x="7987911" y="4142087"/>
          <a:ext cx="1457325" cy="18825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Calibri"/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Silos Molienda</a:t>
          </a:r>
          <a:endParaRPr sz="105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179742</xdr:colOff>
      <xdr:row>29</xdr:row>
      <xdr:rowOff>150722</xdr:rowOff>
    </xdr:from>
    <xdr:ext cx="1340224" cy="170439"/>
    <xdr:grpSp>
      <xdr:nvGrpSpPr>
        <xdr:cNvPr id="25" name="Shape 2">
          <a:extLst>
            <a:ext uri="{FF2B5EF4-FFF2-40B4-BE49-F238E27FC236}">
              <a16:creationId xmlns:a16="http://schemas.microsoft.com/office/drawing/2014/main" id="{2FB36E2E-902E-C94E-B740-FBCCDD7B0B64}"/>
            </a:ext>
          </a:extLst>
        </xdr:cNvPr>
        <xdr:cNvGrpSpPr/>
      </xdr:nvGrpSpPr>
      <xdr:grpSpPr>
        <a:xfrm>
          <a:off x="5960782" y="5931762"/>
          <a:ext cx="1340224" cy="170439"/>
          <a:chOff x="4653476" y="3133423"/>
          <a:chExt cx="1340224" cy="665631"/>
        </a:xfrm>
      </xdr:grpSpPr>
      <xdr:grpSp>
        <xdr:nvGrpSpPr>
          <xdr:cNvPr id="26" name="Shape 155">
            <a:extLst>
              <a:ext uri="{FF2B5EF4-FFF2-40B4-BE49-F238E27FC236}">
                <a16:creationId xmlns:a16="http://schemas.microsoft.com/office/drawing/2014/main" id="{EB3EEDB5-542D-CCDA-11AA-553F2FA332F0}"/>
              </a:ext>
            </a:extLst>
          </xdr:cNvPr>
          <xdr:cNvGrpSpPr/>
        </xdr:nvGrpSpPr>
        <xdr:grpSpPr>
          <a:xfrm>
            <a:off x="4653476" y="3133423"/>
            <a:ext cx="1340224" cy="665631"/>
            <a:chOff x="4653476" y="3617120"/>
            <a:chExt cx="1340224" cy="167718"/>
          </a:xfrm>
        </xdr:grpSpPr>
        <xdr:sp macro="" textlink="">
          <xdr:nvSpPr>
            <xdr:cNvPr id="27" name="Shape 6">
              <a:extLst>
                <a:ext uri="{FF2B5EF4-FFF2-40B4-BE49-F238E27FC236}">
                  <a16:creationId xmlns:a16="http://schemas.microsoft.com/office/drawing/2014/main" id="{F8B76075-CC22-7D9C-9665-2F5B5792511B}"/>
                </a:ext>
              </a:extLst>
            </xdr:cNvPr>
            <xdr:cNvSpPr/>
          </xdr:nvSpPr>
          <xdr:spPr>
            <a:xfrm>
              <a:off x="4698300" y="3775238"/>
              <a:ext cx="1295400" cy="9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8" name="Shape 156">
              <a:extLst>
                <a:ext uri="{FF2B5EF4-FFF2-40B4-BE49-F238E27FC236}">
                  <a16:creationId xmlns:a16="http://schemas.microsoft.com/office/drawing/2014/main" id="{5988A7D9-0DC8-CB74-F97F-37283A26D653}"/>
                </a:ext>
              </a:extLst>
            </xdr:cNvPr>
            <xdr:cNvCxnSpPr>
              <a:stCxn id="9" idx="1"/>
            </xdr:cNvCxnSpPr>
          </xdr:nvCxnSpPr>
          <xdr:spPr>
            <a:xfrm flipH="1">
              <a:off x="4653476" y="3617120"/>
              <a:ext cx="1295400" cy="9600"/>
            </a:xfrm>
            <a:prstGeom prst="straightConnector1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3</xdr:col>
      <xdr:colOff>819971</xdr:colOff>
      <xdr:row>24</xdr:row>
      <xdr:rowOff>70896</xdr:rowOff>
    </xdr:from>
    <xdr:ext cx="1371600" cy="742950"/>
    <xdr:sp macro="" textlink="">
      <xdr:nvSpPr>
        <xdr:cNvPr id="29" name="Shape 157">
          <a:extLst>
            <a:ext uri="{FF2B5EF4-FFF2-40B4-BE49-F238E27FC236}">
              <a16:creationId xmlns:a16="http://schemas.microsoft.com/office/drawing/2014/main" id="{63502A6C-8819-CC4C-860A-9DD9DBE9B5EB}"/>
            </a:ext>
          </a:extLst>
        </xdr:cNvPr>
        <xdr:cNvSpPr/>
      </xdr:nvSpPr>
      <xdr:spPr>
        <a:xfrm>
          <a:off x="2963731" y="4886736"/>
          <a:ext cx="1371600" cy="742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DRF</a:t>
          </a:r>
          <a:endParaRPr sz="1400"/>
        </a:p>
      </xdr:txBody>
    </xdr:sp>
    <xdr:clientData fLocksWithSheet="0"/>
  </xdr:oneCellAnchor>
  <xdr:oneCellAnchor>
    <xdr:from>
      <xdr:col>7</xdr:col>
      <xdr:colOff>40203</xdr:colOff>
      <xdr:row>13</xdr:row>
      <xdr:rowOff>186927</xdr:rowOff>
    </xdr:from>
    <xdr:ext cx="1422364" cy="209103"/>
    <xdr:sp macro="" textlink="">
      <xdr:nvSpPr>
        <xdr:cNvPr id="30" name="Shape 164">
          <a:extLst>
            <a:ext uri="{FF2B5EF4-FFF2-40B4-BE49-F238E27FC236}">
              <a16:creationId xmlns:a16="http://schemas.microsoft.com/office/drawing/2014/main" id="{7CB9EB08-28DA-AA4F-9B94-6557166C3641}"/>
            </a:ext>
          </a:extLst>
        </xdr:cNvPr>
        <xdr:cNvSpPr/>
      </xdr:nvSpPr>
      <xdr:spPr>
        <a:xfrm>
          <a:off x="7939603" y="2815827"/>
          <a:ext cx="1422364" cy="2091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Calibri"/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Stock Prec 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Calibri"/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Pta Pellet</a:t>
          </a:r>
          <a:endParaRPr sz="105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17</xdr:col>
      <xdr:colOff>875243</xdr:colOff>
      <xdr:row>15</xdr:row>
      <xdr:rowOff>174171</xdr:rowOff>
    </xdr:from>
    <xdr:ext cx="812042" cy="436614"/>
    <xdr:sp macro="" textlink="">
      <xdr:nvSpPr>
        <xdr:cNvPr id="31" name="Shape 120">
          <a:extLst>
            <a:ext uri="{FF2B5EF4-FFF2-40B4-BE49-F238E27FC236}">
              <a16:creationId xmlns:a16="http://schemas.microsoft.com/office/drawing/2014/main" id="{48B0E877-0C0F-9546-A256-9D13E26494C5}"/>
            </a:ext>
          </a:extLst>
        </xdr:cNvPr>
        <xdr:cNvSpPr/>
      </xdr:nvSpPr>
      <xdr:spPr>
        <a:xfrm>
          <a:off x="19379143" y="3196771"/>
          <a:ext cx="812042" cy="436614"/>
        </a:xfrm>
        <a:prstGeom prst="rect">
          <a:avLst/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Harneo Derrames</a:t>
          </a:r>
          <a:endParaRPr sz="10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17</xdr:col>
      <xdr:colOff>701466</xdr:colOff>
      <xdr:row>3</xdr:row>
      <xdr:rowOff>162897</xdr:rowOff>
    </xdr:from>
    <xdr:ext cx="1394571" cy="419100"/>
    <xdr:sp macro="" textlink="">
      <xdr:nvSpPr>
        <xdr:cNvPr id="32" name="Shape 167">
          <a:extLst>
            <a:ext uri="{FF2B5EF4-FFF2-40B4-BE49-F238E27FC236}">
              <a16:creationId xmlns:a16="http://schemas.microsoft.com/office/drawing/2014/main" id="{EEFBF5E7-2AE1-D943-87F9-D02EBAE27DFA}"/>
            </a:ext>
          </a:extLst>
        </xdr:cNvPr>
        <xdr:cNvSpPr/>
      </xdr:nvSpPr>
      <xdr:spPr>
        <a:xfrm>
          <a:off x="19205366" y="734397"/>
          <a:ext cx="1394571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Finos Contaminados</a:t>
          </a:r>
          <a:endParaRPr sz="1400" b="1"/>
        </a:p>
      </xdr:txBody>
    </xdr:sp>
    <xdr:clientData fLocksWithSheet="0"/>
  </xdr:oneCellAnchor>
  <xdr:oneCellAnchor>
    <xdr:from>
      <xdr:col>22</xdr:col>
      <xdr:colOff>286186</xdr:colOff>
      <xdr:row>14</xdr:row>
      <xdr:rowOff>67172</xdr:rowOff>
    </xdr:from>
    <xdr:ext cx="758843" cy="433571"/>
    <xdr:sp macro="" textlink="">
      <xdr:nvSpPr>
        <xdr:cNvPr id="33" name="Shape 123">
          <a:extLst>
            <a:ext uri="{FF2B5EF4-FFF2-40B4-BE49-F238E27FC236}">
              <a16:creationId xmlns:a16="http://schemas.microsoft.com/office/drawing/2014/main" id="{F701EB62-9924-FF4B-A658-E24F3BB50076}"/>
            </a:ext>
          </a:extLst>
        </xdr:cNvPr>
        <xdr:cNvSpPr/>
      </xdr:nvSpPr>
      <xdr:spPr>
        <a:xfrm>
          <a:off x="24632086" y="2886572"/>
          <a:ext cx="758843" cy="433571"/>
        </a:xfrm>
        <a:prstGeom prst="rect">
          <a:avLst/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Harneo Chunk</a:t>
          </a:r>
          <a:endParaRPr sz="10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20</xdr:col>
      <xdr:colOff>304810</xdr:colOff>
      <xdr:row>15</xdr:row>
      <xdr:rowOff>2795</xdr:rowOff>
    </xdr:from>
    <xdr:ext cx="881734" cy="465291"/>
    <xdr:sp macro="" textlink="">
      <xdr:nvSpPr>
        <xdr:cNvPr id="34" name="Shape 127">
          <a:extLst>
            <a:ext uri="{FF2B5EF4-FFF2-40B4-BE49-F238E27FC236}">
              <a16:creationId xmlns:a16="http://schemas.microsoft.com/office/drawing/2014/main" id="{00EC4F57-97A9-4B4E-85E7-FEAE9F467034}"/>
            </a:ext>
          </a:extLst>
        </xdr:cNvPr>
        <xdr:cNvSpPr/>
      </xdr:nvSpPr>
      <xdr:spPr>
        <a:xfrm>
          <a:off x="22098010" y="3025395"/>
          <a:ext cx="881734" cy="465291"/>
        </a:xfrm>
        <a:prstGeom prst="rect">
          <a:avLst/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Harneo Chip Fresco</a:t>
          </a:r>
          <a:endParaRPr sz="10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651809</xdr:colOff>
      <xdr:row>2</xdr:row>
      <xdr:rowOff>20450</xdr:rowOff>
    </xdr:from>
    <xdr:ext cx="1144334" cy="723900"/>
    <xdr:sp macro="" textlink="">
      <xdr:nvSpPr>
        <xdr:cNvPr id="35" name="Shape 134">
          <a:extLst>
            <a:ext uri="{FF2B5EF4-FFF2-40B4-BE49-F238E27FC236}">
              <a16:creationId xmlns:a16="http://schemas.microsoft.com/office/drawing/2014/main" id="{7FA95263-1D7A-4E49-A1DC-2EC7A77D2535}"/>
            </a:ext>
          </a:extLst>
        </xdr:cNvPr>
        <xdr:cNvSpPr/>
      </xdr:nvSpPr>
      <xdr:spPr>
        <a:xfrm>
          <a:off x="12323109" y="401450"/>
          <a:ext cx="1144334" cy="723900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168088</xdr:colOff>
      <xdr:row>20</xdr:row>
      <xdr:rowOff>0</xdr:rowOff>
    </xdr:from>
    <xdr:ext cx="1422364" cy="209103"/>
    <xdr:sp macro="" textlink="">
      <xdr:nvSpPr>
        <xdr:cNvPr id="36" name="Shape 164">
          <a:extLst>
            <a:ext uri="{FF2B5EF4-FFF2-40B4-BE49-F238E27FC236}">
              <a16:creationId xmlns:a16="http://schemas.microsoft.com/office/drawing/2014/main" id="{5A635511-24CF-E646-A618-87E1C2D0E886}"/>
            </a:ext>
          </a:extLst>
        </xdr:cNvPr>
        <xdr:cNvSpPr/>
      </xdr:nvSpPr>
      <xdr:spPr>
        <a:xfrm>
          <a:off x="9400988" y="4025900"/>
          <a:ext cx="1422364" cy="2091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Calibri"/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Delta Inventario</a:t>
          </a:r>
          <a:endParaRPr sz="105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726313</xdr:colOff>
      <xdr:row>22</xdr:row>
      <xdr:rowOff>145676</xdr:rowOff>
    </xdr:from>
    <xdr:ext cx="110323" cy="1049154"/>
    <xdr:grpSp>
      <xdr:nvGrpSpPr>
        <xdr:cNvPr id="37" name="Shape 2">
          <a:extLst>
            <a:ext uri="{FF2B5EF4-FFF2-40B4-BE49-F238E27FC236}">
              <a16:creationId xmlns:a16="http://schemas.microsoft.com/office/drawing/2014/main" id="{FCD924D0-604D-4748-98F0-663274E41330}"/>
            </a:ext>
          </a:extLst>
        </xdr:cNvPr>
        <xdr:cNvGrpSpPr/>
      </xdr:nvGrpSpPr>
      <xdr:grpSpPr>
        <a:xfrm rot="16200000">
          <a:off x="8171538" y="5044851"/>
          <a:ext cx="1049154" cy="110323"/>
          <a:chOff x="4653476" y="3133423"/>
          <a:chExt cx="1340224" cy="665631"/>
        </a:xfrm>
      </xdr:grpSpPr>
      <xdr:grpSp>
        <xdr:nvGrpSpPr>
          <xdr:cNvPr id="38" name="Shape 155">
            <a:extLst>
              <a:ext uri="{FF2B5EF4-FFF2-40B4-BE49-F238E27FC236}">
                <a16:creationId xmlns:a16="http://schemas.microsoft.com/office/drawing/2014/main" id="{5E309682-104E-A842-56F7-3B4BDE7AB7A5}"/>
              </a:ext>
            </a:extLst>
          </xdr:cNvPr>
          <xdr:cNvGrpSpPr/>
        </xdr:nvGrpSpPr>
        <xdr:grpSpPr>
          <a:xfrm>
            <a:off x="4653476" y="3133423"/>
            <a:ext cx="1340224" cy="665631"/>
            <a:chOff x="4653476" y="3617120"/>
            <a:chExt cx="1340224" cy="167718"/>
          </a:xfrm>
        </xdr:grpSpPr>
        <xdr:sp macro="" textlink="">
          <xdr:nvSpPr>
            <xdr:cNvPr id="39" name="Shape 6">
              <a:extLst>
                <a:ext uri="{FF2B5EF4-FFF2-40B4-BE49-F238E27FC236}">
                  <a16:creationId xmlns:a16="http://schemas.microsoft.com/office/drawing/2014/main" id="{97ABD434-1E19-1BD0-8CF3-8D75DA52F57A}"/>
                </a:ext>
              </a:extLst>
            </xdr:cNvPr>
            <xdr:cNvSpPr/>
          </xdr:nvSpPr>
          <xdr:spPr>
            <a:xfrm>
              <a:off x="4698300" y="3775238"/>
              <a:ext cx="1295400" cy="9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156">
              <a:extLst>
                <a:ext uri="{FF2B5EF4-FFF2-40B4-BE49-F238E27FC236}">
                  <a16:creationId xmlns:a16="http://schemas.microsoft.com/office/drawing/2014/main" id="{EDC26BC6-40E0-CB70-FF19-2732B6412AC6}"/>
                </a:ext>
              </a:extLst>
            </xdr:cNvPr>
            <xdr:cNvCxnSpPr/>
          </xdr:nvCxnSpPr>
          <xdr:spPr>
            <a:xfrm flipH="1">
              <a:off x="4653476" y="3617120"/>
              <a:ext cx="1295400" cy="9600"/>
            </a:xfrm>
            <a:prstGeom prst="straightConnector1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7</xdr:col>
      <xdr:colOff>736613</xdr:colOff>
      <xdr:row>15</xdr:row>
      <xdr:rowOff>115795</xdr:rowOff>
    </xdr:from>
    <xdr:ext cx="186257" cy="586939"/>
    <xdr:grpSp>
      <xdr:nvGrpSpPr>
        <xdr:cNvPr id="41" name="Shape 2">
          <a:extLst>
            <a:ext uri="{FF2B5EF4-FFF2-40B4-BE49-F238E27FC236}">
              <a16:creationId xmlns:a16="http://schemas.microsoft.com/office/drawing/2014/main" id="{57B13CAA-4490-9D40-91B2-06775046D1F2}"/>
            </a:ext>
          </a:extLst>
        </xdr:cNvPr>
        <xdr:cNvGrpSpPr/>
      </xdr:nvGrpSpPr>
      <xdr:grpSpPr>
        <a:xfrm rot="16200000">
          <a:off x="8450912" y="3353976"/>
          <a:ext cx="586939" cy="186257"/>
          <a:chOff x="4653476" y="3133423"/>
          <a:chExt cx="1340224" cy="665631"/>
        </a:xfrm>
      </xdr:grpSpPr>
      <xdr:grpSp>
        <xdr:nvGrpSpPr>
          <xdr:cNvPr id="42" name="Shape 155">
            <a:extLst>
              <a:ext uri="{FF2B5EF4-FFF2-40B4-BE49-F238E27FC236}">
                <a16:creationId xmlns:a16="http://schemas.microsoft.com/office/drawing/2014/main" id="{7E397791-3148-D98E-777D-89187196008B}"/>
              </a:ext>
            </a:extLst>
          </xdr:cNvPr>
          <xdr:cNvGrpSpPr/>
        </xdr:nvGrpSpPr>
        <xdr:grpSpPr>
          <a:xfrm>
            <a:off x="4653476" y="3133423"/>
            <a:ext cx="1340224" cy="665631"/>
            <a:chOff x="4653476" y="3617120"/>
            <a:chExt cx="1340224" cy="167718"/>
          </a:xfrm>
        </xdr:grpSpPr>
        <xdr:sp macro="" textlink="">
          <xdr:nvSpPr>
            <xdr:cNvPr id="43" name="Shape 6">
              <a:extLst>
                <a:ext uri="{FF2B5EF4-FFF2-40B4-BE49-F238E27FC236}">
                  <a16:creationId xmlns:a16="http://schemas.microsoft.com/office/drawing/2014/main" id="{1DB68F62-CA70-808B-31A7-493C1524E23D}"/>
                </a:ext>
              </a:extLst>
            </xdr:cNvPr>
            <xdr:cNvSpPr/>
          </xdr:nvSpPr>
          <xdr:spPr>
            <a:xfrm>
              <a:off x="4698300" y="3775238"/>
              <a:ext cx="1295400" cy="9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4" name="Shape 156">
              <a:extLst>
                <a:ext uri="{FF2B5EF4-FFF2-40B4-BE49-F238E27FC236}">
                  <a16:creationId xmlns:a16="http://schemas.microsoft.com/office/drawing/2014/main" id="{3325EAA8-6919-497F-D68C-99C7B6E63031}"/>
                </a:ext>
              </a:extLst>
            </xdr:cNvPr>
            <xdr:cNvCxnSpPr/>
          </xdr:nvCxnSpPr>
          <xdr:spPr>
            <a:xfrm flipH="1">
              <a:off x="4653476" y="3617120"/>
              <a:ext cx="1295400" cy="9600"/>
            </a:xfrm>
            <a:prstGeom prst="straightConnector1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9</xdr:col>
      <xdr:colOff>857250</xdr:colOff>
      <xdr:row>35</xdr:row>
      <xdr:rowOff>152400</xdr:rowOff>
    </xdr:from>
    <xdr:ext cx="2047875" cy="628650"/>
    <xdr:sp macro="" textlink="">
      <xdr:nvSpPr>
        <xdr:cNvPr id="49" name="Shape 64">
          <a:extLst>
            <a:ext uri="{FF2B5EF4-FFF2-40B4-BE49-F238E27FC236}">
              <a16:creationId xmlns:a16="http://schemas.microsoft.com/office/drawing/2014/main" id="{8099DF6B-5514-2F4D-B821-549962A08209}"/>
            </a:ext>
            <a:ext uri="{147F2762-F138-4A5C-976F-8EAC2B608ADB}">
              <a16:predDERef xmlns:a16="http://schemas.microsoft.com/office/drawing/2014/main" pred="{A729A0D6-2670-41CB-9E26-ABF057BAD57C}"/>
            </a:ext>
          </a:extLst>
        </xdr:cNvPr>
        <xdr:cNvSpPr/>
      </xdr:nvSpPr>
      <xdr:spPr>
        <a:xfrm>
          <a:off x="11195050" y="7035800"/>
          <a:ext cx="2047875" cy="628650"/>
        </a:xfrm>
        <a:prstGeom prst="rect">
          <a:avLst/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Balling</a:t>
          </a:r>
          <a:endParaRPr sz="1400"/>
        </a:p>
      </xdr:txBody>
    </xdr:sp>
    <xdr:clientData fLocksWithSheet="0"/>
  </xdr:oneCellAnchor>
  <xdr:oneCellAnchor>
    <xdr:from>
      <xdr:col>12</xdr:col>
      <xdr:colOff>835672</xdr:colOff>
      <xdr:row>35</xdr:row>
      <xdr:rowOff>69334</xdr:rowOff>
    </xdr:from>
    <xdr:ext cx="2446693" cy="800100"/>
    <xdr:grpSp>
      <xdr:nvGrpSpPr>
        <xdr:cNvPr id="50" name="Shape 2">
          <a:extLst>
            <a:ext uri="{FF2B5EF4-FFF2-40B4-BE49-F238E27FC236}">
              <a16:creationId xmlns:a16="http://schemas.microsoft.com/office/drawing/2014/main" id="{A2C83CCA-5D52-7C43-A020-4A5E19BD707E}"/>
            </a:ext>
          </a:extLst>
        </xdr:cNvPr>
        <xdr:cNvGrpSpPr/>
      </xdr:nvGrpSpPr>
      <xdr:grpSpPr>
        <a:xfrm>
          <a:off x="14551672" y="7008614"/>
          <a:ext cx="2446693" cy="800100"/>
          <a:chOff x="3860100" y="3379950"/>
          <a:chExt cx="2971801" cy="800101"/>
        </a:xfrm>
      </xdr:grpSpPr>
      <xdr:grpSp>
        <xdr:nvGrpSpPr>
          <xdr:cNvPr id="51" name="Shape 102">
            <a:extLst>
              <a:ext uri="{FF2B5EF4-FFF2-40B4-BE49-F238E27FC236}">
                <a16:creationId xmlns:a16="http://schemas.microsoft.com/office/drawing/2014/main" id="{8C3BB5B9-E4BB-BA6C-FC66-1C12D6A1714A}"/>
              </a:ext>
            </a:extLst>
          </xdr:cNvPr>
          <xdr:cNvGrpSpPr/>
        </xdr:nvGrpSpPr>
        <xdr:grpSpPr>
          <a:xfrm>
            <a:off x="3860100" y="3379950"/>
            <a:ext cx="2971801" cy="800101"/>
            <a:chOff x="3860100" y="3379950"/>
            <a:chExt cx="2971801" cy="800102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77D68850-FD6B-12CC-EA30-2810A6650D79}"/>
                </a:ext>
              </a:extLst>
            </xdr:cNvPr>
            <xdr:cNvSpPr/>
          </xdr:nvSpPr>
          <xdr:spPr>
            <a:xfrm>
              <a:off x="3860100" y="3379950"/>
              <a:ext cx="2971800" cy="800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103">
              <a:extLst>
                <a:ext uri="{FF2B5EF4-FFF2-40B4-BE49-F238E27FC236}">
                  <a16:creationId xmlns:a16="http://schemas.microsoft.com/office/drawing/2014/main" id="{CA2FC9F2-FA2B-A6DF-332D-769A434F69FB}"/>
                </a:ext>
              </a:extLst>
            </xdr:cNvPr>
            <xdr:cNvGrpSpPr/>
          </xdr:nvGrpSpPr>
          <xdr:grpSpPr>
            <a:xfrm>
              <a:off x="3860100" y="3379950"/>
              <a:ext cx="2971800" cy="800102"/>
              <a:chOff x="4085457" y="9822544"/>
              <a:chExt cx="1305065" cy="457876"/>
            </a:xfrm>
          </xdr:grpSpPr>
          <xdr:sp macro="" textlink="">
            <xdr:nvSpPr>
              <xdr:cNvPr id="54" name="Shape 104">
                <a:extLst>
                  <a:ext uri="{FF2B5EF4-FFF2-40B4-BE49-F238E27FC236}">
                    <a16:creationId xmlns:a16="http://schemas.microsoft.com/office/drawing/2014/main" id="{FC2F66F1-122D-59DB-3567-F29F19BAD181}"/>
                  </a:ext>
                </a:extLst>
              </xdr:cNvPr>
              <xdr:cNvSpPr/>
            </xdr:nvSpPr>
            <xdr:spPr>
              <a:xfrm>
                <a:off x="4085457" y="9822544"/>
                <a:ext cx="1305050" cy="457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55" name="Shape 87">
                <a:extLst>
                  <a:ext uri="{FF2B5EF4-FFF2-40B4-BE49-F238E27FC236}">
                    <a16:creationId xmlns:a16="http://schemas.microsoft.com/office/drawing/2014/main" id="{E3F8335D-8795-0998-F309-DDB5F4671E2C}"/>
                  </a:ext>
                </a:extLst>
              </xdr:cNvPr>
              <xdr:cNvSpPr/>
            </xdr:nvSpPr>
            <xdr:spPr>
              <a:xfrm>
                <a:off x="4085457" y="9875470"/>
                <a:ext cx="1280160" cy="353545"/>
              </a:xfrm>
              <a:prstGeom prst="rect">
                <a:avLst/>
              </a:prstGeom>
              <a:noFill/>
              <a:ln w="12700" cap="flat" cmpd="sng">
                <a:solidFill>
                  <a:srgbClr val="31538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000"/>
                  <a:buFont typeface="Calibri"/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Endurecimiento</a:t>
                </a:r>
                <a:endParaRPr sz="1400"/>
              </a:p>
            </xdr:txBody>
          </xdr:sp>
          <xdr:sp macro="" textlink="">
            <xdr:nvSpPr>
              <xdr:cNvPr id="56" name="Shape 105">
                <a:extLst>
                  <a:ext uri="{FF2B5EF4-FFF2-40B4-BE49-F238E27FC236}">
                    <a16:creationId xmlns:a16="http://schemas.microsoft.com/office/drawing/2014/main" id="{7B4F3EEF-B013-CB84-3840-7D680F131226}"/>
                  </a:ext>
                </a:extLst>
              </xdr:cNvPr>
              <xdr:cNvSpPr/>
            </xdr:nvSpPr>
            <xdr:spPr>
              <a:xfrm>
                <a:off x="5228893" y="9822544"/>
                <a:ext cx="154154" cy="158985"/>
              </a:xfrm>
              <a:prstGeom prst="ellipse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57" name="Shape 106">
                <a:extLst>
                  <a:ext uri="{FF2B5EF4-FFF2-40B4-BE49-F238E27FC236}">
                    <a16:creationId xmlns:a16="http://schemas.microsoft.com/office/drawing/2014/main" id="{57CB71EC-A3D2-02B7-E6B2-3FC723ED4378}"/>
                  </a:ext>
                </a:extLst>
              </xdr:cNvPr>
              <xdr:cNvSpPr/>
            </xdr:nvSpPr>
            <xdr:spPr>
              <a:xfrm>
                <a:off x="5228893" y="9937464"/>
                <a:ext cx="154154" cy="158985"/>
              </a:xfrm>
              <a:prstGeom prst="ellipse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58" name="Shape 107">
                <a:extLst>
                  <a:ext uri="{FF2B5EF4-FFF2-40B4-BE49-F238E27FC236}">
                    <a16:creationId xmlns:a16="http://schemas.microsoft.com/office/drawing/2014/main" id="{7885E000-5EA9-129D-AE44-FB492B5DFA95}"/>
                  </a:ext>
                </a:extLst>
              </xdr:cNvPr>
              <xdr:cNvSpPr/>
            </xdr:nvSpPr>
            <xdr:spPr>
              <a:xfrm>
                <a:off x="5221417" y="10029468"/>
                <a:ext cx="169105" cy="158985"/>
              </a:xfrm>
              <a:prstGeom prst="ellipse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59" name="Shape 108">
                <a:extLst>
                  <a:ext uri="{FF2B5EF4-FFF2-40B4-BE49-F238E27FC236}">
                    <a16:creationId xmlns:a16="http://schemas.microsoft.com/office/drawing/2014/main" id="{7443C020-27BC-FF4D-FE2F-995818066766}"/>
                  </a:ext>
                </a:extLst>
              </xdr:cNvPr>
              <xdr:cNvSpPr/>
            </xdr:nvSpPr>
            <xdr:spPr>
              <a:xfrm>
                <a:off x="5228892" y="10121435"/>
                <a:ext cx="154154" cy="158985"/>
              </a:xfrm>
              <a:prstGeom prst="ellipse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11</xdr:col>
      <xdr:colOff>602816</xdr:colOff>
      <xdr:row>49</xdr:row>
      <xdr:rowOff>83127</xdr:rowOff>
    </xdr:from>
    <xdr:ext cx="1258868" cy="257703"/>
    <xdr:sp macro="" textlink="">
      <xdr:nvSpPr>
        <xdr:cNvPr id="60" name="Shape 84">
          <a:extLst>
            <a:ext uri="{FF2B5EF4-FFF2-40B4-BE49-F238E27FC236}">
              <a16:creationId xmlns:a16="http://schemas.microsoft.com/office/drawing/2014/main" id="{BE7357A9-063E-EB41-AEC2-7F722DD3AFB8}"/>
            </a:ext>
          </a:extLst>
        </xdr:cNvPr>
        <xdr:cNvSpPr/>
      </xdr:nvSpPr>
      <xdr:spPr>
        <a:xfrm>
          <a:off x="13506016" y="9633527"/>
          <a:ext cx="1258868" cy="2577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Ventas</a:t>
          </a:r>
          <a:endParaRPr sz="1400" b="1"/>
        </a:p>
      </xdr:txBody>
    </xdr:sp>
    <xdr:clientData fLocksWithSheet="0"/>
  </xdr:oneCellAnchor>
  <xdr:oneCellAnchor>
    <xdr:from>
      <xdr:col>18</xdr:col>
      <xdr:colOff>237761</xdr:colOff>
      <xdr:row>6</xdr:row>
      <xdr:rowOff>126999</xdr:rowOff>
    </xdr:from>
    <xdr:ext cx="95618" cy="414843"/>
    <xdr:grpSp>
      <xdr:nvGrpSpPr>
        <xdr:cNvPr id="62" name="Shape 2">
          <a:extLst>
            <a:ext uri="{FF2B5EF4-FFF2-40B4-BE49-F238E27FC236}">
              <a16:creationId xmlns:a16="http://schemas.microsoft.com/office/drawing/2014/main" id="{F5F826F0-38C7-C345-A24F-5BE31F91475B}"/>
            </a:ext>
          </a:extLst>
        </xdr:cNvPr>
        <xdr:cNvGrpSpPr/>
      </xdr:nvGrpSpPr>
      <xdr:grpSpPr>
        <a:xfrm rot="16200000">
          <a:off x="19758068" y="1515972"/>
          <a:ext cx="414843" cy="95618"/>
          <a:chOff x="4653476" y="3133423"/>
          <a:chExt cx="1340224" cy="665631"/>
        </a:xfrm>
      </xdr:grpSpPr>
      <xdr:grpSp>
        <xdr:nvGrpSpPr>
          <xdr:cNvPr id="63" name="Shape 155">
            <a:extLst>
              <a:ext uri="{FF2B5EF4-FFF2-40B4-BE49-F238E27FC236}">
                <a16:creationId xmlns:a16="http://schemas.microsoft.com/office/drawing/2014/main" id="{7AB638F3-99DD-73A5-C18C-ED384B556941}"/>
              </a:ext>
            </a:extLst>
          </xdr:cNvPr>
          <xdr:cNvGrpSpPr/>
        </xdr:nvGrpSpPr>
        <xdr:grpSpPr>
          <a:xfrm>
            <a:off x="4653476" y="3133423"/>
            <a:ext cx="1340224" cy="665631"/>
            <a:chOff x="4653476" y="3617120"/>
            <a:chExt cx="1340224" cy="167718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BA6EE2E9-3518-9AC2-6382-5B012ED0EEE7}"/>
                </a:ext>
              </a:extLst>
            </xdr:cNvPr>
            <xdr:cNvSpPr/>
          </xdr:nvSpPr>
          <xdr:spPr>
            <a:xfrm>
              <a:off x="4698300" y="3775238"/>
              <a:ext cx="1295400" cy="9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" name="Shape 156">
              <a:extLst>
                <a:ext uri="{FF2B5EF4-FFF2-40B4-BE49-F238E27FC236}">
                  <a16:creationId xmlns:a16="http://schemas.microsoft.com/office/drawing/2014/main" id="{6D51FEA3-34D7-0C8E-92C3-19E80FEC3712}"/>
                </a:ext>
              </a:extLst>
            </xdr:cNvPr>
            <xdr:cNvCxnSpPr/>
          </xdr:nvCxnSpPr>
          <xdr:spPr>
            <a:xfrm flipH="1">
              <a:off x="4653476" y="3617120"/>
              <a:ext cx="1295400" cy="9600"/>
            </a:xfrm>
            <a:prstGeom prst="straightConnector1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19</xdr:col>
      <xdr:colOff>447747</xdr:colOff>
      <xdr:row>4</xdr:row>
      <xdr:rowOff>65177</xdr:rowOff>
    </xdr:from>
    <xdr:ext cx="1247775" cy="419100"/>
    <xdr:sp macro="" textlink="">
      <xdr:nvSpPr>
        <xdr:cNvPr id="66" name="Shape 167">
          <a:extLst>
            <a:ext uri="{FF2B5EF4-FFF2-40B4-BE49-F238E27FC236}">
              <a16:creationId xmlns:a16="http://schemas.microsoft.com/office/drawing/2014/main" id="{65468CD5-C9B0-D14B-ABE0-128F520A369C}"/>
            </a:ext>
          </a:extLst>
        </xdr:cNvPr>
        <xdr:cNvSpPr/>
      </xdr:nvSpPr>
      <xdr:spPr>
        <a:xfrm>
          <a:off x="21364647" y="877977"/>
          <a:ext cx="12477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 b="1">
              <a:solidFill>
                <a:schemeClr val="dk1"/>
              </a:solidFill>
              <a:latin typeface="Calibri"/>
              <a:cs typeface="Calibri"/>
              <a:sym typeface="Calibri"/>
            </a:rPr>
            <a:t>Chips Fresco</a:t>
          </a:r>
          <a:endParaRPr sz="1400" b="1"/>
        </a:p>
      </xdr:txBody>
    </xdr:sp>
    <xdr:clientData fLocksWithSheet="0"/>
  </xdr:oneCellAnchor>
  <xdr:oneCellAnchor>
    <xdr:from>
      <xdr:col>20</xdr:col>
      <xdr:colOff>694306</xdr:colOff>
      <xdr:row>6</xdr:row>
      <xdr:rowOff>105206</xdr:rowOff>
    </xdr:from>
    <xdr:ext cx="165690" cy="379001"/>
    <xdr:grpSp>
      <xdr:nvGrpSpPr>
        <xdr:cNvPr id="67" name="Shape 2">
          <a:extLst>
            <a:ext uri="{FF2B5EF4-FFF2-40B4-BE49-F238E27FC236}">
              <a16:creationId xmlns:a16="http://schemas.microsoft.com/office/drawing/2014/main" id="{366EE44B-4C9C-AF46-AA4C-BAD5657B1FA2}"/>
            </a:ext>
          </a:extLst>
        </xdr:cNvPr>
        <xdr:cNvGrpSpPr/>
      </xdr:nvGrpSpPr>
      <xdr:grpSpPr>
        <a:xfrm rot="16200000">
          <a:off x="22401170" y="1441222"/>
          <a:ext cx="379001" cy="165690"/>
          <a:chOff x="4653476" y="3133423"/>
          <a:chExt cx="1340224" cy="665631"/>
        </a:xfrm>
      </xdr:grpSpPr>
      <xdr:grpSp>
        <xdr:nvGrpSpPr>
          <xdr:cNvPr id="68" name="Shape 155">
            <a:extLst>
              <a:ext uri="{FF2B5EF4-FFF2-40B4-BE49-F238E27FC236}">
                <a16:creationId xmlns:a16="http://schemas.microsoft.com/office/drawing/2014/main" id="{CC2C60DD-9829-D9C2-D073-A83B1E31961C}"/>
              </a:ext>
            </a:extLst>
          </xdr:cNvPr>
          <xdr:cNvGrpSpPr/>
        </xdr:nvGrpSpPr>
        <xdr:grpSpPr>
          <a:xfrm>
            <a:off x="4653476" y="3133423"/>
            <a:ext cx="1340224" cy="665631"/>
            <a:chOff x="4653476" y="3617120"/>
            <a:chExt cx="1340224" cy="167718"/>
          </a:xfrm>
        </xdr:grpSpPr>
        <xdr:sp macro="" textlink="">
          <xdr:nvSpPr>
            <xdr:cNvPr id="69" name="Shape 6">
              <a:extLst>
                <a:ext uri="{FF2B5EF4-FFF2-40B4-BE49-F238E27FC236}">
                  <a16:creationId xmlns:a16="http://schemas.microsoft.com/office/drawing/2014/main" id="{D90A4F51-6765-5FF9-6EAE-0657421AB29A}"/>
                </a:ext>
              </a:extLst>
            </xdr:cNvPr>
            <xdr:cNvSpPr/>
          </xdr:nvSpPr>
          <xdr:spPr>
            <a:xfrm>
              <a:off x="4698300" y="3775238"/>
              <a:ext cx="1295400" cy="9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" name="Shape 156">
              <a:extLst>
                <a:ext uri="{FF2B5EF4-FFF2-40B4-BE49-F238E27FC236}">
                  <a16:creationId xmlns:a16="http://schemas.microsoft.com/office/drawing/2014/main" id="{4DF96E6D-49E3-4BFE-E001-9D9B2771CF39}"/>
                </a:ext>
              </a:extLst>
            </xdr:cNvPr>
            <xdr:cNvCxnSpPr/>
          </xdr:nvCxnSpPr>
          <xdr:spPr>
            <a:xfrm flipH="1">
              <a:off x="4653476" y="3617120"/>
              <a:ext cx="1295400" cy="9600"/>
            </a:xfrm>
            <a:prstGeom prst="straightConnector1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22</xdr:col>
      <xdr:colOff>60024</xdr:colOff>
      <xdr:row>4</xdr:row>
      <xdr:rowOff>123131</xdr:rowOff>
    </xdr:from>
    <xdr:ext cx="1247775" cy="419100"/>
    <xdr:sp macro="" textlink="">
      <xdr:nvSpPr>
        <xdr:cNvPr id="71" name="Shape 167">
          <a:extLst>
            <a:ext uri="{FF2B5EF4-FFF2-40B4-BE49-F238E27FC236}">
              <a16:creationId xmlns:a16="http://schemas.microsoft.com/office/drawing/2014/main" id="{C67BAF42-EAC0-2C4C-B76D-B87D29C44A32}"/>
            </a:ext>
          </a:extLst>
        </xdr:cNvPr>
        <xdr:cNvSpPr/>
      </xdr:nvSpPr>
      <xdr:spPr>
        <a:xfrm>
          <a:off x="24405924" y="935931"/>
          <a:ext cx="12477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 b="1">
              <a:solidFill>
                <a:schemeClr val="dk1"/>
              </a:solidFill>
              <a:latin typeface="Calibri"/>
              <a:cs typeface="Calibri"/>
              <a:sym typeface="Calibri"/>
            </a:rPr>
            <a:t>Chunk Fresco</a:t>
          </a:r>
          <a:endParaRPr sz="1400" b="1"/>
        </a:p>
      </xdr:txBody>
    </xdr:sp>
    <xdr:clientData fLocksWithSheet="0"/>
  </xdr:oneCellAnchor>
  <xdr:oneCellAnchor>
    <xdr:from>
      <xdr:col>22</xdr:col>
      <xdr:colOff>656060</xdr:colOff>
      <xdr:row>6</xdr:row>
      <xdr:rowOff>126999</xdr:rowOff>
    </xdr:from>
    <xdr:ext cx="45719" cy="354049"/>
    <xdr:grpSp>
      <xdr:nvGrpSpPr>
        <xdr:cNvPr id="72" name="Shape 2">
          <a:extLst>
            <a:ext uri="{FF2B5EF4-FFF2-40B4-BE49-F238E27FC236}">
              <a16:creationId xmlns:a16="http://schemas.microsoft.com/office/drawing/2014/main" id="{9752DAA1-AE11-484C-BD1E-4076CF841990}"/>
            </a:ext>
          </a:extLst>
        </xdr:cNvPr>
        <xdr:cNvGrpSpPr/>
      </xdr:nvGrpSpPr>
      <xdr:grpSpPr>
        <a:xfrm rot="16200000">
          <a:off x="24875735" y="1510524"/>
          <a:ext cx="354049" cy="45719"/>
          <a:chOff x="4653476" y="3133423"/>
          <a:chExt cx="1340224" cy="665631"/>
        </a:xfrm>
      </xdr:grpSpPr>
      <xdr:grpSp>
        <xdr:nvGrpSpPr>
          <xdr:cNvPr id="73" name="Shape 155">
            <a:extLst>
              <a:ext uri="{FF2B5EF4-FFF2-40B4-BE49-F238E27FC236}">
                <a16:creationId xmlns:a16="http://schemas.microsoft.com/office/drawing/2014/main" id="{6F13BE2B-B997-874D-8E11-B1F855B4FC7E}"/>
              </a:ext>
            </a:extLst>
          </xdr:cNvPr>
          <xdr:cNvGrpSpPr/>
        </xdr:nvGrpSpPr>
        <xdr:grpSpPr>
          <a:xfrm>
            <a:off x="4653476" y="3133423"/>
            <a:ext cx="1340224" cy="665631"/>
            <a:chOff x="4653476" y="3617120"/>
            <a:chExt cx="1340224" cy="167718"/>
          </a:xfrm>
        </xdr:grpSpPr>
        <xdr:sp macro="" textlink="">
          <xdr:nvSpPr>
            <xdr:cNvPr id="74" name="Shape 6">
              <a:extLst>
                <a:ext uri="{FF2B5EF4-FFF2-40B4-BE49-F238E27FC236}">
                  <a16:creationId xmlns:a16="http://schemas.microsoft.com/office/drawing/2014/main" id="{D0893C26-4791-2680-04FA-1DB81D317C7C}"/>
                </a:ext>
              </a:extLst>
            </xdr:cNvPr>
            <xdr:cNvSpPr/>
          </xdr:nvSpPr>
          <xdr:spPr>
            <a:xfrm>
              <a:off x="4698300" y="3775238"/>
              <a:ext cx="1295400" cy="9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" name="Shape 156">
              <a:extLst>
                <a:ext uri="{FF2B5EF4-FFF2-40B4-BE49-F238E27FC236}">
                  <a16:creationId xmlns:a16="http://schemas.microsoft.com/office/drawing/2014/main" id="{9086D5AA-29AE-F102-B754-8E167E5CAAB9}"/>
                </a:ext>
              </a:extLst>
            </xdr:cNvPr>
            <xdr:cNvCxnSpPr/>
          </xdr:nvCxnSpPr>
          <xdr:spPr>
            <a:xfrm flipH="1">
              <a:off x="4653476" y="3617120"/>
              <a:ext cx="1295400" cy="9600"/>
            </a:xfrm>
            <a:prstGeom prst="straightConnector1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16</xdr:col>
      <xdr:colOff>319076</xdr:colOff>
      <xdr:row>25</xdr:row>
      <xdr:rowOff>195871</xdr:rowOff>
    </xdr:from>
    <xdr:ext cx="425824" cy="375957"/>
    <xdr:pic>
      <xdr:nvPicPr>
        <xdr:cNvPr id="76" name="image2.png">
          <a:extLst>
            <a:ext uri="{FF2B5EF4-FFF2-40B4-BE49-F238E27FC236}">
              <a16:creationId xmlns:a16="http://schemas.microsoft.com/office/drawing/2014/main" id="{621926D8-131F-9C47-87F3-00376D96B4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94276" y="5174271"/>
          <a:ext cx="425824" cy="375957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116694</xdr:colOff>
      <xdr:row>47</xdr:row>
      <xdr:rowOff>72268</xdr:rowOff>
    </xdr:from>
    <xdr:ext cx="425824" cy="375957"/>
    <xdr:pic>
      <xdr:nvPicPr>
        <xdr:cNvPr id="77" name="image2.png">
          <a:extLst>
            <a:ext uri="{FF2B5EF4-FFF2-40B4-BE49-F238E27FC236}">
              <a16:creationId xmlns:a16="http://schemas.microsoft.com/office/drawing/2014/main" id="{CB1E5771-2B79-FE4B-A68D-4A82D3E01D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772494" y="9241668"/>
          <a:ext cx="425824" cy="375957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69070</xdr:colOff>
      <xdr:row>40</xdr:row>
      <xdr:rowOff>81701</xdr:rowOff>
    </xdr:from>
    <xdr:ext cx="425824" cy="375957"/>
    <xdr:pic>
      <xdr:nvPicPr>
        <xdr:cNvPr id="78" name="image2.png">
          <a:extLst>
            <a:ext uri="{FF2B5EF4-FFF2-40B4-BE49-F238E27FC236}">
              <a16:creationId xmlns:a16="http://schemas.microsoft.com/office/drawing/2014/main" id="{FBE43C71-10C2-E24E-97E2-156127B4DE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2670" y="7917601"/>
          <a:ext cx="425824" cy="375957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708048</xdr:colOff>
      <xdr:row>3</xdr:row>
      <xdr:rowOff>68656</xdr:rowOff>
    </xdr:from>
    <xdr:ext cx="425824" cy="375957"/>
    <xdr:pic>
      <xdr:nvPicPr>
        <xdr:cNvPr id="79" name="image2.png">
          <a:extLst>
            <a:ext uri="{FF2B5EF4-FFF2-40B4-BE49-F238E27FC236}">
              <a16:creationId xmlns:a16="http://schemas.microsoft.com/office/drawing/2014/main" id="{507B57FE-5946-6E49-A81E-900C0AF295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11348" y="640156"/>
          <a:ext cx="425824" cy="375957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473636</xdr:colOff>
      <xdr:row>1</xdr:row>
      <xdr:rowOff>103592</xdr:rowOff>
    </xdr:from>
    <xdr:ext cx="1258868" cy="269726"/>
    <xdr:sp macro="" textlink="">
      <xdr:nvSpPr>
        <xdr:cNvPr id="80" name="Shape 84">
          <a:extLst>
            <a:ext uri="{FF2B5EF4-FFF2-40B4-BE49-F238E27FC236}">
              <a16:creationId xmlns:a16="http://schemas.microsoft.com/office/drawing/2014/main" id="{8E98D322-87B6-8B4E-B824-790D8D1DAA3A}"/>
            </a:ext>
          </a:extLst>
        </xdr:cNvPr>
        <xdr:cNvSpPr/>
      </xdr:nvSpPr>
      <xdr:spPr>
        <a:xfrm>
          <a:off x="14176936" y="294092"/>
          <a:ext cx="1258868" cy="26972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Embarque</a:t>
          </a:r>
          <a:endParaRPr sz="1400" b="1"/>
        </a:p>
      </xdr:txBody>
    </xdr:sp>
    <xdr:clientData fLocksWithSheet="0"/>
  </xdr:oneCellAnchor>
  <xdr:twoCellAnchor>
    <xdr:from>
      <xdr:col>18</xdr:col>
      <xdr:colOff>247121</xdr:colOff>
      <xdr:row>18</xdr:row>
      <xdr:rowOff>33842</xdr:rowOff>
    </xdr:from>
    <xdr:to>
      <xdr:col>18</xdr:col>
      <xdr:colOff>254354</xdr:colOff>
      <xdr:row>21</xdr:row>
      <xdr:rowOff>174171</xdr:rowOff>
    </xdr:to>
    <xdr:cxnSp macro="">
      <xdr:nvCxnSpPr>
        <xdr:cNvPr id="81" name="Conector recto de flecha 583">
          <a:extLst>
            <a:ext uri="{FF2B5EF4-FFF2-40B4-BE49-F238E27FC236}">
              <a16:creationId xmlns:a16="http://schemas.microsoft.com/office/drawing/2014/main" id="{F6628B5D-B1FA-5341-A970-87B5B99C69D1}"/>
            </a:ext>
          </a:extLst>
        </xdr:cNvPr>
        <xdr:cNvCxnSpPr>
          <a:stCxn id="31" idx="2"/>
          <a:endCxn id="83" idx="0"/>
        </xdr:cNvCxnSpPr>
      </xdr:nvCxnSpPr>
      <xdr:spPr>
        <a:xfrm>
          <a:off x="19906721" y="3653342"/>
          <a:ext cx="7233" cy="7372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272142</xdr:colOff>
      <xdr:row>13</xdr:row>
      <xdr:rowOff>0</xdr:rowOff>
    </xdr:from>
    <xdr:to>
      <xdr:col>18</xdr:col>
      <xdr:colOff>382992</xdr:colOff>
      <xdr:row>22</xdr:row>
      <xdr:rowOff>158134</xdr:rowOff>
    </xdr:to>
    <xdr:cxnSp macro="">
      <xdr:nvCxnSpPr>
        <xdr:cNvPr id="82" name="Conector: angular 585">
          <a:extLst>
            <a:ext uri="{FF2B5EF4-FFF2-40B4-BE49-F238E27FC236}">
              <a16:creationId xmlns:a16="http://schemas.microsoft.com/office/drawing/2014/main" id="{93ABDC71-C470-0C4A-B43A-4D50FECCBC29}"/>
            </a:ext>
          </a:extLst>
        </xdr:cNvPr>
        <xdr:cNvCxnSpPr>
          <a:stCxn id="83" idx="5"/>
        </xdr:cNvCxnSpPr>
      </xdr:nvCxnSpPr>
      <xdr:spPr>
        <a:xfrm flipH="1" flipV="1">
          <a:off x="19931742" y="2628900"/>
          <a:ext cx="110850" cy="1936134"/>
        </a:xfrm>
        <a:prstGeom prst="bentConnector4">
          <a:avLst>
            <a:gd name="adj1" fmla="val -549932"/>
            <a:gd name="adj2" fmla="val 10057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1031222</xdr:colOff>
      <xdr:row>21</xdr:row>
      <xdr:rowOff>174171</xdr:rowOff>
    </xdr:from>
    <xdr:ext cx="514550" cy="359812"/>
    <xdr:sp macro="" textlink="">
      <xdr:nvSpPr>
        <xdr:cNvPr id="83" name="Shape 130">
          <a:extLst>
            <a:ext uri="{FF2B5EF4-FFF2-40B4-BE49-F238E27FC236}">
              <a16:creationId xmlns:a16="http://schemas.microsoft.com/office/drawing/2014/main" id="{73F6A5EC-FB5F-D94C-980D-CEF81C592782}"/>
            </a:ext>
          </a:extLst>
        </xdr:cNvPr>
        <xdr:cNvSpPr/>
      </xdr:nvSpPr>
      <xdr:spPr>
        <a:xfrm>
          <a:off x="19535122" y="4390571"/>
          <a:ext cx="514550" cy="359812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18</xdr:col>
      <xdr:colOff>243320</xdr:colOff>
      <xdr:row>10</xdr:row>
      <xdr:rowOff>185057</xdr:rowOff>
    </xdr:from>
    <xdr:to>
      <xdr:col>18</xdr:col>
      <xdr:colOff>247121</xdr:colOff>
      <xdr:row>15</xdr:row>
      <xdr:rowOff>174171</xdr:rowOff>
    </xdr:to>
    <xdr:cxnSp macro="">
      <xdr:nvCxnSpPr>
        <xdr:cNvPr id="84" name="Conector recto de flecha 587">
          <a:extLst>
            <a:ext uri="{FF2B5EF4-FFF2-40B4-BE49-F238E27FC236}">
              <a16:creationId xmlns:a16="http://schemas.microsoft.com/office/drawing/2014/main" id="{36F16ACB-7584-E642-BE0B-FAAC383C15EE}"/>
            </a:ext>
          </a:extLst>
        </xdr:cNvPr>
        <xdr:cNvCxnSpPr>
          <a:stCxn id="19" idx="3"/>
          <a:endCxn id="31" idx="0"/>
        </xdr:cNvCxnSpPr>
      </xdr:nvCxnSpPr>
      <xdr:spPr>
        <a:xfrm>
          <a:off x="19902920" y="2217057"/>
          <a:ext cx="3801" cy="9797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745677</xdr:colOff>
      <xdr:row>17</xdr:row>
      <xdr:rowOff>67635</xdr:rowOff>
    </xdr:from>
    <xdr:to>
      <xdr:col>20</xdr:col>
      <xdr:colOff>801419</xdr:colOff>
      <xdr:row>22</xdr:row>
      <xdr:rowOff>33210</xdr:rowOff>
    </xdr:to>
    <xdr:cxnSp macro="">
      <xdr:nvCxnSpPr>
        <xdr:cNvPr id="85" name="Conector recto de flecha 591">
          <a:extLst>
            <a:ext uri="{FF2B5EF4-FFF2-40B4-BE49-F238E27FC236}">
              <a16:creationId xmlns:a16="http://schemas.microsoft.com/office/drawing/2014/main" id="{D7DF5F91-56C0-A445-9F33-31D0A4F1788B}"/>
            </a:ext>
          </a:extLst>
        </xdr:cNvPr>
        <xdr:cNvCxnSpPr>
          <a:cxnSpLocks/>
          <a:stCxn id="34" idx="2"/>
          <a:endCxn id="149" idx="0"/>
        </xdr:cNvCxnSpPr>
      </xdr:nvCxnSpPr>
      <xdr:spPr>
        <a:xfrm>
          <a:off x="22538877" y="3483935"/>
          <a:ext cx="55742" cy="956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359229</xdr:colOff>
      <xdr:row>16</xdr:row>
      <xdr:rowOff>152400</xdr:rowOff>
    </xdr:from>
    <xdr:to>
      <xdr:col>22</xdr:col>
      <xdr:colOff>363212</xdr:colOff>
      <xdr:row>20</xdr:row>
      <xdr:rowOff>65313</xdr:rowOff>
    </xdr:to>
    <xdr:cxnSp macro="">
      <xdr:nvCxnSpPr>
        <xdr:cNvPr id="86" name="Conector recto de flecha 592">
          <a:extLst>
            <a:ext uri="{FF2B5EF4-FFF2-40B4-BE49-F238E27FC236}">
              <a16:creationId xmlns:a16="http://schemas.microsoft.com/office/drawing/2014/main" id="{2F90BCA1-0291-D443-9FE8-787B059AD198}"/>
            </a:ext>
          </a:extLst>
        </xdr:cNvPr>
        <xdr:cNvCxnSpPr>
          <a:endCxn id="150" idx="0"/>
        </xdr:cNvCxnSpPr>
      </xdr:nvCxnSpPr>
      <xdr:spPr>
        <a:xfrm>
          <a:off x="24705129" y="3365500"/>
          <a:ext cx="3983" cy="7257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732608</xdr:colOff>
      <xdr:row>7</xdr:row>
      <xdr:rowOff>105589</xdr:rowOff>
    </xdr:from>
    <xdr:ext cx="1504950" cy="317743"/>
    <xdr:sp macro="" textlink="">
      <xdr:nvSpPr>
        <xdr:cNvPr id="87" name="Shape 135">
          <a:extLst>
            <a:ext uri="{FF2B5EF4-FFF2-40B4-BE49-F238E27FC236}">
              <a16:creationId xmlns:a16="http://schemas.microsoft.com/office/drawing/2014/main" id="{B71D34E6-1134-AF47-A226-C3B88D907F95}"/>
            </a:ext>
          </a:extLst>
        </xdr:cNvPr>
        <xdr:cNvSpPr/>
      </xdr:nvSpPr>
      <xdr:spPr>
        <a:xfrm>
          <a:off x="12403908" y="1527989"/>
          <a:ext cx="1504950" cy="31774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Finos</a:t>
          </a:r>
          <a:endParaRPr sz="1400" b="1"/>
        </a:p>
      </xdr:txBody>
    </xdr:sp>
    <xdr:clientData fLocksWithSheet="0"/>
  </xdr:oneCellAnchor>
  <xdr:oneCellAnchor>
    <xdr:from>
      <xdr:col>18</xdr:col>
      <xdr:colOff>144937</xdr:colOff>
      <xdr:row>25</xdr:row>
      <xdr:rowOff>21770</xdr:rowOff>
    </xdr:from>
    <xdr:ext cx="138094" cy="572105"/>
    <xdr:grpSp>
      <xdr:nvGrpSpPr>
        <xdr:cNvPr id="88" name="Shape 2">
          <a:extLst>
            <a:ext uri="{FF2B5EF4-FFF2-40B4-BE49-F238E27FC236}">
              <a16:creationId xmlns:a16="http://schemas.microsoft.com/office/drawing/2014/main" id="{A844CBB8-E0FC-FD4F-A0D5-DFB69EF4E710}"/>
            </a:ext>
          </a:extLst>
        </xdr:cNvPr>
        <xdr:cNvGrpSpPr/>
      </xdr:nvGrpSpPr>
      <xdr:grpSpPr>
        <a:xfrm rot="16200000">
          <a:off x="19607851" y="5247656"/>
          <a:ext cx="572105" cy="138094"/>
          <a:chOff x="4653476" y="3133423"/>
          <a:chExt cx="1340224" cy="665631"/>
        </a:xfrm>
      </xdr:grpSpPr>
      <xdr:grpSp>
        <xdr:nvGrpSpPr>
          <xdr:cNvPr id="89" name="Shape 155">
            <a:extLst>
              <a:ext uri="{FF2B5EF4-FFF2-40B4-BE49-F238E27FC236}">
                <a16:creationId xmlns:a16="http://schemas.microsoft.com/office/drawing/2014/main" id="{274ACCD5-FE24-ADD4-433C-78451067D739}"/>
              </a:ext>
            </a:extLst>
          </xdr:cNvPr>
          <xdr:cNvGrpSpPr/>
        </xdr:nvGrpSpPr>
        <xdr:grpSpPr>
          <a:xfrm>
            <a:off x="4653476" y="3133423"/>
            <a:ext cx="1340224" cy="665631"/>
            <a:chOff x="4653476" y="3617120"/>
            <a:chExt cx="1340224" cy="167718"/>
          </a:xfrm>
        </xdr:grpSpPr>
        <xdr:sp macro="" textlink="">
          <xdr:nvSpPr>
            <xdr:cNvPr id="90" name="Shape 6">
              <a:extLst>
                <a:ext uri="{FF2B5EF4-FFF2-40B4-BE49-F238E27FC236}">
                  <a16:creationId xmlns:a16="http://schemas.microsoft.com/office/drawing/2014/main" id="{FA8AB32B-9035-AEAF-4F3B-E8D32C03EE1A}"/>
                </a:ext>
              </a:extLst>
            </xdr:cNvPr>
            <xdr:cNvSpPr/>
          </xdr:nvSpPr>
          <xdr:spPr>
            <a:xfrm>
              <a:off x="4698300" y="3775238"/>
              <a:ext cx="1295400" cy="9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" name="Shape 156">
              <a:extLst>
                <a:ext uri="{FF2B5EF4-FFF2-40B4-BE49-F238E27FC236}">
                  <a16:creationId xmlns:a16="http://schemas.microsoft.com/office/drawing/2014/main" id="{1024852D-7C17-F04E-2528-46961405FA6D}"/>
                </a:ext>
              </a:extLst>
            </xdr:cNvPr>
            <xdr:cNvCxnSpPr/>
          </xdr:nvCxnSpPr>
          <xdr:spPr>
            <a:xfrm flipH="1">
              <a:off x="4653476" y="3617120"/>
              <a:ext cx="1295400" cy="9600"/>
            </a:xfrm>
            <a:prstGeom prst="straightConnector1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11</xdr:col>
      <xdr:colOff>430455</xdr:colOff>
      <xdr:row>7</xdr:row>
      <xdr:rowOff>100828</xdr:rowOff>
    </xdr:from>
    <xdr:ext cx="1504950" cy="317743"/>
    <xdr:sp macro="" textlink="">
      <xdr:nvSpPr>
        <xdr:cNvPr id="92" name="Shape 135">
          <a:extLst>
            <a:ext uri="{FF2B5EF4-FFF2-40B4-BE49-F238E27FC236}">
              <a16:creationId xmlns:a16="http://schemas.microsoft.com/office/drawing/2014/main" id="{B401857E-A7DB-A44D-9A77-E17AD1BBF796}"/>
            </a:ext>
          </a:extLst>
        </xdr:cNvPr>
        <xdr:cNvSpPr/>
      </xdr:nvSpPr>
      <xdr:spPr>
        <a:xfrm>
          <a:off x="13333655" y="1523228"/>
          <a:ext cx="1504950" cy="31774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Chip</a:t>
          </a:r>
          <a:endParaRPr sz="1400" b="1"/>
        </a:p>
      </xdr:txBody>
    </xdr:sp>
    <xdr:clientData fLocksWithSheet="0"/>
  </xdr:oneCellAnchor>
  <xdr:oneCellAnchor>
    <xdr:from>
      <xdr:col>20</xdr:col>
      <xdr:colOff>510617</xdr:colOff>
      <xdr:row>25</xdr:row>
      <xdr:rowOff>50167</xdr:rowOff>
    </xdr:from>
    <xdr:ext cx="55444" cy="559433"/>
    <xdr:grpSp>
      <xdr:nvGrpSpPr>
        <xdr:cNvPr id="93" name="Shape 2">
          <a:extLst>
            <a:ext uri="{FF2B5EF4-FFF2-40B4-BE49-F238E27FC236}">
              <a16:creationId xmlns:a16="http://schemas.microsoft.com/office/drawing/2014/main" id="{BC793DE6-6AA9-004E-86D0-5E462F3F5001}"/>
            </a:ext>
          </a:extLst>
        </xdr:cNvPr>
        <xdr:cNvGrpSpPr/>
      </xdr:nvGrpSpPr>
      <xdr:grpSpPr>
        <a:xfrm rot="16200000">
          <a:off x="22072142" y="5311042"/>
          <a:ext cx="559433" cy="55444"/>
          <a:chOff x="4653476" y="3133423"/>
          <a:chExt cx="1340224" cy="665631"/>
        </a:xfrm>
      </xdr:grpSpPr>
      <xdr:grpSp>
        <xdr:nvGrpSpPr>
          <xdr:cNvPr id="94" name="Shape 155">
            <a:extLst>
              <a:ext uri="{FF2B5EF4-FFF2-40B4-BE49-F238E27FC236}">
                <a16:creationId xmlns:a16="http://schemas.microsoft.com/office/drawing/2014/main" id="{A01EC738-5B34-2C71-EA6C-6E637FC6DA1B}"/>
              </a:ext>
            </a:extLst>
          </xdr:cNvPr>
          <xdr:cNvGrpSpPr/>
        </xdr:nvGrpSpPr>
        <xdr:grpSpPr>
          <a:xfrm>
            <a:off x="4653476" y="3133423"/>
            <a:ext cx="1340224" cy="665631"/>
            <a:chOff x="4653476" y="3617120"/>
            <a:chExt cx="1340224" cy="167718"/>
          </a:xfrm>
        </xdr:grpSpPr>
        <xdr:sp macro="" textlink="">
          <xdr:nvSpPr>
            <xdr:cNvPr id="95" name="Shape 6">
              <a:extLst>
                <a:ext uri="{FF2B5EF4-FFF2-40B4-BE49-F238E27FC236}">
                  <a16:creationId xmlns:a16="http://schemas.microsoft.com/office/drawing/2014/main" id="{FC7D4BE1-7F4C-3D92-016D-7BB437440B80}"/>
                </a:ext>
              </a:extLst>
            </xdr:cNvPr>
            <xdr:cNvSpPr/>
          </xdr:nvSpPr>
          <xdr:spPr>
            <a:xfrm>
              <a:off x="4698300" y="3775238"/>
              <a:ext cx="1295400" cy="9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" name="Shape 156">
              <a:extLst>
                <a:ext uri="{FF2B5EF4-FFF2-40B4-BE49-F238E27FC236}">
                  <a16:creationId xmlns:a16="http://schemas.microsoft.com/office/drawing/2014/main" id="{F1904935-709A-EDD5-3E73-E0CDF57C573F}"/>
                </a:ext>
              </a:extLst>
            </xdr:cNvPr>
            <xdr:cNvCxnSpPr/>
          </xdr:nvCxnSpPr>
          <xdr:spPr>
            <a:xfrm flipH="1">
              <a:off x="4653476" y="3617120"/>
              <a:ext cx="1295400" cy="9600"/>
            </a:xfrm>
            <a:prstGeom prst="straightConnector1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twoCellAnchor>
    <xdr:from>
      <xdr:col>22</xdr:col>
      <xdr:colOff>816428</xdr:colOff>
      <xdr:row>16</xdr:row>
      <xdr:rowOff>185057</xdr:rowOff>
    </xdr:from>
    <xdr:to>
      <xdr:col>22</xdr:col>
      <xdr:colOff>816429</xdr:colOff>
      <xdr:row>25</xdr:row>
      <xdr:rowOff>108856</xdr:rowOff>
    </xdr:to>
    <xdr:cxnSp macro="">
      <xdr:nvCxnSpPr>
        <xdr:cNvPr id="97" name="Conector recto de flecha 626">
          <a:extLst>
            <a:ext uri="{FF2B5EF4-FFF2-40B4-BE49-F238E27FC236}">
              <a16:creationId xmlns:a16="http://schemas.microsoft.com/office/drawing/2014/main" id="{56B38F3F-31DB-1D4C-8204-D08E4D63564C}"/>
            </a:ext>
          </a:extLst>
        </xdr:cNvPr>
        <xdr:cNvCxnSpPr/>
      </xdr:nvCxnSpPr>
      <xdr:spPr>
        <a:xfrm flipH="1">
          <a:off x="25162328" y="3398157"/>
          <a:ext cx="1" cy="16890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745677</xdr:colOff>
      <xdr:row>10</xdr:row>
      <xdr:rowOff>141514</xdr:rowOff>
    </xdr:from>
    <xdr:to>
      <xdr:col>20</xdr:col>
      <xdr:colOff>754949</xdr:colOff>
      <xdr:row>15</xdr:row>
      <xdr:rowOff>2795</xdr:rowOff>
    </xdr:to>
    <xdr:cxnSp macro="">
      <xdr:nvCxnSpPr>
        <xdr:cNvPr id="98" name="Conector recto de flecha 630">
          <a:extLst>
            <a:ext uri="{FF2B5EF4-FFF2-40B4-BE49-F238E27FC236}">
              <a16:creationId xmlns:a16="http://schemas.microsoft.com/office/drawing/2014/main" id="{B97A852D-740A-6040-9863-227FAEED30EA}"/>
            </a:ext>
          </a:extLst>
        </xdr:cNvPr>
        <xdr:cNvCxnSpPr>
          <a:stCxn id="147" idx="3"/>
          <a:endCxn id="34" idx="0"/>
        </xdr:cNvCxnSpPr>
      </xdr:nvCxnSpPr>
      <xdr:spPr>
        <a:xfrm flipH="1">
          <a:off x="22538877" y="2173514"/>
          <a:ext cx="9272" cy="8518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665608</xdr:colOff>
      <xdr:row>10</xdr:row>
      <xdr:rowOff>174173</xdr:rowOff>
    </xdr:from>
    <xdr:to>
      <xdr:col>22</xdr:col>
      <xdr:colOff>667864</xdr:colOff>
      <xdr:row>14</xdr:row>
      <xdr:rowOff>67172</xdr:rowOff>
    </xdr:to>
    <xdr:cxnSp macro="">
      <xdr:nvCxnSpPr>
        <xdr:cNvPr id="99" name="Conector recto de flecha 631">
          <a:extLst>
            <a:ext uri="{FF2B5EF4-FFF2-40B4-BE49-F238E27FC236}">
              <a16:creationId xmlns:a16="http://schemas.microsoft.com/office/drawing/2014/main" id="{9D5EE103-53A0-D741-8F16-0772D3B3C84A}"/>
            </a:ext>
          </a:extLst>
        </xdr:cNvPr>
        <xdr:cNvCxnSpPr>
          <a:stCxn id="148" idx="3"/>
          <a:endCxn id="33" idx="0"/>
        </xdr:cNvCxnSpPr>
      </xdr:nvCxnSpPr>
      <xdr:spPr>
        <a:xfrm flipH="1">
          <a:off x="25011508" y="2206173"/>
          <a:ext cx="2256" cy="6803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185057</xdr:colOff>
      <xdr:row>5</xdr:row>
      <xdr:rowOff>167407</xdr:rowOff>
    </xdr:from>
    <xdr:to>
      <xdr:col>11</xdr:col>
      <xdr:colOff>113633</xdr:colOff>
      <xdr:row>6</xdr:row>
      <xdr:rowOff>130628</xdr:rowOff>
    </xdr:to>
    <xdr:cxnSp macro="">
      <xdr:nvCxnSpPr>
        <xdr:cNvPr id="100" name="Conector: angular 633">
          <a:extLst>
            <a:ext uri="{FF2B5EF4-FFF2-40B4-BE49-F238E27FC236}">
              <a16:creationId xmlns:a16="http://schemas.microsoft.com/office/drawing/2014/main" id="{3A36C8F6-A905-7B43-8A97-E1AA5782EE67}"/>
            </a:ext>
          </a:extLst>
        </xdr:cNvPr>
        <xdr:cNvCxnSpPr>
          <a:endCxn id="35" idx="3"/>
        </xdr:cNvCxnSpPr>
      </xdr:nvCxnSpPr>
      <xdr:spPr>
        <a:xfrm flipV="1">
          <a:off x="6903357" y="1183407"/>
          <a:ext cx="6113476" cy="16642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557455</xdr:colOff>
      <xdr:row>7</xdr:row>
      <xdr:rowOff>100829</xdr:rowOff>
    </xdr:from>
    <xdr:ext cx="1504950" cy="317743"/>
    <xdr:sp macro="" textlink="">
      <xdr:nvSpPr>
        <xdr:cNvPr id="101" name="Shape 135">
          <a:extLst>
            <a:ext uri="{FF2B5EF4-FFF2-40B4-BE49-F238E27FC236}">
              <a16:creationId xmlns:a16="http://schemas.microsoft.com/office/drawing/2014/main" id="{02AF371E-C8F5-C445-9C73-6E589597F1DD}"/>
            </a:ext>
          </a:extLst>
        </xdr:cNvPr>
        <xdr:cNvSpPr/>
      </xdr:nvSpPr>
      <xdr:spPr>
        <a:xfrm>
          <a:off x="14260755" y="1523229"/>
          <a:ext cx="1504950" cy="31774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Chunk</a:t>
          </a:r>
          <a:endParaRPr sz="1400" b="1"/>
        </a:p>
      </xdr:txBody>
    </xdr:sp>
    <xdr:clientData fLocksWithSheet="0"/>
  </xdr:oneCellAnchor>
  <xdr:twoCellAnchor>
    <xdr:from>
      <xdr:col>10</xdr:col>
      <xdr:colOff>947057</xdr:colOff>
      <xdr:row>7</xdr:row>
      <xdr:rowOff>16933</xdr:rowOff>
    </xdr:from>
    <xdr:to>
      <xdr:col>10</xdr:col>
      <xdr:colOff>948266</xdr:colOff>
      <xdr:row>9</xdr:row>
      <xdr:rowOff>152400</xdr:rowOff>
    </xdr:to>
    <xdr:cxnSp macro="">
      <xdr:nvCxnSpPr>
        <xdr:cNvPr id="102" name="Conector recto de flecha 640">
          <a:extLst>
            <a:ext uri="{FF2B5EF4-FFF2-40B4-BE49-F238E27FC236}">
              <a16:creationId xmlns:a16="http://schemas.microsoft.com/office/drawing/2014/main" id="{8725556E-0978-9B4C-8460-4CE0FE4A6EF4}"/>
            </a:ext>
          </a:extLst>
        </xdr:cNvPr>
        <xdr:cNvCxnSpPr/>
      </xdr:nvCxnSpPr>
      <xdr:spPr>
        <a:xfrm flipV="1">
          <a:off x="12618357" y="1439333"/>
          <a:ext cx="1209" cy="5418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508000</xdr:colOff>
      <xdr:row>4</xdr:row>
      <xdr:rowOff>16933</xdr:rowOff>
    </xdr:from>
    <xdr:to>
      <xdr:col>12</xdr:col>
      <xdr:colOff>448733</xdr:colOff>
      <xdr:row>4</xdr:row>
      <xdr:rowOff>16933</xdr:rowOff>
    </xdr:to>
    <xdr:cxnSp macro="">
      <xdr:nvCxnSpPr>
        <xdr:cNvPr id="103" name="Conector recto de flecha 644">
          <a:extLst>
            <a:ext uri="{FF2B5EF4-FFF2-40B4-BE49-F238E27FC236}">
              <a16:creationId xmlns:a16="http://schemas.microsoft.com/office/drawing/2014/main" id="{862AD80C-FA39-6449-AC79-233B341B2B8F}"/>
            </a:ext>
          </a:extLst>
        </xdr:cNvPr>
        <xdr:cNvCxnSpPr/>
      </xdr:nvCxnSpPr>
      <xdr:spPr>
        <a:xfrm>
          <a:off x="13411200" y="829733"/>
          <a:ext cx="74083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256241</xdr:colOff>
      <xdr:row>11</xdr:row>
      <xdr:rowOff>164713</xdr:rowOff>
    </xdr:from>
    <xdr:ext cx="1422364" cy="209103"/>
    <xdr:sp macro="" textlink="">
      <xdr:nvSpPr>
        <xdr:cNvPr id="104" name="Shape 164">
          <a:extLst>
            <a:ext uri="{FF2B5EF4-FFF2-40B4-BE49-F238E27FC236}">
              <a16:creationId xmlns:a16="http://schemas.microsoft.com/office/drawing/2014/main" id="{CFB4B7C6-C457-8243-B241-00060426F9D1}"/>
            </a:ext>
          </a:extLst>
        </xdr:cNvPr>
        <xdr:cNvSpPr/>
      </xdr:nvSpPr>
      <xdr:spPr>
        <a:xfrm>
          <a:off x="6022041" y="2399913"/>
          <a:ext cx="1422364" cy="2091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Delta Inventario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twoCellAnchor>
    <xdr:from>
      <xdr:col>10</xdr:col>
      <xdr:colOff>166255</xdr:colOff>
      <xdr:row>32</xdr:row>
      <xdr:rowOff>124691</xdr:rowOff>
    </xdr:from>
    <xdr:to>
      <xdr:col>10</xdr:col>
      <xdr:colOff>166255</xdr:colOff>
      <xdr:row>35</xdr:row>
      <xdr:rowOff>13854</xdr:rowOff>
    </xdr:to>
    <xdr:cxnSp macro="">
      <xdr:nvCxnSpPr>
        <xdr:cNvPr id="106" name="Conector recto de flecha 655">
          <a:extLst>
            <a:ext uri="{FF2B5EF4-FFF2-40B4-BE49-F238E27FC236}">
              <a16:creationId xmlns:a16="http://schemas.microsoft.com/office/drawing/2014/main" id="{4B89F806-4AFA-2F48-9E90-1E9BBAB309E9}"/>
            </a:ext>
          </a:extLst>
        </xdr:cNvPr>
        <xdr:cNvCxnSpPr/>
      </xdr:nvCxnSpPr>
      <xdr:spPr>
        <a:xfrm>
          <a:off x="11837555" y="6436591"/>
          <a:ext cx="0" cy="4606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43543</xdr:colOff>
      <xdr:row>37</xdr:row>
      <xdr:rowOff>41564</xdr:rowOff>
    </xdr:from>
    <xdr:to>
      <xdr:col>12</xdr:col>
      <xdr:colOff>803563</xdr:colOff>
      <xdr:row>37</xdr:row>
      <xdr:rowOff>43543</xdr:rowOff>
    </xdr:to>
    <xdr:cxnSp macro="">
      <xdr:nvCxnSpPr>
        <xdr:cNvPr id="107" name="Conector recto de flecha 658">
          <a:extLst>
            <a:ext uri="{FF2B5EF4-FFF2-40B4-BE49-F238E27FC236}">
              <a16:creationId xmlns:a16="http://schemas.microsoft.com/office/drawing/2014/main" id="{75146A5D-0C89-FB45-92D5-72BF878DDE50}"/>
            </a:ext>
          </a:extLst>
        </xdr:cNvPr>
        <xdr:cNvCxnSpPr/>
      </xdr:nvCxnSpPr>
      <xdr:spPr>
        <a:xfrm flipV="1">
          <a:off x="13746843" y="7305964"/>
          <a:ext cx="760020" cy="19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373216</xdr:colOff>
      <xdr:row>32</xdr:row>
      <xdr:rowOff>196354</xdr:rowOff>
    </xdr:from>
    <xdr:ext cx="1333500" cy="156071"/>
    <xdr:sp macro="" textlink="">
      <xdr:nvSpPr>
        <xdr:cNvPr id="108" name="Shape 99">
          <a:extLst>
            <a:ext uri="{FF2B5EF4-FFF2-40B4-BE49-F238E27FC236}">
              <a16:creationId xmlns:a16="http://schemas.microsoft.com/office/drawing/2014/main" id="{344EF916-761E-C944-8A5E-6C5530E81279}"/>
            </a:ext>
          </a:extLst>
        </xdr:cNvPr>
        <xdr:cNvSpPr/>
      </xdr:nvSpPr>
      <xdr:spPr>
        <a:xfrm>
          <a:off x="15029016" y="6508254"/>
          <a:ext cx="1333500" cy="1560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Oxidación</a:t>
          </a:r>
          <a:endParaRPr sz="1400"/>
        </a:p>
      </xdr:txBody>
    </xdr:sp>
    <xdr:clientData fLocksWithSheet="0"/>
  </xdr:oneCellAnchor>
  <xdr:twoCellAnchor>
    <xdr:from>
      <xdr:col>13</xdr:col>
      <xdr:colOff>665019</xdr:colOff>
      <xdr:row>33</xdr:row>
      <xdr:rowOff>13855</xdr:rowOff>
    </xdr:from>
    <xdr:to>
      <xdr:col>13</xdr:col>
      <xdr:colOff>665019</xdr:colOff>
      <xdr:row>35</xdr:row>
      <xdr:rowOff>96981</xdr:rowOff>
    </xdr:to>
    <xdr:cxnSp macro="">
      <xdr:nvCxnSpPr>
        <xdr:cNvPr id="109" name="Conector recto de flecha 660">
          <a:extLst>
            <a:ext uri="{FF2B5EF4-FFF2-40B4-BE49-F238E27FC236}">
              <a16:creationId xmlns:a16="http://schemas.microsoft.com/office/drawing/2014/main" id="{671C70D9-D4C2-C045-BA41-A0ED6A9577CA}"/>
            </a:ext>
          </a:extLst>
        </xdr:cNvPr>
        <xdr:cNvCxnSpPr/>
      </xdr:nvCxnSpPr>
      <xdr:spPr>
        <a:xfrm>
          <a:off x="15320819" y="6516255"/>
          <a:ext cx="0" cy="4641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849526</xdr:colOff>
      <xdr:row>43</xdr:row>
      <xdr:rowOff>55480</xdr:rowOff>
    </xdr:from>
    <xdr:ext cx="2446693" cy="800100"/>
    <xdr:grpSp>
      <xdr:nvGrpSpPr>
        <xdr:cNvPr id="110" name="Shape 2">
          <a:extLst>
            <a:ext uri="{FF2B5EF4-FFF2-40B4-BE49-F238E27FC236}">
              <a16:creationId xmlns:a16="http://schemas.microsoft.com/office/drawing/2014/main" id="{358255F1-E3EB-5745-9956-48DBD4890154}"/>
            </a:ext>
          </a:extLst>
        </xdr:cNvPr>
        <xdr:cNvGrpSpPr/>
      </xdr:nvGrpSpPr>
      <xdr:grpSpPr>
        <a:xfrm>
          <a:off x="14565526" y="8539080"/>
          <a:ext cx="2446693" cy="800100"/>
          <a:chOff x="3860100" y="3379950"/>
          <a:chExt cx="2971801" cy="800101"/>
        </a:xfrm>
      </xdr:grpSpPr>
      <xdr:grpSp>
        <xdr:nvGrpSpPr>
          <xdr:cNvPr id="111" name="Shape 102">
            <a:extLst>
              <a:ext uri="{FF2B5EF4-FFF2-40B4-BE49-F238E27FC236}">
                <a16:creationId xmlns:a16="http://schemas.microsoft.com/office/drawing/2014/main" id="{94E01BFE-63A5-CAB5-7A4F-5717C7C3F61C}"/>
              </a:ext>
            </a:extLst>
          </xdr:cNvPr>
          <xdr:cNvGrpSpPr/>
        </xdr:nvGrpSpPr>
        <xdr:grpSpPr>
          <a:xfrm>
            <a:off x="3860100" y="3379950"/>
            <a:ext cx="2971801" cy="800101"/>
            <a:chOff x="3860100" y="3379950"/>
            <a:chExt cx="2971801" cy="800102"/>
          </a:xfrm>
        </xdr:grpSpPr>
        <xdr:sp macro="" textlink="">
          <xdr:nvSpPr>
            <xdr:cNvPr id="112" name="Shape 6">
              <a:extLst>
                <a:ext uri="{FF2B5EF4-FFF2-40B4-BE49-F238E27FC236}">
                  <a16:creationId xmlns:a16="http://schemas.microsoft.com/office/drawing/2014/main" id="{139713BE-F61A-DF29-AF26-97D3D5E2ECD0}"/>
                </a:ext>
              </a:extLst>
            </xdr:cNvPr>
            <xdr:cNvSpPr/>
          </xdr:nvSpPr>
          <xdr:spPr>
            <a:xfrm>
              <a:off x="3860100" y="3379950"/>
              <a:ext cx="2971800" cy="800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" name="Shape 103">
              <a:extLst>
                <a:ext uri="{FF2B5EF4-FFF2-40B4-BE49-F238E27FC236}">
                  <a16:creationId xmlns:a16="http://schemas.microsoft.com/office/drawing/2014/main" id="{A81CC360-C75B-989E-0E34-91739853184E}"/>
                </a:ext>
              </a:extLst>
            </xdr:cNvPr>
            <xdr:cNvGrpSpPr/>
          </xdr:nvGrpSpPr>
          <xdr:grpSpPr>
            <a:xfrm>
              <a:off x="3860100" y="3379950"/>
              <a:ext cx="2971800" cy="800102"/>
              <a:chOff x="4085457" y="9822544"/>
              <a:chExt cx="1305065" cy="457876"/>
            </a:xfrm>
          </xdr:grpSpPr>
          <xdr:sp macro="" textlink="">
            <xdr:nvSpPr>
              <xdr:cNvPr id="114" name="Shape 104">
                <a:extLst>
                  <a:ext uri="{FF2B5EF4-FFF2-40B4-BE49-F238E27FC236}">
                    <a16:creationId xmlns:a16="http://schemas.microsoft.com/office/drawing/2014/main" id="{79295DCD-7216-0FDE-C1DA-484D51610B0F}"/>
                  </a:ext>
                </a:extLst>
              </xdr:cNvPr>
              <xdr:cNvSpPr/>
            </xdr:nvSpPr>
            <xdr:spPr>
              <a:xfrm>
                <a:off x="4085457" y="9822544"/>
                <a:ext cx="1305050" cy="457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15" name="Shape 87">
                <a:extLst>
                  <a:ext uri="{FF2B5EF4-FFF2-40B4-BE49-F238E27FC236}">
                    <a16:creationId xmlns:a16="http://schemas.microsoft.com/office/drawing/2014/main" id="{BDFD6401-C182-2086-B143-8F1AF266F8B9}"/>
                  </a:ext>
                </a:extLst>
              </xdr:cNvPr>
              <xdr:cNvSpPr/>
            </xdr:nvSpPr>
            <xdr:spPr>
              <a:xfrm>
                <a:off x="4085457" y="9875470"/>
                <a:ext cx="1280160" cy="353545"/>
              </a:xfrm>
              <a:prstGeom prst="rect">
                <a:avLst/>
              </a:prstGeom>
              <a:noFill/>
              <a:ln w="12700" cap="flat" cmpd="sng">
                <a:solidFill>
                  <a:srgbClr val="31538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000"/>
                  <a:buFont typeface="Calibri"/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Harnero Producto</a:t>
                </a:r>
                <a:endParaRPr sz="1400"/>
              </a:p>
            </xdr:txBody>
          </xdr:sp>
          <xdr:sp macro="" textlink="">
            <xdr:nvSpPr>
              <xdr:cNvPr id="116" name="Shape 105">
                <a:extLst>
                  <a:ext uri="{FF2B5EF4-FFF2-40B4-BE49-F238E27FC236}">
                    <a16:creationId xmlns:a16="http://schemas.microsoft.com/office/drawing/2014/main" id="{233D0A57-2048-73C9-5773-9858B88FC670}"/>
                  </a:ext>
                </a:extLst>
              </xdr:cNvPr>
              <xdr:cNvSpPr/>
            </xdr:nvSpPr>
            <xdr:spPr>
              <a:xfrm>
                <a:off x="5228893" y="9822544"/>
                <a:ext cx="154154" cy="158985"/>
              </a:xfrm>
              <a:prstGeom prst="ellipse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17" name="Shape 106">
                <a:extLst>
                  <a:ext uri="{FF2B5EF4-FFF2-40B4-BE49-F238E27FC236}">
                    <a16:creationId xmlns:a16="http://schemas.microsoft.com/office/drawing/2014/main" id="{747F93A4-5AEC-627C-E94D-DDC004C3AC4D}"/>
                  </a:ext>
                </a:extLst>
              </xdr:cNvPr>
              <xdr:cNvSpPr/>
            </xdr:nvSpPr>
            <xdr:spPr>
              <a:xfrm>
                <a:off x="5228893" y="9937464"/>
                <a:ext cx="154154" cy="158985"/>
              </a:xfrm>
              <a:prstGeom prst="ellipse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18" name="Shape 107">
                <a:extLst>
                  <a:ext uri="{FF2B5EF4-FFF2-40B4-BE49-F238E27FC236}">
                    <a16:creationId xmlns:a16="http://schemas.microsoft.com/office/drawing/2014/main" id="{250ABD4E-DEA1-5984-4F81-B196114CA4E1}"/>
                  </a:ext>
                </a:extLst>
              </xdr:cNvPr>
              <xdr:cNvSpPr/>
            </xdr:nvSpPr>
            <xdr:spPr>
              <a:xfrm>
                <a:off x="5221417" y="10029468"/>
                <a:ext cx="169105" cy="158985"/>
              </a:xfrm>
              <a:prstGeom prst="ellipse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19" name="Shape 108">
                <a:extLst>
                  <a:ext uri="{FF2B5EF4-FFF2-40B4-BE49-F238E27FC236}">
                    <a16:creationId xmlns:a16="http://schemas.microsoft.com/office/drawing/2014/main" id="{66E010D2-CD57-B775-0DAD-49F8F61E7FC9}"/>
                  </a:ext>
                </a:extLst>
              </xdr:cNvPr>
              <xdr:cNvSpPr/>
            </xdr:nvSpPr>
            <xdr:spPr>
              <a:xfrm>
                <a:off x="5228892" y="10121435"/>
                <a:ext cx="154154" cy="158985"/>
              </a:xfrm>
              <a:prstGeom prst="ellipse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twoCellAnchor>
    <xdr:from>
      <xdr:col>14</xdr:col>
      <xdr:colOff>318654</xdr:colOff>
      <xdr:row>39</xdr:row>
      <xdr:rowOff>180109</xdr:rowOff>
    </xdr:from>
    <xdr:to>
      <xdr:col>14</xdr:col>
      <xdr:colOff>327185</xdr:colOff>
      <xdr:row>43</xdr:row>
      <xdr:rowOff>55480</xdr:rowOff>
    </xdr:to>
    <xdr:cxnSp macro="">
      <xdr:nvCxnSpPr>
        <xdr:cNvPr id="120" name="Conector recto de flecha 671">
          <a:extLst>
            <a:ext uri="{FF2B5EF4-FFF2-40B4-BE49-F238E27FC236}">
              <a16:creationId xmlns:a16="http://schemas.microsoft.com/office/drawing/2014/main" id="{02168703-FCA0-B048-9D53-A450ED41CADC}"/>
            </a:ext>
          </a:extLst>
        </xdr:cNvPr>
        <xdr:cNvCxnSpPr>
          <a:endCxn id="114" idx="0"/>
        </xdr:cNvCxnSpPr>
      </xdr:nvCxnSpPr>
      <xdr:spPr>
        <a:xfrm>
          <a:off x="15965054" y="7825509"/>
          <a:ext cx="8531" cy="6373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519792</xdr:colOff>
      <xdr:row>48</xdr:row>
      <xdr:rowOff>33097</xdr:rowOff>
    </xdr:from>
    <xdr:ext cx="1232037" cy="717114"/>
    <xdr:sp macro="" textlink="">
      <xdr:nvSpPr>
        <xdr:cNvPr id="121" name="Shape 68">
          <a:extLst>
            <a:ext uri="{FF2B5EF4-FFF2-40B4-BE49-F238E27FC236}">
              <a16:creationId xmlns:a16="http://schemas.microsoft.com/office/drawing/2014/main" id="{1390F20B-9BC9-BE47-ADFB-D75E2DA48CCE}"/>
            </a:ext>
          </a:extLst>
        </xdr:cNvPr>
        <xdr:cNvSpPr/>
      </xdr:nvSpPr>
      <xdr:spPr>
        <a:xfrm>
          <a:off x="15175592" y="9392997"/>
          <a:ext cx="1232037" cy="717114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13</xdr:col>
      <xdr:colOff>96982</xdr:colOff>
      <xdr:row>50</xdr:row>
      <xdr:rowOff>0</xdr:rowOff>
    </xdr:from>
    <xdr:to>
      <xdr:col>13</xdr:col>
      <xdr:colOff>544286</xdr:colOff>
      <xdr:row>50</xdr:row>
      <xdr:rowOff>0</xdr:rowOff>
    </xdr:to>
    <xdr:cxnSp macro="">
      <xdr:nvCxnSpPr>
        <xdr:cNvPr id="122" name="Conector recto de flecha 674">
          <a:extLst>
            <a:ext uri="{FF2B5EF4-FFF2-40B4-BE49-F238E27FC236}">
              <a16:creationId xmlns:a16="http://schemas.microsoft.com/office/drawing/2014/main" id="{67FFC6DE-725D-4A43-BEAA-22BFDB373BED}"/>
            </a:ext>
          </a:extLst>
        </xdr:cNvPr>
        <xdr:cNvCxnSpPr/>
      </xdr:nvCxnSpPr>
      <xdr:spPr>
        <a:xfrm flipH="1">
          <a:off x="14752782" y="9740900"/>
          <a:ext cx="4473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708681</xdr:colOff>
      <xdr:row>45</xdr:row>
      <xdr:rowOff>103634</xdr:rowOff>
    </xdr:from>
    <xdr:ext cx="1476375" cy="314325"/>
    <xdr:sp macro="" textlink="">
      <xdr:nvSpPr>
        <xdr:cNvPr id="123" name="Shape 90">
          <a:extLst>
            <a:ext uri="{FF2B5EF4-FFF2-40B4-BE49-F238E27FC236}">
              <a16:creationId xmlns:a16="http://schemas.microsoft.com/office/drawing/2014/main" id="{651D6C20-2DAF-B243-905B-DC52AB22A438}"/>
            </a:ext>
          </a:extLst>
        </xdr:cNvPr>
        <xdr:cNvSpPr/>
      </xdr:nvSpPr>
      <xdr:spPr>
        <a:xfrm>
          <a:off x="17383781" y="8892034"/>
          <a:ext cx="14763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Chip</a:t>
          </a:r>
          <a:endParaRPr sz="1400"/>
        </a:p>
      </xdr:txBody>
    </xdr:sp>
    <xdr:clientData fLocksWithSheet="0"/>
  </xdr:oneCellAnchor>
  <xdr:twoCellAnchor>
    <xdr:from>
      <xdr:col>18</xdr:col>
      <xdr:colOff>583796</xdr:colOff>
      <xdr:row>43</xdr:row>
      <xdr:rowOff>-1</xdr:rowOff>
    </xdr:from>
    <xdr:to>
      <xdr:col>21</xdr:col>
      <xdr:colOff>204108</xdr:colOff>
      <xdr:row>48</xdr:row>
      <xdr:rowOff>59228</xdr:rowOff>
    </xdr:to>
    <xdr:sp macro="" textlink="">
      <xdr:nvSpPr>
        <xdr:cNvPr id="124" name="Elipse 678">
          <a:extLst>
            <a:ext uri="{FF2B5EF4-FFF2-40B4-BE49-F238E27FC236}">
              <a16:creationId xmlns:a16="http://schemas.microsoft.com/office/drawing/2014/main" id="{C5C70AA8-0B35-594F-9E42-D6CBA6B5D8F9}"/>
            </a:ext>
          </a:extLst>
        </xdr:cNvPr>
        <xdr:cNvSpPr/>
      </xdr:nvSpPr>
      <xdr:spPr>
        <a:xfrm>
          <a:off x="20243396" y="8407399"/>
          <a:ext cx="2896912" cy="1011729"/>
        </a:xfrm>
        <a:prstGeom prst="ellipse">
          <a:avLst/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rtlCol="0" anchor="ctr" anchorCtr="0">
          <a:noAutofit/>
        </a:bodyPr>
        <a:lstStyle/>
        <a:p>
          <a:pPr mar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endParaRPr lang="es-CL" sz="10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15</xdr:col>
      <xdr:colOff>694826</xdr:colOff>
      <xdr:row>44</xdr:row>
      <xdr:rowOff>90714</xdr:rowOff>
    </xdr:from>
    <xdr:to>
      <xdr:col>18</xdr:col>
      <xdr:colOff>453571</xdr:colOff>
      <xdr:row>44</xdr:row>
      <xdr:rowOff>95738</xdr:rowOff>
    </xdr:to>
    <xdr:cxnSp macro="">
      <xdr:nvCxnSpPr>
        <xdr:cNvPr id="125" name="Conector recto de flecha 680">
          <a:extLst>
            <a:ext uri="{FF2B5EF4-FFF2-40B4-BE49-F238E27FC236}">
              <a16:creationId xmlns:a16="http://schemas.microsoft.com/office/drawing/2014/main" id="{12705CEA-31DC-974E-96D1-7424E0D8EE80}"/>
            </a:ext>
          </a:extLst>
        </xdr:cNvPr>
        <xdr:cNvCxnSpPr>
          <a:cxnSpLocks/>
        </xdr:cNvCxnSpPr>
      </xdr:nvCxnSpPr>
      <xdr:spPr>
        <a:xfrm flipV="1">
          <a:off x="17386255" y="8765268"/>
          <a:ext cx="2752316" cy="50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1032410</xdr:colOff>
      <xdr:row>47</xdr:row>
      <xdr:rowOff>88515</xdr:rowOff>
    </xdr:from>
    <xdr:ext cx="1232037" cy="717114"/>
    <xdr:sp macro="" textlink="">
      <xdr:nvSpPr>
        <xdr:cNvPr id="127" name="Shape 68">
          <a:extLst>
            <a:ext uri="{FF2B5EF4-FFF2-40B4-BE49-F238E27FC236}">
              <a16:creationId xmlns:a16="http://schemas.microsoft.com/office/drawing/2014/main" id="{CAD28C37-3355-4A43-AC2E-A8CFE25AEF80}"/>
            </a:ext>
          </a:extLst>
        </xdr:cNvPr>
        <xdr:cNvSpPr/>
      </xdr:nvSpPr>
      <xdr:spPr>
        <a:xfrm>
          <a:off x="5490110" y="9257915"/>
          <a:ext cx="1232037" cy="717114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3</xdr:col>
      <xdr:colOff>851536</xdr:colOff>
      <xdr:row>45</xdr:row>
      <xdr:rowOff>101173</xdr:rowOff>
    </xdr:from>
    <xdr:to>
      <xdr:col>5</xdr:col>
      <xdr:colOff>162784</xdr:colOff>
      <xdr:row>49</xdr:row>
      <xdr:rowOff>59145</xdr:rowOff>
    </xdr:to>
    <xdr:cxnSp macro="">
      <xdr:nvCxnSpPr>
        <xdr:cNvPr id="128" name="Conector: angular 694">
          <a:extLst>
            <a:ext uri="{FF2B5EF4-FFF2-40B4-BE49-F238E27FC236}">
              <a16:creationId xmlns:a16="http://schemas.microsoft.com/office/drawing/2014/main" id="{89C3112A-6649-074D-AA95-80DF03A53E75}"/>
            </a:ext>
          </a:extLst>
        </xdr:cNvPr>
        <xdr:cNvCxnSpPr>
          <a:cxnSpLocks/>
          <a:stCxn id="127" idx="1"/>
        </xdr:cNvCxnSpPr>
      </xdr:nvCxnSpPr>
      <xdr:spPr>
        <a:xfrm rot="10800000">
          <a:off x="2985136" y="8889573"/>
          <a:ext cx="2943448" cy="719972"/>
        </a:xfrm>
        <a:prstGeom prst="bentConnector3">
          <a:avLst>
            <a:gd name="adj1" fmla="val 10047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398814</xdr:colOff>
      <xdr:row>39</xdr:row>
      <xdr:rowOff>44532</xdr:rowOff>
    </xdr:from>
    <xdr:to>
      <xdr:col>5</xdr:col>
      <xdr:colOff>107868</xdr:colOff>
      <xdr:row>45</xdr:row>
      <xdr:rowOff>16823</xdr:rowOff>
    </xdr:to>
    <xdr:sp macro="" textlink="">
      <xdr:nvSpPr>
        <xdr:cNvPr id="129" name="Triángulo isósceles 702">
          <a:extLst>
            <a:ext uri="{FF2B5EF4-FFF2-40B4-BE49-F238E27FC236}">
              <a16:creationId xmlns:a16="http://schemas.microsoft.com/office/drawing/2014/main" id="{48CEF3B3-462B-7047-942B-C5721CAD6F05}"/>
            </a:ext>
          </a:extLst>
        </xdr:cNvPr>
        <xdr:cNvSpPr/>
      </xdr:nvSpPr>
      <xdr:spPr>
        <a:xfrm>
          <a:off x="2532414" y="7689932"/>
          <a:ext cx="3341254" cy="1115291"/>
        </a:xfrm>
        <a:prstGeom prst="triangle">
          <a:avLst/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rtlCol="0" anchor="ctr" anchorCtr="0">
          <a:noAutofit/>
        </a:bodyPr>
        <a:lstStyle/>
        <a:p>
          <a:pPr mar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endParaRPr lang="es-CL" sz="10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4</xdr:col>
      <xdr:colOff>1066800</xdr:colOff>
      <xdr:row>42</xdr:row>
      <xdr:rowOff>82138</xdr:rowOff>
    </xdr:from>
    <xdr:to>
      <xdr:col>6</xdr:col>
      <xdr:colOff>24740</xdr:colOff>
      <xdr:row>42</xdr:row>
      <xdr:rowOff>97972</xdr:rowOff>
    </xdr:to>
    <xdr:cxnSp macro="">
      <xdr:nvCxnSpPr>
        <xdr:cNvPr id="130" name="Conector recto de flecha 704">
          <a:extLst>
            <a:ext uri="{FF2B5EF4-FFF2-40B4-BE49-F238E27FC236}">
              <a16:creationId xmlns:a16="http://schemas.microsoft.com/office/drawing/2014/main" id="{CD1DA90C-3661-274A-8351-F5401D35C362}"/>
            </a:ext>
          </a:extLst>
        </xdr:cNvPr>
        <xdr:cNvCxnSpPr/>
      </xdr:nvCxnSpPr>
      <xdr:spPr>
        <a:xfrm flipH="1">
          <a:off x="5524500" y="8299038"/>
          <a:ext cx="1218540" cy="158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623455</xdr:colOff>
      <xdr:row>41</xdr:row>
      <xdr:rowOff>0</xdr:rowOff>
    </xdr:from>
    <xdr:to>
      <xdr:col>4</xdr:col>
      <xdr:colOff>27709</xdr:colOff>
      <xdr:row>41</xdr:row>
      <xdr:rowOff>0</xdr:rowOff>
    </xdr:to>
    <xdr:cxnSp macro="">
      <xdr:nvCxnSpPr>
        <xdr:cNvPr id="131" name="Conector recto de flecha 707">
          <a:extLst>
            <a:ext uri="{FF2B5EF4-FFF2-40B4-BE49-F238E27FC236}">
              <a16:creationId xmlns:a16="http://schemas.microsoft.com/office/drawing/2014/main" id="{DF081BA5-6BB7-D84B-B634-F1DEC8ACE7D6}"/>
            </a:ext>
          </a:extLst>
        </xdr:cNvPr>
        <xdr:cNvCxnSpPr/>
      </xdr:nvCxnSpPr>
      <xdr:spPr>
        <a:xfrm flipH="1">
          <a:off x="2757055" y="8026400"/>
          <a:ext cx="172835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621772</xdr:colOff>
      <xdr:row>49</xdr:row>
      <xdr:rowOff>105589</xdr:rowOff>
    </xdr:from>
    <xdr:ext cx="1504950" cy="317743"/>
    <xdr:sp macro="" textlink="">
      <xdr:nvSpPr>
        <xdr:cNvPr id="133" name="Shape 135">
          <a:extLst>
            <a:ext uri="{FF2B5EF4-FFF2-40B4-BE49-F238E27FC236}">
              <a16:creationId xmlns:a16="http://schemas.microsoft.com/office/drawing/2014/main" id="{43AA59C9-6118-5942-A7D6-8F587AD37BFB}"/>
            </a:ext>
          </a:extLst>
        </xdr:cNvPr>
        <xdr:cNvSpPr/>
      </xdr:nvSpPr>
      <xdr:spPr>
        <a:xfrm>
          <a:off x="18096972" y="9655989"/>
          <a:ext cx="1504950" cy="31774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Finos</a:t>
          </a:r>
          <a:endParaRPr sz="1400" b="1"/>
        </a:p>
      </xdr:txBody>
    </xdr:sp>
    <xdr:clientData fLocksWithSheet="0"/>
  </xdr:oneCellAnchor>
  <xdr:oneCellAnchor>
    <xdr:from>
      <xdr:col>17</xdr:col>
      <xdr:colOff>550198</xdr:colOff>
      <xdr:row>49</xdr:row>
      <xdr:rowOff>89942</xdr:rowOff>
    </xdr:from>
    <xdr:ext cx="1504950" cy="317743"/>
    <xdr:sp macro="" textlink="">
      <xdr:nvSpPr>
        <xdr:cNvPr id="134" name="Shape 135">
          <a:extLst>
            <a:ext uri="{FF2B5EF4-FFF2-40B4-BE49-F238E27FC236}">
              <a16:creationId xmlns:a16="http://schemas.microsoft.com/office/drawing/2014/main" id="{59E29086-F64E-074E-8B1F-F3A744ED91B3}"/>
            </a:ext>
          </a:extLst>
        </xdr:cNvPr>
        <xdr:cNvSpPr/>
      </xdr:nvSpPr>
      <xdr:spPr>
        <a:xfrm>
          <a:off x="19054098" y="9640342"/>
          <a:ext cx="1504950" cy="31774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Chip</a:t>
          </a:r>
          <a:endParaRPr sz="1400" b="1"/>
        </a:p>
      </xdr:txBody>
    </xdr:sp>
    <xdr:clientData fLocksWithSheet="0"/>
  </xdr:oneCellAnchor>
  <xdr:oneCellAnchor>
    <xdr:from>
      <xdr:col>18</xdr:col>
      <xdr:colOff>280364</xdr:colOff>
      <xdr:row>49</xdr:row>
      <xdr:rowOff>100829</xdr:rowOff>
    </xdr:from>
    <xdr:ext cx="1504950" cy="317743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1FA1208-12F1-3247-987D-E562FBFDD978}"/>
            </a:ext>
          </a:extLst>
        </xdr:cNvPr>
        <xdr:cNvSpPr/>
      </xdr:nvSpPr>
      <xdr:spPr>
        <a:xfrm>
          <a:off x="19939964" y="9651229"/>
          <a:ext cx="1504950" cy="31774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Chunk</a:t>
          </a:r>
          <a:endParaRPr sz="1400" b="1"/>
        </a:p>
      </xdr:txBody>
    </xdr:sp>
    <xdr:clientData fLocksWithSheet="0"/>
  </xdr:oneCellAnchor>
  <xdr:twoCellAnchor>
    <xdr:from>
      <xdr:col>15</xdr:col>
      <xdr:colOff>195943</xdr:colOff>
      <xdr:row>51</xdr:row>
      <xdr:rowOff>65314</xdr:rowOff>
    </xdr:from>
    <xdr:to>
      <xdr:col>16</xdr:col>
      <xdr:colOff>653143</xdr:colOff>
      <xdr:row>51</xdr:row>
      <xdr:rowOff>65314</xdr:rowOff>
    </xdr:to>
    <xdr:cxnSp macro="">
      <xdr:nvCxnSpPr>
        <xdr:cNvPr id="136" name="Conector recto de flecha 715">
          <a:extLst>
            <a:ext uri="{FF2B5EF4-FFF2-40B4-BE49-F238E27FC236}">
              <a16:creationId xmlns:a16="http://schemas.microsoft.com/office/drawing/2014/main" id="{E4221870-A688-BF43-9E78-8BC1BE76B699}"/>
            </a:ext>
          </a:extLst>
        </xdr:cNvPr>
        <xdr:cNvCxnSpPr/>
      </xdr:nvCxnSpPr>
      <xdr:spPr>
        <a:xfrm flipH="1">
          <a:off x="16871043" y="9996714"/>
          <a:ext cx="1257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923408</xdr:colOff>
      <xdr:row>22</xdr:row>
      <xdr:rowOff>41104</xdr:rowOff>
    </xdr:from>
    <xdr:ext cx="1476375" cy="323850"/>
    <xdr:sp macro="" textlink="">
      <xdr:nvSpPr>
        <xdr:cNvPr id="137" name="Shape 115">
          <a:extLst>
            <a:ext uri="{FF2B5EF4-FFF2-40B4-BE49-F238E27FC236}">
              <a16:creationId xmlns:a16="http://schemas.microsoft.com/office/drawing/2014/main" id="{875A5369-AD28-0341-9076-9F481F34E087}"/>
            </a:ext>
          </a:extLst>
        </xdr:cNvPr>
        <xdr:cNvSpPr/>
      </xdr:nvSpPr>
      <xdr:spPr>
        <a:xfrm>
          <a:off x="23859608" y="4448004"/>
          <a:ext cx="14763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Stock Chank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Harneado</a:t>
          </a:r>
          <a:endParaRPr sz="1400"/>
        </a:p>
      </xdr:txBody>
    </xdr:sp>
    <xdr:clientData fLocksWithSheet="0"/>
  </xdr:oneCellAnchor>
  <xdr:twoCellAnchor>
    <xdr:from>
      <xdr:col>8</xdr:col>
      <xdr:colOff>645226</xdr:colOff>
      <xdr:row>29</xdr:row>
      <xdr:rowOff>146464</xdr:rowOff>
    </xdr:from>
    <xdr:to>
      <xdr:col>8</xdr:col>
      <xdr:colOff>977734</xdr:colOff>
      <xdr:row>29</xdr:row>
      <xdr:rowOff>146464</xdr:rowOff>
    </xdr:to>
    <xdr:cxnSp macro="">
      <xdr:nvCxnSpPr>
        <xdr:cNvPr id="138" name="Conector recto de flecha 719">
          <a:extLst>
            <a:ext uri="{FF2B5EF4-FFF2-40B4-BE49-F238E27FC236}">
              <a16:creationId xmlns:a16="http://schemas.microsoft.com/office/drawing/2014/main" id="{79DAF34E-738D-EF4E-8C88-F8823EC3E70E}"/>
            </a:ext>
          </a:extLst>
        </xdr:cNvPr>
        <xdr:cNvCxnSpPr/>
      </xdr:nvCxnSpPr>
      <xdr:spPr>
        <a:xfrm>
          <a:off x="9878126" y="5886864"/>
          <a:ext cx="3325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861951</xdr:colOff>
      <xdr:row>46</xdr:row>
      <xdr:rowOff>186046</xdr:rowOff>
    </xdr:from>
    <xdr:to>
      <xdr:col>14</xdr:col>
      <xdr:colOff>870482</xdr:colOff>
      <xdr:row>50</xdr:row>
      <xdr:rowOff>61417</xdr:rowOff>
    </xdr:to>
    <xdr:cxnSp macro="">
      <xdr:nvCxnSpPr>
        <xdr:cNvPr id="139" name="Conector recto de flecha 722">
          <a:extLst>
            <a:ext uri="{FF2B5EF4-FFF2-40B4-BE49-F238E27FC236}">
              <a16:creationId xmlns:a16="http://schemas.microsoft.com/office/drawing/2014/main" id="{EC134AE6-F351-404C-B287-069CB09A773C}"/>
            </a:ext>
          </a:extLst>
        </xdr:cNvPr>
        <xdr:cNvCxnSpPr/>
      </xdr:nvCxnSpPr>
      <xdr:spPr>
        <a:xfrm>
          <a:off x="16508351" y="9164946"/>
          <a:ext cx="8531" cy="6373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354212</xdr:colOff>
      <xdr:row>1</xdr:row>
      <xdr:rowOff>175599</xdr:rowOff>
    </xdr:from>
    <xdr:ext cx="1422364" cy="209103"/>
    <xdr:sp macro="" textlink="">
      <xdr:nvSpPr>
        <xdr:cNvPr id="140" name="Shape 164">
          <a:extLst>
            <a:ext uri="{FF2B5EF4-FFF2-40B4-BE49-F238E27FC236}">
              <a16:creationId xmlns:a16="http://schemas.microsoft.com/office/drawing/2014/main" id="{6FA84221-23C5-8F45-9264-D043A665A521}"/>
            </a:ext>
          </a:extLst>
        </xdr:cNvPr>
        <xdr:cNvSpPr/>
      </xdr:nvSpPr>
      <xdr:spPr>
        <a:xfrm>
          <a:off x="9587112" y="366099"/>
          <a:ext cx="1422364" cy="2091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Delta Inventario sinter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Calibri"/>
            <a:buNone/>
          </a:pP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620486</xdr:colOff>
      <xdr:row>42</xdr:row>
      <xdr:rowOff>54428</xdr:rowOff>
    </xdr:from>
    <xdr:ext cx="1422364" cy="359230"/>
    <xdr:sp macro="" textlink="">
      <xdr:nvSpPr>
        <xdr:cNvPr id="141" name="Shape 164">
          <a:extLst>
            <a:ext uri="{FF2B5EF4-FFF2-40B4-BE49-F238E27FC236}">
              <a16:creationId xmlns:a16="http://schemas.microsoft.com/office/drawing/2014/main" id="{D8468DB9-6AF8-E04C-AA56-820CA5D087C2}"/>
            </a:ext>
          </a:extLst>
        </xdr:cNvPr>
        <xdr:cNvSpPr/>
      </xdr:nvSpPr>
      <xdr:spPr>
        <a:xfrm>
          <a:off x="2754086" y="8271328"/>
          <a:ext cx="1422364" cy="35923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Calibri"/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Stock</a:t>
          </a:r>
          <a:r>
            <a:rPr lang="en-US" sz="105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Pellet Feed</a:t>
          </a:r>
          <a:endParaRPr sz="105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407553</xdr:colOff>
      <xdr:row>32</xdr:row>
      <xdr:rowOff>129878</xdr:rowOff>
    </xdr:from>
    <xdr:ext cx="1422364" cy="209103"/>
    <xdr:sp macro="" textlink="">
      <xdr:nvSpPr>
        <xdr:cNvPr id="144" name="Shape 164">
          <a:extLst>
            <a:ext uri="{FF2B5EF4-FFF2-40B4-BE49-F238E27FC236}">
              <a16:creationId xmlns:a16="http://schemas.microsoft.com/office/drawing/2014/main" id="{3A20C543-4337-374A-8937-4005A0EB6EE8}"/>
            </a:ext>
          </a:extLst>
        </xdr:cNvPr>
        <xdr:cNvSpPr/>
      </xdr:nvSpPr>
      <xdr:spPr>
        <a:xfrm>
          <a:off x="2541153" y="6441778"/>
          <a:ext cx="1422364" cy="2091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Delta Inventario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14</xdr:col>
      <xdr:colOff>92957</xdr:colOff>
      <xdr:row>53</xdr:row>
      <xdr:rowOff>110283</xdr:rowOff>
    </xdr:from>
    <xdr:ext cx="1422364" cy="209103"/>
    <xdr:sp macro="" textlink="">
      <xdr:nvSpPr>
        <xdr:cNvPr id="145" name="Shape 164">
          <a:extLst>
            <a:ext uri="{FF2B5EF4-FFF2-40B4-BE49-F238E27FC236}">
              <a16:creationId xmlns:a16="http://schemas.microsoft.com/office/drawing/2014/main" id="{69B3D798-D9B0-384B-9A7C-11BB432067B2}"/>
            </a:ext>
          </a:extLst>
        </xdr:cNvPr>
        <xdr:cNvSpPr/>
      </xdr:nvSpPr>
      <xdr:spPr>
        <a:xfrm>
          <a:off x="15739357" y="10422683"/>
          <a:ext cx="1422364" cy="2091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Delta Inventario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twoCellAnchor>
    <xdr:from>
      <xdr:col>5</xdr:col>
      <xdr:colOff>780781</xdr:colOff>
      <xdr:row>43</xdr:row>
      <xdr:rowOff>52083</xdr:rowOff>
    </xdr:from>
    <xdr:to>
      <xdr:col>6</xdr:col>
      <xdr:colOff>353464</xdr:colOff>
      <xdr:row>49</xdr:row>
      <xdr:rowOff>55188</xdr:rowOff>
    </xdr:to>
    <xdr:cxnSp macro="">
      <xdr:nvCxnSpPr>
        <xdr:cNvPr id="146" name="Conector: angular 750">
          <a:extLst>
            <a:ext uri="{FF2B5EF4-FFF2-40B4-BE49-F238E27FC236}">
              <a16:creationId xmlns:a16="http://schemas.microsoft.com/office/drawing/2014/main" id="{4BD4FF2B-A2E2-5F49-A4A7-973894149158}"/>
            </a:ext>
          </a:extLst>
        </xdr:cNvPr>
        <xdr:cNvCxnSpPr>
          <a:stCxn id="10" idx="4"/>
          <a:endCxn id="127" idx="5"/>
        </xdr:cNvCxnSpPr>
      </xdr:nvCxnSpPr>
      <xdr:spPr>
        <a:xfrm rot="5400000">
          <a:off x="6236120" y="8769944"/>
          <a:ext cx="1146105" cy="52518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486640</xdr:colOff>
      <xdr:row>8</xdr:row>
      <xdr:rowOff>111769</xdr:rowOff>
    </xdr:from>
    <xdr:ext cx="536617" cy="421631"/>
    <xdr:sp macro="" textlink="">
      <xdr:nvSpPr>
        <xdr:cNvPr id="147" name="Shape 109">
          <a:extLst>
            <a:ext uri="{FF2B5EF4-FFF2-40B4-BE49-F238E27FC236}">
              <a16:creationId xmlns:a16="http://schemas.microsoft.com/office/drawing/2014/main" id="{A8DE5D89-801B-1042-B6C2-20B5593E17AF}"/>
            </a:ext>
          </a:extLst>
        </xdr:cNvPr>
        <xdr:cNvSpPr/>
      </xdr:nvSpPr>
      <xdr:spPr>
        <a:xfrm>
          <a:off x="22279840" y="1737369"/>
          <a:ext cx="536617" cy="421631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399555</xdr:colOff>
      <xdr:row>8</xdr:row>
      <xdr:rowOff>144428</xdr:rowOff>
    </xdr:from>
    <xdr:ext cx="536617" cy="421631"/>
    <xdr:sp macro="" textlink="">
      <xdr:nvSpPr>
        <xdr:cNvPr id="148" name="Shape 109">
          <a:extLst>
            <a:ext uri="{FF2B5EF4-FFF2-40B4-BE49-F238E27FC236}">
              <a16:creationId xmlns:a16="http://schemas.microsoft.com/office/drawing/2014/main" id="{5F4BF1C6-8A0E-9241-A000-5D3049A5EBE2}"/>
            </a:ext>
          </a:extLst>
        </xdr:cNvPr>
        <xdr:cNvSpPr/>
      </xdr:nvSpPr>
      <xdr:spPr>
        <a:xfrm>
          <a:off x="24745455" y="1770028"/>
          <a:ext cx="536617" cy="421631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544144</xdr:colOff>
      <xdr:row>22</xdr:row>
      <xdr:rowOff>33210</xdr:rowOff>
    </xdr:from>
    <xdr:ext cx="514550" cy="359812"/>
    <xdr:sp macro="" textlink="">
      <xdr:nvSpPr>
        <xdr:cNvPr id="149" name="Shape 130">
          <a:extLst>
            <a:ext uri="{FF2B5EF4-FFF2-40B4-BE49-F238E27FC236}">
              <a16:creationId xmlns:a16="http://schemas.microsoft.com/office/drawing/2014/main" id="{F08499C0-C7C1-B445-AA7C-8E70780D97BC}"/>
            </a:ext>
          </a:extLst>
        </xdr:cNvPr>
        <xdr:cNvSpPr/>
      </xdr:nvSpPr>
      <xdr:spPr>
        <a:xfrm>
          <a:off x="22337344" y="4440110"/>
          <a:ext cx="514550" cy="359812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105937</xdr:colOff>
      <xdr:row>20</xdr:row>
      <xdr:rowOff>65313</xdr:rowOff>
    </xdr:from>
    <xdr:ext cx="514550" cy="359812"/>
    <xdr:sp macro="" textlink="">
      <xdr:nvSpPr>
        <xdr:cNvPr id="150" name="Shape 130">
          <a:extLst>
            <a:ext uri="{FF2B5EF4-FFF2-40B4-BE49-F238E27FC236}">
              <a16:creationId xmlns:a16="http://schemas.microsoft.com/office/drawing/2014/main" id="{E2650B4D-656B-A742-AAB4-8AF368531E66}"/>
            </a:ext>
          </a:extLst>
        </xdr:cNvPr>
        <xdr:cNvSpPr/>
      </xdr:nvSpPr>
      <xdr:spPr>
        <a:xfrm>
          <a:off x="24451837" y="4091213"/>
          <a:ext cx="514550" cy="359812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17</xdr:col>
      <xdr:colOff>875242</xdr:colOff>
      <xdr:row>9</xdr:row>
      <xdr:rowOff>170186</xdr:rowOff>
    </xdr:from>
    <xdr:to>
      <xdr:col>18</xdr:col>
      <xdr:colOff>109164</xdr:colOff>
      <xdr:row>17</xdr:row>
      <xdr:rowOff>11479</xdr:rowOff>
    </xdr:to>
    <xdr:cxnSp macro="">
      <xdr:nvCxnSpPr>
        <xdr:cNvPr id="151" name="Conector: angular 59">
          <a:extLst>
            <a:ext uri="{FF2B5EF4-FFF2-40B4-BE49-F238E27FC236}">
              <a16:creationId xmlns:a16="http://schemas.microsoft.com/office/drawing/2014/main" id="{159148EA-69C8-8444-AC08-224356800F8B}"/>
            </a:ext>
          </a:extLst>
        </xdr:cNvPr>
        <xdr:cNvCxnSpPr>
          <a:stCxn id="31" idx="1"/>
          <a:endCxn id="19" idx="1"/>
        </xdr:cNvCxnSpPr>
      </xdr:nvCxnSpPr>
      <xdr:spPr>
        <a:xfrm rot="10800000" flipH="1">
          <a:off x="19379142" y="1998986"/>
          <a:ext cx="389622" cy="1428793"/>
        </a:xfrm>
        <a:prstGeom prst="bentConnector3">
          <a:avLst>
            <a:gd name="adj1" fmla="val -16243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398854</xdr:colOff>
      <xdr:row>23</xdr:row>
      <xdr:rowOff>169010</xdr:rowOff>
    </xdr:from>
    <xdr:to>
      <xdr:col>22</xdr:col>
      <xdr:colOff>783772</xdr:colOff>
      <xdr:row>25</xdr:row>
      <xdr:rowOff>10885</xdr:rowOff>
    </xdr:to>
    <xdr:cxnSp macro="">
      <xdr:nvCxnSpPr>
        <xdr:cNvPr id="152" name="Conector: angular 66">
          <a:extLst>
            <a:ext uri="{FF2B5EF4-FFF2-40B4-BE49-F238E27FC236}">
              <a16:creationId xmlns:a16="http://schemas.microsoft.com/office/drawing/2014/main" id="{DAA48C7F-595D-9F4C-9528-DFAC0BBDB47D}"/>
            </a:ext>
          </a:extLst>
        </xdr:cNvPr>
        <xdr:cNvCxnSpPr>
          <a:stCxn id="137" idx="2"/>
        </xdr:cNvCxnSpPr>
      </xdr:nvCxnSpPr>
      <xdr:spPr>
        <a:xfrm rot="16200000" flipH="1">
          <a:off x="24825775" y="4685389"/>
          <a:ext cx="222875" cy="38491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11339</xdr:colOff>
      <xdr:row>38</xdr:row>
      <xdr:rowOff>22679</xdr:rowOff>
    </xdr:from>
    <xdr:to>
      <xdr:col>18</xdr:col>
      <xdr:colOff>374196</xdr:colOff>
      <xdr:row>46</xdr:row>
      <xdr:rowOff>90715</xdr:rowOff>
    </xdr:to>
    <xdr:cxnSp macro="">
      <xdr:nvCxnSpPr>
        <xdr:cNvPr id="155" name="Conector: angular 66">
          <a:extLst>
            <a:ext uri="{FF2B5EF4-FFF2-40B4-BE49-F238E27FC236}">
              <a16:creationId xmlns:a16="http://schemas.microsoft.com/office/drawing/2014/main" id="{790D9F1B-36E2-8D44-9CD8-6A683927F111}"/>
            </a:ext>
          </a:extLst>
        </xdr:cNvPr>
        <xdr:cNvCxnSpPr>
          <a:cxnSpLocks/>
        </xdr:cNvCxnSpPr>
      </xdr:nvCxnSpPr>
      <xdr:spPr>
        <a:xfrm flipV="1">
          <a:off x="17507857" y="7540625"/>
          <a:ext cx="2551339" cy="161017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113393</xdr:colOff>
      <xdr:row>36</xdr:row>
      <xdr:rowOff>34018</xdr:rowOff>
    </xdr:from>
    <xdr:ext cx="425824" cy="375957"/>
    <xdr:pic>
      <xdr:nvPicPr>
        <xdr:cNvPr id="158" name="image2.png">
          <a:extLst>
            <a:ext uri="{FF2B5EF4-FFF2-40B4-BE49-F238E27FC236}">
              <a16:creationId xmlns:a16="http://schemas.microsoft.com/office/drawing/2014/main" id="{1C2642C2-0CB1-2449-AC90-420E6FBEF8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30179" y="7166429"/>
          <a:ext cx="425824" cy="375957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408214</xdr:colOff>
      <xdr:row>35</xdr:row>
      <xdr:rowOff>11339</xdr:rowOff>
    </xdr:from>
    <xdr:ext cx="1232037" cy="717114"/>
    <xdr:sp macro="" textlink="">
      <xdr:nvSpPr>
        <xdr:cNvPr id="159" name="Shape 68">
          <a:extLst>
            <a:ext uri="{FF2B5EF4-FFF2-40B4-BE49-F238E27FC236}">
              <a16:creationId xmlns:a16="http://schemas.microsoft.com/office/drawing/2014/main" id="{660C98CB-B044-204B-AD7D-BCBEA144541B}"/>
            </a:ext>
          </a:extLst>
        </xdr:cNvPr>
        <xdr:cNvSpPr/>
      </xdr:nvSpPr>
      <xdr:spPr>
        <a:xfrm>
          <a:off x="20093214" y="6950982"/>
          <a:ext cx="1232037" cy="717114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s-ES" sz="1100"/>
            <a:t>Stock Chip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19</xdr:col>
      <xdr:colOff>162378</xdr:colOff>
      <xdr:row>37</xdr:row>
      <xdr:rowOff>26142</xdr:rowOff>
    </xdr:from>
    <xdr:to>
      <xdr:col>20</xdr:col>
      <xdr:colOff>49273</xdr:colOff>
      <xdr:row>37</xdr:row>
      <xdr:rowOff>28121</xdr:rowOff>
    </xdr:to>
    <xdr:cxnSp macro="">
      <xdr:nvCxnSpPr>
        <xdr:cNvPr id="163" name="Conector recto de flecha 658">
          <a:extLst>
            <a:ext uri="{FF2B5EF4-FFF2-40B4-BE49-F238E27FC236}">
              <a16:creationId xmlns:a16="http://schemas.microsoft.com/office/drawing/2014/main" id="{03F89B9E-0A23-0E4C-A5CB-F36929D2F38D}"/>
            </a:ext>
          </a:extLst>
        </xdr:cNvPr>
        <xdr:cNvCxnSpPr/>
      </xdr:nvCxnSpPr>
      <xdr:spPr>
        <a:xfrm flipV="1">
          <a:off x="21106039" y="7351321"/>
          <a:ext cx="760020" cy="19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666296</xdr:colOff>
      <xdr:row>36</xdr:row>
      <xdr:rowOff>178542</xdr:rowOff>
    </xdr:from>
    <xdr:to>
      <xdr:col>21</xdr:col>
      <xdr:colOff>281048</xdr:colOff>
      <xdr:row>36</xdr:row>
      <xdr:rowOff>180521</xdr:rowOff>
    </xdr:to>
    <xdr:cxnSp macro="">
      <xdr:nvCxnSpPr>
        <xdr:cNvPr id="164" name="Conector recto de flecha 658">
          <a:extLst>
            <a:ext uri="{FF2B5EF4-FFF2-40B4-BE49-F238E27FC236}">
              <a16:creationId xmlns:a16="http://schemas.microsoft.com/office/drawing/2014/main" id="{8DC481AE-5C91-8141-86D4-3AE24C19F62D}"/>
            </a:ext>
          </a:extLst>
        </xdr:cNvPr>
        <xdr:cNvCxnSpPr/>
      </xdr:nvCxnSpPr>
      <xdr:spPr>
        <a:xfrm flipV="1">
          <a:off x="22483082" y="7310953"/>
          <a:ext cx="760020" cy="19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227230</xdr:colOff>
      <xdr:row>27</xdr:row>
      <xdr:rowOff>124075</xdr:rowOff>
    </xdr:from>
    <xdr:ext cx="1232037" cy="717114"/>
    <xdr:sp macro="" textlink="">
      <xdr:nvSpPr>
        <xdr:cNvPr id="61" name="Shape 68">
          <a:extLst>
            <a:ext uri="{FF2B5EF4-FFF2-40B4-BE49-F238E27FC236}">
              <a16:creationId xmlns:a16="http://schemas.microsoft.com/office/drawing/2014/main" id="{209CEE81-D2F9-E14D-AE87-BD15FEA14E22}"/>
            </a:ext>
          </a:extLst>
        </xdr:cNvPr>
        <xdr:cNvSpPr/>
      </xdr:nvSpPr>
      <xdr:spPr>
        <a:xfrm>
          <a:off x="4697630" y="5519035"/>
          <a:ext cx="1232037" cy="717114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Delta stock relave</a:t>
          </a:r>
          <a:endParaRPr sz="1100"/>
        </a:p>
      </xdr:txBody>
    </xdr:sp>
    <xdr:clientData fLocksWithSheet="0"/>
  </xdr:oneCellAnchor>
  <xdr:twoCellAnchor>
    <xdr:from>
      <xdr:col>3</xdr:col>
      <xdr:colOff>1562100</xdr:colOff>
      <xdr:row>29</xdr:row>
      <xdr:rowOff>99918</xdr:rowOff>
    </xdr:from>
    <xdr:to>
      <xdr:col>4</xdr:col>
      <xdr:colOff>459080</xdr:colOff>
      <xdr:row>29</xdr:row>
      <xdr:rowOff>115752</xdr:rowOff>
    </xdr:to>
    <xdr:cxnSp macro="">
      <xdr:nvCxnSpPr>
        <xdr:cNvPr id="126" name="Conector recto de flecha 704">
          <a:extLst>
            <a:ext uri="{FF2B5EF4-FFF2-40B4-BE49-F238E27FC236}">
              <a16:creationId xmlns:a16="http://schemas.microsoft.com/office/drawing/2014/main" id="{5B9B4668-9B4F-414B-B1EA-266161CD1EA0}"/>
            </a:ext>
          </a:extLst>
        </xdr:cNvPr>
        <xdr:cNvCxnSpPr/>
      </xdr:nvCxnSpPr>
      <xdr:spPr>
        <a:xfrm flipH="1">
          <a:off x="3705860" y="5880958"/>
          <a:ext cx="1223620" cy="158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1158240</xdr:colOff>
      <xdr:row>31</xdr:row>
      <xdr:rowOff>142240</xdr:rowOff>
    </xdr:from>
    <xdr:to>
      <xdr:col>7</xdr:col>
      <xdr:colOff>1158240</xdr:colOff>
      <xdr:row>34</xdr:row>
      <xdr:rowOff>50800</xdr:rowOff>
    </xdr:to>
    <xdr:cxnSp macro="">
      <xdr:nvCxnSpPr>
        <xdr:cNvPr id="132" name="Conector recto de flecha 704">
          <a:extLst>
            <a:ext uri="{FF2B5EF4-FFF2-40B4-BE49-F238E27FC236}">
              <a16:creationId xmlns:a16="http://schemas.microsoft.com/office/drawing/2014/main" id="{08534E2E-8B3B-7940-8F27-3EA4785701C5}"/>
            </a:ext>
          </a:extLst>
        </xdr:cNvPr>
        <xdr:cNvCxnSpPr/>
      </xdr:nvCxnSpPr>
      <xdr:spPr>
        <a:xfrm>
          <a:off x="9072880" y="6309360"/>
          <a:ext cx="0" cy="487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460910</xdr:colOff>
      <xdr:row>35</xdr:row>
      <xdr:rowOff>12315</xdr:rowOff>
    </xdr:from>
    <xdr:ext cx="1232037" cy="717114"/>
    <xdr:sp macro="" textlink="">
      <xdr:nvSpPr>
        <xdr:cNvPr id="156" name="Shape 68">
          <a:extLst>
            <a:ext uri="{FF2B5EF4-FFF2-40B4-BE49-F238E27FC236}">
              <a16:creationId xmlns:a16="http://schemas.microsoft.com/office/drawing/2014/main" id="{6877D876-781F-6146-9D09-A4C478BDA6FE}"/>
            </a:ext>
          </a:extLst>
        </xdr:cNvPr>
        <xdr:cNvSpPr/>
      </xdr:nvSpPr>
      <xdr:spPr>
        <a:xfrm>
          <a:off x="8375550" y="6951595"/>
          <a:ext cx="1232037" cy="717114"/>
        </a:xfrm>
        <a:prstGeom prst="triangle">
          <a:avLst>
            <a:gd name="adj" fmla="val 50000"/>
          </a:avLst>
        </a:prstGeom>
        <a:noFill/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s-ES" sz="1100"/>
            <a:t>Delta stock</a:t>
          </a:r>
          <a:r>
            <a:rPr lang="es-ES" sz="1100" baseline="0"/>
            <a:t> concentrado</a:t>
          </a:r>
          <a:endParaRPr sz="1100"/>
        </a:p>
      </xdr:txBody>
    </xdr:sp>
    <xdr:clientData fLocksWithSheet="0"/>
  </xdr:oneCellAnchor>
  <xdr:twoCellAnchor>
    <xdr:from>
      <xdr:col>6</xdr:col>
      <xdr:colOff>705889</xdr:colOff>
      <xdr:row>42</xdr:row>
      <xdr:rowOff>84241</xdr:rowOff>
    </xdr:from>
    <xdr:to>
      <xdr:col>7</xdr:col>
      <xdr:colOff>912869</xdr:colOff>
      <xdr:row>44</xdr:row>
      <xdr:rowOff>168202</xdr:rowOff>
    </xdr:to>
    <xdr:cxnSp macro="">
      <xdr:nvCxnSpPr>
        <xdr:cNvPr id="173" name="Elbow Connector 172">
          <a:extLst>
            <a:ext uri="{FF2B5EF4-FFF2-40B4-BE49-F238E27FC236}">
              <a16:creationId xmlns:a16="http://schemas.microsoft.com/office/drawing/2014/main" id="{A028E187-F4BE-DD21-8A6F-627B4E060664}"/>
            </a:ext>
          </a:extLst>
        </xdr:cNvPr>
        <xdr:cNvCxnSpPr>
          <a:stCxn id="2" idx="1"/>
          <a:endCxn id="10" idx="6"/>
        </xdr:cNvCxnSpPr>
      </xdr:nvCxnSpPr>
      <xdr:spPr>
        <a:xfrm rot="10800000">
          <a:off x="7441969" y="8374801"/>
          <a:ext cx="1385540" cy="47004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1076930</xdr:colOff>
      <xdr:row>38</xdr:row>
      <xdr:rowOff>150308</xdr:rowOff>
    </xdr:from>
    <xdr:to>
      <xdr:col>8</xdr:col>
      <xdr:colOff>645516</xdr:colOff>
      <xdr:row>43</xdr:row>
      <xdr:rowOff>46915</xdr:rowOff>
    </xdr:to>
    <xdr:cxnSp macro="">
      <xdr:nvCxnSpPr>
        <xdr:cNvPr id="175" name="Elbow Connector 174">
          <a:extLst>
            <a:ext uri="{FF2B5EF4-FFF2-40B4-BE49-F238E27FC236}">
              <a16:creationId xmlns:a16="http://schemas.microsoft.com/office/drawing/2014/main" id="{8D25E0AE-300F-7F4F-ACB9-4F6B71987EC3}"/>
            </a:ext>
          </a:extLst>
        </xdr:cNvPr>
        <xdr:cNvCxnSpPr>
          <a:stCxn id="156" idx="3"/>
          <a:endCxn id="2" idx="0"/>
        </xdr:cNvCxnSpPr>
      </xdr:nvCxnSpPr>
      <xdr:spPr>
        <a:xfrm rot="16200000" flipH="1">
          <a:off x="9010439" y="7649839"/>
          <a:ext cx="861807" cy="89954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601681</xdr:colOff>
      <xdr:row>37</xdr:row>
      <xdr:rowOff>80645</xdr:rowOff>
    </xdr:from>
    <xdr:to>
      <xdr:col>9</xdr:col>
      <xdr:colOff>857250</xdr:colOff>
      <xdr:row>44</xdr:row>
      <xdr:rowOff>168201</xdr:rowOff>
    </xdr:to>
    <xdr:cxnSp macro="">
      <xdr:nvCxnSpPr>
        <xdr:cNvPr id="12" name="Elbow Connector 11">
          <a:extLst>
            <a:ext uri="{FF2B5EF4-FFF2-40B4-BE49-F238E27FC236}">
              <a16:creationId xmlns:a16="http://schemas.microsoft.com/office/drawing/2014/main" id="{CC63B36C-C0CD-5199-74FE-3D643C3CF811}"/>
            </a:ext>
          </a:extLst>
        </xdr:cNvPr>
        <xdr:cNvCxnSpPr>
          <a:stCxn id="2" idx="3"/>
          <a:endCxn id="49" idx="1"/>
        </xdr:cNvCxnSpPr>
      </xdr:nvCxnSpPr>
      <xdr:spPr>
        <a:xfrm flipV="1">
          <a:off x="10954721" y="7406005"/>
          <a:ext cx="255569" cy="143883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mineria-my.sharepoint.com/Users/mfrez/Downloads/02.%20BALANCE%20METALURGICO%2001%20AL%2028%20DE%20FEBRERO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SIPcfg"/>
      <sheetName val="Resumen Ejecutivo"/>
      <sheetName val="CONCENTRADORA"/>
      <sheetName val="FUNDICIÓN"/>
      <sheetName val="REFINERÍAS"/>
      <sheetName val="GEL"/>
      <sheetName val="ECL"/>
      <sheetName val="Real vs P1"/>
      <sheetName val="Resumen Desbalances"/>
      <sheetName val="Resumen Recuperaciones"/>
      <sheetName val="Balance de Masa Validado"/>
      <sheetName val="Balance de Masa Reconciliado"/>
      <sheetName val="Recuperaciones Cobre"/>
      <sheetName val="Recuperaciones Molibdeno"/>
      <sheetName val="Datos Base"/>
      <sheetName val="Cálculos Fundición"/>
      <sheetName val="Finanzas"/>
      <sheetName val="Control-Flujo"/>
    </sheetNames>
    <sheetDataSet>
      <sheetData sheetId="0"/>
      <sheetData sheetId="1"/>
      <sheetData sheetId="2"/>
      <sheetData sheetId="3">
        <row r="73">
          <cell r="O73">
            <v>739.37822735119551</v>
          </cell>
          <cell r="P73">
            <v>735.63697352079851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445">
          <cell r="G445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 Alejandro Victoriano Rodriguez Descovic" id="{35FA9ADE-7893-1747-9C1F-4C1E091E8F3D}" userId="S::harodriguez@cmp.cl::a75c332a-3263-478b-9096-5e13f9cfc57d" providerId="AD"/>
  <person displayName="Fernando Nicolas Ureta Godoy" id="{2FB96F7D-002B-1741-A0C2-4B08301E104E}" userId="S::fernandoureta@udec.cl::0e6fbc5e-2570-49b7-af03-87653f8a74c7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5" dT="2023-07-14T19:25:12.04" personId="{2FB96F7D-002B-1741-A0C2-4B08301E104E}" id="{5A14329D-388F-724E-B586-17CF36E90841}">
    <text xml:space="preserve">Zona ingreso de datos SAP inicial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Q14" dT="2023-03-31T22:47:34.49" personId="{35FA9ADE-7893-1747-9C1F-4C1E091E8F3D}" id="{69401426-C2B5-5A47-9172-B844F98B63FF}">
    <text>Con traspasos de Sinter</text>
  </threadedComment>
  <threadedComment ref="W28" dT="2023-04-04T15:52:54.05" personId="{35FA9ADE-7893-1747-9C1F-4C1E091E8F3D}" id="{C6D14D42-EF26-244F-BB13-4897D772E679}">
    <text>Contabilizados en producción mensual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F396-D80A-6D4D-AD8F-5150EF90D312}">
  <sheetPr>
    <pageSetUpPr fitToPage="1"/>
  </sheetPr>
  <dimension ref="A1:AB1000"/>
  <sheetViews>
    <sheetView showGridLines="0" zoomScale="172" zoomScaleNormal="100" workbookViewId="0">
      <pane xSplit="3" ySplit="8" topLeftCell="M11" activePane="bottomRight" state="frozen"/>
      <selection pane="topRight" activeCell="D1" sqref="D1"/>
      <selection pane="bottomLeft" activeCell="A9" sqref="A9"/>
      <selection pane="bottomRight" activeCell="P14" sqref="P14"/>
    </sheetView>
  </sheetViews>
  <sheetFormatPr baseColWidth="10" defaultColWidth="14.5" defaultRowHeight="15" customHeight="1" x14ac:dyDescent="0.2"/>
  <cols>
    <col min="1" max="2" width="2.1640625" style="131" customWidth="1"/>
    <col min="3" max="3" width="15.5" style="131" hidden="1" customWidth="1"/>
    <col min="4" max="5" width="12.5" style="131" customWidth="1"/>
    <col min="6" max="6" width="15.1640625" style="131" customWidth="1"/>
    <col min="7" max="7" width="14.1640625" style="131" customWidth="1"/>
    <col min="8" max="8" width="12" style="131" customWidth="1"/>
    <col min="9" max="9" width="12.5" style="131" customWidth="1"/>
    <col min="10" max="10" width="13.5" style="131" customWidth="1"/>
    <col min="11" max="13" width="13" style="131" customWidth="1"/>
    <col min="14" max="14" width="13.5" style="131" customWidth="1"/>
    <col min="15" max="15" width="14.5" style="131" customWidth="1"/>
    <col min="16" max="17" width="13.5" style="131" customWidth="1"/>
    <col min="18" max="18" width="2.1640625" style="131" customWidth="1"/>
    <col min="19" max="19" width="13.5" style="131" customWidth="1"/>
    <col min="20" max="20" width="10.5" style="131" customWidth="1"/>
    <col min="21" max="21" width="12" style="131" customWidth="1"/>
    <col min="22" max="28" width="6.5" style="131" customWidth="1"/>
    <col min="29" max="16384" width="14.5" style="131"/>
  </cols>
  <sheetData>
    <row r="1" spans="1:28" ht="15" customHeight="1" thickBot="1" x14ac:dyDescent="0.25">
      <c r="A1" s="133"/>
      <c r="B1" s="335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7"/>
      <c r="Q1" s="337"/>
      <c r="R1" s="338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spans="1:28" ht="15" customHeight="1" x14ac:dyDescent="0.2">
      <c r="A2" s="133"/>
      <c r="B2" s="339"/>
      <c r="C2" s="340"/>
      <c r="D2" s="559"/>
      <c r="E2" s="555"/>
      <c r="F2" s="562" t="s">
        <v>97</v>
      </c>
      <c r="G2" s="563"/>
      <c r="H2" s="502"/>
      <c r="I2" s="502"/>
      <c r="J2" s="502"/>
      <c r="K2" s="502"/>
      <c r="L2" s="502"/>
      <c r="M2" s="502"/>
      <c r="N2" s="502"/>
      <c r="O2" s="502"/>
      <c r="P2" s="502"/>
      <c r="Q2" s="503"/>
      <c r="R2" s="341"/>
      <c r="S2" s="133"/>
      <c r="T2" s="133"/>
      <c r="U2" s="133"/>
      <c r="V2" s="133"/>
      <c r="W2" s="133"/>
      <c r="X2" s="133"/>
      <c r="Y2" s="133"/>
      <c r="Z2" s="133"/>
      <c r="AA2" s="133"/>
      <c r="AB2" s="133"/>
    </row>
    <row r="3" spans="1:28" ht="15" customHeight="1" x14ac:dyDescent="0.2">
      <c r="A3" s="133"/>
      <c r="B3" s="339"/>
      <c r="C3" s="340"/>
      <c r="D3" s="560"/>
      <c r="E3" s="561"/>
      <c r="F3" s="564"/>
      <c r="G3" s="528"/>
      <c r="H3" s="528"/>
      <c r="I3" s="528"/>
      <c r="J3" s="528"/>
      <c r="K3" s="528"/>
      <c r="L3" s="528"/>
      <c r="M3" s="528"/>
      <c r="N3" s="528"/>
      <c r="O3" s="528"/>
      <c r="P3" s="528"/>
      <c r="Q3" s="565"/>
      <c r="R3" s="341"/>
      <c r="S3" s="133"/>
      <c r="T3" s="133"/>
      <c r="U3" s="133"/>
      <c r="V3" s="133"/>
      <c r="W3" s="133"/>
      <c r="X3" s="133"/>
      <c r="Y3" s="133"/>
      <c r="Z3" s="133"/>
      <c r="AA3" s="133"/>
      <c r="AB3" s="133"/>
    </row>
    <row r="4" spans="1:28" ht="15" customHeight="1" x14ac:dyDescent="0.2">
      <c r="A4" s="133"/>
      <c r="B4" s="339"/>
      <c r="C4" s="340"/>
      <c r="D4" s="560"/>
      <c r="E4" s="561"/>
      <c r="F4" s="566" t="s">
        <v>98</v>
      </c>
      <c r="G4" s="567"/>
      <c r="H4" s="568"/>
      <c r="I4" s="568"/>
      <c r="J4" s="568"/>
      <c r="K4" s="568"/>
      <c r="L4" s="569"/>
      <c r="M4" s="566" t="s">
        <v>99</v>
      </c>
      <c r="N4" s="567"/>
      <c r="O4" s="569"/>
      <c r="P4" s="571">
        <f ca="1">+Diagrama!C4</f>
        <v>45386</v>
      </c>
      <c r="Q4" s="572"/>
      <c r="R4" s="341"/>
      <c r="S4" s="133"/>
      <c r="T4" s="133"/>
      <c r="U4" s="133"/>
      <c r="V4" s="133"/>
      <c r="W4" s="133"/>
      <c r="X4" s="133"/>
      <c r="Y4" s="133"/>
      <c r="Z4" s="133"/>
      <c r="AA4" s="133"/>
      <c r="AB4" s="133"/>
    </row>
    <row r="5" spans="1:28" ht="15" customHeight="1" thickBot="1" x14ac:dyDescent="0.25">
      <c r="A5" s="133"/>
      <c r="B5" s="339"/>
      <c r="C5" s="340"/>
      <c r="D5" s="504"/>
      <c r="E5" s="558"/>
      <c r="F5" s="570"/>
      <c r="G5" s="505"/>
      <c r="H5" s="505"/>
      <c r="I5" s="505"/>
      <c r="J5" s="505"/>
      <c r="K5" s="505"/>
      <c r="L5" s="558"/>
      <c r="M5" s="570"/>
      <c r="N5" s="505"/>
      <c r="O5" s="558"/>
      <c r="P5" s="570"/>
      <c r="Q5" s="506"/>
      <c r="R5" s="341"/>
      <c r="S5" s="133"/>
      <c r="T5" s="133"/>
      <c r="U5" s="133"/>
      <c r="V5" s="133"/>
      <c r="W5" s="133"/>
      <c r="X5" s="133"/>
      <c r="Y5" s="133"/>
      <c r="Z5" s="133"/>
      <c r="AA5" s="133"/>
      <c r="AB5" s="133"/>
    </row>
    <row r="6" spans="1:28" ht="14.25" customHeight="1" thickBot="1" x14ac:dyDescent="0.25">
      <c r="A6" s="133"/>
      <c r="B6" s="339"/>
      <c r="C6" s="340"/>
      <c r="D6" s="343"/>
      <c r="E6" s="343"/>
      <c r="F6" s="343"/>
      <c r="G6" s="343"/>
      <c r="H6" s="343"/>
      <c r="I6" s="343"/>
      <c r="J6" s="343"/>
      <c r="K6" s="343"/>
      <c r="L6" s="343"/>
      <c r="M6" s="344"/>
      <c r="N6" s="344"/>
      <c r="O6" s="340"/>
      <c r="P6" s="133"/>
      <c r="Q6" s="133"/>
      <c r="R6" s="341"/>
      <c r="S6" s="133"/>
      <c r="T6" s="133"/>
      <c r="U6" s="133"/>
      <c r="V6" s="133"/>
      <c r="W6" s="133"/>
      <c r="X6" s="133"/>
      <c r="Y6" s="133"/>
      <c r="Z6" s="133"/>
      <c r="AA6" s="133"/>
      <c r="AB6" s="133"/>
    </row>
    <row r="7" spans="1:28" ht="15" customHeight="1" x14ac:dyDescent="0.2">
      <c r="A7" s="133"/>
      <c r="B7" s="345"/>
      <c r="C7" s="346"/>
      <c r="D7" s="554"/>
      <c r="E7" s="502"/>
      <c r="F7" s="555"/>
      <c r="G7" s="347" t="s">
        <v>100</v>
      </c>
      <c r="H7" s="347" t="s">
        <v>100</v>
      </c>
      <c r="I7" s="347" t="s">
        <v>101</v>
      </c>
      <c r="J7" s="348" t="s">
        <v>102</v>
      </c>
      <c r="K7" s="557"/>
      <c r="L7" s="502"/>
      <c r="M7" s="555"/>
      <c r="N7" s="347" t="s">
        <v>100</v>
      </c>
      <c r="O7" s="347" t="s">
        <v>100</v>
      </c>
      <c r="P7" s="347" t="s">
        <v>101</v>
      </c>
      <c r="Q7" s="348" t="s">
        <v>102</v>
      </c>
      <c r="R7" s="341"/>
      <c r="S7" s="133"/>
      <c r="T7" s="133"/>
      <c r="U7" s="133"/>
      <c r="V7" s="133"/>
      <c r="W7" s="133"/>
      <c r="X7" s="133"/>
      <c r="Y7" s="133"/>
      <c r="Z7" s="133"/>
      <c r="AA7" s="133"/>
      <c r="AB7" s="133"/>
    </row>
    <row r="8" spans="1:28" ht="15" customHeight="1" thickBot="1" x14ac:dyDescent="0.25">
      <c r="A8" s="133"/>
      <c r="B8" s="345"/>
      <c r="C8" s="346"/>
      <c r="D8" s="556"/>
      <c r="E8" s="528"/>
      <c r="F8" s="529"/>
      <c r="G8" s="350" t="s">
        <v>267</v>
      </c>
      <c r="H8" s="350" t="s">
        <v>40</v>
      </c>
      <c r="I8" s="350" t="s">
        <v>103</v>
      </c>
      <c r="J8" s="351" t="s">
        <v>41</v>
      </c>
      <c r="K8" s="505"/>
      <c r="L8" s="505"/>
      <c r="M8" s="558"/>
      <c r="N8" s="350" t="s">
        <v>267</v>
      </c>
      <c r="O8" s="350" t="s">
        <v>40</v>
      </c>
      <c r="P8" s="350" t="s">
        <v>103</v>
      </c>
      <c r="Q8" s="351" t="s">
        <v>41</v>
      </c>
      <c r="R8" s="341"/>
      <c r="S8" s="133"/>
      <c r="T8" s="133"/>
      <c r="U8" s="133"/>
      <c r="V8" s="133"/>
      <c r="W8" s="133"/>
      <c r="X8" s="133"/>
      <c r="Y8" s="133"/>
      <c r="Z8" s="133"/>
      <c r="AA8" s="133"/>
      <c r="AB8" s="133"/>
    </row>
    <row r="9" spans="1:28" ht="15" customHeight="1" thickBot="1" x14ac:dyDescent="0.25">
      <c r="A9" s="133"/>
      <c r="B9" s="345"/>
      <c r="C9" s="346"/>
      <c r="D9" s="542" t="s">
        <v>68</v>
      </c>
      <c r="E9" s="543"/>
      <c r="F9" s="543"/>
      <c r="G9" s="543"/>
      <c r="H9" s="543"/>
      <c r="I9" s="543"/>
      <c r="J9" s="544"/>
      <c r="K9" s="546" t="s">
        <v>104</v>
      </c>
      <c r="L9" s="547"/>
      <c r="M9" s="547"/>
      <c r="N9" s="547"/>
      <c r="O9" s="547"/>
      <c r="P9" s="547"/>
      <c r="Q9" s="548"/>
      <c r="R9" s="341"/>
      <c r="S9" s="133"/>
      <c r="T9" s="133"/>
      <c r="U9" s="133"/>
      <c r="V9" s="133"/>
      <c r="W9" s="133"/>
      <c r="X9" s="133"/>
      <c r="Y9" s="133"/>
      <c r="Z9" s="133"/>
      <c r="AA9" s="133"/>
      <c r="AB9" s="133"/>
    </row>
    <row r="10" spans="1:28" ht="15" customHeight="1" x14ac:dyDescent="0.2">
      <c r="A10" s="133"/>
      <c r="B10" s="345"/>
      <c r="C10" s="346" t="s">
        <v>105</v>
      </c>
      <c r="D10" s="530" t="s">
        <v>106</v>
      </c>
      <c r="E10" s="531"/>
      <c r="F10" s="532"/>
      <c r="G10" s="434">
        <f>+Diagrama!AI12</f>
        <v>231594.13913744461</v>
      </c>
      <c r="H10" s="434">
        <f>+Diagrama!I25</f>
        <v>229834.02368000001</v>
      </c>
      <c r="I10" s="435">
        <f>+Diagrama!I26</f>
        <v>0.60589335206999995</v>
      </c>
      <c r="J10" s="431">
        <f>I10*H10</f>
        <v>139254.90702721095</v>
      </c>
      <c r="K10" s="549" t="s">
        <v>107</v>
      </c>
      <c r="L10" s="543"/>
      <c r="M10" s="550"/>
      <c r="N10" s="432">
        <f>+Diagrama!J72</f>
        <v>209647.65034558089</v>
      </c>
      <c r="O10" s="432">
        <f>+Diagrama!H46</f>
        <v>192143</v>
      </c>
      <c r="P10" s="433">
        <f>+Diagrama!H47</f>
        <v>0.68650000000000011</v>
      </c>
      <c r="Q10" s="431">
        <f t="shared" ref="Q10:Q14" si="0">P10*O10</f>
        <v>131906.16950000002</v>
      </c>
      <c r="R10" s="341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</row>
    <row r="11" spans="1:28" ht="15" customHeight="1" x14ac:dyDescent="0.2">
      <c r="A11" s="133"/>
      <c r="B11" s="345"/>
      <c r="C11" s="346"/>
      <c r="D11" s="530" t="s">
        <v>108</v>
      </c>
      <c r="E11" s="531"/>
      <c r="F11" s="532"/>
      <c r="G11" s="429">
        <v>0</v>
      </c>
      <c r="H11" s="429">
        <v>0</v>
      </c>
      <c r="I11" s="430">
        <v>0</v>
      </c>
      <c r="J11" s="431">
        <f t="shared" ref="J11" si="1">I11*H11</f>
        <v>0</v>
      </c>
      <c r="K11" s="530" t="s">
        <v>109</v>
      </c>
      <c r="L11" s="531"/>
      <c r="M11" s="532"/>
      <c r="N11" s="434">
        <f>+Diagrama!J70</f>
        <v>0</v>
      </c>
      <c r="O11" s="434">
        <f>+Diagrama!P49</f>
        <v>0</v>
      </c>
      <c r="P11" s="435">
        <f>+Diagrama!P50</f>
        <v>0</v>
      </c>
      <c r="Q11" s="431">
        <f>P11*O11</f>
        <v>0</v>
      </c>
      <c r="R11" s="341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</row>
    <row r="12" spans="1:28" ht="15" customHeight="1" x14ac:dyDescent="0.2">
      <c r="A12" s="133"/>
      <c r="B12" s="345"/>
      <c r="C12" s="346"/>
      <c r="D12" s="530" t="s">
        <v>110</v>
      </c>
      <c r="E12" s="531"/>
      <c r="F12" s="532"/>
      <c r="G12" s="429">
        <v>0</v>
      </c>
      <c r="H12" s="429">
        <v>0</v>
      </c>
      <c r="I12" s="430">
        <v>0</v>
      </c>
      <c r="J12" s="431">
        <v>0</v>
      </c>
      <c r="K12" s="530" t="s">
        <v>111</v>
      </c>
      <c r="L12" s="531"/>
      <c r="M12" s="532"/>
      <c r="N12" s="434">
        <f>+Diagrama!J71</f>
        <v>0</v>
      </c>
      <c r="O12" s="434">
        <f>+Diagrama!R36</f>
        <v>0</v>
      </c>
      <c r="P12" s="435">
        <f>+Diagrama!R37</f>
        <v>0</v>
      </c>
      <c r="Q12" s="431">
        <f t="shared" si="0"/>
        <v>0</v>
      </c>
      <c r="R12" s="341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</row>
    <row r="13" spans="1:28" ht="15" customHeight="1" thickBot="1" x14ac:dyDescent="0.25">
      <c r="A13" s="133"/>
      <c r="B13" s="345"/>
      <c r="C13" s="346"/>
      <c r="D13" s="551" t="s">
        <v>112</v>
      </c>
      <c r="E13" s="552"/>
      <c r="F13" s="553"/>
      <c r="G13" s="429">
        <v>0</v>
      </c>
      <c r="H13" s="429">
        <v>0</v>
      </c>
      <c r="I13" s="430">
        <v>0</v>
      </c>
      <c r="J13" s="431">
        <v>0</v>
      </c>
      <c r="K13" s="530" t="s">
        <v>113</v>
      </c>
      <c r="L13" s="531"/>
      <c r="M13" s="532"/>
      <c r="N13" s="434">
        <f>+Diagrama!J77</f>
        <v>164651.1418469153</v>
      </c>
      <c r="O13" s="434">
        <f>+Diagrama!J77*(1-Diagrama!AE7)</f>
        <v>163082</v>
      </c>
      <c r="P13" s="435">
        <f>+Diagrama!H5</f>
        <v>0.63392359511000007</v>
      </c>
      <c r="Q13" s="431">
        <f>P13*O13</f>
        <v>103381.52773772903</v>
      </c>
      <c r="R13" s="341"/>
      <c r="S13" s="133"/>
      <c r="T13" s="355"/>
      <c r="U13" s="133"/>
      <c r="V13" s="133"/>
      <c r="W13" s="133"/>
      <c r="X13" s="133"/>
      <c r="Y13" s="133"/>
      <c r="Z13" s="133"/>
      <c r="AA13" s="133"/>
      <c r="AB13" s="133"/>
    </row>
    <row r="14" spans="1:28" ht="15" customHeight="1" thickBot="1" x14ac:dyDescent="0.25">
      <c r="A14" s="133"/>
      <c r="B14" s="345"/>
      <c r="C14" s="346" t="s">
        <v>114</v>
      </c>
      <c r="D14" s="551"/>
      <c r="E14" s="552"/>
      <c r="F14" s="553"/>
      <c r="G14" s="429"/>
      <c r="H14" s="429"/>
      <c r="I14" s="430"/>
      <c r="J14" s="431"/>
      <c r="K14" s="436" t="s">
        <v>272</v>
      </c>
      <c r="L14" s="437"/>
      <c r="M14" s="438"/>
      <c r="N14" s="439">
        <f>+Diagrama!J78</f>
        <v>2203</v>
      </c>
      <c r="O14" s="439">
        <f>+Diagrama!J78*(1-Diagrama!AE32)</f>
        <v>2141.3159999999998</v>
      </c>
      <c r="P14" s="435">
        <f>'Datos Extra'!E24</f>
        <v>0.62560000000000004</v>
      </c>
      <c r="Q14" s="431">
        <f t="shared" si="0"/>
        <v>1339.6072896000001</v>
      </c>
      <c r="R14" s="341"/>
      <c r="S14" s="357"/>
      <c r="T14" s="355"/>
      <c r="U14" s="133"/>
      <c r="V14" s="133"/>
      <c r="W14" s="133"/>
      <c r="X14" s="133"/>
      <c r="Y14" s="133"/>
      <c r="Z14" s="133"/>
      <c r="AA14" s="133"/>
      <c r="AB14" s="133"/>
    </row>
    <row r="15" spans="1:28" ht="15" customHeight="1" thickBot="1" x14ac:dyDescent="0.25">
      <c r="A15" s="133"/>
      <c r="B15" s="345"/>
      <c r="C15" s="346"/>
      <c r="D15" s="545" t="s">
        <v>115</v>
      </c>
      <c r="E15" s="538"/>
      <c r="F15" s="541"/>
      <c r="G15" s="440">
        <f>SUM(G10:G14)</f>
        <v>231594.13913744461</v>
      </c>
      <c r="H15" s="440">
        <f>SUM(H10:H14)</f>
        <v>229834.02368000001</v>
      </c>
      <c r="I15" s="441">
        <f>I10</f>
        <v>0.60589335206999995</v>
      </c>
      <c r="J15" s="440">
        <f>J10</f>
        <v>139254.90702721095</v>
      </c>
      <c r="K15" s="540" t="s">
        <v>115</v>
      </c>
      <c r="L15" s="538"/>
      <c r="M15" s="541"/>
      <c r="N15" s="440">
        <f>SUM(N10:N14)</f>
        <v>376501.79219249618</v>
      </c>
      <c r="O15" s="440">
        <f>SUM(O10:O14)</f>
        <v>357366.31599999999</v>
      </c>
      <c r="P15" s="441">
        <f>+Q15/O15</f>
        <v>0.66214216039132534</v>
      </c>
      <c r="Q15" s="440">
        <f>SUM(Q10:Q14)</f>
        <v>236627.30452732905</v>
      </c>
      <c r="R15" s="341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</row>
    <row r="16" spans="1:28" ht="15" customHeight="1" thickBot="1" x14ac:dyDescent="0.25">
      <c r="A16" s="133"/>
      <c r="B16" s="345"/>
      <c r="C16" s="346"/>
      <c r="D16" s="542" t="s">
        <v>116</v>
      </c>
      <c r="E16" s="543"/>
      <c r="F16" s="543"/>
      <c r="G16" s="543"/>
      <c r="H16" s="543"/>
      <c r="I16" s="543"/>
      <c r="J16" s="544"/>
      <c r="K16" s="537" t="s">
        <v>117</v>
      </c>
      <c r="L16" s="538"/>
      <c r="M16" s="538"/>
      <c r="N16" s="538"/>
      <c r="O16" s="538"/>
      <c r="P16" s="538"/>
      <c r="Q16" s="539"/>
      <c r="R16" s="341"/>
      <c r="S16" s="358"/>
      <c r="T16" s="133"/>
      <c r="U16" s="133"/>
      <c r="V16" s="133"/>
      <c r="W16" s="133"/>
      <c r="X16" s="133"/>
      <c r="Y16" s="133"/>
      <c r="Z16" s="133"/>
      <c r="AA16" s="133"/>
      <c r="AB16" s="133"/>
    </row>
    <row r="17" spans="1:28" ht="15" customHeight="1" thickBot="1" x14ac:dyDescent="0.25">
      <c r="A17" s="133"/>
      <c r="B17" s="345"/>
      <c r="C17" s="346"/>
      <c r="D17" s="530" t="s">
        <v>118</v>
      </c>
      <c r="E17" s="531"/>
      <c r="F17" s="532"/>
      <c r="G17" s="429">
        <f>+Diagrama!K77</f>
        <v>204999.49418310571</v>
      </c>
      <c r="H17" s="429">
        <f>+Diagrama!N4</f>
        <v>202642</v>
      </c>
      <c r="I17" s="430">
        <f>+Diagrama!N5</f>
        <v>0.63386387507999997</v>
      </c>
      <c r="J17" s="431">
        <f t="shared" ref="J17:J21" si="2">I17*H17</f>
        <v>128447.44337396136</v>
      </c>
      <c r="K17" s="442" t="s">
        <v>273</v>
      </c>
      <c r="L17" s="442"/>
      <c r="M17" s="443"/>
      <c r="N17" s="434" t="s">
        <v>274</v>
      </c>
      <c r="O17" s="434">
        <f>+Diagrama!D28</f>
        <v>20480.400000000001</v>
      </c>
      <c r="P17" s="435">
        <f>+Diagrama!D29</f>
        <v>0.105183</v>
      </c>
      <c r="Q17" s="431">
        <f t="shared" ref="Q17:Q18" si="3">P17*O17</f>
        <v>2154.1899132000003</v>
      </c>
      <c r="R17" s="341"/>
      <c r="S17" s="358"/>
      <c r="T17" s="133"/>
      <c r="U17" s="133"/>
      <c r="V17" s="133"/>
      <c r="W17" s="133"/>
      <c r="X17" s="133"/>
      <c r="Y17" s="133"/>
      <c r="Z17" s="133"/>
      <c r="AA17" s="133"/>
      <c r="AB17" s="133"/>
    </row>
    <row r="18" spans="1:28" ht="15" customHeight="1" thickBot="1" x14ac:dyDescent="0.25">
      <c r="A18" s="133"/>
      <c r="B18" s="345"/>
      <c r="C18" s="346"/>
      <c r="D18" s="530" t="s">
        <v>107</v>
      </c>
      <c r="E18" s="531"/>
      <c r="F18" s="532"/>
      <c r="G18" s="429">
        <f>+Diagrama!K72</f>
        <v>112763.78636561007</v>
      </c>
      <c r="H18" s="429">
        <f>+G18*(1-Diagrama!AE19)</f>
        <v>103878</v>
      </c>
      <c r="I18" s="430">
        <f>+Diagrama!C42</f>
        <v>0.68680000000000008</v>
      </c>
      <c r="J18" s="431">
        <f t="shared" si="2"/>
        <v>71343.410400000008</v>
      </c>
      <c r="K18" s="540" t="s">
        <v>115</v>
      </c>
      <c r="L18" s="538"/>
      <c r="M18" s="541"/>
      <c r="N18" s="444" t="str">
        <f>N17</f>
        <v>-</v>
      </c>
      <c r="O18" s="444">
        <f t="shared" ref="O18:P18" si="4">O17</f>
        <v>20480.400000000001</v>
      </c>
      <c r="P18" s="445">
        <f t="shared" si="4"/>
        <v>0.105183</v>
      </c>
      <c r="Q18" s="446">
        <f t="shared" si="3"/>
        <v>2154.1899132000003</v>
      </c>
      <c r="R18" s="341"/>
      <c r="S18" s="358"/>
      <c r="T18" s="133"/>
      <c r="U18" s="133"/>
      <c r="V18" s="133"/>
      <c r="W18" s="133"/>
      <c r="X18" s="133"/>
      <c r="Y18" s="133"/>
      <c r="Z18" s="133"/>
      <c r="AA18" s="133"/>
      <c r="AB18" s="133"/>
    </row>
    <row r="19" spans="1:28" ht="15" customHeight="1" x14ac:dyDescent="0.2">
      <c r="A19" s="133"/>
      <c r="B19" s="345"/>
      <c r="C19" s="346"/>
      <c r="D19" s="530" t="s">
        <v>109</v>
      </c>
      <c r="E19" s="531"/>
      <c r="F19" s="532"/>
      <c r="G19" s="429">
        <f>+Diagrama!K70</f>
        <v>0</v>
      </c>
      <c r="H19" s="429">
        <f>+Diagrama!M52</f>
        <v>0</v>
      </c>
      <c r="I19" s="430">
        <f>+Diagrama!M53</f>
        <v>0</v>
      </c>
      <c r="J19" s="431">
        <f t="shared" si="2"/>
        <v>0</v>
      </c>
      <c r="K19" s="533"/>
      <c r="L19" s="534"/>
      <c r="M19" s="534"/>
      <c r="O19" s="362"/>
      <c r="P19" s="363"/>
      <c r="Q19" s="364"/>
      <c r="R19" s="341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</row>
    <row r="20" spans="1:28" ht="15" customHeight="1" x14ac:dyDescent="0.2">
      <c r="A20" s="133"/>
      <c r="B20" s="345"/>
      <c r="C20" s="346"/>
      <c r="D20" s="530" t="s">
        <v>94</v>
      </c>
      <c r="E20" s="531"/>
      <c r="F20" s="532"/>
      <c r="G20" s="429">
        <v>0</v>
      </c>
      <c r="H20" s="429">
        <f>Diagrama!K78*(1-'Datos Extra'!D28)</f>
        <v>0</v>
      </c>
      <c r="I20" s="430">
        <f>+Diagrama!T34</f>
        <v>0</v>
      </c>
      <c r="J20" s="431">
        <f t="shared" si="2"/>
        <v>0</v>
      </c>
      <c r="K20" s="535"/>
      <c r="L20" s="534"/>
      <c r="M20" s="534"/>
      <c r="O20" s="366"/>
      <c r="P20" s="367"/>
      <c r="Q20" s="368"/>
      <c r="R20" s="341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</row>
    <row r="21" spans="1:28" ht="15" customHeight="1" thickBot="1" x14ac:dyDescent="0.25">
      <c r="A21" s="133"/>
      <c r="B21" s="345"/>
      <c r="C21" s="346"/>
      <c r="D21" s="530" t="s">
        <v>111</v>
      </c>
      <c r="E21" s="531"/>
      <c r="F21" s="532"/>
      <c r="G21" s="429">
        <f>+Diagrama!K71</f>
        <v>66000</v>
      </c>
      <c r="H21" s="429">
        <f>IF(G21=0,0,G21*(1-Diagrama!AE26))</f>
        <v>66000</v>
      </c>
      <c r="I21" s="430">
        <f>IF(G21=0,0,Diagrama!AG26)</f>
        <v>0</v>
      </c>
      <c r="J21" s="431">
        <f t="shared" si="2"/>
        <v>0</v>
      </c>
      <c r="K21" s="535"/>
      <c r="L21" s="534"/>
      <c r="M21" s="534"/>
      <c r="O21" s="366"/>
      <c r="P21" s="367"/>
      <c r="Q21" s="368"/>
      <c r="R21" s="341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</row>
    <row r="22" spans="1:28" ht="15" customHeight="1" thickBot="1" x14ac:dyDescent="0.25">
      <c r="A22" s="133"/>
      <c r="B22" s="345"/>
      <c r="C22" s="346"/>
      <c r="D22" s="545" t="s">
        <v>115</v>
      </c>
      <c r="E22" s="538"/>
      <c r="F22" s="541"/>
      <c r="G22" s="440">
        <f>SUM(G17:G21)</f>
        <v>383763.28054871579</v>
      </c>
      <c r="H22" s="440">
        <f>SUM(H17:H21)</f>
        <v>372520</v>
      </c>
      <c r="I22" s="441">
        <f>SUMPRODUCT(H17:H21,I17:I21)/H22</f>
        <v>0.5363224894608648</v>
      </c>
      <c r="J22" s="440">
        <f>SUM(J17:J21)</f>
        <v>199790.85377396137</v>
      </c>
      <c r="K22" s="365"/>
      <c r="L22" s="365"/>
      <c r="M22" s="365"/>
      <c r="N22" s="365"/>
      <c r="O22" s="366"/>
      <c r="P22" s="367"/>
      <c r="Q22" s="368"/>
      <c r="R22" s="341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</row>
    <row r="23" spans="1:28" ht="15" hidden="1" customHeight="1" x14ac:dyDescent="0.2">
      <c r="A23" s="133"/>
      <c r="B23" s="345"/>
      <c r="C23" s="346"/>
      <c r="D23" s="536" t="s">
        <v>119</v>
      </c>
      <c r="E23" s="520"/>
      <c r="F23" s="521"/>
      <c r="G23" s="356"/>
      <c r="H23" s="370" t="s">
        <v>40</v>
      </c>
      <c r="I23" s="370" t="s">
        <v>103</v>
      </c>
      <c r="J23" s="371" t="s">
        <v>41</v>
      </c>
      <c r="K23" s="369" t="s">
        <v>120</v>
      </c>
      <c r="L23" s="372" t="s">
        <v>121</v>
      </c>
      <c r="M23" s="373"/>
      <c r="N23" s="373"/>
      <c r="O23" s="374"/>
      <c r="P23" s="373"/>
      <c r="Q23" s="373"/>
      <c r="R23" s="375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</row>
    <row r="24" spans="1:28" ht="15" hidden="1" customHeight="1" x14ac:dyDescent="0.2">
      <c r="A24" s="133"/>
      <c r="B24" s="345"/>
      <c r="C24" s="346"/>
      <c r="D24" s="527" t="s">
        <v>122</v>
      </c>
      <c r="E24" s="528"/>
      <c r="F24" s="529"/>
      <c r="G24" s="349"/>
      <c r="H24" s="376"/>
      <c r="I24" s="377"/>
      <c r="J24" s="378"/>
      <c r="K24" s="379"/>
      <c r="L24" s="380"/>
      <c r="M24" s="381"/>
      <c r="N24" s="381"/>
      <c r="O24" s="382">
        <v>0.76</v>
      </c>
      <c r="P24" s="363"/>
      <c r="Q24" s="364"/>
      <c r="R24" s="341"/>
      <c r="S24" s="133"/>
      <c r="T24" s="133"/>
      <c r="U24" s="383"/>
      <c r="V24" s="133"/>
      <c r="W24" s="133"/>
      <c r="X24" s="133"/>
      <c r="Y24" s="133"/>
      <c r="Z24" s="133"/>
      <c r="AA24" s="133"/>
      <c r="AB24" s="133"/>
    </row>
    <row r="25" spans="1:28" ht="15" hidden="1" customHeight="1" x14ac:dyDescent="0.2">
      <c r="A25" s="133"/>
      <c r="B25" s="345"/>
      <c r="C25" s="346"/>
      <c r="D25" s="512" t="s">
        <v>123</v>
      </c>
      <c r="E25" s="513"/>
      <c r="F25" s="514"/>
      <c r="G25" s="342"/>
      <c r="H25" s="352"/>
      <c r="I25" s="353"/>
      <c r="J25" s="385"/>
      <c r="K25" s="379"/>
      <c r="L25" s="386"/>
      <c r="M25" s="381"/>
      <c r="N25" s="381"/>
      <c r="O25" s="382">
        <v>8.68</v>
      </c>
      <c r="P25" s="363"/>
      <c r="Q25" s="364"/>
      <c r="R25" s="341"/>
      <c r="S25" s="133"/>
      <c r="T25" s="133"/>
      <c r="U25" s="383"/>
      <c r="V25" s="133"/>
      <c r="W25" s="133"/>
      <c r="X25" s="133"/>
      <c r="Y25" s="133"/>
      <c r="Z25" s="133"/>
      <c r="AA25" s="133"/>
      <c r="AB25" s="133"/>
    </row>
    <row r="26" spans="1:28" ht="15" hidden="1" customHeight="1" x14ac:dyDescent="0.2">
      <c r="A26" s="133"/>
      <c r="B26" s="345"/>
      <c r="C26" s="346"/>
      <c r="D26" s="512" t="s">
        <v>124</v>
      </c>
      <c r="E26" s="513"/>
      <c r="F26" s="514"/>
      <c r="G26" s="342"/>
      <c r="H26" s="352"/>
      <c r="I26" s="353"/>
      <c r="J26" s="385"/>
      <c r="K26" s="379"/>
      <c r="L26" s="386"/>
      <c r="M26" s="381"/>
      <c r="N26" s="381"/>
      <c r="O26" s="382">
        <v>0.76</v>
      </c>
      <c r="P26" s="363"/>
      <c r="Q26" s="364"/>
      <c r="R26" s="341"/>
      <c r="S26" s="133"/>
      <c r="T26" s="133"/>
      <c r="U26" s="383"/>
      <c r="V26" s="133"/>
      <c r="W26" s="133"/>
      <c r="X26" s="133"/>
      <c r="Y26" s="133"/>
      <c r="Z26" s="133"/>
      <c r="AA26" s="133"/>
      <c r="AB26" s="133"/>
    </row>
    <row r="27" spans="1:28" ht="15" hidden="1" customHeight="1" x14ac:dyDescent="0.2">
      <c r="A27" s="133"/>
      <c r="B27" s="345"/>
      <c r="C27" s="346"/>
      <c r="D27" s="512" t="s">
        <v>125</v>
      </c>
      <c r="E27" s="513"/>
      <c r="F27" s="514"/>
      <c r="G27" s="342"/>
      <c r="H27" s="352"/>
      <c r="I27" s="353"/>
      <c r="J27" s="385"/>
      <c r="K27" s="379"/>
      <c r="L27" s="386"/>
      <c r="M27" s="381"/>
      <c r="N27" s="381"/>
      <c r="O27" s="382">
        <v>8.39</v>
      </c>
      <c r="P27" s="363"/>
      <c r="Q27" s="364"/>
      <c r="R27" s="341"/>
      <c r="S27" s="133"/>
      <c r="T27" s="133"/>
      <c r="U27" s="383"/>
      <c r="V27" s="133"/>
      <c r="W27" s="133"/>
      <c r="X27" s="133"/>
      <c r="Y27" s="133"/>
      <c r="Z27" s="133"/>
      <c r="AA27" s="133"/>
      <c r="AB27" s="133"/>
    </row>
    <row r="28" spans="1:28" ht="15" hidden="1" customHeight="1" x14ac:dyDescent="0.2">
      <c r="A28" s="133"/>
      <c r="B28" s="345"/>
      <c r="C28" s="346"/>
      <c r="D28" s="384" t="s">
        <v>126</v>
      </c>
      <c r="E28" s="387"/>
      <c r="F28" s="388"/>
      <c r="G28" s="389"/>
      <c r="H28" s="352"/>
      <c r="I28" s="353"/>
      <c r="J28" s="390"/>
      <c r="K28" s="391"/>
      <c r="L28" s="392"/>
      <c r="M28" s="381"/>
      <c r="N28" s="381"/>
      <c r="O28" s="382"/>
      <c r="P28" s="363"/>
      <c r="Q28" s="364"/>
      <c r="R28" s="341"/>
      <c r="S28" s="133"/>
      <c r="T28" s="133"/>
      <c r="U28" s="383"/>
      <c r="V28" s="133"/>
      <c r="W28" s="133"/>
      <c r="X28" s="133"/>
      <c r="Y28" s="133"/>
      <c r="Z28" s="133"/>
      <c r="AA28" s="133"/>
      <c r="AB28" s="133"/>
    </row>
    <row r="29" spans="1:28" ht="15" hidden="1" customHeight="1" x14ac:dyDescent="0.2">
      <c r="A29" s="133"/>
      <c r="B29" s="345"/>
      <c r="C29" s="346"/>
      <c r="D29" s="515" t="s">
        <v>127</v>
      </c>
      <c r="E29" s="513"/>
      <c r="F29" s="514"/>
      <c r="G29" s="342"/>
      <c r="H29" s="352"/>
      <c r="I29" s="353"/>
      <c r="J29" s="385"/>
      <c r="K29" s="379"/>
      <c r="L29" s="386"/>
      <c r="M29" s="381"/>
      <c r="N29" s="381"/>
      <c r="O29" s="382">
        <v>0.05</v>
      </c>
      <c r="P29" s="363"/>
      <c r="Q29" s="364"/>
      <c r="R29" s="341"/>
      <c r="S29" s="133"/>
      <c r="T29" s="133"/>
      <c r="U29" s="383"/>
      <c r="V29" s="133"/>
      <c r="W29" s="133"/>
      <c r="X29" s="133"/>
      <c r="Y29" s="133"/>
      <c r="Z29" s="133"/>
      <c r="AA29" s="133"/>
      <c r="AB29" s="133"/>
    </row>
    <row r="30" spans="1:28" ht="15" hidden="1" customHeight="1" x14ac:dyDescent="0.2">
      <c r="A30" s="133"/>
      <c r="B30" s="345"/>
      <c r="C30" s="346"/>
      <c r="D30" s="516" t="s">
        <v>128</v>
      </c>
      <c r="E30" s="517"/>
      <c r="F30" s="518"/>
      <c r="G30" s="354"/>
      <c r="H30" s="393"/>
      <c r="I30" s="394"/>
      <c r="J30" s="395"/>
      <c r="K30" s="379"/>
      <c r="L30" s="392"/>
      <c r="M30" s="381"/>
      <c r="N30" s="381"/>
      <c r="O30" s="382">
        <v>0.05</v>
      </c>
      <c r="P30" s="363"/>
      <c r="Q30" s="364"/>
      <c r="R30" s="341"/>
      <c r="S30" s="133"/>
      <c r="T30" s="133"/>
      <c r="U30" s="383"/>
      <c r="V30" s="133"/>
      <c r="W30" s="133"/>
      <c r="X30" s="133"/>
      <c r="Y30" s="133"/>
      <c r="Z30" s="133"/>
      <c r="AA30" s="133"/>
      <c r="AB30" s="133"/>
    </row>
    <row r="31" spans="1:28" ht="15" hidden="1" customHeight="1" x14ac:dyDescent="0.2">
      <c r="A31" s="133"/>
      <c r="B31" s="345"/>
      <c r="C31" s="346"/>
      <c r="D31" s="519" t="s">
        <v>115</v>
      </c>
      <c r="E31" s="520"/>
      <c r="F31" s="521"/>
      <c r="G31" s="356"/>
      <c r="H31" s="359">
        <v>0</v>
      </c>
      <c r="I31" s="360"/>
      <c r="J31" s="396">
        <v>0</v>
      </c>
      <c r="K31" s="397">
        <v>0</v>
      </c>
      <c r="L31" s="361">
        <v>0</v>
      </c>
      <c r="M31" s="373"/>
      <c r="N31" s="373"/>
      <c r="O31" s="368"/>
      <c r="P31" s="367"/>
      <c r="Q31" s="368"/>
      <c r="R31" s="341"/>
      <c r="S31" s="133"/>
      <c r="T31" s="133"/>
      <c r="U31" s="383"/>
      <c r="V31" s="133"/>
      <c r="W31" s="133"/>
      <c r="X31" s="133"/>
      <c r="Y31" s="133"/>
      <c r="Z31" s="133"/>
      <c r="AA31" s="133"/>
      <c r="AB31" s="133"/>
    </row>
    <row r="32" spans="1:28" ht="15" hidden="1" customHeight="1" x14ac:dyDescent="0.2">
      <c r="A32" s="133"/>
      <c r="B32" s="345"/>
      <c r="C32" s="133"/>
      <c r="D32" s="398"/>
      <c r="E32" s="133"/>
      <c r="F32" s="133"/>
      <c r="G32" s="133"/>
      <c r="H32" s="133"/>
      <c r="I32" s="399"/>
      <c r="J32" s="399"/>
      <c r="K32" s="399"/>
      <c r="L32" s="400"/>
      <c r="M32" s="399"/>
      <c r="N32" s="399"/>
      <c r="O32" s="133"/>
      <c r="P32" s="401"/>
      <c r="Q32" s="133"/>
      <c r="R32" s="341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</row>
    <row r="33" spans="1:28" ht="15" customHeight="1" thickBot="1" x14ac:dyDescent="0.25">
      <c r="A33" s="133"/>
      <c r="B33" s="345"/>
      <c r="C33" s="133"/>
      <c r="D33" s="522" t="s">
        <v>129</v>
      </c>
      <c r="E33" s="520"/>
      <c r="F33" s="520"/>
      <c r="G33" s="520"/>
      <c r="H33" s="520"/>
      <c r="I33" s="520"/>
      <c r="J33" s="520"/>
      <c r="K33" s="520"/>
      <c r="L33" s="520"/>
      <c r="M33" s="520"/>
      <c r="N33" s="520"/>
      <c r="O33" s="520"/>
      <c r="P33" s="520"/>
      <c r="Q33" s="523"/>
      <c r="R33" s="341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</row>
    <row r="34" spans="1:28" ht="15" customHeight="1" thickBot="1" x14ac:dyDescent="0.25">
      <c r="A34" s="133"/>
      <c r="B34" s="345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341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</row>
    <row r="35" spans="1:28" ht="15" customHeight="1" thickBot="1" x14ac:dyDescent="0.25">
      <c r="A35" s="133"/>
      <c r="B35" s="345"/>
      <c r="C35" s="133"/>
      <c r="D35" s="524" t="s">
        <v>130</v>
      </c>
      <c r="E35" s="520"/>
      <c r="F35" s="523"/>
      <c r="G35" s="402"/>
      <c r="H35" s="525"/>
      <c r="I35" s="526"/>
      <c r="J35" s="133"/>
      <c r="K35" s="524" t="s">
        <v>131</v>
      </c>
      <c r="L35" s="520"/>
      <c r="M35" s="523"/>
      <c r="N35" s="402"/>
      <c r="O35" s="525"/>
      <c r="P35" s="526"/>
      <c r="Q35" s="133"/>
      <c r="R35" s="341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</row>
    <row r="36" spans="1:28" ht="15" customHeight="1" x14ac:dyDescent="0.2">
      <c r="A36" s="133"/>
      <c r="B36" s="345"/>
      <c r="C36" s="133"/>
      <c r="D36" s="501">
        <f>Diagrama!O19</f>
        <v>0.82684450699340417</v>
      </c>
      <c r="E36" s="502"/>
      <c r="F36" s="503"/>
      <c r="G36" s="402"/>
      <c r="H36" s="403"/>
      <c r="I36" s="404"/>
      <c r="J36" s="133"/>
      <c r="K36" s="501">
        <f>Diagrama!O21</f>
        <v>0.93684598471282265</v>
      </c>
      <c r="L36" s="507"/>
      <c r="M36" s="508"/>
      <c r="N36" s="405"/>
      <c r="O36" s="404"/>
      <c r="P36" s="404"/>
      <c r="Q36" s="133"/>
      <c r="R36" s="341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</row>
    <row r="37" spans="1:28" ht="15" customHeight="1" thickBot="1" x14ac:dyDescent="0.25">
      <c r="A37" s="133"/>
      <c r="B37" s="345"/>
      <c r="C37" s="133"/>
      <c r="D37" s="504"/>
      <c r="E37" s="505"/>
      <c r="F37" s="506"/>
      <c r="G37" s="402"/>
      <c r="H37" s="406"/>
      <c r="I37" s="407"/>
      <c r="J37" s="133"/>
      <c r="K37" s="509"/>
      <c r="L37" s="510"/>
      <c r="M37" s="511"/>
      <c r="N37" s="405"/>
      <c r="O37" s="408"/>
      <c r="P37" s="407"/>
      <c r="Q37" s="133"/>
      <c r="R37" s="341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</row>
    <row r="38" spans="1:28" ht="15" customHeight="1" x14ac:dyDescent="0.2">
      <c r="A38" s="133"/>
      <c r="B38" s="345"/>
      <c r="C38" s="133"/>
      <c r="D38" s="409"/>
      <c r="E38" s="409"/>
      <c r="F38" s="409"/>
      <c r="G38" s="409"/>
      <c r="H38" s="410"/>
      <c r="I38" s="411"/>
      <c r="J38" s="133"/>
      <c r="K38" s="409"/>
      <c r="L38" s="409"/>
      <c r="M38" s="409"/>
      <c r="N38" s="409"/>
      <c r="O38" s="412"/>
      <c r="P38" s="413"/>
      <c r="Q38" s="133"/>
      <c r="R38" s="341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</row>
    <row r="39" spans="1:28" ht="14.25" customHeight="1" thickBot="1" x14ac:dyDescent="0.25">
      <c r="A39" s="133"/>
      <c r="B39" s="414"/>
      <c r="C39" s="415"/>
      <c r="D39" s="415"/>
      <c r="E39" s="415"/>
      <c r="F39" s="415"/>
      <c r="G39" s="415"/>
      <c r="H39" s="415"/>
      <c r="I39" s="415"/>
      <c r="J39" s="415"/>
      <c r="K39" s="415"/>
      <c r="L39" s="415"/>
      <c r="M39" s="415"/>
      <c r="N39" s="415"/>
      <c r="O39" s="415"/>
      <c r="P39" s="415"/>
      <c r="Q39" s="415"/>
      <c r="R39" s="416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</row>
    <row r="40" spans="1:28" ht="15.75" customHeight="1" x14ac:dyDescent="0.2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</row>
    <row r="41" spans="1:28" ht="15" customHeight="1" x14ac:dyDescent="0.2">
      <c r="A41" s="133"/>
      <c r="B41" s="133"/>
      <c r="C41" s="133"/>
      <c r="D41" s="133"/>
      <c r="E41" s="133"/>
      <c r="F41" s="133"/>
      <c r="G41" s="133"/>
      <c r="H41" s="133"/>
      <c r="I41" s="417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</row>
    <row r="42" spans="1:28" ht="15.75" customHeight="1" x14ac:dyDescent="0.2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</row>
    <row r="43" spans="1:28" ht="15.75" customHeight="1" x14ac:dyDescent="0.2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</row>
    <row r="44" spans="1:28" ht="15.75" customHeight="1" x14ac:dyDescent="0.2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</row>
    <row r="45" spans="1:28" ht="15.75" customHeight="1" x14ac:dyDescent="0.2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</row>
    <row r="46" spans="1:28" ht="15.75" customHeight="1" x14ac:dyDescent="0.2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</row>
    <row r="47" spans="1:28" ht="15.75" customHeight="1" x14ac:dyDescent="0.2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</row>
    <row r="48" spans="1:28" ht="15.75" customHeight="1" x14ac:dyDescent="0.2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</row>
    <row r="49" spans="1:28" ht="15.75" customHeight="1" x14ac:dyDescent="0.2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</row>
    <row r="50" spans="1:28" ht="15.75" customHeight="1" x14ac:dyDescent="0.2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</row>
    <row r="51" spans="1:28" ht="15.75" customHeight="1" x14ac:dyDescent="0.2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</row>
    <row r="52" spans="1:28" ht="15.75" customHeight="1" x14ac:dyDescent="0.2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</row>
    <row r="53" spans="1:28" ht="15.75" customHeight="1" x14ac:dyDescent="0.2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</row>
    <row r="54" spans="1:28" ht="15.75" customHeight="1" x14ac:dyDescent="0.2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</row>
    <row r="55" spans="1:28" ht="15.75" customHeight="1" x14ac:dyDescent="0.2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</row>
    <row r="56" spans="1:28" ht="15.75" customHeight="1" x14ac:dyDescent="0.2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</row>
    <row r="57" spans="1:28" ht="15.75" customHeight="1" x14ac:dyDescent="0.2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</row>
    <row r="58" spans="1:28" ht="15.75" customHeight="1" x14ac:dyDescent="0.2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</row>
    <row r="59" spans="1:28" ht="15.75" customHeight="1" x14ac:dyDescent="0.2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</row>
    <row r="60" spans="1:28" ht="15.75" customHeight="1" x14ac:dyDescent="0.2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</row>
    <row r="61" spans="1:28" ht="15.75" customHeight="1" x14ac:dyDescent="0.2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</row>
    <row r="62" spans="1:28" ht="15.75" customHeight="1" x14ac:dyDescent="0.2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</row>
    <row r="63" spans="1:28" ht="15.75" customHeight="1" x14ac:dyDescent="0.2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</row>
    <row r="64" spans="1:28" ht="15.75" customHeight="1" x14ac:dyDescent="0.2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</row>
    <row r="65" spans="1:28" ht="15.75" customHeight="1" x14ac:dyDescent="0.2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</row>
    <row r="66" spans="1:28" ht="15.75" customHeight="1" x14ac:dyDescent="0.2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</row>
    <row r="67" spans="1:28" ht="15.75" customHeight="1" x14ac:dyDescent="0.2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</row>
    <row r="68" spans="1:28" ht="15.75" customHeight="1" x14ac:dyDescent="0.2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</row>
    <row r="69" spans="1:28" ht="15.75" customHeight="1" x14ac:dyDescent="0.2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</row>
    <row r="70" spans="1:28" ht="15.75" customHeight="1" x14ac:dyDescent="0.2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</row>
    <row r="71" spans="1:28" ht="15.75" customHeight="1" x14ac:dyDescent="0.2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</row>
    <row r="72" spans="1:28" ht="15.75" customHeight="1" x14ac:dyDescent="0.2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</row>
    <row r="73" spans="1:28" ht="15.75" customHeight="1" x14ac:dyDescent="0.2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</row>
    <row r="74" spans="1:28" ht="15.75" customHeight="1" x14ac:dyDescent="0.2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</row>
    <row r="75" spans="1:28" ht="15.75" customHeight="1" x14ac:dyDescent="0.2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</row>
    <row r="76" spans="1:28" ht="15.75" customHeight="1" x14ac:dyDescent="0.2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</row>
    <row r="77" spans="1:28" ht="15.75" customHeight="1" x14ac:dyDescent="0.2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</row>
    <row r="78" spans="1:28" ht="15.75" customHeight="1" x14ac:dyDescent="0.2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</row>
    <row r="79" spans="1:28" ht="15.75" customHeight="1" x14ac:dyDescent="0.2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</row>
    <row r="80" spans="1:28" ht="15.75" customHeight="1" x14ac:dyDescent="0.2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</row>
    <row r="81" spans="1:28" ht="15.75" customHeight="1" x14ac:dyDescent="0.2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</row>
    <row r="82" spans="1:28" ht="15.75" customHeight="1" x14ac:dyDescent="0.2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</row>
    <row r="83" spans="1:28" ht="15.75" customHeight="1" x14ac:dyDescent="0.2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</row>
    <row r="84" spans="1:28" ht="15.75" customHeight="1" x14ac:dyDescent="0.2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</row>
    <row r="85" spans="1:28" ht="15.75" customHeight="1" x14ac:dyDescent="0.2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</row>
    <row r="86" spans="1:28" ht="15.75" customHeight="1" x14ac:dyDescent="0.2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</row>
    <row r="87" spans="1:28" ht="15.75" customHeight="1" x14ac:dyDescent="0.2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</row>
    <row r="88" spans="1:28" ht="15.75" customHeight="1" x14ac:dyDescent="0.2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</row>
    <row r="89" spans="1:28" ht="15.75" customHeight="1" x14ac:dyDescent="0.2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</row>
    <row r="90" spans="1:28" ht="15.75" customHeight="1" x14ac:dyDescent="0.2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</row>
    <row r="91" spans="1:28" ht="15.75" customHeight="1" x14ac:dyDescent="0.2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</row>
    <row r="92" spans="1:28" ht="15.75" customHeight="1" x14ac:dyDescent="0.2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</row>
    <row r="93" spans="1:28" ht="15.75" customHeight="1" x14ac:dyDescent="0.2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</row>
    <row r="94" spans="1:28" ht="15.75" customHeight="1" x14ac:dyDescent="0.2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</row>
    <row r="95" spans="1:28" ht="15.75" customHeight="1" x14ac:dyDescent="0.2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</row>
    <row r="96" spans="1:28" ht="15.75" customHeight="1" x14ac:dyDescent="0.2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</row>
    <row r="97" spans="1:28" ht="15.75" customHeight="1" x14ac:dyDescent="0.2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</row>
    <row r="98" spans="1:28" ht="15.75" customHeight="1" x14ac:dyDescent="0.2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</row>
    <row r="99" spans="1:28" ht="15.75" customHeight="1" x14ac:dyDescent="0.2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</row>
    <row r="100" spans="1:28" ht="15.75" customHeight="1" x14ac:dyDescent="0.2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</row>
    <row r="101" spans="1:28" ht="15.75" customHeight="1" x14ac:dyDescent="0.2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</row>
    <row r="102" spans="1:28" ht="15.75" customHeight="1" x14ac:dyDescent="0.2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</row>
    <row r="103" spans="1:28" ht="15.75" customHeight="1" x14ac:dyDescent="0.2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</row>
    <row r="104" spans="1:28" ht="15.75" customHeight="1" x14ac:dyDescent="0.2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</row>
    <row r="105" spans="1:28" ht="15.75" customHeight="1" x14ac:dyDescent="0.2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</row>
    <row r="106" spans="1:28" ht="15.75" customHeight="1" x14ac:dyDescent="0.2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</row>
    <row r="107" spans="1:28" ht="15.75" customHeight="1" x14ac:dyDescent="0.2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</row>
    <row r="108" spans="1:28" ht="15.75" customHeight="1" x14ac:dyDescent="0.2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</row>
    <row r="109" spans="1:28" ht="15.75" customHeight="1" x14ac:dyDescent="0.2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</row>
    <row r="110" spans="1:28" ht="15.75" customHeight="1" x14ac:dyDescent="0.2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</row>
    <row r="111" spans="1:28" ht="15.75" customHeight="1" x14ac:dyDescent="0.2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</row>
    <row r="112" spans="1:28" ht="15.75" customHeight="1" x14ac:dyDescent="0.2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</row>
    <row r="113" spans="1:28" ht="15.75" customHeight="1" x14ac:dyDescent="0.2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</row>
    <row r="114" spans="1:28" ht="15.75" customHeight="1" x14ac:dyDescent="0.2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</row>
    <row r="115" spans="1:28" ht="15.75" customHeight="1" x14ac:dyDescent="0.2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</row>
    <row r="116" spans="1:28" ht="15.75" customHeight="1" x14ac:dyDescent="0.2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</row>
    <row r="117" spans="1:28" ht="15.75" customHeight="1" x14ac:dyDescent="0.2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</row>
    <row r="118" spans="1:28" ht="15.75" customHeight="1" x14ac:dyDescent="0.2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</row>
    <row r="119" spans="1:28" ht="15.75" customHeight="1" x14ac:dyDescent="0.2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</row>
    <row r="120" spans="1:28" ht="15.75" customHeight="1" x14ac:dyDescent="0.2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</row>
    <row r="121" spans="1:28" ht="15.75" customHeight="1" x14ac:dyDescent="0.2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</row>
    <row r="122" spans="1:28" ht="15.75" customHeight="1" x14ac:dyDescent="0.2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</row>
    <row r="123" spans="1:28" ht="15.75" customHeight="1" x14ac:dyDescent="0.2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</row>
    <row r="124" spans="1:28" ht="15.75" customHeight="1" x14ac:dyDescent="0.2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</row>
    <row r="125" spans="1:28" ht="15.75" customHeight="1" x14ac:dyDescent="0.2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</row>
    <row r="126" spans="1:28" ht="15.75" customHeight="1" x14ac:dyDescent="0.2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</row>
    <row r="127" spans="1:28" ht="15.75" customHeight="1" x14ac:dyDescent="0.2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</row>
    <row r="128" spans="1:28" ht="15.75" customHeight="1" x14ac:dyDescent="0.2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</row>
    <row r="129" spans="1:28" ht="15.75" customHeight="1" x14ac:dyDescent="0.2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</row>
    <row r="130" spans="1:28" ht="15.75" customHeight="1" x14ac:dyDescent="0.2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</row>
    <row r="131" spans="1:28" ht="15.75" customHeight="1" x14ac:dyDescent="0.2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</row>
    <row r="132" spans="1:28" ht="15.75" customHeight="1" x14ac:dyDescent="0.2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</row>
    <row r="133" spans="1:28" ht="15.75" customHeight="1" x14ac:dyDescent="0.2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</row>
    <row r="134" spans="1:28" ht="15.75" customHeight="1" x14ac:dyDescent="0.2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</row>
    <row r="135" spans="1:28" ht="15.75" customHeight="1" x14ac:dyDescent="0.2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</row>
    <row r="136" spans="1:28" ht="15.75" customHeight="1" x14ac:dyDescent="0.2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</row>
    <row r="137" spans="1:28" ht="15.75" customHeight="1" x14ac:dyDescent="0.2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</row>
    <row r="138" spans="1:28" ht="15.75" customHeight="1" x14ac:dyDescent="0.2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</row>
    <row r="139" spans="1:28" ht="15.75" customHeight="1" x14ac:dyDescent="0.2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</row>
    <row r="140" spans="1:28" ht="15.75" customHeight="1" x14ac:dyDescent="0.2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</row>
    <row r="141" spans="1:28" ht="15.75" customHeight="1" x14ac:dyDescent="0.2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</row>
    <row r="142" spans="1:28" ht="15.75" customHeight="1" x14ac:dyDescent="0.2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</row>
    <row r="143" spans="1:28" ht="15.75" customHeight="1" x14ac:dyDescent="0.2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</row>
    <row r="144" spans="1:28" ht="15.75" customHeight="1" x14ac:dyDescent="0.2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</row>
    <row r="145" spans="1:28" ht="15.75" customHeight="1" x14ac:dyDescent="0.2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</row>
    <row r="146" spans="1:28" ht="15.75" customHeight="1" x14ac:dyDescent="0.2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</row>
    <row r="147" spans="1:28" ht="15.75" customHeight="1" x14ac:dyDescent="0.2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</row>
    <row r="148" spans="1:28" ht="15.75" customHeight="1" x14ac:dyDescent="0.2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</row>
    <row r="149" spans="1:28" ht="15.75" customHeight="1" x14ac:dyDescent="0.2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</row>
    <row r="150" spans="1:28" ht="15.75" customHeight="1" x14ac:dyDescent="0.2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</row>
    <row r="151" spans="1:28" ht="15.75" customHeight="1" x14ac:dyDescent="0.2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</row>
    <row r="152" spans="1:28" ht="15.75" customHeight="1" x14ac:dyDescent="0.2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</row>
    <row r="153" spans="1:28" ht="15.75" customHeight="1" x14ac:dyDescent="0.2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</row>
    <row r="154" spans="1:28" ht="15.75" customHeight="1" x14ac:dyDescent="0.2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</row>
    <row r="155" spans="1:28" ht="15.75" customHeight="1" x14ac:dyDescent="0.2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</row>
    <row r="156" spans="1:28" ht="15.75" customHeight="1" x14ac:dyDescent="0.2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</row>
    <row r="157" spans="1:28" ht="15.75" customHeight="1" x14ac:dyDescent="0.2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</row>
    <row r="158" spans="1:28" ht="15.75" customHeight="1" x14ac:dyDescent="0.2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</row>
    <row r="159" spans="1:28" ht="15.75" customHeight="1" x14ac:dyDescent="0.2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</row>
    <row r="160" spans="1:28" ht="15.75" customHeight="1" x14ac:dyDescent="0.2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</row>
    <row r="161" spans="1:28" ht="15.75" customHeight="1" x14ac:dyDescent="0.2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</row>
    <row r="162" spans="1:28" ht="15.75" customHeight="1" x14ac:dyDescent="0.2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</row>
    <row r="163" spans="1:28" ht="15.75" customHeight="1" x14ac:dyDescent="0.2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</row>
    <row r="164" spans="1:28" ht="15.75" customHeight="1" x14ac:dyDescent="0.2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</row>
    <row r="165" spans="1:28" ht="15.75" customHeight="1" x14ac:dyDescent="0.2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</row>
    <row r="166" spans="1:28" ht="15.75" customHeight="1" x14ac:dyDescent="0.2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</row>
    <row r="167" spans="1:28" ht="15.75" customHeight="1" x14ac:dyDescent="0.2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</row>
    <row r="168" spans="1:28" ht="15.75" customHeight="1" x14ac:dyDescent="0.2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</row>
    <row r="169" spans="1:28" ht="15.75" customHeight="1" x14ac:dyDescent="0.2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</row>
    <row r="170" spans="1:28" ht="15.75" customHeight="1" x14ac:dyDescent="0.2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</row>
    <row r="171" spans="1:28" ht="15.75" customHeight="1" x14ac:dyDescent="0.2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</row>
    <row r="172" spans="1:28" ht="15.75" customHeight="1" x14ac:dyDescent="0.2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</row>
    <row r="173" spans="1:28" ht="15.75" customHeight="1" x14ac:dyDescent="0.2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</row>
    <row r="174" spans="1:28" ht="15.75" customHeight="1" x14ac:dyDescent="0.2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</row>
    <row r="175" spans="1:28" ht="15.75" customHeight="1" x14ac:dyDescent="0.2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</row>
    <row r="176" spans="1:28" ht="15.75" customHeight="1" x14ac:dyDescent="0.2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</row>
    <row r="177" spans="1:28" ht="15.75" customHeight="1" x14ac:dyDescent="0.2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</row>
    <row r="178" spans="1:28" ht="15.75" customHeight="1" x14ac:dyDescent="0.2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</row>
    <row r="179" spans="1:28" ht="15.75" customHeight="1" x14ac:dyDescent="0.2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</row>
    <row r="180" spans="1:28" ht="15.75" customHeight="1" x14ac:dyDescent="0.2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</row>
    <row r="181" spans="1:28" ht="15.75" customHeight="1" x14ac:dyDescent="0.2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</row>
    <row r="182" spans="1:28" ht="15.75" customHeight="1" x14ac:dyDescent="0.2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</row>
    <row r="183" spans="1:28" ht="15.75" customHeight="1" x14ac:dyDescent="0.2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</row>
    <row r="184" spans="1:28" ht="15.75" customHeight="1" x14ac:dyDescent="0.2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</row>
    <row r="185" spans="1:28" ht="15.75" customHeight="1" x14ac:dyDescent="0.2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</row>
    <row r="186" spans="1:28" ht="15.75" customHeight="1" x14ac:dyDescent="0.2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</row>
    <row r="187" spans="1:28" ht="15.75" customHeight="1" x14ac:dyDescent="0.2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</row>
    <row r="188" spans="1:28" ht="15.75" customHeight="1" x14ac:dyDescent="0.2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</row>
    <row r="189" spans="1:28" ht="15.75" customHeight="1" x14ac:dyDescent="0.2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</row>
    <row r="190" spans="1:28" ht="15.75" customHeight="1" x14ac:dyDescent="0.2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</row>
    <row r="191" spans="1:28" ht="15.75" customHeight="1" x14ac:dyDescent="0.2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</row>
    <row r="192" spans="1:28" ht="15.75" customHeight="1" x14ac:dyDescent="0.2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</row>
    <row r="193" spans="1:28" ht="15.75" customHeight="1" x14ac:dyDescent="0.2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</row>
    <row r="194" spans="1:28" ht="15.75" customHeight="1" x14ac:dyDescent="0.2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</row>
    <row r="195" spans="1:28" ht="15.75" customHeight="1" x14ac:dyDescent="0.2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</row>
    <row r="196" spans="1:28" ht="15.75" customHeight="1" x14ac:dyDescent="0.2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</row>
    <row r="197" spans="1:28" ht="15.75" customHeight="1" x14ac:dyDescent="0.2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</row>
    <row r="198" spans="1:28" ht="15.75" customHeight="1" x14ac:dyDescent="0.2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</row>
    <row r="199" spans="1:28" ht="15.75" customHeight="1" x14ac:dyDescent="0.2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</row>
    <row r="200" spans="1:28" ht="15.75" customHeight="1" x14ac:dyDescent="0.2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</row>
    <row r="201" spans="1:28" ht="15.75" customHeight="1" x14ac:dyDescent="0.2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</row>
    <row r="202" spans="1:28" ht="15.75" customHeight="1" x14ac:dyDescent="0.2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</row>
    <row r="203" spans="1:28" ht="15.75" customHeight="1" x14ac:dyDescent="0.2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</row>
    <row r="204" spans="1:28" ht="15.75" customHeight="1" x14ac:dyDescent="0.2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</row>
    <row r="205" spans="1:28" ht="15.75" customHeight="1" x14ac:dyDescent="0.2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</row>
    <row r="206" spans="1:28" ht="15.75" customHeight="1" x14ac:dyDescent="0.2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</row>
    <row r="207" spans="1:28" ht="15.75" customHeight="1" x14ac:dyDescent="0.2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</row>
    <row r="208" spans="1:28" ht="15.75" customHeight="1" x14ac:dyDescent="0.2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</row>
    <row r="209" spans="1:28" ht="15.75" customHeight="1" x14ac:dyDescent="0.2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</row>
    <row r="210" spans="1:28" ht="15.75" customHeight="1" x14ac:dyDescent="0.2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</row>
    <row r="211" spans="1:28" ht="15.75" customHeight="1" x14ac:dyDescent="0.2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</row>
    <row r="212" spans="1:28" ht="15.75" customHeight="1" x14ac:dyDescent="0.2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</row>
    <row r="213" spans="1:28" ht="15.75" customHeight="1" x14ac:dyDescent="0.2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</row>
    <row r="214" spans="1:28" ht="15.75" customHeight="1" x14ac:dyDescent="0.2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</row>
    <row r="215" spans="1:28" ht="15.75" customHeight="1" x14ac:dyDescent="0.2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</row>
    <row r="216" spans="1:28" ht="15.75" customHeight="1" x14ac:dyDescent="0.2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</row>
    <row r="217" spans="1:28" ht="15.75" customHeight="1" x14ac:dyDescent="0.2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</row>
    <row r="218" spans="1:28" ht="15.75" customHeight="1" x14ac:dyDescent="0.2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</row>
    <row r="219" spans="1:28" ht="15.75" customHeight="1" x14ac:dyDescent="0.2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</row>
    <row r="220" spans="1:28" ht="15.75" customHeight="1" x14ac:dyDescent="0.2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</row>
    <row r="221" spans="1:28" ht="15.75" customHeight="1" x14ac:dyDescent="0.2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</row>
    <row r="222" spans="1:28" ht="15.75" customHeight="1" x14ac:dyDescent="0.2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</row>
    <row r="223" spans="1:28" ht="15.75" customHeight="1" x14ac:dyDescent="0.2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</row>
    <row r="224" spans="1:28" ht="15.75" customHeight="1" x14ac:dyDescent="0.2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</row>
    <row r="225" spans="1:28" ht="15.75" customHeight="1" x14ac:dyDescent="0.2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</row>
    <row r="226" spans="1:28" ht="15.75" customHeight="1" x14ac:dyDescent="0.2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</row>
    <row r="227" spans="1:28" ht="15.75" customHeight="1" x14ac:dyDescent="0.2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</row>
    <row r="228" spans="1:28" ht="15.75" customHeight="1" x14ac:dyDescent="0.2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</row>
    <row r="229" spans="1:28" ht="15.75" customHeight="1" x14ac:dyDescent="0.2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</row>
    <row r="230" spans="1:28" ht="15.75" customHeight="1" x14ac:dyDescent="0.2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</row>
    <row r="231" spans="1:28" ht="15.75" customHeight="1" x14ac:dyDescent="0.2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</row>
    <row r="232" spans="1:28" ht="15.75" customHeight="1" x14ac:dyDescent="0.2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</row>
    <row r="233" spans="1:28" ht="15.75" customHeight="1" x14ac:dyDescent="0.2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</row>
    <row r="234" spans="1:28" ht="15.75" customHeight="1" x14ac:dyDescent="0.2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</row>
    <row r="235" spans="1:28" ht="15.75" customHeight="1" x14ac:dyDescent="0.2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</row>
    <row r="236" spans="1:28" ht="15.75" customHeight="1" x14ac:dyDescent="0.2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</row>
    <row r="237" spans="1:28" ht="15.75" customHeight="1" x14ac:dyDescent="0.2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</row>
    <row r="238" spans="1:28" ht="15.75" customHeight="1" x14ac:dyDescent="0.2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</row>
    <row r="239" spans="1:28" ht="15.75" customHeight="1" x14ac:dyDescent="0.2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</row>
    <row r="240" spans="1:28" ht="15.75" customHeight="1" x14ac:dyDescent="0.2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</row>
    <row r="241" spans="1:28" ht="15.75" customHeight="1" x14ac:dyDescent="0.2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</row>
    <row r="242" spans="1:28" ht="15.75" customHeight="1" x14ac:dyDescent="0.2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</row>
    <row r="243" spans="1:28" ht="15.75" customHeight="1" x14ac:dyDescent="0.2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</row>
    <row r="244" spans="1:28" ht="15.75" customHeight="1" x14ac:dyDescent="0.2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</row>
    <row r="245" spans="1:28" ht="15.75" customHeight="1" x14ac:dyDescent="0.2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</row>
    <row r="246" spans="1:28" ht="15.75" customHeight="1" x14ac:dyDescent="0.2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</row>
    <row r="247" spans="1:28" ht="15.75" customHeight="1" x14ac:dyDescent="0.2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</row>
    <row r="248" spans="1:28" ht="15.75" customHeight="1" x14ac:dyDescent="0.2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</row>
    <row r="249" spans="1:28" ht="15.75" customHeight="1" x14ac:dyDescent="0.2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</row>
    <row r="250" spans="1:28" ht="15.75" customHeight="1" x14ac:dyDescent="0.2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</row>
    <row r="251" spans="1:28" ht="15.75" customHeight="1" x14ac:dyDescent="0.2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</row>
    <row r="252" spans="1:28" ht="15.75" customHeight="1" x14ac:dyDescent="0.2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</row>
    <row r="253" spans="1:28" ht="15.75" customHeight="1" x14ac:dyDescent="0.2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</row>
    <row r="254" spans="1:28" ht="15.75" customHeight="1" x14ac:dyDescent="0.2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</row>
    <row r="255" spans="1:28" ht="15.75" customHeight="1" x14ac:dyDescent="0.2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</row>
    <row r="256" spans="1:28" ht="15.75" customHeight="1" x14ac:dyDescent="0.2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</row>
    <row r="257" spans="1:28" ht="15.75" customHeight="1" x14ac:dyDescent="0.2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</row>
    <row r="258" spans="1:28" ht="15.75" customHeight="1" x14ac:dyDescent="0.2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</row>
    <row r="259" spans="1:28" ht="15.75" customHeight="1" x14ac:dyDescent="0.2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</row>
    <row r="260" spans="1:28" ht="15.75" customHeight="1" x14ac:dyDescent="0.2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</row>
    <row r="261" spans="1:28" ht="15.75" customHeight="1" x14ac:dyDescent="0.2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</row>
    <row r="262" spans="1:28" ht="15.75" customHeight="1" x14ac:dyDescent="0.2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</row>
    <row r="263" spans="1:28" ht="15.75" customHeight="1" x14ac:dyDescent="0.2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</row>
    <row r="264" spans="1:28" ht="15.75" customHeight="1" x14ac:dyDescent="0.2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</row>
    <row r="265" spans="1:28" ht="15.75" customHeight="1" x14ac:dyDescent="0.2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</row>
    <row r="266" spans="1:28" ht="15.75" customHeight="1" x14ac:dyDescent="0.2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</row>
    <row r="267" spans="1:28" ht="15.75" customHeight="1" x14ac:dyDescent="0.2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</row>
    <row r="268" spans="1:28" ht="15.75" customHeight="1" x14ac:dyDescent="0.2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</row>
    <row r="269" spans="1:28" ht="15.75" customHeight="1" x14ac:dyDescent="0.2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</row>
    <row r="270" spans="1:28" ht="15.75" customHeight="1" x14ac:dyDescent="0.2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</row>
    <row r="271" spans="1:28" ht="15.75" customHeight="1" x14ac:dyDescent="0.2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</row>
    <row r="272" spans="1:28" ht="15.75" customHeight="1" x14ac:dyDescent="0.2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</row>
    <row r="273" spans="1:28" ht="15.75" customHeight="1" x14ac:dyDescent="0.2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</row>
    <row r="274" spans="1:28" ht="15.75" customHeight="1" x14ac:dyDescent="0.2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</row>
    <row r="275" spans="1:28" ht="15.75" customHeight="1" x14ac:dyDescent="0.2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</row>
    <row r="276" spans="1:28" ht="15.75" customHeight="1" x14ac:dyDescent="0.2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</row>
    <row r="277" spans="1:28" ht="15.75" customHeight="1" x14ac:dyDescent="0.2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</row>
    <row r="278" spans="1:28" ht="15.75" customHeight="1" x14ac:dyDescent="0.2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</row>
    <row r="279" spans="1:28" ht="15.75" customHeight="1" x14ac:dyDescent="0.2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</row>
    <row r="280" spans="1:28" ht="15.75" customHeight="1" x14ac:dyDescent="0.2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</row>
    <row r="281" spans="1:28" ht="15.75" customHeight="1" x14ac:dyDescent="0.2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</row>
    <row r="282" spans="1:28" ht="15.75" customHeight="1" x14ac:dyDescent="0.2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</row>
    <row r="283" spans="1:28" ht="15.75" customHeight="1" x14ac:dyDescent="0.2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</row>
    <row r="284" spans="1:28" ht="15.75" customHeight="1" x14ac:dyDescent="0.2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</row>
    <row r="285" spans="1:28" ht="15.75" customHeight="1" x14ac:dyDescent="0.2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</row>
    <row r="286" spans="1:28" ht="15.75" customHeight="1" x14ac:dyDescent="0.2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</row>
    <row r="287" spans="1:28" ht="15.75" customHeight="1" x14ac:dyDescent="0.2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</row>
    <row r="288" spans="1:28" ht="15.75" customHeight="1" x14ac:dyDescent="0.2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</row>
    <row r="289" spans="1:28" ht="15.75" customHeight="1" x14ac:dyDescent="0.2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</row>
    <row r="290" spans="1:28" ht="15.75" customHeight="1" x14ac:dyDescent="0.2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</row>
    <row r="291" spans="1:28" ht="15.75" customHeight="1" x14ac:dyDescent="0.2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</row>
    <row r="292" spans="1:28" ht="15.75" customHeight="1" x14ac:dyDescent="0.2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</row>
    <row r="293" spans="1:28" ht="15.75" customHeight="1" x14ac:dyDescent="0.2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</row>
    <row r="294" spans="1:28" ht="15.75" customHeight="1" x14ac:dyDescent="0.2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</row>
    <row r="295" spans="1:28" ht="15.75" customHeight="1" x14ac:dyDescent="0.2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</row>
    <row r="296" spans="1:28" ht="15.75" customHeight="1" x14ac:dyDescent="0.2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</row>
    <row r="297" spans="1:28" ht="15.75" customHeight="1" x14ac:dyDescent="0.2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</row>
    <row r="298" spans="1:28" ht="15.75" customHeight="1" x14ac:dyDescent="0.2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</row>
    <row r="299" spans="1:28" ht="15.75" customHeight="1" x14ac:dyDescent="0.2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</row>
    <row r="300" spans="1:28" ht="15.75" customHeight="1" x14ac:dyDescent="0.2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</row>
    <row r="301" spans="1:28" ht="15.75" customHeight="1" x14ac:dyDescent="0.2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</row>
    <row r="302" spans="1:28" ht="15.75" customHeight="1" x14ac:dyDescent="0.2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</row>
    <row r="303" spans="1:28" ht="15.75" customHeight="1" x14ac:dyDescent="0.2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</row>
    <row r="304" spans="1:28" ht="15.75" customHeight="1" x14ac:dyDescent="0.2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</row>
    <row r="305" spans="1:28" ht="15.75" customHeight="1" x14ac:dyDescent="0.2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</row>
    <row r="306" spans="1:28" ht="15.75" customHeight="1" x14ac:dyDescent="0.2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</row>
    <row r="307" spans="1:28" ht="15.75" customHeight="1" x14ac:dyDescent="0.2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</row>
    <row r="308" spans="1:28" ht="15.75" customHeight="1" x14ac:dyDescent="0.2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</row>
    <row r="309" spans="1:28" ht="15.75" customHeight="1" x14ac:dyDescent="0.2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</row>
    <row r="310" spans="1:28" ht="15.75" customHeight="1" x14ac:dyDescent="0.2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</row>
    <row r="311" spans="1:28" ht="15.75" customHeight="1" x14ac:dyDescent="0.2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</row>
    <row r="312" spans="1:28" ht="15.75" customHeight="1" x14ac:dyDescent="0.2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</row>
    <row r="313" spans="1:28" ht="15.75" customHeight="1" x14ac:dyDescent="0.2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</row>
    <row r="314" spans="1:28" ht="15.75" customHeight="1" x14ac:dyDescent="0.2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</row>
    <row r="315" spans="1:28" ht="15.75" customHeight="1" x14ac:dyDescent="0.2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</row>
    <row r="316" spans="1:28" ht="15.75" customHeight="1" x14ac:dyDescent="0.2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</row>
    <row r="317" spans="1:28" ht="15.75" customHeight="1" x14ac:dyDescent="0.2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</row>
    <row r="318" spans="1:28" ht="15.75" customHeight="1" x14ac:dyDescent="0.2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</row>
    <row r="319" spans="1:28" ht="15.75" customHeight="1" x14ac:dyDescent="0.2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</row>
    <row r="320" spans="1:28" ht="15.75" customHeight="1" x14ac:dyDescent="0.2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</row>
    <row r="321" spans="1:28" ht="15.75" customHeight="1" x14ac:dyDescent="0.2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</row>
    <row r="322" spans="1:28" ht="15.75" customHeight="1" x14ac:dyDescent="0.2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</row>
    <row r="323" spans="1:28" ht="15.75" customHeight="1" x14ac:dyDescent="0.2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</row>
    <row r="324" spans="1:28" ht="15.75" customHeight="1" x14ac:dyDescent="0.2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</row>
    <row r="325" spans="1:28" ht="15.75" customHeight="1" x14ac:dyDescent="0.2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</row>
    <row r="326" spans="1:28" ht="15.75" customHeight="1" x14ac:dyDescent="0.2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</row>
    <row r="327" spans="1:28" ht="15.75" customHeight="1" x14ac:dyDescent="0.2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</row>
    <row r="328" spans="1:28" ht="15.75" customHeight="1" x14ac:dyDescent="0.2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</row>
    <row r="329" spans="1:28" ht="15.75" customHeight="1" x14ac:dyDescent="0.2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</row>
    <row r="330" spans="1:28" ht="15.75" customHeight="1" x14ac:dyDescent="0.2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</row>
    <row r="331" spans="1:28" ht="15.75" customHeight="1" x14ac:dyDescent="0.2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</row>
    <row r="332" spans="1:28" ht="15.75" customHeight="1" x14ac:dyDescent="0.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</row>
    <row r="333" spans="1:28" ht="15.75" customHeight="1" x14ac:dyDescent="0.2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</row>
    <row r="334" spans="1:28" ht="15.75" customHeight="1" x14ac:dyDescent="0.2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</row>
    <row r="335" spans="1:28" ht="15.75" customHeight="1" x14ac:dyDescent="0.2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</row>
    <row r="336" spans="1:28" ht="15.75" customHeight="1" x14ac:dyDescent="0.2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</row>
    <row r="337" spans="1:28" ht="15.75" customHeight="1" x14ac:dyDescent="0.2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</row>
    <row r="338" spans="1:28" ht="15.75" customHeight="1" x14ac:dyDescent="0.2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</row>
    <row r="339" spans="1:28" ht="15.75" customHeight="1" x14ac:dyDescent="0.2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</row>
    <row r="340" spans="1:28" ht="15.75" customHeight="1" x14ac:dyDescent="0.2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</row>
    <row r="341" spans="1:28" ht="15.75" customHeight="1" x14ac:dyDescent="0.2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</row>
    <row r="342" spans="1:28" ht="15.75" customHeight="1" x14ac:dyDescent="0.2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</row>
    <row r="343" spans="1:28" ht="15.75" customHeight="1" x14ac:dyDescent="0.2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</row>
    <row r="344" spans="1:28" ht="15.75" customHeight="1" x14ac:dyDescent="0.2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</row>
    <row r="345" spans="1:28" ht="15.75" customHeight="1" x14ac:dyDescent="0.2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</row>
    <row r="346" spans="1:28" ht="15.75" customHeight="1" x14ac:dyDescent="0.2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</row>
    <row r="347" spans="1:28" ht="15.75" customHeight="1" x14ac:dyDescent="0.2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</row>
    <row r="348" spans="1:28" ht="15.75" customHeight="1" x14ac:dyDescent="0.2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</row>
    <row r="349" spans="1:28" ht="15.75" customHeight="1" x14ac:dyDescent="0.2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</row>
    <row r="350" spans="1:28" ht="15.75" customHeight="1" x14ac:dyDescent="0.2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</row>
    <row r="351" spans="1:28" ht="15.75" customHeight="1" x14ac:dyDescent="0.2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</row>
    <row r="352" spans="1:28" ht="15.75" customHeight="1" x14ac:dyDescent="0.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</row>
    <row r="353" spans="1:28" ht="15.75" customHeight="1" x14ac:dyDescent="0.2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</row>
    <row r="354" spans="1:28" ht="15.75" customHeight="1" x14ac:dyDescent="0.2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</row>
    <row r="355" spans="1:28" ht="15.75" customHeight="1" x14ac:dyDescent="0.2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</row>
    <row r="356" spans="1:28" ht="15.75" customHeight="1" x14ac:dyDescent="0.2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</row>
    <row r="357" spans="1:28" ht="15.75" customHeight="1" x14ac:dyDescent="0.2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</row>
    <row r="358" spans="1:28" ht="15.75" customHeight="1" x14ac:dyDescent="0.2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</row>
    <row r="359" spans="1:28" ht="15.75" customHeight="1" x14ac:dyDescent="0.2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</row>
    <row r="360" spans="1:28" ht="15.75" customHeight="1" x14ac:dyDescent="0.2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</row>
    <row r="361" spans="1:28" ht="15.75" customHeight="1" x14ac:dyDescent="0.2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</row>
    <row r="362" spans="1:28" ht="15.75" customHeight="1" x14ac:dyDescent="0.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</row>
    <row r="363" spans="1:28" ht="15.75" customHeight="1" x14ac:dyDescent="0.2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</row>
    <row r="364" spans="1:28" ht="15.75" customHeight="1" x14ac:dyDescent="0.2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</row>
    <row r="365" spans="1:28" ht="15.75" customHeight="1" x14ac:dyDescent="0.2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</row>
    <row r="366" spans="1:28" ht="15.75" customHeight="1" x14ac:dyDescent="0.2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</row>
    <row r="367" spans="1:28" ht="15.75" customHeight="1" x14ac:dyDescent="0.2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</row>
    <row r="368" spans="1:28" ht="15.75" customHeight="1" x14ac:dyDescent="0.2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</row>
    <row r="369" spans="1:28" ht="15.75" customHeight="1" x14ac:dyDescent="0.2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</row>
    <row r="370" spans="1:28" ht="15.75" customHeight="1" x14ac:dyDescent="0.2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</row>
    <row r="371" spans="1:28" ht="15.75" customHeight="1" x14ac:dyDescent="0.2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</row>
    <row r="372" spans="1:28" ht="15.75" customHeight="1" x14ac:dyDescent="0.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</row>
    <row r="373" spans="1:28" ht="15.75" customHeight="1" x14ac:dyDescent="0.2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</row>
    <row r="374" spans="1:28" ht="15.75" customHeight="1" x14ac:dyDescent="0.2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</row>
    <row r="375" spans="1:28" ht="15.75" customHeight="1" x14ac:dyDescent="0.2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</row>
    <row r="376" spans="1:28" ht="15.75" customHeight="1" x14ac:dyDescent="0.2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</row>
    <row r="377" spans="1:28" ht="15.75" customHeight="1" x14ac:dyDescent="0.2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</row>
    <row r="378" spans="1:28" ht="15.75" customHeight="1" x14ac:dyDescent="0.2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</row>
    <row r="379" spans="1:28" ht="15.75" customHeight="1" x14ac:dyDescent="0.2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</row>
    <row r="380" spans="1:28" ht="15.75" customHeight="1" x14ac:dyDescent="0.2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</row>
    <row r="381" spans="1:28" ht="15.75" customHeight="1" x14ac:dyDescent="0.2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</row>
    <row r="382" spans="1:28" ht="15.75" customHeight="1" x14ac:dyDescent="0.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</row>
    <row r="383" spans="1:28" ht="15.75" customHeight="1" x14ac:dyDescent="0.2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</row>
    <row r="384" spans="1:28" ht="15.75" customHeight="1" x14ac:dyDescent="0.2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</row>
    <row r="385" spans="1:28" ht="15.75" customHeight="1" x14ac:dyDescent="0.2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</row>
    <row r="386" spans="1:28" ht="15.75" customHeight="1" x14ac:dyDescent="0.2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</row>
    <row r="387" spans="1:28" ht="15.75" customHeight="1" x14ac:dyDescent="0.2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</row>
    <row r="388" spans="1:28" ht="15.75" customHeight="1" x14ac:dyDescent="0.2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</row>
    <row r="389" spans="1:28" ht="15.75" customHeight="1" x14ac:dyDescent="0.2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</row>
    <row r="390" spans="1:28" ht="15.75" customHeight="1" x14ac:dyDescent="0.2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</row>
    <row r="391" spans="1:28" ht="15.75" customHeight="1" x14ac:dyDescent="0.2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</row>
    <row r="392" spans="1:28" ht="15.75" customHeight="1" x14ac:dyDescent="0.2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</row>
    <row r="393" spans="1:28" ht="15.75" customHeight="1" x14ac:dyDescent="0.2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</row>
    <row r="394" spans="1:28" ht="15.75" customHeight="1" x14ac:dyDescent="0.2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</row>
    <row r="395" spans="1:28" ht="15.75" customHeight="1" x14ac:dyDescent="0.2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</row>
    <row r="396" spans="1:28" ht="15.75" customHeight="1" x14ac:dyDescent="0.2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</row>
    <row r="397" spans="1:28" ht="15.75" customHeight="1" x14ac:dyDescent="0.2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</row>
    <row r="398" spans="1:28" ht="15.75" customHeight="1" x14ac:dyDescent="0.2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</row>
    <row r="399" spans="1:28" ht="15.75" customHeight="1" x14ac:dyDescent="0.2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</row>
    <row r="400" spans="1:28" ht="15.75" customHeight="1" x14ac:dyDescent="0.2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</row>
    <row r="401" spans="1:28" ht="15.75" customHeight="1" x14ac:dyDescent="0.2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</row>
    <row r="402" spans="1:28" ht="15.75" customHeight="1" x14ac:dyDescent="0.2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</row>
    <row r="403" spans="1:28" ht="15.75" customHeight="1" x14ac:dyDescent="0.2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</row>
    <row r="404" spans="1:28" ht="15.75" customHeight="1" x14ac:dyDescent="0.2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</row>
    <row r="405" spans="1:28" ht="15.75" customHeight="1" x14ac:dyDescent="0.2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</row>
    <row r="406" spans="1:28" ht="15.75" customHeight="1" x14ac:dyDescent="0.2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</row>
    <row r="407" spans="1:28" ht="15.75" customHeight="1" x14ac:dyDescent="0.2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</row>
    <row r="408" spans="1:28" ht="15.75" customHeight="1" x14ac:dyDescent="0.2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</row>
    <row r="409" spans="1:28" ht="15.75" customHeight="1" x14ac:dyDescent="0.2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</row>
    <row r="410" spans="1:28" ht="15.75" customHeight="1" x14ac:dyDescent="0.2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</row>
    <row r="411" spans="1:28" ht="15.75" customHeight="1" x14ac:dyDescent="0.2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</row>
    <row r="412" spans="1:28" ht="15.75" customHeight="1" x14ac:dyDescent="0.2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</row>
    <row r="413" spans="1:28" ht="15.75" customHeight="1" x14ac:dyDescent="0.2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</row>
    <row r="414" spans="1:28" ht="15.75" customHeight="1" x14ac:dyDescent="0.2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</row>
    <row r="415" spans="1:28" ht="15.75" customHeight="1" x14ac:dyDescent="0.2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</row>
    <row r="416" spans="1:28" ht="15.75" customHeight="1" x14ac:dyDescent="0.2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</row>
    <row r="417" spans="1:28" ht="15.75" customHeight="1" x14ac:dyDescent="0.2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</row>
    <row r="418" spans="1:28" ht="15.75" customHeight="1" x14ac:dyDescent="0.2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</row>
    <row r="419" spans="1:28" ht="15.75" customHeight="1" x14ac:dyDescent="0.2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</row>
    <row r="420" spans="1:28" ht="15.75" customHeight="1" x14ac:dyDescent="0.2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</row>
    <row r="421" spans="1:28" ht="15.75" customHeight="1" x14ac:dyDescent="0.2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</row>
    <row r="422" spans="1:28" ht="15.75" customHeight="1" x14ac:dyDescent="0.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</row>
    <row r="423" spans="1:28" ht="15.75" customHeight="1" x14ac:dyDescent="0.2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</row>
    <row r="424" spans="1:28" ht="15.75" customHeight="1" x14ac:dyDescent="0.2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</row>
    <row r="425" spans="1:28" ht="15.75" customHeight="1" x14ac:dyDescent="0.2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</row>
    <row r="426" spans="1:28" ht="15.75" customHeight="1" x14ac:dyDescent="0.2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</row>
    <row r="427" spans="1:28" ht="15.75" customHeight="1" x14ac:dyDescent="0.2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</row>
    <row r="428" spans="1:28" ht="15.75" customHeight="1" x14ac:dyDescent="0.2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</row>
    <row r="429" spans="1:28" ht="15.75" customHeight="1" x14ac:dyDescent="0.2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</row>
    <row r="430" spans="1:28" ht="15.75" customHeight="1" x14ac:dyDescent="0.2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</row>
    <row r="431" spans="1:28" ht="15.75" customHeight="1" x14ac:dyDescent="0.2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</row>
    <row r="432" spans="1:28" ht="15.75" customHeight="1" x14ac:dyDescent="0.2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</row>
    <row r="433" spans="1:28" ht="15.75" customHeight="1" x14ac:dyDescent="0.2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</row>
    <row r="434" spans="1:28" ht="15.75" customHeight="1" x14ac:dyDescent="0.2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</row>
    <row r="435" spans="1:28" ht="15.75" customHeight="1" x14ac:dyDescent="0.2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</row>
    <row r="436" spans="1:28" ht="15.75" customHeight="1" x14ac:dyDescent="0.2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</row>
    <row r="437" spans="1:28" ht="15.75" customHeight="1" x14ac:dyDescent="0.2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</row>
    <row r="438" spans="1:28" ht="15.75" customHeight="1" x14ac:dyDescent="0.2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</row>
    <row r="439" spans="1:28" ht="15.75" customHeight="1" x14ac:dyDescent="0.2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</row>
    <row r="440" spans="1:28" ht="15.75" customHeight="1" x14ac:dyDescent="0.2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</row>
    <row r="441" spans="1:28" ht="15.75" customHeight="1" x14ac:dyDescent="0.2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</row>
    <row r="442" spans="1:28" ht="15.75" customHeight="1" x14ac:dyDescent="0.2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</row>
    <row r="443" spans="1:28" ht="15.75" customHeight="1" x14ac:dyDescent="0.2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</row>
    <row r="444" spans="1:28" ht="15.75" customHeight="1" x14ac:dyDescent="0.2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</row>
    <row r="445" spans="1:28" ht="15.75" customHeight="1" x14ac:dyDescent="0.2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</row>
    <row r="446" spans="1:28" ht="15.75" customHeight="1" x14ac:dyDescent="0.2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</row>
    <row r="447" spans="1:28" ht="15.75" customHeight="1" x14ac:dyDescent="0.2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</row>
    <row r="448" spans="1:28" ht="15.75" customHeight="1" x14ac:dyDescent="0.2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</row>
    <row r="449" spans="1:28" ht="15.75" customHeight="1" x14ac:dyDescent="0.2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</row>
    <row r="450" spans="1:28" ht="15.75" customHeight="1" x14ac:dyDescent="0.2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</row>
    <row r="451" spans="1:28" ht="15.75" customHeight="1" x14ac:dyDescent="0.2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</row>
    <row r="452" spans="1:28" ht="15.75" customHeight="1" x14ac:dyDescent="0.2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</row>
    <row r="453" spans="1:28" ht="15.75" customHeight="1" x14ac:dyDescent="0.2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</row>
    <row r="454" spans="1:28" ht="15.75" customHeight="1" x14ac:dyDescent="0.2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</row>
    <row r="455" spans="1:28" ht="15.75" customHeight="1" x14ac:dyDescent="0.2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</row>
    <row r="456" spans="1:28" ht="15.75" customHeight="1" x14ac:dyDescent="0.2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</row>
    <row r="457" spans="1:28" ht="15.75" customHeight="1" x14ac:dyDescent="0.2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</row>
    <row r="458" spans="1:28" ht="15.75" customHeight="1" x14ac:dyDescent="0.2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</row>
    <row r="459" spans="1:28" ht="15.75" customHeight="1" x14ac:dyDescent="0.2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</row>
    <row r="460" spans="1:28" ht="15.75" customHeight="1" x14ac:dyDescent="0.2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</row>
    <row r="461" spans="1:28" ht="15.75" customHeight="1" x14ac:dyDescent="0.2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</row>
    <row r="462" spans="1:28" ht="15.75" customHeight="1" x14ac:dyDescent="0.2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</row>
    <row r="463" spans="1:28" ht="15.75" customHeight="1" x14ac:dyDescent="0.2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</row>
    <row r="464" spans="1:28" ht="15.75" customHeight="1" x14ac:dyDescent="0.2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</row>
    <row r="465" spans="1:28" ht="15.75" customHeight="1" x14ac:dyDescent="0.2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</row>
    <row r="466" spans="1:28" ht="15.75" customHeight="1" x14ac:dyDescent="0.2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</row>
    <row r="467" spans="1:28" ht="15.75" customHeight="1" x14ac:dyDescent="0.2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</row>
    <row r="468" spans="1:28" ht="15.75" customHeight="1" x14ac:dyDescent="0.2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</row>
    <row r="469" spans="1:28" ht="15.75" customHeight="1" x14ac:dyDescent="0.2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</row>
    <row r="470" spans="1:28" ht="15.75" customHeight="1" x14ac:dyDescent="0.2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</row>
    <row r="471" spans="1:28" ht="15.75" customHeight="1" x14ac:dyDescent="0.2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</row>
    <row r="472" spans="1:28" ht="15.75" customHeight="1" x14ac:dyDescent="0.2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</row>
    <row r="473" spans="1:28" ht="15.75" customHeight="1" x14ac:dyDescent="0.2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</row>
    <row r="474" spans="1:28" ht="15.75" customHeight="1" x14ac:dyDescent="0.2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</row>
    <row r="475" spans="1:28" ht="15.75" customHeight="1" x14ac:dyDescent="0.2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</row>
    <row r="476" spans="1:28" ht="15.75" customHeight="1" x14ac:dyDescent="0.2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</row>
    <row r="477" spans="1:28" ht="15.75" customHeight="1" x14ac:dyDescent="0.2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</row>
    <row r="478" spans="1:28" ht="15.75" customHeight="1" x14ac:dyDescent="0.2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</row>
    <row r="479" spans="1:28" ht="15.75" customHeight="1" x14ac:dyDescent="0.2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</row>
    <row r="480" spans="1:28" ht="15.75" customHeight="1" x14ac:dyDescent="0.2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</row>
    <row r="481" spans="1:28" ht="15.75" customHeight="1" x14ac:dyDescent="0.2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</row>
    <row r="482" spans="1:28" ht="15.75" customHeight="1" x14ac:dyDescent="0.2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</row>
    <row r="483" spans="1:28" ht="15.75" customHeight="1" x14ac:dyDescent="0.2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</row>
    <row r="484" spans="1:28" ht="15.75" customHeight="1" x14ac:dyDescent="0.2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</row>
    <row r="485" spans="1:28" ht="15.75" customHeight="1" x14ac:dyDescent="0.2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</row>
    <row r="486" spans="1:28" ht="15.75" customHeight="1" x14ac:dyDescent="0.2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</row>
    <row r="487" spans="1:28" ht="15.75" customHeight="1" x14ac:dyDescent="0.2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</row>
    <row r="488" spans="1:28" ht="15.75" customHeight="1" x14ac:dyDescent="0.2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</row>
    <row r="489" spans="1:28" ht="15.75" customHeight="1" x14ac:dyDescent="0.2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</row>
    <row r="490" spans="1:28" ht="15.75" customHeight="1" x14ac:dyDescent="0.2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</row>
    <row r="491" spans="1:28" ht="15.75" customHeight="1" x14ac:dyDescent="0.2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</row>
    <row r="492" spans="1:28" ht="15.75" customHeight="1" x14ac:dyDescent="0.2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</row>
    <row r="493" spans="1:28" ht="15.75" customHeight="1" x14ac:dyDescent="0.2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</row>
    <row r="494" spans="1:28" ht="15.75" customHeight="1" x14ac:dyDescent="0.2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</row>
    <row r="495" spans="1:28" ht="15.75" customHeight="1" x14ac:dyDescent="0.2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</row>
    <row r="496" spans="1:28" ht="15.75" customHeight="1" x14ac:dyDescent="0.2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</row>
    <row r="497" spans="1:28" ht="15.75" customHeight="1" x14ac:dyDescent="0.2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</row>
    <row r="498" spans="1:28" ht="15.75" customHeight="1" x14ac:dyDescent="0.2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</row>
    <row r="499" spans="1:28" ht="15.75" customHeight="1" x14ac:dyDescent="0.2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</row>
    <row r="500" spans="1:28" ht="15.75" customHeight="1" x14ac:dyDescent="0.2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</row>
    <row r="501" spans="1:28" ht="15.75" customHeight="1" x14ac:dyDescent="0.2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</row>
    <row r="502" spans="1:28" ht="15.75" customHeight="1" x14ac:dyDescent="0.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</row>
    <row r="503" spans="1:28" ht="15.75" customHeight="1" x14ac:dyDescent="0.2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</row>
    <row r="504" spans="1:28" ht="15.75" customHeight="1" x14ac:dyDescent="0.2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</row>
    <row r="505" spans="1:28" ht="15.75" customHeight="1" x14ac:dyDescent="0.2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</row>
    <row r="506" spans="1:28" ht="15.75" customHeight="1" x14ac:dyDescent="0.2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</row>
    <row r="507" spans="1:28" ht="15.75" customHeight="1" x14ac:dyDescent="0.2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</row>
    <row r="508" spans="1:28" ht="15.75" customHeight="1" x14ac:dyDescent="0.2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</row>
    <row r="509" spans="1:28" ht="15.75" customHeight="1" x14ac:dyDescent="0.2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</row>
    <row r="510" spans="1:28" ht="15.75" customHeight="1" x14ac:dyDescent="0.2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</row>
    <row r="511" spans="1:28" ht="15.75" customHeight="1" x14ac:dyDescent="0.2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</row>
    <row r="512" spans="1:28" ht="15.75" customHeight="1" x14ac:dyDescent="0.2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</row>
    <row r="513" spans="1:28" ht="15.75" customHeight="1" x14ac:dyDescent="0.2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</row>
    <row r="514" spans="1:28" ht="15.75" customHeight="1" x14ac:dyDescent="0.2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</row>
    <row r="515" spans="1:28" ht="15.75" customHeight="1" x14ac:dyDescent="0.2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</row>
    <row r="516" spans="1:28" ht="15.75" customHeight="1" x14ac:dyDescent="0.2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</row>
    <row r="517" spans="1:28" ht="15.75" customHeight="1" x14ac:dyDescent="0.2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</row>
    <row r="518" spans="1:28" ht="15.75" customHeight="1" x14ac:dyDescent="0.2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</row>
    <row r="519" spans="1:28" ht="15.75" customHeight="1" x14ac:dyDescent="0.2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</row>
    <row r="520" spans="1:28" ht="15.75" customHeight="1" x14ac:dyDescent="0.2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</row>
    <row r="521" spans="1:28" ht="15.75" customHeight="1" x14ac:dyDescent="0.2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</row>
    <row r="522" spans="1:28" ht="15.75" customHeight="1" x14ac:dyDescent="0.2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</row>
    <row r="523" spans="1:28" ht="15.75" customHeight="1" x14ac:dyDescent="0.2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</row>
    <row r="524" spans="1:28" ht="15.75" customHeight="1" x14ac:dyDescent="0.2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</row>
    <row r="525" spans="1:28" ht="15.75" customHeight="1" x14ac:dyDescent="0.2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</row>
    <row r="526" spans="1:28" ht="15.75" customHeight="1" x14ac:dyDescent="0.2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</row>
    <row r="527" spans="1:28" ht="15.75" customHeight="1" x14ac:dyDescent="0.2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</row>
    <row r="528" spans="1:28" ht="15.75" customHeight="1" x14ac:dyDescent="0.2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</row>
    <row r="529" spans="1:28" ht="15.75" customHeight="1" x14ac:dyDescent="0.2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</row>
    <row r="530" spans="1:28" ht="15.75" customHeight="1" x14ac:dyDescent="0.2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</row>
    <row r="531" spans="1:28" ht="15.75" customHeight="1" x14ac:dyDescent="0.2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</row>
    <row r="532" spans="1:28" ht="15.75" customHeight="1" x14ac:dyDescent="0.2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</row>
    <row r="533" spans="1:28" ht="15.75" customHeight="1" x14ac:dyDescent="0.2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</row>
    <row r="534" spans="1:28" ht="15.75" customHeight="1" x14ac:dyDescent="0.2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</row>
    <row r="535" spans="1:28" ht="15.75" customHeight="1" x14ac:dyDescent="0.2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</row>
    <row r="536" spans="1:28" ht="15.75" customHeight="1" x14ac:dyDescent="0.2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</row>
    <row r="537" spans="1:28" ht="15.75" customHeight="1" x14ac:dyDescent="0.2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</row>
    <row r="538" spans="1:28" ht="15.75" customHeight="1" x14ac:dyDescent="0.2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</row>
    <row r="539" spans="1:28" ht="15.75" customHeight="1" x14ac:dyDescent="0.2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</row>
    <row r="540" spans="1:28" ht="15.75" customHeight="1" x14ac:dyDescent="0.2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</row>
    <row r="541" spans="1:28" ht="15.75" customHeight="1" x14ac:dyDescent="0.2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</row>
    <row r="542" spans="1:28" ht="15.75" customHeight="1" x14ac:dyDescent="0.2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</row>
    <row r="543" spans="1:28" ht="15.75" customHeight="1" x14ac:dyDescent="0.2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</row>
    <row r="544" spans="1:28" ht="15.75" customHeight="1" x14ac:dyDescent="0.2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</row>
    <row r="545" spans="1:28" ht="15.75" customHeight="1" x14ac:dyDescent="0.2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</row>
    <row r="546" spans="1:28" ht="15.75" customHeight="1" x14ac:dyDescent="0.2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</row>
    <row r="547" spans="1:28" ht="15.75" customHeight="1" x14ac:dyDescent="0.2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</row>
    <row r="548" spans="1:28" ht="15.75" customHeight="1" x14ac:dyDescent="0.2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</row>
    <row r="549" spans="1:28" ht="15.75" customHeight="1" x14ac:dyDescent="0.2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</row>
    <row r="550" spans="1:28" ht="15.75" customHeight="1" x14ac:dyDescent="0.2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</row>
    <row r="551" spans="1:28" ht="15.75" customHeight="1" x14ac:dyDescent="0.2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</row>
    <row r="552" spans="1:28" ht="15.75" customHeight="1" x14ac:dyDescent="0.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</row>
    <row r="553" spans="1:28" ht="15.75" customHeight="1" x14ac:dyDescent="0.2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</row>
    <row r="554" spans="1:28" ht="15.75" customHeight="1" x14ac:dyDescent="0.2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</row>
    <row r="555" spans="1:28" ht="15.75" customHeight="1" x14ac:dyDescent="0.2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</row>
    <row r="556" spans="1:28" ht="15.75" customHeight="1" x14ac:dyDescent="0.2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</row>
    <row r="557" spans="1:28" ht="15.75" customHeight="1" x14ac:dyDescent="0.2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</row>
    <row r="558" spans="1:28" ht="15.75" customHeight="1" x14ac:dyDescent="0.2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</row>
    <row r="559" spans="1:28" ht="15.75" customHeight="1" x14ac:dyDescent="0.2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</row>
    <row r="560" spans="1:28" ht="15.75" customHeight="1" x14ac:dyDescent="0.2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</row>
    <row r="561" spans="1:28" ht="15.75" customHeight="1" x14ac:dyDescent="0.2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</row>
    <row r="562" spans="1:28" ht="15.75" customHeight="1" x14ac:dyDescent="0.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</row>
    <row r="563" spans="1:28" ht="15.75" customHeight="1" x14ac:dyDescent="0.2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</row>
    <row r="564" spans="1:28" ht="15.75" customHeight="1" x14ac:dyDescent="0.2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</row>
    <row r="565" spans="1:28" ht="15.75" customHeight="1" x14ac:dyDescent="0.2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</row>
    <row r="566" spans="1:28" ht="15.75" customHeight="1" x14ac:dyDescent="0.2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</row>
    <row r="567" spans="1:28" ht="15.75" customHeight="1" x14ac:dyDescent="0.2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</row>
    <row r="568" spans="1:28" ht="15.75" customHeight="1" x14ac:dyDescent="0.2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</row>
    <row r="569" spans="1:28" ht="15.75" customHeight="1" x14ac:dyDescent="0.2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</row>
    <row r="570" spans="1:28" ht="15.75" customHeight="1" x14ac:dyDescent="0.2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</row>
    <row r="571" spans="1:28" ht="15.75" customHeight="1" x14ac:dyDescent="0.2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</row>
    <row r="572" spans="1:28" ht="15.75" customHeight="1" x14ac:dyDescent="0.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</row>
    <row r="573" spans="1:28" ht="15.75" customHeight="1" x14ac:dyDescent="0.2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</row>
    <row r="574" spans="1:28" ht="15.75" customHeight="1" x14ac:dyDescent="0.2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</row>
    <row r="575" spans="1:28" ht="15.75" customHeight="1" x14ac:dyDescent="0.2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</row>
    <row r="576" spans="1:28" ht="15.75" customHeight="1" x14ac:dyDescent="0.2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</row>
    <row r="577" spans="1:28" ht="15.75" customHeight="1" x14ac:dyDescent="0.2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</row>
    <row r="578" spans="1:28" ht="15.75" customHeight="1" x14ac:dyDescent="0.2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</row>
    <row r="579" spans="1:28" ht="15.75" customHeight="1" x14ac:dyDescent="0.2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</row>
    <row r="580" spans="1:28" ht="15.75" customHeight="1" x14ac:dyDescent="0.2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</row>
    <row r="581" spans="1:28" ht="15.75" customHeight="1" x14ac:dyDescent="0.2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</row>
    <row r="582" spans="1:28" ht="15.75" customHeight="1" x14ac:dyDescent="0.2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</row>
    <row r="583" spans="1:28" ht="15.75" customHeight="1" x14ac:dyDescent="0.2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</row>
    <row r="584" spans="1:28" ht="15.75" customHeight="1" x14ac:dyDescent="0.2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</row>
    <row r="585" spans="1:28" ht="15.75" customHeight="1" x14ac:dyDescent="0.2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</row>
    <row r="586" spans="1:28" ht="15.75" customHeight="1" x14ac:dyDescent="0.2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</row>
    <row r="587" spans="1:28" ht="15.75" customHeight="1" x14ac:dyDescent="0.2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</row>
    <row r="588" spans="1:28" ht="15.75" customHeight="1" x14ac:dyDescent="0.2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</row>
    <row r="589" spans="1:28" ht="15.75" customHeight="1" x14ac:dyDescent="0.2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</row>
    <row r="590" spans="1:28" ht="15.75" customHeight="1" x14ac:dyDescent="0.2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</row>
    <row r="591" spans="1:28" ht="15.75" customHeight="1" x14ac:dyDescent="0.2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</row>
    <row r="592" spans="1:28" ht="15.75" customHeight="1" x14ac:dyDescent="0.2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</row>
    <row r="593" spans="1:28" ht="15.75" customHeight="1" x14ac:dyDescent="0.2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</row>
    <row r="594" spans="1:28" ht="15.75" customHeight="1" x14ac:dyDescent="0.2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</row>
    <row r="595" spans="1:28" ht="15.75" customHeight="1" x14ac:dyDescent="0.2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</row>
    <row r="596" spans="1:28" ht="15.75" customHeight="1" x14ac:dyDescent="0.2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</row>
    <row r="597" spans="1:28" ht="15.75" customHeight="1" x14ac:dyDescent="0.2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</row>
    <row r="598" spans="1:28" ht="15.75" customHeight="1" x14ac:dyDescent="0.2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</row>
    <row r="599" spans="1:28" ht="15.75" customHeight="1" x14ac:dyDescent="0.2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</row>
    <row r="600" spans="1:28" ht="15.75" customHeight="1" x14ac:dyDescent="0.2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</row>
    <row r="601" spans="1:28" ht="15.75" customHeight="1" x14ac:dyDescent="0.2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</row>
    <row r="602" spans="1:28" ht="15.75" customHeight="1" x14ac:dyDescent="0.2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</row>
    <row r="603" spans="1:28" ht="15.75" customHeight="1" x14ac:dyDescent="0.2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</row>
    <row r="604" spans="1:28" ht="15.75" customHeight="1" x14ac:dyDescent="0.2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</row>
    <row r="605" spans="1:28" ht="15.75" customHeight="1" x14ac:dyDescent="0.2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</row>
    <row r="606" spans="1:28" ht="15.75" customHeight="1" x14ac:dyDescent="0.2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</row>
    <row r="607" spans="1:28" ht="15.75" customHeight="1" x14ac:dyDescent="0.2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</row>
    <row r="608" spans="1:28" ht="15.75" customHeight="1" x14ac:dyDescent="0.2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</row>
    <row r="609" spans="1:28" ht="15.75" customHeight="1" x14ac:dyDescent="0.2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</row>
    <row r="610" spans="1:28" ht="15.75" customHeight="1" x14ac:dyDescent="0.2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</row>
    <row r="611" spans="1:28" ht="15.75" customHeight="1" x14ac:dyDescent="0.2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</row>
    <row r="612" spans="1:28" ht="15.75" customHeight="1" x14ac:dyDescent="0.2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</row>
    <row r="613" spans="1:28" ht="15.75" customHeight="1" x14ac:dyDescent="0.2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</row>
    <row r="614" spans="1:28" ht="15.75" customHeight="1" x14ac:dyDescent="0.2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</row>
    <row r="615" spans="1:28" ht="15.75" customHeight="1" x14ac:dyDescent="0.2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</row>
    <row r="616" spans="1:28" ht="15.75" customHeight="1" x14ac:dyDescent="0.2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</row>
    <row r="617" spans="1:28" ht="15.75" customHeight="1" x14ac:dyDescent="0.2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</row>
    <row r="618" spans="1:28" ht="15.75" customHeight="1" x14ac:dyDescent="0.2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</row>
    <row r="619" spans="1:28" ht="15.75" customHeight="1" x14ac:dyDescent="0.2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</row>
    <row r="620" spans="1:28" ht="15.75" customHeight="1" x14ac:dyDescent="0.2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</row>
    <row r="621" spans="1:28" ht="15.75" customHeight="1" x14ac:dyDescent="0.2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</row>
    <row r="622" spans="1:28" ht="15.75" customHeight="1" x14ac:dyDescent="0.2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</row>
    <row r="623" spans="1:28" ht="15.75" customHeight="1" x14ac:dyDescent="0.2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</row>
    <row r="624" spans="1:28" ht="15.75" customHeight="1" x14ac:dyDescent="0.2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</row>
    <row r="625" spans="1:28" ht="15.75" customHeight="1" x14ac:dyDescent="0.2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</row>
    <row r="626" spans="1:28" ht="15.75" customHeight="1" x14ac:dyDescent="0.2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</row>
    <row r="627" spans="1:28" ht="15.75" customHeight="1" x14ac:dyDescent="0.2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</row>
    <row r="628" spans="1:28" ht="15.75" customHeight="1" x14ac:dyDescent="0.2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</row>
    <row r="629" spans="1:28" ht="15.75" customHeight="1" x14ac:dyDescent="0.2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</row>
    <row r="630" spans="1:28" ht="15.75" customHeight="1" x14ac:dyDescent="0.2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</row>
    <row r="631" spans="1:28" ht="15.75" customHeight="1" x14ac:dyDescent="0.2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</row>
    <row r="632" spans="1:28" ht="15.75" customHeight="1" x14ac:dyDescent="0.2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</row>
    <row r="633" spans="1:28" ht="15.75" customHeight="1" x14ac:dyDescent="0.2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</row>
    <row r="634" spans="1:28" ht="15.75" customHeight="1" x14ac:dyDescent="0.2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</row>
    <row r="635" spans="1:28" ht="15.75" customHeight="1" x14ac:dyDescent="0.2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</row>
    <row r="636" spans="1:28" ht="15.75" customHeight="1" x14ac:dyDescent="0.2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</row>
    <row r="637" spans="1:28" ht="15.75" customHeight="1" x14ac:dyDescent="0.2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</row>
    <row r="638" spans="1:28" ht="15.75" customHeight="1" x14ac:dyDescent="0.2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</row>
    <row r="639" spans="1:28" ht="15.75" customHeight="1" x14ac:dyDescent="0.2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</row>
    <row r="640" spans="1:28" ht="15.75" customHeight="1" x14ac:dyDescent="0.2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</row>
    <row r="641" spans="1:28" ht="15.75" customHeight="1" x14ac:dyDescent="0.2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</row>
    <row r="642" spans="1:28" ht="15.75" customHeight="1" x14ac:dyDescent="0.2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</row>
    <row r="643" spans="1:28" ht="15.75" customHeight="1" x14ac:dyDescent="0.2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</row>
    <row r="644" spans="1:28" ht="15.75" customHeight="1" x14ac:dyDescent="0.2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</row>
    <row r="645" spans="1:28" ht="15.75" customHeight="1" x14ac:dyDescent="0.2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</row>
    <row r="646" spans="1:28" ht="15.75" customHeight="1" x14ac:dyDescent="0.2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</row>
    <row r="647" spans="1:28" ht="15.75" customHeight="1" x14ac:dyDescent="0.2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</row>
    <row r="648" spans="1:28" ht="15.75" customHeight="1" x14ac:dyDescent="0.2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</row>
    <row r="649" spans="1:28" ht="15.75" customHeight="1" x14ac:dyDescent="0.2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</row>
    <row r="650" spans="1:28" ht="15.75" customHeight="1" x14ac:dyDescent="0.2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</row>
    <row r="651" spans="1:28" ht="15.75" customHeight="1" x14ac:dyDescent="0.2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</row>
    <row r="652" spans="1:28" ht="15.75" customHeight="1" x14ac:dyDescent="0.2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</row>
    <row r="653" spans="1:28" ht="15.75" customHeight="1" x14ac:dyDescent="0.2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</row>
    <row r="654" spans="1:28" ht="15.75" customHeight="1" x14ac:dyDescent="0.2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</row>
    <row r="655" spans="1:28" ht="15.75" customHeight="1" x14ac:dyDescent="0.2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</row>
    <row r="656" spans="1:28" ht="15.75" customHeight="1" x14ac:dyDescent="0.2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</row>
    <row r="657" spans="1:28" ht="15.75" customHeight="1" x14ac:dyDescent="0.2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</row>
    <row r="658" spans="1:28" ht="15.75" customHeight="1" x14ac:dyDescent="0.2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</row>
    <row r="659" spans="1:28" ht="15.75" customHeight="1" x14ac:dyDescent="0.2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</row>
    <row r="660" spans="1:28" ht="15.75" customHeight="1" x14ac:dyDescent="0.2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</row>
    <row r="661" spans="1:28" ht="15.75" customHeight="1" x14ac:dyDescent="0.2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</row>
    <row r="662" spans="1:28" ht="15.75" customHeight="1" x14ac:dyDescent="0.2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</row>
    <row r="663" spans="1:28" ht="15.75" customHeight="1" x14ac:dyDescent="0.2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</row>
    <row r="664" spans="1:28" ht="15.75" customHeight="1" x14ac:dyDescent="0.2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</row>
    <row r="665" spans="1:28" ht="15.75" customHeight="1" x14ac:dyDescent="0.2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</row>
    <row r="666" spans="1:28" ht="15.75" customHeight="1" x14ac:dyDescent="0.2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</row>
    <row r="667" spans="1:28" ht="15.75" customHeight="1" x14ac:dyDescent="0.2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</row>
    <row r="668" spans="1:28" ht="15.75" customHeight="1" x14ac:dyDescent="0.2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</row>
    <row r="669" spans="1:28" ht="15.75" customHeight="1" x14ac:dyDescent="0.2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</row>
    <row r="670" spans="1:28" ht="15.75" customHeight="1" x14ac:dyDescent="0.2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</row>
    <row r="671" spans="1:28" ht="15.75" customHeight="1" x14ac:dyDescent="0.2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</row>
    <row r="672" spans="1:28" ht="15.75" customHeight="1" x14ac:dyDescent="0.2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</row>
    <row r="673" spans="1:28" ht="15.75" customHeight="1" x14ac:dyDescent="0.2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</row>
    <row r="674" spans="1:28" ht="15.75" customHeight="1" x14ac:dyDescent="0.2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</row>
    <row r="675" spans="1:28" ht="15.75" customHeight="1" x14ac:dyDescent="0.2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</row>
    <row r="676" spans="1:28" ht="15.75" customHeight="1" x14ac:dyDescent="0.2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</row>
    <row r="677" spans="1:28" ht="15.75" customHeight="1" x14ac:dyDescent="0.2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</row>
    <row r="678" spans="1:28" ht="15.75" customHeight="1" x14ac:dyDescent="0.2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</row>
    <row r="679" spans="1:28" ht="15.75" customHeight="1" x14ac:dyDescent="0.2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</row>
    <row r="680" spans="1:28" ht="15.75" customHeight="1" x14ac:dyDescent="0.2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</row>
    <row r="681" spans="1:28" ht="15.75" customHeight="1" x14ac:dyDescent="0.2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</row>
    <row r="682" spans="1:28" ht="15.75" customHeight="1" x14ac:dyDescent="0.2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</row>
    <row r="683" spans="1:28" ht="15.75" customHeight="1" x14ac:dyDescent="0.2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</row>
    <row r="684" spans="1:28" ht="15.75" customHeight="1" x14ac:dyDescent="0.2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</row>
    <row r="685" spans="1:28" ht="15.75" customHeight="1" x14ac:dyDescent="0.2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</row>
    <row r="686" spans="1:28" ht="15.75" customHeight="1" x14ac:dyDescent="0.2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</row>
    <row r="687" spans="1:28" ht="15.75" customHeight="1" x14ac:dyDescent="0.2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</row>
    <row r="688" spans="1:28" ht="15.75" customHeight="1" x14ac:dyDescent="0.2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</row>
    <row r="689" spans="1:28" ht="15.75" customHeight="1" x14ac:dyDescent="0.2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</row>
    <row r="690" spans="1:28" ht="15.75" customHeight="1" x14ac:dyDescent="0.2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</row>
    <row r="691" spans="1:28" ht="15.75" customHeight="1" x14ac:dyDescent="0.2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</row>
    <row r="692" spans="1:28" ht="15.75" customHeight="1" x14ac:dyDescent="0.2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</row>
    <row r="693" spans="1:28" ht="15.75" customHeight="1" x14ac:dyDescent="0.2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</row>
    <row r="694" spans="1:28" ht="15.75" customHeight="1" x14ac:dyDescent="0.2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</row>
    <row r="695" spans="1:28" ht="15.75" customHeight="1" x14ac:dyDescent="0.2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</row>
    <row r="696" spans="1:28" ht="15.75" customHeight="1" x14ac:dyDescent="0.2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</row>
    <row r="697" spans="1:28" ht="15.75" customHeight="1" x14ac:dyDescent="0.2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</row>
    <row r="698" spans="1:28" ht="15.75" customHeight="1" x14ac:dyDescent="0.2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</row>
    <row r="699" spans="1:28" ht="15.75" customHeight="1" x14ac:dyDescent="0.2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</row>
    <row r="700" spans="1:28" ht="15.75" customHeight="1" x14ac:dyDescent="0.2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</row>
    <row r="701" spans="1:28" ht="15.75" customHeight="1" x14ac:dyDescent="0.2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</row>
    <row r="702" spans="1:28" ht="15.75" customHeight="1" x14ac:dyDescent="0.2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</row>
    <row r="703" spans="1:28" ht="15.75" customHeight="1" x14ac:dyDescent="0.2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</row>
    <row r="704" spans="1:28" ht="15.75" customHeight="1" x14ac:dyDescent="0.2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</row>
    <row r="705" spans="1:28" ht="15.75" customHeight="1" x14ac:dyDescent="0.2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</row>
    <row r="706" spans="1:28" ht="15.75" customHeight="1" x14ac:dyDescent="0.2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</row>
    <row r="707" spans="1:28" ht="15.75" customHeight="1" x14ac:dyDescent="0.2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</row>
    <row r="708" spans="1:28" ht="15.75" customHeight="1" x14ac:dyDescent="0.2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</row>
    <row r="709" spans="1:28" ht="15.75" customHeight="1" x14ac:dyDescent="0.2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</row>
    <row r="710" spans="1:28" ht="15.75" customHeight="1" x14ac:dyDescent="0.2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</row>
    <row r="711" spans="1:28" ht="15.75" customHeight="1" x14ac:dyDescent="0.2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</row>
    <row r="712" spans="1:28" ht="15.75" customHeight="1" x14ac:dyDescent="0.2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</row>
    <row r="713" spans="1:28" ht="15.75" customHeight="1" x14ac:dyDescent="0.2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</row>
    <row r="714" spans="1:28" ht="15.75" customHeight="1" x14ac:dyDescent="0.2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</row>
    <row r="715" spans="1:28" ht="15.75" customHeight="1" x14ac:dyDescent="0.2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</row>
    <row r="716" spans="1:28" ht="15.75" customHeight="1" x14ac:dyDescent="0.2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</row>
    <row r="717" spans="1:28" ht="15.75" customHeight="1" x14ac:dyDescent="0.2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</row>
    <row r="718" spans="1:28" ht="15.75" customHeight="1" x14ac:dyDescent="0.2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</row>
    <row r="719" spans="1:28" ht="15.75" customHeight="1" x14ac:dyDescent="0.2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</row>
    <row r="720" spans="1:28" ht="15.75" customHeight="1" x14ac:dyDescent="0.2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</row>
    <row r="721" spans="1:28" ht="15.75" customHeight="1" x14ac:dyDescent="0.2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</row>
    <row r="722" spans="1:28" ht="15.75" customHeight="1" x14ac:dyDescent="0.2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</row>
    <row r="723" spans="1:28" ht="15.75" customHeight="1" x14ac:dyDescent="0.2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</row>
    <row r="724" spans="1:28" ht="15.75" customHeight="1" x14ac:dyDescent="0.2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</row>
    <row r="725" spans="1:28" ht="15.75" customHeight="1" x14ac:dyDescent="0.2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</row>
    <row r="726" spans="1:28" ht="15.75" customHeight="1" x14ac:dyDescent="0.2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</row>
    <row r="727" spans="1:28" ht="15.75" customHeight="1" x14ac:dyDescent="0.2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</row>
    <row r="728" spans="1:28" ht="15.75" customHeight="1" x14ac:dyDescent="0.2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</row>
    <row r="729" spans="1:28" ht="15.75" customHeight="1" x14ac:dyDescent="0.2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</row>
    <row r="730" spans="1:28" ht="15.75" customHeight="1" x14ac:dyDescent="0.2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</row>
    <row r="731" spans="1:28" ht="15.75" customHeight="1" x14ac:dyDescent="0.2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</row>
    <row r="732" spans="1:28" ht="15.75" customHeight="1" x14ac:dyDescent="0.2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</row>
    <row r="733" spans="1:28" ht="15.75" customHeight="1" x14ac:dyDescent="0.2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</row>
    <row r="734" spans="1:28" ht="15.75" customHeight="1" x14ac:dyDescent="0.2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</row>
    <row r="735" spans="1:28" ht="15.75" customHeight="1" x14ac:dyDescent="0.2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</row>
    <row r="736" spans="1:28" ht="15.75" customHeight="1" x14ac:dyDescent="0.2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</row>
    <row r="737" spans="1:28" ht="15.75" customHeight="1" x14ac:dyDescent="0.2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</row>
    <row r="738" spans="1:28" ht="15.75" customHeight="1" x14ac:dyDescent="0.2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</row>
    <row r="739" spans="1:28" ht="15.75" customHeight="1" x14ac:dyDescent="0.2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</row>
    <row r="740" spans="1:28" ht="15.75" customHeight="1" x14ac:dyDescent="0.2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</row>
    <row r="741" spans="1:28" ht="15.75" customHeight="1" x14ac:dyDescent="0.2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</row>
    <row r="742" spans="1:28" ht="15.75" customHeight="1" x14ac:dyDescent="0.2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</row>
    <row r="743" spans="1:28" ht="15.75" customHeight="1" x14ac:dyDescent="0.2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</row>
    <row r="744" spans="1:28" ht="15.75" customHeight="1" x14ac:dyDescent="0.2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</row>
    <row r="745" spans="1:28" ht="15.75" customHeight="1" x14ac:dyDescent="0.2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</row>
    <row r="746" spans="1:28" ht="15.75" customHeight="1" x14ac:dyDescent="0.2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</row>
    <row r="747" spans="1:28" ht="15.75" customHeight="1" x14ac:dyDescent="0.2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</row>
    <row r="748" spans="1:28" ht="15.75" customHeight="1" x14ac:dyDescent="0.2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</row>
    <row r="749" spans="1:28" ht="15.75" customHeight="1" x14ac:dyDescent="0.2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</row>
    <row r="750" spans="1:28" ht="15.75" customHeight="1" x14ac:dyDescent="0.2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</row>
    <row r="751" spans="1:28" ht="15.75" customHeight="1" x14ac:dyDescent="0.2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</row>
    <row r="752" spans="1:28" ht="15.75" customHeight="1" x14ac:dyDescent="0.2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</row>
    <row r="753" spans="1:28" ht="15.75" customHeight="1" x14ac:dyDescent="0.2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</row>
    <row r="754" spans="1:28" ht="15.75" customHeight="1" x14ac:dyDescent="0.2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</row>
    <row r="755" spans="1:28" ht="15.75" customHeight="1" x14ac:dyDescent="0.2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</row>
    <row r="756" spans="1:28" ht="15.75" customHeight="1" x14ac:dyDescent="0.2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</row>
    <row r="757" spans="1:28" ht="15.75" customHeight="1" x14ac:dyDescent="0.2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</row>
    <row r="758" spans="1:28" ht="15.75" customHeight="1" x14ac:dyDescent="0.2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</row>
    <row r="759" spans="1:28" ht="15.75" customHeight="1" x14ac:dyDescent="0.2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</row>
    <row r="760" spans="1:28" ht="15.75" customHeight="1" x14ac:dyDescent="0.2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</row>
    <row r="761" spans="1:28" ht="15.75" customHeight="1" x14ac:dyDescent="0.2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</row>
    <row r="762" spans="1:28" ht="15.75" customHeight="1" x14ac:dyDescent="0.2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</row>
    <row r="763" spans="1:28" ht="15.75" customHeight="1" x14ac:dyDescent="0.2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</row>
    <row r="764" spans="1:28" ht="15.75" customHeight="1" x14ac:dyDescent="0.2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</row>
    <row r="765" spans="1:28" ht="15.75" customHeight="1" x14ac:dyDescent="0.2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</row>
    <row r="766" spans="1:28" ht="15.75" customHeight="1" x14ac:dyDescent="0.2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</row>
    <row r="767" spans="1:28" ht="15.75" customHeight="1" x14ac:dyDescent="0.2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</row>
    <row r="768" spans="1:28" ht="15.75" customHeight="1" x14ac:dyDescent="0.2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</row>
    <row r="769" spans="1:28" ht="15.75" customHeight="1" x14ac:dyDescent="0.2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</row>
    <row r="770" spans="1:28" ht="15.75" customHeight="1" x14ac:dyDescent="0.2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</row>
    <row r="771" spans="1:28" ht="15.75" customHeight="1" x14ac:dyDescent="0.2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</row>
    <row r="772" spans="1:28" ht="15.75" customHeight="1" x14ac:dyDescent="0.2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</row>
    <row r="773" spans="1:28" ht="15.75" customHeight="1" x14ac:dyDescent="0.2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</row>
    <row r="774" spans="1:28" ht="15.75" customHeight="1" x14ac:dyDescent="0.2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</row>
    <row r="775" spans="1:28" ht="15.75" customHeight="1" x14ac:dyDescent="0.2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</row>
    <row r="776" spans="1:28" ht="15.75" customHeight="1" x14ac:dyDescent="0.2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</row>
    <row r="777" spans="1:28" ht="15.75" customHeight="1" x14ac:dyDescent="0.2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</row>
    <row r="778" spans="1:28" ht="15.75" customHeight="1" x14ac:dyDescent="0.2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</row>
    <row r="779" spans="1:28" ht="15.75" customHeight="1" x14ac:dyDescent="0.2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</row>
    <row r="780" spans="1:28" ht="15.75" customHeight="1" x14ac:dyDescent="0.2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</row>
    <row r="781" spans="1:28" ht="15.75" customHeight="1" x14ac:dyDescent="0.2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</row>
    <row r="782" spans="1:28" ht="15.75" customHeight="1" x14ac:dyDescent="0.2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</row>
    <row r="783" spans="1:28" ht="15.75" customHeight="1" x14ac:dyDescent="0.2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</row>
    <row r="784" spans="1:28" ht="15.75" customHeight="1" x14ac:dyDescent="0.2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</row>
    <row r="785" spans="1:28" ht="15.75" customHeight="1" x14ac:dyDescent="0.2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</row>
    <row r="786" spans="1:28" ht="15.75" customHeight="1" x14ac:dyDescent="0.2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</row>
    <row r="787" spans="1:28" ht="15.75" customHeight="1" x14ac:dyDescent="0.2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</row>
    <row r="788" spans="1:28" ht="15.75" customHeight="1" x14ac:dyDescent="0.2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</row>
    <row r="789" spans="1:28" ht="15.75" customHeight="1" x14ac:dyDescent="0.2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</row>
    <row r="790" spans="1:28" ht="15.75" customHeight="1" x14ac:dyDescent="0.2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</row>
    <row r="791" spans="1:28" ht="15.75" customHeight="1" x14ac:dyDescent="0.2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</row>
    <row r="792" spans="1:28" ht="15.75" customHeight="1" x14ac:dyDescent="0.2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</row>
    <row r="793" spans="1:28" ht="15.75" customHeight="1" x14ac:dyDescent="0.2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</row>
    <row r="794" spans="1:28" ht="15.75" customHeight="1" x14ac:dyDescent="0.2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</row>
    <row r="795" spans="1:28" ht="15.75" customHeight="1" x14ac:dyDescent="0.2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</row>
    <row r="796" spans="1:28" ht="15.75" customHeight="1" x14ac:dyDescent="0.2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</row>
    <row r="797" spans="1:28" ht="15.75" customHeight="1" x14ac:dyDescent="0.2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</row>
    <row r="798" spans="1:28" ht="15.75" customHeight="1" x14ac:dyDescent="0.2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</row>
    <row r="799" spans="1:28" ht="15.75" customHeight="1" x14ac:dyDescent="0.2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</row>
    <row r="800" spans="1:28" ht="15.75" customHeight="1" x14ac:dyDescent="0.2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</row>
    <row r="801" spans="1:28" ht="15.75" customHeight="1" x14ac:dyDescent="0.2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</row>
    <row r="802" spans="1:28" ht="15.75" customHeight="1" x14ac:dyDescent="0.2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</row>
    <row r="803" spans="1:28" ht="15.75" customHeight="1" x14ac:dyDescent="0.2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</row>
    <row r="804" spans="1:28" ht="15.75" customHeight="1" x14ac:dyDescent="0.2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</row>
    <row r="805" spans="1:28" ht="15.75" customHeight="1" x14ac:dyDescent="0.2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</row>
    <row r="806" spans="1:28" ht="15.75" customHeight="1" x14ac:dyDescent="0.2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</row>
    <row r="807" spans="1:28" ht="15.75" customHeight="1" x14ac:dyDescent="0.2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</row>
    <row r="808" spans="1:28" ht="15.75" customHeight="1" x14ac:dyDescent="0.2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</row>
    <row r="809" spans="1:28" ht="15.75" customHeight="1" x14ac:dyDescent="0.2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</row>
    <row r="810" spans="1:28" ht="15.75" customHeight="1" x14ac:dyDescent="0.2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</row>
    <row r="811" spans="1:28" ht="15.75" customHeight="1" x14ac:dyDescent="0.2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</row>
    <row r="812" spans="1:28" ht="15.75" customHeight="1" x14ac:dyDescent="0.2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</row>
    <row r="813" spans="1:28" ht="15.75" customHeight="1" x14ac:dyDescent="0.2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</row>
    <row r="814" spans="1:28" ht="15.75" customHeight="1" x14ac:dyDescent="0.2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</row>
    <row r="815" spans="1:28" ht="15.75" customHeight="1" x14ac:dyDescent="0.2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</row>
    <row r="816" spans="1:28" ht="15.75" customHeight="1" x14ac:dyDescent="0.2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</row>
    <row r="817" spans="1:28" ht="15.75" customHeight="1" x14ac:dyDescent="0.2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</row>
    <row r="818" spans="1:28" ht="15.75" customHeight="1" x14ac:dyDescent="0.2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</row>
    <row r="819" spans="1:28" ht="15.75" customHeight="1" x14ac:dyDescent="0.2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</row>
    <row r="820" spans="1:28" ht="15.75" customHeight="1" x14ac:dyDescent="0.2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</row>
    <row r="821" spans="1:28" ht="15.75" customHeight="1" x14ac:dyDescent="0.2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</row>
    <row r="822" spans="1:28" ht="15.75" customHeight="1" x14ac:dyDescent="0.2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</row>
    <row r="823" spans="1:28" ht="15.75" customHeight="1" x14ac:dyDescent="0.2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</row>
    <row r="824" spans="1:28" ht="15.75" customHeight="1" x14ac:dyDescent="0.2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</row>
    <row r="825" spans="1:28" ht="15.75" customHeight="1" x14ac:dyDescent="0.2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</row>
    <row r="826" spans="1:28" ht="15.75" customHeight="1" x14ac:dyDescent="0.2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</row>
    <row r="827" spans="1:28" ht="15.75" customHeight="1" x14ac:dyDescent="0.2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</row>
    <row r="828" spans="1:28" ht="15.75" customHeight="1" x14ac:dyDescent="0.2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</row>
    <row r="829" spans="1:28" ht="15.75" customHeight="1" x14ac:dyDescent="0.2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</row>
    <row r="830" spans="1:28" ht="15.75" customHeight="1" x14ac:dyDescent="0.2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</row>
    <row r="831" spans="1:28" ht="15.75" customHeight="1" x14ac:dyDescent="0.2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</row>
    <row r="832" spans="1:28" ht="15.75" customHeight="1" x14ac:dyDescent="0.2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</row>
    <row r="833" spans="1:28" ht="15.75" customHeight="1" x14ac:dyDescent="0.2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</row>
    <row r="834" spans="1:28" ht="15.75" customHeight="1" x14ac:dyDescent="0.2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</row>
    <row r="835" spans="1:28" ht="15.75" customHeight="1" x14ac:dyDescent="0.2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</row>
    <row r="836" spans="1:28" ht="15.75" customHeight="1" x14ac:dyDescent="0.2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</row>
    <row r="837" spans="1:28" ht="15.75" customHeight="1" x14ac:dyDescent="0.2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</row>
    <row r="838" spans="1:28" ht="15.75" customHeight="1" x14ac:dyDescent="0.2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</row>
    <row r="839" spans="1:28" ht="15.75" customHeight="1" x14ac:dyDescent="0.2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</row>
    <row r="840" spans="1:28" ht="15.75" customHeight="1" x14ac:dyDescent="0.2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</row>
    <row r="841" spans="1:28" ht="15.75" customHeight="1" x14ac:dyDescent="0.2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</row>
    <row r="842" spans="1:28" ht="15.75" customHeight="1" x14ac:dyDescent="0.2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</row>
    <row r="843" spans="1:28" ht="15.75" customHeight="1" x14ac:dyDescent="0.2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</row>
    <row r="844" spans="1:28" ht="15.75" customHeight="1" x14ac:dyDescent="0.2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</row>
    <row r="845" spans="1:28" ht="15.75" customHeight="1" x14ac:dyDescent="0.2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</row>
    <row r="846" spans="1:28" ht="15.75" customHeight="1" x14ac:dyDescent="0.2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</row>
    <row r="847" spans="1:28" ht="15.75" customHeight="1" x14ac:dyDescent="0.2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</row>
    <row r="848" spans="1:28" ht="15.75" customHeight="1" x14ac:dyDescent="0.2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</row>
    <row r="849" spans="1:28" ht="15.75" customHeight="1" x14ac:dyDescent="0.2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</row>
    <row r="850" spans="1:28" ht="15.75" customHeight="1" x14ac:dyDescent="0.2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</row>
    <row r="851" spans="1:28" ht="15.75" customHeight="1" x14ac:dyDescent="0.2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</row>
    <row r="852" spans="1:28" ht="15.75" customHeight="1" x14ac:dyDescent="0.2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</row>
    <row r="853" spans="1:28" ht="15.75" customHeight="1" x14ac:dyDescent="0.2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</row>
    <row r="854" spans="1:28" ht="15.75" customHeight="1" x14ac:dyDescent="0.2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</row>
    <row r="855" spans="1:28" ht="15.75" customHeight="1" x14ac:dyDescent="0.2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</row>
    <row r="856" spans="1:28" ht="15.75" customHeight="1" x14ac:dyDescent="0.2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</row>
    <row r="857" spans="1:28" ht="15.75" customHeight="1" x14ac:dyDescent="0.2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</row>
    <row r="858" spans="1:28" ht="15.75" customHeight="1" x14ac:dyDescent="0.2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</row>
    <row r="859" spans="1:28" ht="15.75" customHeight="1" x14ac:dyDescent="0.2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</row>
    <row r="860" spans="1:28" ht="15.75" customHeight="1" x14ac:dyDescent="0.2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</row>
    <row r="861" spans="1:28" ht="15.75" customHeight="1" x14ac:dyDescent="0.2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</row>
    <row r="862" spans="1:28" ht="15.75" customHeight="1" x14ac:dyDescent="0.2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</row>
    <row r="863" spans="1:28" ht="15.75" customHeight="1" x14ac:dyDescent="0.2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</row>
    <row r="864" spans="1:28" ht="15.75" customHeight="1" x14ac:dyDescent="0.2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</row>
    <row r="865" spans="1:28" ht="15.75" customHeight="1" x14ac:dyDescent="0.2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</row>
    <row r="866" spans="1:28" ht="15.75" customHeight="1" x14ac:dyDescent="0.2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</row>
    <row r="867" spans="1:28" ht="15.75" customHeight="1" x14ac:dyDescent="0.2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</row>
    <row r="868" spans="1:28" ht="15.75" customHeight="1" x14ac:dyDescent="0.2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</row>
    <row r="869" spans="1:28" ht="15.75" customHeight="1" x14ac:dyDescent="0.2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</row>
    <row r="870" spans="1:28" ht="15.75" customHeight="1" x14ac:dyDescent="0.2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</row>
    <row r="871" spans="1:28" ht="15.75" customHeight="1" x14ac:dyDescent="0.2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</row>
    <row r="872" spans="1:28" ht="15.75" customHeight="1" x14ac:dyDescent="0.2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</row>
    <row r="873" spans="1:28" ht="15.75" customHeight="1" x14ac:dyDescent="0.2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</row>
    <row r="874" spans="1:28" ht="15.75" customHeight="1" x14ac:dyDescent="0.2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</row>
    <row r="875" spans="1:28" ht="15.75" customHeight="1" x14ac:dyDescent="0.2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</row>
    <row r="876" spans="1:28" ht="15.75" customHeight="1" x14ac:dyDescent="0.2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</row>
    <row r="877" spans="1:28" ht="15.75" customHeight="1" x14ac:dyDescent="0.2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</row>
    <row r="878" spans="1:28" ht="15.75" customHeight="1" x14ac:dyDescent="0.2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</row>
    <row r="879" spans="1:28" ht="15.75" customHeight="1" x14ac:dyDescent="0.2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</row>
    <row r="880" spans="1:28" ht="15.75" customHeight="1" x14ac:dyDescent="0.2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</row>
    <row r="881" spans="1:28" ht="15.75" customHeight="1" x14ac:dyDescent="0.2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</row>
    <row r="882" spans="1:28" ht="15.75" customHeight="1" x14ac:dyDescent="0.2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</row>
    <row r="883" spans="1:28" ht="15.75" customHeight="1" x14ac:dyDescent="0.2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</row>
    <row r="884" spans="1:28" ht="15.75" customHeight="1" x14ac:dyDescent="0.2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</row>
    <row r="885" spans="1:28" ht="15.75" customHeight="1" x14ac:dyDescent="0.2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</row>
    <row r="886" spans="1:28" ht="15.75" customHeight="1" x14ac:dyDescent="0.2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</row>
    <row r="887" spans="1:28" ht="15.75" customHeight="1" x14ac:dyDescent="0.2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</row>
    <row r="888" spans="1:28" ht="15.75" customHeight="1" x14ac:dyDescent="0.2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</row>
    <row r="889" spans="1:28" ht="15.75" customHeight="1" x14ac:dyDescent="0.2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</row>
    <row r="890" spans="1:28" ht="15.75" customHeight="1" x14ac:dyDescent="0.2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</row>
    <row r="891" spans="1:28" ht="15.75" customHeight="1" x14ac:dyDescent="0.2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</row>
    <row r="892" spans="1:28" ht="15.75" customHeight="1" x14ac:dyDescent="0.2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</row>
    <row r="893" spans="1:28" ht="15.75" customHeight="1" x14ac:dyDescent="0.2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</row>
    <row r="894" spans="1:28" ht="15.75" customHeight="1" x14ac:dyDescent="0.2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</row>
    <row r="895" spans="1:28" ht="15.75" customHeight="1" x14ac:dyDescent="0.2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</row>
    <row r="896" spans="1:28" ht="15.75" customHeight="1" x14ac:dyDescent="0.2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</row>
    <row r="897" spans="1:28" ht="15.75" customHeight="1" x14ac:dyDescent="0.2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</row>
    <row r="898" spans="1:28" ht="15.75" customHeight="1" x14ac:dyDescent="0.2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</row>
    <row r="899" spans="1:28" ht="15.75" customHeight="1" x14ac:dyDescent="0.2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</row>
    <row r="900" spans="1:28" ht="15.75" customHeight="1" x14ac:dyDescent="0.2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</row>
    <row r="901" spans="1:28" ht="15.75" customHeight="1" x14ac:dyDescent="0.2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</row>
    <row r="902" spans="1:28" ht="15.75" customHeight="1" x14ac:dyDescent="0.2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</row>
    <row r="903" spans="1:28" ht="15.75" customHeight="1" x14ac:dyDescent="0.2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</row>
    <row r="904" spans="1:28" ht="15.75" customHeight="1" x14ac:dyDescent="0.2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</row>
    <row r="905" spans="1:28" ht="15.75" customHeight="1" x14ac:dyDescent="0.2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</row>
    <row r="906" spans="1:28" ht="15.75" customHeight="1" x14ac:dyDescent="0.2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</row>
    <row r="907" spans="1:28" ht="15.75" customHeight="1" x14ac:dyDescent="0.2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</row>
    <row r="908" spans="1:28" ht="15.75" customHeight="1" x14ac:dyDescent="0.2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</row>
    <row r="909" spans="1:28" ht="15.75" customHeight="1" x14ac:dyDescent="0.2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</row>
    <row r="910" spans="1:28" ht="15.75" customHeight="1" x14ac:dyDescent="0.2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</row>
    <row r="911" spans="1:28" ht="15.75" customHeight="1" x14ac:dyDescent="0.2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</row>
    <row r="912" spans="1:28" ht="15.75" customHeight="1" x14ac:dyDescent="0.2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</row>
    <row r="913" spans="1:28" ht="15.75" customHeight="1" x14ac:dyDescent="0.2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</row>
    <row r="914" spans="1:28" ht="15.75" customHeight="1" x14ac:dyDescent="0.2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</row>
    <row r="915" spans="1:28" ht="15.75" customHeight="1" x14ac:dyDescent="0.2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</row>
    <row r="916" spans="1:28" ht="15.75" customHeight="1" x14ac:dyDescent="0.2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</row>
    <row r="917" spans="1:28" ht="15.75" customHeight="1" x14ac:dyDescent="0.2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</row>
    <row r="918" spans="1:28" ht="15.75" customHeight="1" x14ac:dyDescent="0.2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</row>
    <row r="919" spans="1:28" ht="15.75" customHeight="1" x14ac:dyDescent="0.2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</row>
    <row r="920" spans="1:28" ht="15.75" customHeight="1" x14ac:dyDescent="0.2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</row>
    <row r="921" spans="1:28" ht="15.75" customHeight="1" x14ac:dyDescent="0.2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</row>
    <row r="922" spans="1:28" ht="15.75" customHeight="1" x14ac:dyDescent="0.2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</row>
    <row r="923" spans="1:28" ht="15.75" customHeight="1" x14ac:dyDescent="0.2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</row>
    <row r="924" spans="1:28" ht="15.75" customHeight="1" x14ac:dyDescent="0.2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</row>
    <row r="925" spans="1:28" ht="15.75" customHeight="1" x14ac:dyDescent="0.2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</row>
    <row r="926" spans="1:28" ht="15.75" customHeight="1" x14ac:dyDescent="0.2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</row>
    <row r="927" spans="1:28" ht="15.75" customHeight="1" x14ac:dyDescent="0.2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</row>
    <row r="928" spans="1:28" ht="15.75" customHeight="1" x14ac:dyDescent="0.2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</row>
    <row r="929" spans="1:28" ht="15.75" customHeight="1" x14ac:dyDescent="0.2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</row>
    <row r="930" spans="1:28" ht="15.75" customHeight="1" x14ac:dyDescent="0.2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</row>
    <row r="931" spans="1:28" ht="15.75" customHeight="1" x14ac:dyDescent="0.2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</row>
    <row r="932" spans="1:28" ht="15.75" customHeight="1" x14ac:dyDescent="0.2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</row>
    <row r="933" spans="1:28" ht="15.75" customHeight="1" x14ac:dyDescent="0.2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</row>
    <row r="934" spans="1:28" ht="15.75" customHeight="1" x14ac:dyDescent="0.2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</row>
    <row r="935" spans="1:28" ht="15.75" customHeight="1" x14ac:dyDescent="0.2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</row>
    <row r="936" spans="1:28" ht="15.75" customHeight="1" x14ac:dyDescent="0.2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</row>
    <row r="937" spans="1:28" ht="15.75" customHeight="1" x14ac:dyDescent="0.2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</row>
    <row r="938" spans="1:28" ht="15.75" customHeight="1" x14ac:dyDescent="0.2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</row>
    <row r="939" spans="1:28" ht="15.75" customHeight="1" x14ac:dyDescent="0.2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</row>
    <row r="940" spans="1:28" ht="15.75" customHeight="1" x14ac:dyDescent="0.2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</row>
    <row r="941" spans="1:28" ht="15.75" customHeight="1" x14ac:dyDescent="0.2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</row>
    <row r="942" spans="1:28" ht="15.75" customHeight="1" x14ac:dyDescent="0.2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</row>
    <row r="943" spans="1:28" ht="15.75" customHeight="1" x14ac:dyDescent="0.2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</row>
    <row r="944" spans="1:28" ht="15.75" customHeight="1" x14ac:dyDescent="0.2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</row>
    <row r="945" spans="1:28" ht="15.75" customHeight="1" x14ac:dyDescent="0.2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</row>
    <row r="946" spans="1:28" ht="15.75" customHeight="1" x14ac:dyDescent="0.2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</row>
    <row r="947" spans="1:28" ht="15.75" customHeight="1" x14ac:dyDescent="0.2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</row>
    <row r="948" spans="1:28" ht="15.75" customHeight="1" x14ac:dyDescent="0.2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</row>
    <row r="949" spans="1:28" ht="15.75" customHeight="1" x14ac:dyDescent="0.2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</row>
    <row r="950" spans="1:28" ht="15.75" customHeight="1" x14ac:dyDescent="0.2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</row>
    <row r="951" spans="1:28" ht="15.75" customHeight="1" x14ac:dyDescent="0.2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</row>
    <row r="952" spans="1:28" ht="15.75" customHeight="1" x14ac:dyDescent="0.2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</row>
    <row r="953" spans="1:28" ht="15.75" customHeight="1" x14ac:dyDescent="0.2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</row>
    <row r="954" spans="1:28" ht="15.75" customHeight="1" x14ac:dyDescent="0.2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</row>
    <row r="955" spans="1:28" ht="15.75" customHeight="1" x14ac:dyDescent="0.2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</row>
    <row r="956" spans="1:28" ht="15.75" customHeight="1" x14ac:dyDescent="0.2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</row>
    <row r="957" spans="1:28" ht="15.75" customHeight="1" x14ac:dyDescent="0.2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</row>
    <row r="958" spans="1:28" ht="15.75" customHeight="1" x14ac:dyDescent="0.2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</row>
    <row r="959" spans="1:28" ht="15.75" customHeight="1" x14ac:dyDescent="0.2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</row>
    <row r="960" spans="1:28" ht="15.75" customHeight="1" x14ac:dyDescent="0.2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</row>
    <row r="961" spans="1:28" ht="15.75" customHeight="1" x14ac:dyDescent="0.2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</row>
    <row r="962" spans="1:28" ht="15.75" customHeight="1" x14ac:dyDescent="0.2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</row>
    <row r="963" spans="1:28" ht="15.75" customHeight="1" x14ac:dyDescent="0.2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</row>
    <row r="964" spans="1:28" ht="15.75" customHeight="1" x14ac:dyDescent="0.2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</row>
    <row r="965" spans="1:28" ht="15.75" customHeight="1" x14ac:dyDescent="0.2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</row>
    <row r="966" spans="1:28" ht="15.75" customHeight="1" x14ac:dyDescent="0.2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</row>
    <row r="967" spans="1:28" ht="15.75" customHeight="1" x14ac:dyDescent="0.2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</row>
    <row r="968" spans="1:28" ht="15.75" customHeight="1" x14ac:dyDescent="0.2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</row>
    <row r="969" spans="1:28" ht="15.75" customHeight="1" x14ac:dyDescent="0.2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</row>
    <row r="970" spans="1:28" ht="15.75" customHeight="1" x14ac:dyDescent="0.2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</row>
    <row r="971" spans="1:28" ht="15.75" customHeight="1" x14ac:dyDescent="0.2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</row>
    <row r="972" spans="1:28" ht="15.75" customHeight="1" x14ac:dyDescent="0.2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</row>
    <row r="973" spans="1:28" ht="15.75" customHeight="1" x14ac:dyDescent="0.2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</row>
    <row r="974" spans="1:28" ht="15.75" customHeight="1" x14ac:dyDescent="0.2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</row>
    <row r="975" spans="1:28" ht="15.75" customHeight="1" x14ac:dyDescent="0.2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</row>
    <row r="976" spans="1:28" ht="15.75" customHeight="1" x14ac:dyDescent="0.2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</row>
    <row r="977" spans="1:28" ht="15.75" customHeight="1" x14ac:dyDescent="0.2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</row>
    <row r="978" spans="1:28" ht="15.75" customHeight="1" x14ac:dyDescent="0.2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</row>
    <row r="979" spans="1:28" ht="15.75" customHeight="1" x14ac:dyDescent="0.2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</row>
    <row r="980" spans="1:28" ht="15.75" customHeight="1" x14ac:dyDescent="0.2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</row>
    <row r="981" spans="1:28" ht="15.75" customHeight="1" x14ac:dyDescent="0.2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</row>
    <row r="982" spans="1:28" ht="15.75" customHeight="1" x14ac:dyDescent="0.2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</row>
    <row r="983" spans="1:28" ht="15.75" customHeight="1" x14ac:dyDescent="0.2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</row>
    <row r="984" spans="1:28" ht="15.75" customHeight="1" x14ac:dyDescent="0.2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</row>
    <row r="985" spans="1:28" ht="15.75" customHeight="1" x14ac:dyDescent="0.2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</row>
    <row r="986" spans="1:28" ht="15.75" customHeight="1" x14ac:dyDescent="0.2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</row>
    <row r="987" spans="1:28" ht="15.75" customHeight="1" x14ac:dyDescent="0.2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</row>
    <row r="988" spans="1:28" ht="15.75" customHeight="1" x14ac:dyDescent="0.2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</row>
    <row r="989" spans="1:28" ht="15.75" customHeight="1" x14ac:dyDescent="0.2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</row>
    <row r="990" spans="1:28" ht="15.75" customHeight="1" x14ac:dyDescent="0.2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</row>
    <row r="991" spans="1:28" ht="15.75" customHeight="1" x14ac:dyDescent="0.2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</row>
    <row r="992" spans="1:28" ht="15.75" customHeight="1" x14ac:dyDescent="0.2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</row>
    <row r="993" spans="1:28" ht="15.75" customHeight="1" x14ac:dyDescent="0.2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</row>
    <row r="994" spans="1:28" ht="15.75" customHeight="1" x14ac:dyDescent="0.2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</row>
    <row r="995" spans="1:28" ht="15.75" customHeight="1" x14ac:dyDescent="0.2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</row>
    <row r="996" spans="1:28" ht="15.75" customHeight="1" x14ac:dyDescent="0.2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</row>
    <row r="997" spans="1:28" ht="15.75" customHeight="1" x14ac:dyDescent="0.2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</row>
    <row r="998" spans="1:28" ht="15.75" customHeight="1" x14ac:dyDescent="0.2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</row>
    <row r="999" spans="1:28" ht="15.75" customHeight="1" x14ac:dyDescent="0.2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</row>
    <row r="1000" spans="1:28" ht="15.75" customHeight="1" x14ac:dyDescent="0.2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</row>
  </sheetData>
  <mergeCells count="47">
    <mergeCell ref="D15:F15"/>
    <mergeCell ref="D7:F8"/>
    <mergeCell ref="K7:M8"/>
    <mergeCell ref="D2:E5"/>
    <mergeCell ref="F2:Q3"/>
    <mergeCell ref="F4:L5"/>
    <mergeCell ref="M4:O5"/>
    <mergeCell ref="P4:Q5"/>
    <mergeCell ref="K16:Q16"/>
    <mergeCell ref="K18:M18"/>
    <mergeCell ref="D16:J16"/>
    <mergeCell ref="D22:F22"/>
    <mergeCell ref="D9:J9"/>
    <mergeCell ref="K9:Q9"/>
    <mergeCell ref="D10:F10"/>
    <mergeCell ref="K10:M10"/>
    <mergeCell ref="D11:F11"/>
    <mergeCell ref="K11:M11"/>
    <mergeCell ref="D12:F12"/>
    <mergeCell ref="K12:M12"/>
    <mergeCell ref="D13:F13"/>
    <mergeCell ref="D14:F14"/>
    <mergeCell ref="K13:M13"/>
    <mergeCell ref="K15:M15"/>
    <mergeCell ref="D24:F24"/>
    <mergeCell ref="D17:F17"/>
    <mergeCell ref="D18:F18"/>
    <mergeCell ref="D19:F19"/>
    <mergeCell ref="K19:M19"/>
    <mergeCell ref="D20:F20"/>
    <mergeCell ref="K20:M20"/>
    <mergeCell ref="D21:F21"/>
    <mergeCell ref="K21:M21"/>
    <mergeCell ref="D23:F23"/>
    <mergeCell ref="D36:F37"/>
    <mergeCell ref="K36:M37"/>
    <mergeCell ref="D25:F25"/>
    <mergeCell ref="D26:F26"/>
    <mergeCell ref="D27:F27"/>
    <mergeCell ref="D29:F29"/>
    <mergeCell ref="D30:F30"/>
    <mergeCell ref="D31:F31"/>
    <mergeCell ref="D33:Q33"/>
    <mergeCell ref="D35:F35"/>
    <mergeCell ref="H35:I35"/>
    <mergeCell ref="K35:M35"/>
    <mergeCell ref="O35:P35"/>
  </mergeCells>
  <printOptions horizontalCentered="1"/>
  <pageMargins left="0.25" right="0.25" top="0.75" bottom="0.75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7CAAC"/>
  </sheetPr>
  <dimension ref="A1:AU1000"/>
  <sheetViews>
    <sheetView topLeftCell="G1" workbookViewId="0"/>
  </sheetViews>
  <sheetFormatPr baseColWidth="10" defaultColWidth="14.5" defaultRowHeight="15" customHeight="1" outlineLevelRow="1" outlineLevelCol="1" x14ac:dyDescent="0.2"/>
  <cols>
    <col min="1" max="3" width="10.83203125" hidden="1" customWidth="1" outlineLevel="1"/>
    <col min="4" max="4" width="15.5" hidden="1" customWidth="1" outlineLevel="1"/>
    <col min="5" max="6" width="10.83203125" hidden="1" customWidth="1" outlineLevel="1"/>
    <col min="7" max="7" width="5.5" customWidth="1" collapsed="1"/>
    <col min="8" max="8" width="4" customWidth="1"/>
    <col min="9" max="9" width="44.5" customWidth="1"/>
    <col min="10" max="14" width="10.83203125" customWidth="1"/>
    <col min="15" max="15" width="10.5" customWidth="1"/>
    <col min="16" max="19" width="10.83203125" customWidth="1"/>
    <col min="20" max="20" width="10.6640625" customWidth="1"/>
    <col min="22" max="22" width="10.6640625" customWidth="1"/>
    <col min="23" max="24" width="12.5" customWidth="1"/>
    <col min="25" max="25" width="10.6640625" customWidth="1"/>
    <col min="26" max="26" width="10.5" customWidth="1"/>
    <col min="27" max="27" width="20.83203125" customWidth="1"/>
    <col min="28" max="47" width="10.6640625" customWidth="1"/>
  </cols>
  <sheetData>
    <row r="1" spans="1:47" outlineLevel="1" x14ac:dyDescent="0.2"/>
    <row r="2" spans="1:47" outlineLevel="1" x14ac:dyDescent="0.2">
      <c r="J2" s="1">
        <v>1</v>
      </c>
      <c r="K2" s="1">
        <v>2</v>
      </c>
      <c r="L2" s="1">
        <v>3</v>
      </c>
      <c r="M2" s="1">
        <v>4</v>
      </c>
      <c r="N2" s="1">
        <v>5</v>
      </c>
      <c r="O2" s="1">
        <v>6</v>
      </c>
      <c r="P2" s="1">
        <v>7</v>
      </c>
      <c r="Q2" s="1">
        <v>8</v>
      </c>
      <c r="S2" s="1">
        <v>9</v>
      </c>
      <c r="T2" s="1">
        <v>10</v>
      </c>
    </row>
    <row r="3" spans="1:47" ht="51" customHeight="1" outlineLevel="1" x14ac:dyDescent="0.2">
      <c r="A3" s="4"/>
      <c r="B3" s="4"/>
      <c r="C3" s="4"/>
      <c r="D3" s="4"/>
      <c r="E3" s="4"/>
      <c r="F3" s="4"/>
      <c r="G3" s="4"/>
      <c r="H3" s="4"/>
      <c r="I3" s="4"/>
      <c r="J3" s="5" t="s">
        <v>11</v>
      </c>
      <c r="K3" s="6" t="s">
        <v>12</v>
      </c>
      <c r="L3" s="6" t="s">
        <v>13</v>
      </c>
      <c r="M3" s="5" t="s">
        <v>14</v>
      </c>
      <c r="N3" s="5" t="s">
        <v>15</v>
      </c>
      <c r="O3" s="6" t="s">
        <v>16</v>
      </c>
      <c r="P3" s="6" t="s">
        <v>17</v>
      </c>
      <c r="Q3" s="5" t="s">
        <v>18</v>
      </c>
      <c r="R3" s="6" t="s">
        <v>19</v>
      </c>
      <c r="S3" s="6" t="s">
        <v>20</v>
      </c>
      <c r="T3" s="5" t="s">
        <v>21</v>
      </c>
      <c r="U3" s="7"/>
      <c r="V3" s="7"/>
      <c r="W3" s="7">
        <f t="array" ref="W3:AU14">+TRANSPOSE(I3:T27)</f>
        <v>0</v>
      </c>
      <c r="X3" s="7" t="str">
        <v/>
      </c>
      <c r="Y3" s="7" t="str">
        <v/>
      </c>
      <c r="Z3" s="7" t="str">
        <v/>
      </c>
      <c r="AA3" s="7" t="str">
        <v/>
      </c>
      <c r="AB3" s="7" t="str">
        <v/>
      </c>
      <c r="AC3" s="7" t="str">
        <v/>
      </c>
      <c r="AD3" s="7" t="str">
        <v/>
      </c>
      <c r="AE3" s="7" t="str">
        <v/>
      </c>
      <c r="AF3" s="7" t="str">
        <v/>
      </c>
      <c r="AG3" s="7" t="str">
        <v/>
      </c>
      <c r="AH3" s="7" t="str">
        <v/>
      </c>
      <c r="AI3" s="7" t="str">
        <v/>
      </c>
      <c r="AJ3" s="7" t="str">
        <v/>
      </c>
      <c r="AK3" s="7" t="str">
        <v/>
      </c>
      <c r="AL3" s="7" t="str">
        <v/>
      </c>
      <c r="AM3" s="7" t="str">
        <v/>
      </c>
      <c r="AN3" s="7" t="str">
        <v/>
      </c>
      <c r="AO3" s="7" t="str">
        <v/>
      </c>
      <c r="AP3" s="7" t="str">
        <v/>
      </c>
      <c r="AQ3" s="7" t="str">
        <v/>
      </c>
      <c r="AR3" s="7" t="str">
        <v/>
      </c>
      <c r="AS3" s="7" t="str">
        <v/>
      </c>
      <c r="AT3" s="7" t="str">
        <v/>
      </c>
      <c r="AU3" s="7" t="str">
        <v/>
      </c>
    </row>
    <row r="4" spans="1:47" outlineLevel="1" x14ac:dyDescent="0.2">
      <c r="G4" s="8" t="s">
        <v>39</v>
      </c>
      <c r="H4" s="1">
        <v>1</v>
      </c>
      <c r="I4" s="9" t="s">
        <v>22</v>
      </c>
      <c r="J4" s="1">
        <v>0</v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W4" s="1" t="str">
        <v/>
      </c>
      <c r="X4" s="1">
        <v>0</v>
      </c>
      <c r="Y4" s="1">
        <v>-1</v>
      </c>
      <c r="Z4" s="1">
        <v>-1</v>
      </c>
      <c r="AA4" s="1" t="str">
        <v/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</row>
    <row r="5" spans="1:47" outlineLevel="1" x14ac:dyDescent="0.2">
      <c r="G5" s="8" t="s">
        <v>39</v>
      </c>
      <c r="H5" s="1">
        <v>2</v>
      </c>
      <c r="I5" s="9" t="s">
        <v>23</v>
      </c>
      <c r="J5" s="1">
        <v>-1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W5" s="1" t="str">
        <v/>
      </c>
      <c r="X5" s="1">
        <v>1</v>
      </c>
      <c r="Y5" s="1">
        <v>1</v>
      </c>
      <c r="Z5" s="1">
        <v>0</v>
      </c>
      <c r="AA5" s="1">
        <v>0</v>
      </c>
      <c r="AB5" s="1">
        <v>-1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</row>
    <row r="6" spans="1:47" outlineLevel="1" x14ac:dyDescent="0.2">
      <c r="G6" s="8" t="s">
        <v>39</v>
      </c>
      <c r="H6" s="1">
        <v>3</v>
      </c>
      <c r="I6" s="9" t="s">
        <v>24</v>
      </c>
      <c r="J6" s="1">
        <v>-1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W6" s="1" t="str">
        <v/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-1</v>
      </c>
      <c r="AD6" s="1">
        <v>-1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</row>
    <row r="7" spans="1:47" outlineLevel="1" x14ac:dyDescent="0.2">
      <c r="G7" s="8" t="s">
        <v>39</v>
      </c>
      <c r="H7" s="1">
        <v>4</v>
      </c>
      <c r="I7" s="9" t="s">
        <v>3</v>
      </c>
      <c r="J7" s="10" t="e">
        <f>+#REF!</f>
        <v>#REF!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W7" s="1" t="str">
        <v/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0</v>
      </c>
      <c r="AE7" s="1">
        <v>0</v>
      </c>
      <c r="AF7" s="1">
        <v>0</v>
      </c>
      <c r="AG7" s="1">
        <v>-1</v>
      </c>
      <c r="AH7" s="1" t="str">
        <v/>
      </c>
      <c r="AI7" s="1">
        <v>-1</v>
      </c>
      <c r="AJ7" s="1">
        <v>1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-1</v>
      </c>
    </row>
    <row r="8" spans="1:47" outlineLevel="1" x14ac:dyDescent="0.2">
      <c r="G8" s="8" t="s">
        <v>39</v>
      </c>
      <c r="H8" s="1">
        <v>5</v>
      </c>
      <c r="I8" s="9" t="s">
        <v>25</v>
      </c>
      <c r="J8" s="1">
        <v>0</v>
      </c>
      <c r="K8" s="1">
        <v>-1</v>
      </c>
      <c r="L8" s="1">
        <v>1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W8" s="1" t="str">
        <v/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1</v>
      </c>
      <c r="AE8" s="1" t="str">
        <v/>
      </c>
      <c r="AF8" s="1">
        <v>-1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</row>
    <row r="9" spans="1:47" outlineLevel="1" x14ac:dyDescent="0.2">
      <c r="G9" s="8" t="s">
        <v>39</v>
      </c>
      <c r="H9" s="1">
        <v>6</v>
      </c>
      <c r="I9" s="9" t="s">
        <v>26</v>
      </c>
      <c r="J9" s="1">
        <v>0</v>
      </c>
      <c r="K9" s="1">
        <v>0</v>
      </c>
      <c r="L9" s="1">
        <v>-1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W9" s="1" t="str">
        <v/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>
        <v>0</v>
      </c>
      <c r="AH9" s="1">
        <v>0</v>
      </c>
      <c r="AI9" s="1">
        <v>0</v>
      </c>
      <c r="AJ9" s="1">
        <v>-1</v>
      </c>
      <c r="AK9" s="1">
        <v>-1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</row>
    <row r="10" spans="1:47" outlineLevel="1" x14ac:dyDescent="0.2">
      <c r="G10" s="8" t="s">
        <v>39</v>
      </c>
      <c r="H10" s="1">
        <v>7</v>
      </c>
      <c r="I10" s="9" t="s">
        <v>27</v>
      </c>
      <c r="J10" s="1">
        <v>0</v>
      </c>
      <c r="K10" s="1">
        <v>0</v>
      </c>
      <c r="L10" s="1">
        <v>-1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W10" s="1" t="str">
        <v/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1</v>
      </c>
      <c r="AL10" s="1">
        <v>-1</v>
      </c>
      <c r="AM10" s="1">
        <v>-1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</row>
    <row r="11" spans="1:47" outlineLevel="1" x14ac:dyDescent="0.2">
      <c r="G11" s="8" t="s">
        <v>39</v>
      </c>
      <c r="H11" s="1">
        <v>8</v>
      </c>
      <c r="I11" s="9" t="s">
        <v>4</v>
      </c>
      <c r="J11" s="1">
        <v>0</v>
      </c>
      <c r="K11" s="1">
        <v>0</v>
      </c>
      <c r="L11" s="1">
        <v>0</v>
      </c>
      <c r="M11" s="1">
        <v>0</v>
      </c>
      <c r="N11" s="10" t="e">
        <f>+#REF!</f>
        <v>#REF!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W11" s="1" t="str">
        <v/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</v>
      </c>
      <c r="AM11" s="1">
        <v>0</v>
      </c>
      <c r="AN11" s="1" t="str">
        <v/>
      </c>
      <c r="AO11" s="1">
        <v>-1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</row>
    <row r="12" spans="1:47" outlineLevel="1" x14ac:dyDescent="0.2">
      <c r="G12" s="8" t="s">
        <v>39</v>
      </c>
      <c r="H12" s="1">
        <v>9</v>
      </c>
      <c r="I12" s="9" t="s">
        <v>28</v>
      </c>
      <c r="J12" s="1">
        <v>0</v>
      </c>
      <c r="K12" s="1">
        <v>0</v>
      </c>
      <c r="L12" s="1">
        <v>0</v>
      </c>
      <c r="M12" s="1">
        <v>0</v>
      </c>
      <c r="N12" s="1">
        <v>-1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W12" s="1" t="str">
        <v/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0</v>
      </c>
      <c r="AO12" s="1">
        <v>1</v>
      </c>
      <c r="AP12" s="1">
        <v>-1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</row>
    <row r="13" spans="1:47" outlineLevel="1" x14ac:dyDescent="0.2">
      <c r="G13" s="8" t="s">
        <v>39</v>
      </c>
      <c r="H13" s="1">
        <v>10</v>
      </c>
      <c r="I13" s="9" t="s">
        <v>29</v>
      </c>
      <c r="J13" s="11">
        <v>1</v>
      </c>
      <c r="K13" s="1">
        <v>0</v>
      </c>
      <c r="L13" s="1">
        <v>0</v>
      </c>
      <c r="M13" s="11">
        <v>-1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W13" s="1" t="str">
        <v/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</v>
      </c>
      <c r="AQ13" s="1">
        <v>-1</v>
      </c>
      <c r="AR13" s="1">
        <v>-1</v>
      </c>
      <c r="AS13" s="1">
        <v>0</v>
      </c>
      <c r="AT13" s="1">
        <v>0</v>
      </c>
      <c r="AU13" s="1">
        <v>0</v>
      </c>
    </row>
    <row r="14" spans="1:47" outlineLevel="1" x14ac:dyDescent="0.2">
      <c r="G14" s="8" t="s">
        <v>39</v>
      </c>
      <c r="H14" s="1">
        <v>11</v>
      </c>
      <c r="I14" s="9" t="s">
        <v>5</v>
      </c>
      <c r="J14" s="1">
        <v>0</v>
      </c>
      <c r="K14" s="1">
        <v>0</v>
      </c>
      <c r="L14" s="1">
        <v>0</v>
      </c>
      <c r="M14" s="10" t="e">
        <f>+#REF!</f>
        <v>#REF!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W14" s="1" t="str">
        <v/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1</v>
      </c>
      <c r="AS14" s="1" t="str">
        <v/>
      </c>
      <c r="AT14" s="1">
        <v>-1</v>
      </c>
      <c r="AU14" s="1">
        <v>0</v>
      </c>
    </row>
    <row r="15" spans="1:47" outlineLevel="1" x14ac:dyDescent="0.2">
      <c r="G15" s="8" t="s">
        <v>39</v>
      </c>
      <c r="H15" s="1">
        <v>12</v>
      </c>
      <c r="I15" s="9" t="s">
        <v>30</v>
      </c>
      <c r="J15" s="1">
        <v>0</v>
      </c>
      <c r="K15" s="1">
        <v>0</v>
      </c>
      <c r="L15" s="1">
        <v>0</v>
      </c>
      <c r="M15" s="1">
        <v>-1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</row>
    <row r="16" spans="1:47" outlineLevel="1" x14ac:dyDescent="0.2">
      <c r="G16" s="8" t="s">
        <v>39</v>
      </c>
      <c r="H16" s="1">
        <v>13</v>
      </c>
      <c r="I16" s="9" t="s">
        <v>31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-1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</row>
    <row r="17" spans="7:36" outlineLevel="1" x14ac:dyDescent="0.2">
      <c r="G17" s="8" t="s">
        <v>39</v>
      </c>
      <c r="H17" s="1">
        <v>14</v>
      </c>
      <c r="I17" s="9" t="s">
        <v>32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-1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</row>
    <row r="18" spans="7:36" outlineLevel="1" x14ac:dyDescent="0.2">
      <c r="G18" s="8" t="s">
        <v>39</v>
      </c>
      <c r="H18" s="1">
        <v>15</v>
      </c>
      <c r="I18" s="9" t="s">
        <v>33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-1</v>
      </c>
      <c r="Q18" s="1">
        <v>1</v>
      </c>
      <c r="R18" s="1">
        <v>0</v>
      </c>
      <c r="S18" s="1">
        <v>0</v>
      </c>
      <c r="T18" s="1">
        <v>0</v>
      </c>
      <c r="AG18" s="1" t="s">
        <v>40</v>
      </c>
      <c r="AH18" s="1" t="s">
        <v>41</v>
      </c>
    </row>
    <row r="19" spans="7:36" outlineLevel="1" x14ac:dyDescent="0.2">
      <c r="G19" s="8" t="s">
        <v>39</v>
      </c>
      <c r="H19" s="1">
        <v>16</v>
      </c>
      <c r="I19" s="9" t="s">
        <v>42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-1</v>
      </c>
      <c r="Q19" s="1">
        <v>0</v>
      </c>
      <c r="R19" s="1">
        <v>1</v>
      </c>
      <c r="S19" s="1">
        <v>0</v>
      </c>
      <c r="T19" s="1">
        <v>0</v>
      </c>
      <c r="AF19" s="12">
        <v>1</v>
      </c>
      <c r="AG19" s="13">
        <f t="shared" ref="AG19:AG42" si="0">+M46</f>
        <v>502781.82030850503</v>
      </c>
      <c r="AH19" s="13">
        <f t="shared" ref="AH19:AH42" si="1">+O46</f>
        <v>231983.78607040126</v>
      </c>
    </row>
    <row r="20" spans="7:36" outlineLevel="1" x14ac:dyDescent="0.2">
      <c r="G20" s="8" t="s">
        <v>39</v>
      </c>
      <c r="H20" s="1">
        <v>17</v>
      </c>
      <c r="I20" s="9" t="s">
        <v>6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0" t="e">
        <f>+#REF!</f>
        <v>#REF!</v>
      </c>
      <c r="R20" s="1">
        <v>0</v>
      </c>
      <c r="S20" s="1">
        <v>0</v>
      </c>
      <c r="T20" s="1">
        <v>0</v>
      </c>
      <c r="AF20" s="12">
        <v>2</v>
      </c>
      <c r="AG20" s="13">
        <f t="shared" si="0"/>
        <v>0</v>
      </c>
      <c r="AH20" s="13">
        <f t="shared" si="1"/>
        <v>0</v>
      </c>
    </row>
    <row r="21" spans="7:36" ht="15.75" customHeight="1" outlineLevel="1" x14ac:dyDescent="0.2">
      <c r="G21" s="8" t="s">
        <v>39</v>
      </c>
      <c r="H21" s="1">
        <v>18</v>
      </c>
      <c r="I21" s="9" t="s">
        <v>43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-1</v>
      </c>
      <c r="R21" s="1">
        <v>1</v>
      </c>
      <c r="S21" s="1">
        <v>0</v>
      </c>
      <c r="T21" s="1">
        <v>0</v>
      </c>
      <c r="AF21" s="12">
        <v>3</v>
      </c>
      <c r="AG21" s="13">
        <f t="shared" si="0"/>
        <v>12961.629000000001</v>
      </c>
      <c r="AH21" s="13">
        <f t="shared" si="1"/>
        <v>7704.8210577451482</v>
      </c>
    </row>
    <row r="22" spans="7:36" ht="15.75" customHeight="1" outlineLevel="1" x14ac:dyDescent="0.2">
      <c r="G22" s="8" t="s">
        <v>39</v>
      </c>
      <c r="H22" s="1">
        <v>19</v>
      </c>
      <c r="I22" s="9" t="s">
        <v>34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-1</v>
      </c>
      <c r="S22" s="1">
        <v>1</v>
      </c>
      <c r="T22" s="1">
        <v>0</v>
      </c>
      <c r="AF22" s="12">
        <v>4</v>
      </c>
      <c r="AG22" s="13">
        <f t="shared" si="0"/>
        <v>1770.5761999999995</v>
      </c>
      <c r="AH22" s="13">
        <f t="shared" si="1"/>
        <v>1150.0815539081302</v>
      </c>
    </row>
    <row r="23" spans="7:36" ht="15.75" customHeight="1" outlineLevel="1" x14ac:dyDescent="0.2">
      <c r="G23" s="8" t="s">
        <v>39</v>
      </c>
      <c r="H23" s="1">
        <v>20</v>
      </c>
      <c r="I23" s="9" t="s">
        <v>35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-1</v>
      </c>
      <c r="T23" s="1">
        <v>0</v>
      </c>
      <c r="AF23" s="12">
        <v>5</v>
      </c>
      <c r="AG23" s="13">
        <f t="shared" si="0"/>
        <v>502781.82030850503</v>
      </c>
      <c r="AH23" s="13">
        <f t="shared" si="1"/>
        <v>231983.78607040123</v>
      </c>
    </row>
    <row r="24" spans="7:36" ht="15.75" customHeight="1" outlineLevel="1" x14ac:dyDescent="0.2">
      <c r="G24" s="8" t="s">
        <v>39</v>
      </c>
      <c r="H24" s="1">
        <v>21</v>
      </c>
      <c r="I24" s="9" t="s">
        <v>36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-1</v>
      </c>
      <c r="T24" s="1">
        <v>1</v>
      </c>
      <c r="AF24" s="12">
        <v>6</v>
      </c>
      <c r="AG24" s="13">
        <f t="shared" si="0"/>
        <v>0</v>
      </c>
      <c r="AH24" s="13">
        <f t="shared" si="1"/>
        <v>0</v>
      </c>
    </row>
    <row r="25" spans="7:36" ht="15.75" customHeight="1" outlineLevel="1" x14ac:dyDescent="0.2">
      <c r="G25" s="8" t="s">
        <v>39</v>
      </c>
      <c r="H25" s="1">
        <v>22</v>
      </c>
      <c r="I25" s="9" t="s">
        <v>7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0" t="e">
        <f>+#REF!</f>
        <v>#REF!</v>
      </c>
      <c r="AF25" s="12">
        <v>7</v>
      </c>
      <c r="AG25" s="13">
        <f t="shared" si="0"/>
        <v>502781.82030850503</v>
      </c>
      <c r="AH25" s="13">
        <f t="shared" si="1"/>
        <v>231983.78607040123</v>
      </c>
    </row>
    <row r="26" spans="7:36" ht="15.75" customHeight="1" outlineLevel="1" x14ac:dyDescent="0.2">
      <c r="G26" s="8" t="s">
        <v>39</v>
      </c>
      <c r="H26" s="1">
        <v>23</v>
      </c>
      <c r="I26" s="9" t="s">
        <v>37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-1</v>
      </c>
      <c r="AF26" s="12">
        <v>8</v>
      </c>
      <c r="AG26" s="13">
        <f t="shared" si="0"/>
        <v>44584.890479999987</v>
      </c>
      <c r="AH26" s="13">
        <f t="shared" si="1"/>
        <v>15862.288869787022</v>
      </c>
    </row>
    <row r="27" spans="7:36" ht="15.75" customHeight="1" outlineLevel="1" x14ac:dyDescent="0.2">
      <c r="G27" s="8" t="s">
        <v>39</v>
      </c>
      <c r="H27" s="1">
        <v>24</v>
      </c>
      <c r="I27" s="14" t="s">
        <v>38</v>
      </c>
      <c r="J27" s="15">
        <v>0</v>
      </c>
      <c r="K27" s="15">
        <v>0</v>
      </c>
      <c r="L27" s="15">
        <v>0</v>
      </c>
      <c r="M27" s="15">
        <v>-1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AF27" s="12">
        <v>9</v>
      </c>
      <c r="AG27" s="13">
        <f t="shared" si="0"/>
        <v>458196.92982851854</v>
      </c>
      <c r="AH27" s="13">
        <f t="shared" si="1"/>
        <v>216121.49720061384</v>
      </c>
    </row>
    <row r="28" spans="7:36" ht="15.75" customHeight="1" outlineLevel="1" x14ac:dyDescent="0.2">
      <c r="G28" s="8"/>
      <c r="AF28" s="12">
        <v>10</v>
      </c>
      <c r="AG28" s="13">
        <f t="shared" si="0"/>
        <v>14732.2052</v>
      </c>
      <c r="AH28" s="13">
        <f t="shared" si="1"/>
        <v>8854.9026116532787</v>
      </c>
      <c r="AI28" s="13"/>
      <c r="AJ28" s="13"/>
    </row>
    <row r="29" spans="7:36" ht="15.75" customHeight="1" outlineLevel="1" x14ac:dyDescent="0.2">
      <c r="G29" s="8"/>
      <c r="AF29" s="12">
        <v>11</v>
      </c>
      <c r="AG29" s="13">
        <f t="shared" si="0"/>
        <v>30901.954517017632</v>
      </c>
      <c r="AH29" s="13">
        <f t="shared" si="1"/>
        <v>28476.531242053443</v>
      </c>
      <c r="AI29" s="13"/>
      <c r="AJ29" s="13"/>
    </row>
    <row r="30" spans="7:36" ht="15.75" customHeight="1" outlineLevel="1" x14ac:dyDescent="0.2">
      <c r="G30" s="8"/>
      <c r="AF30" s="12">
        <v>12</v>
      </c>
      <c r="AG30" s="13">
        <f t="shared" si="0"/>
        <v>16162.331</v>
      </c>
      <c r="AH30" s="13">
        <f t="shared" si="1"/>
        <v>9675.4587302503223</v>
      </c>
      <c r="AI30" s="13"/>
      <c r="AJ30" s="13"/>
    </row>
    <row r="31" spans="7:36" ht="15.75" customHeight="1" outlineLevel="1" x14ac:dyDescent="0.2">
      <c r="G31" s="8"/>
      <c r="AF31" s="12">
        <v>13</v>
      </c>
      <c r="AG31" s="13">
        <f t="shared" si="0"/>
        <v>345267.33650650288</v>
      </c>
      <c r="AH31" s="13">
        <f t="shared" si="1"/>
        <v>198183.7605973435</v>
      </c>
      <c r="AI31" s="13"/>
      <c r="AJ31" s="13"/>
    </row>
    <row r="32" spans="7:36" ht="15.75" customHeight="1" outlineLevel="1" x14ac:dyDescent="0.2">
      <c r="G32" s="8"/>
      <c r="AF32" s="12">
        <v>14</v>
      </c>
      <c r="AG32" s="13">
        <f t="shared" si="0"/>
        <v>112929.59332199999</v>
      </c>
      <c r="AH32" s="13">
        <f t="shared" si="1"/>
        <v>17937.73660326648</v>
      </c>
      <c r="AI32" s="13"/>
      <c r="AJ32" s="13"/>
    </row>
    <row r="33" spans="4:36" ht="15.75" customHeight="1" outlineLevel="1" x14ac:dyDescent="0.2">
      <c r="G33" s="8"/>
      <c r="AF33" s="12">
        <v>15</v>
      </c>
      <c r="AG33" s="13">
        <f t="shared" si="0"/>
        <v>30174.414309067877</v>
      </c>
      <c r="AH33" s="13">
        <f t="shared" si="1"/>
        <v>5989.7466433757972</v>
      </c>
      <c r="AI33" s="13"/>
      <c r="AJ33" s="13"/>
    </row>
    <row r="34" spans="4:36" ht="15.75" customHeight="1" outlineLevel="1" x14ac:dyDescent="0.2">
      <c r="G34" s="8"/>
      <c r="AF34" s="12">
        <v>16</v>
      </c>
      <c r="AG34" s="13">
        <f t="shared" si="0"/>
        <v>82755.179012932131</v>
      </c>
      <c r="AH34" s="13">
        <f t="shared" si="1"/>
        <v>11947.989959159877</v>
      </c>
      <c r="AI34" s="13"/>
      <c r="AJ34" s="13"/>
    </row>
    <row r="35" spans="4:36" ht="15.75" customHeight="1" outlineLevel="1" x14ac:dyDescent="0.2">
      <c r="G35" s="8"/>
      <c r="AF35" s="12">
        <v>17</v>
      </c>
      <c r="AG35" s="13">
        <f t="shared" si="0"/>
        <v>14174.322317347074</v>
      </c>
      <c r="AH35" s="13">
        <f t="shared" si="1"/>
        <v>3614.2837117004206</v>
      </c>
      <c r="AI35" s="13"/>
      <c r="AJ35" s="13"/>
    </row>
    <row r="36" spans="4:36" ht="15.75" customHeight="1" outlineLevel="1" x14ac:dyDescent="0.2">
      <c r="G36" s="8"/>
      <c r="AF36" s="12">
        <v>18</v>
      </c>
      <c r="AG36" s="13">
        <f t="shared" si="0"/>
        <v>44348.736626414939</v>
      </c>
      <c r="AH36" s="13">
        <f t="shared" si="1"/>
        <v>9604.0303558096184</v>
      </c>
      <c r="AI36" s="13"/>
      <c r="AJ36" s="13"/>
    </row>
    <row r="37" spans="4:36" ht="15.75" customHeight="1" outlineLevel="1" x14ac:dyDescent="0.2">
      <c r="G37" s="8"/>
      <c r="AF37" s="12">
        <v>19</v>
      </c>
      <c r="AG37" s="13">
        <f t="shared" si="0"/>
        <v>127103.91563934706</v>
      </c>
      <c r="AH37" s="13">
        <f t="shared" si="1"/>
        <v>21552.0203149669</v>
      </c>
      <c r="AI37" s="13"/>
      <c r="AJ37" s="13"/>
    </row>
    <row r="38" spans="4:36" ht="15.75" customHeight="1" outlineLevel="1" x14ac:dyDescent="0.2">
      <c r="G38" s="8"/>
      <c r="AF38" s="12">
        <v>20</v>
      </c>
      <c r="AG38" s="13">
        <f t="shared" si="0"/>
        <v>108284.65870939114</v>
      </c>
      <c r="AH38" s="13">
        <f t="shared" si="1"/>
        <v>14049.347154701374</v>
      </c>
      <c r="AI38" s="13"/>
      <c r="AJ38" s="13"/>
    </row>
    <row r="39" spans="4:36" ht="15.75" customHeight="1" outlineLevel="1" x14ac:dyDescent="0.2">
      <c r="G39" s="8"/>
      <c r="AF39" s="12">
        <v>21</v>
      </c>
      <c r="AG39" s="13">
        <f t="shared" si="0"/>
        <v>18819.256929955947</v>
      </c>
      <c r="AH39" s="13">
        <f t="shared" si="1"/>
        <v>7502.6731602655373</v>
      </c>
      <c r="AI39" s="13"/>
      <c r="AJ39" s="13"/>
    </row>
    <row r="40" spans="4:36" ht="15.75" customHeight="1" outlineLevel="1" x14ac:dyDescent="0.2">
      <c r="G40" s="8"/>
      <c r="AF40" s="12">
        <v>22</v>
      </c>
      <c r="AG40" s="13">
        <f t="shared" si="0"/>
        <v>311.60807004405655</v>
      </c>
      <c r="AH40" s="13">
        <f t="shared" si="1"/>
        <v>117.65024330446384</v>
      </c>
      <c r="AI40" s="13"/>
      <c r="AJ40" s="13"/>
    </row>
    <row r="41" spans="4:36" ht="15.75" customHeight="1" outlineLevel="1" x14ac:dyDescent="0.2">
      <c r="G41" s="8"/>
      <c r="AF41" s="12">
        <v>23</v>
      </c>
      <c r="AG41" s="13">
        <f t="shared" si="0"/>
        <v>19130.865000000002</v>
      </c>
      <c r="AH41" s="13">
        <f t="shared" si="1"/>
        <v>7620.3234035700007</v>
      </c>
      <c r="AI41" s="13"/>
      <c r="AJ41" s="13"/>
    </row>
    <row r="42" spans="4:36" ht="15.75" customHeight="1" outlineLevel="1" x14ac:dyDescent="0.2">
      <c r="G42" s="8"/>
      <c r="AF42" s="12">
        <v>24</v>
      </c>
      <c r="AG42" s="13">
        <f t="shared" si="0"/>
        <v>673884.94200000004</v>
      </c>
      <c r="AH42" s="13">
        <f t="shared" si="1"/>
        <v>410848.95586592209</v>
      </c>
      <c r="AI42" s="13"/>
      <c r="AJ42" s="13"/>
    </row>
    <row r="43" spans="4:36" ht="15.75" customHeight="1" x14ac:dyDescent="0.2">
      <c r="D43" s="3"/>
      <c r="AB43" s="16" t="s">
        <v>44</v>
      </c>
      <c r="AC43" s="16"/>
      <c r="AI43" s="13"/>
      <c r="AJ43" s="13"/>
    </row>
    <row r="44" spans="4:36" ht="32.25" customHeight="1" x14ac:dyDescent="0.25">
      <c r="D44" s="3"/>
      <c r="J44" s="573" t="s">
        <v>45</v>
      </c>
      <c r="K44" s="532"/>
      <c r="M44" s="574" t="s">
        <v>46</v>
      </c>
      <c r="N44" s="543"/>
      <c r="O44" s="544"/>
      <c r="R44" s="575" t="s">
        <v>47</v>
      </c>
      <c r="S44" s="532"/>
      <c r="T44" s="17" t="s">
        <v>48</v>
      </c>
      <c r="V44" s="18" t="s">
        <v>49</v>
      </c>
      <c r="AB44" s="16" t="s">
        <v>40</v>
      </c>
      <c r="AC44" s="16" t="s">
        <v>41</v>
      </c>
      <c r="AE44" s="1" t="e">
        <f>+V45</f>
        <v>#REF!</v>
      </c>
      <c r="AI44" s="13"/>
      <c r="AJ44" s="13"/>
    </row>
    <row r="45" spans="4:36" ht="15.75" customHeight="1" x14ac:dyDescent="0.2">
      <c r="D45" s="3"/>
      <c r="J45" s="19" t="s">
        <v>40</v>
      </c>
      <c r="K45" s="19" t="s">
        <v>2</v>
      </c>
      <c r="M45" s="20" t="s">
        <v>40</v>
      </c>
      <c r="N45" s="21" t="s">
        <v>2</v>
      </c>
      <c r="O45" s="22" t="s">
        <v>50</v>
      </c>
      <c r="R45" s="23" t="s">
        <v>40</v>
      </c>
      <c r="S45" s="23" t="s">
        <v>51</v>
      </c>
      <c r="T45" s="24" t="e">
        <f>+MAX(T46:T69)</f>
        <v>#REF!</v>
      </c>
      <c r="V45" s="24" t="e">
        <f>+MAX(V46:V69)</f>
        <v>#REF!</v>
      </c>
      <c r="AA45" s="1" t="s">
        <v>11</v>
      </c>
      <c r="AB45" s="16" t="e">
        <f t="array" ref="AB45">+MMULT(X4:AU14,AG19:AH42)</f>
        <v>#VALUE!</v>
      </c>
      <c r="AC45" s="16"/>
      <c r="AI45" s="13"/>
      <c r="AJ45" s="13"/>
    </row>
    <row r="46" spans="4:36" ht="15.75" customHeight="1" x14ac:dyDescent="0.2">
      <c r="G46" s="8"/>
      <c r="H46" s="1">
        <f t="shared" ref="H46:I46" si="2">+H4</f>
        <v>1</v>
      </c>
      <c r="I46" s="2" t="str">
        <f t="shared" si="2"/>
        <v>Alimentación Mina</v>
      </c>
      <c r="J46" s="25" t="e">
        <f t="shared" ref="J46:K46" si="3">+#REF!</f>
        <v>#REF!</v>
      </c>
      <c r="K46" s="26" t="e">
        <f t="shared" si="3"/>
        <v>#REF!</v>
      </c>
      <c r="L46" s="1" t="s">
        <v>52</v>
      </c>
      <c r="M46" s="27">
        <v>502781.82030850503</v>
      </c>
      <c r="N46" s="28">
        <v>0.46140050554742984</v>
      </c>
      <c r="O46" s="27">
        <f t="shared" ref="O46:O69" si="4">+M46*N46</f>
        <v>231983.78607040126</v>
      </c>
      <c r="R46" s="28" t="e">
        <f t="shared" ref="R46:S46" si="5">+IF(J46&lt;&gt;0,(M46-J46)/J46,0)</f>
        <v>#REF!</v>
      </c>
      <c r="S46" s="28" t="e">
        <f t="shared" si="5"/>
        <v>#REF!</v>
      </c>
      <c r="T46" s="29" t="e">
        <f t="shared" ref="T46:T69" si="6">+IF(R46&lt;&gt;"",ABS(R46),0)</f>
        <v>#REF!</v>
      </c>
      <c r="U46" s="30"/>
      <c r="V46" s="29" t="e">
        <f t="shared" ref="V46:V69" si="7">+IF(S46&lt;&gt;"",ABS(S46),0)</f>
        <v>#REF!</v>
      </c>
      <c r="W46" s="30">
        <v>0.02</v>
      </c>
      <c r="AA46" s="1" t="s">
        <v>12</v>
      </c>
      <c r="AB46" s="16"/>
      <c r="AC46" s="16"/>
      <c r="AI46" s="13"/>
      <c r="AJ46" s="13"/>
    </row>
    <row r="47" spans="4:36" ht="15.75" customHeight="1" x14ac:dyDescent="0.2">
      <c r="G47" s="8"/>
      <c r="H47" s="1">
        <f t="shared" ref="H47:I47" si="8">+H5</f>
        <v>2</v>
      </c>
      <c r="I47" s="2" t="str">
        <f t="shared" si="8"/>
        <v>Alim a Planta desde Acopio Mina</v>
      </c>
      <c r="J47" s="25" t="e">
        <f t="shared" ref="J47:K47" si="9">+#REF!</f>
        <v>#REF!</v>
      </c>
      <c r="K47" s="26" t="e">
        <f t="shared" si="9"/>
        <v>#REF!</v>
      </c>
      <c r="L47" s="1"/>
      <c r="M47" s="27">
        <v>0</v>
      </c>
      <c r="N47" s="28">
        <v>0</v>
      </c>
      <c r="O47" s="27">
        <f t="shared" si="4"/>
        <v>0</v>
      </c>
      <c r="R47" s="31" t="e">
        <f t="shared" ref="R47:S47" si="10">+IF(J47&lt;&gt;0,(M47-J47)/J47,0)</f>
        <v>#REF!</v>
      </c>
      <c r="S47" s="31" t="e">
        <f t="shared" si="10"/>
        <v>#REF!</v>
      </c>
      <c r="T47" s="28" t="e">
        <f t="shared" si="6"/>
        <v>#REF!</v>
      </c>
      <c r="U47" s="30"/>
      <c r="V47" s="28" t="e">
        <f t="shared" si="7"/>
        <v>#REF!</v>
      </c>
      <c r="W47" s="30"/>
      <c r="AA47" s="1" t="s">
        <v>13</v>
      </c>
      <c r="AB47" s="16"/>
      <c r="AC47" s="16"/>
      <c r="AI47" s="13"/>
      <c r="AJ47" s="13"/>
    </row>
    <row r="48" spans="4:36" ht="15.75" customHeight="1" x14ac:dyDescent="0.2">
      <c r="D48" s="1" t="s">
        <v>0</v>
      </c>
      <c r="E48" s="1" t="s">
        <v>1</v>
      </c>
      <c r="F48" s="1" t="s">
        <v>2</v>
      </c>
      <c r="G48" s="8"/>
      <c r="H48" s="1">
        <f t="shared" ref="H48:I48" si="11">+H6</f>
        <v>3</v>
      </c>
      <c r="I48" s="32" t="str">
        <f t="shared" si="11"/>
        <v>Acopio Mina a Terceros</v>
      </c>
      <c r="J48" s="25" t="e">
        <f t="shared" ref="J48:K48" si="12">+#REF!</f>
        <v>#REF!</v>
      </c>
      <c r="K48" s="26" t="e">
        <f t="shared" si="12"/>
        <v>#REF!</v>
      </c>
      <c r="L48" s="1"/>
      <c r="M48" s="27">
        <v>12961.629000000001</v>
      </c>
      <c r="N48" s="28">
        <v>0.59443308072967893</v>
      </c>
      <c r="O48" s="27">
        <f t="shared" si="4"/>
        <v>7704.8210577451482</v>
      </c>
      <c r="P48" s="33"/>
      <c r="R48" s="31" t="e">
        <f t="shared" ref="R48:S48" si="13">+IF(J48&lt;&gt;0,(M48-J48)/J48,0)</f>
        <v>#REF!</v>
      </c>
      <c r="S48" s="31" t="e">
        <f t="shared" si="13"/>
        <v>#REF!</v>
      </c>
      <c r="T48" s="28" t="e">
        <f t="shared" si="6"/>
        <v>#REF!</v>
      </c>
      <c r="U48" s="30">
        <v>0</v>
      </c>
      <c r="V48" s="28" t="e">
        <f t="shared" si="7"/>
        <v>#REF!</v>
      </c>
      <c r="W48" s="30"/>
      <c r="AA48" s="1" t="s">
        <v>14</v>
      </c>
      <c r="AB48" s="16"/>
      <c r="AC48" s="16"/>
      <c r="AI48" s="13"/>
      <c r="AJ48" s="13"/>
    </row>
    <row r="49" spans="4:36" ht="15.75" customHeight="1" x14ac:dyDescent="0.2">
      <c r="D49" s="3" t="e">
        <f>+#REF!</f>
        <v>#REF!</v>
      </c>
      <c r="E49" s="34" t="e">
        <f>+#REF!</f>
        <v>#REF!</v>
      </c>
      <c r="F49" s="35" t="e">
        <f>+#REF!</f>
        <v>#REF!</v>
      </c>
      <c r="G49" s="1" t="e">
        <f>+IF(D49&gt;0,1,IF(D49&lt;&gt;0,-1,0))</f>
        <v>#REF!</v>
      </c>
      <c r="H49" s="1">
        <f t="shared" ref="H49:I49" si="14">+H7</f>
        <v>4</v>
      </c>
      <c r="I49" s="2" t="str">
        <f t="shared" si="14"/>
        <v>Delta S Acopio Mina</v>
      </c>
      <c r="J49" s="25" t="e">
        <f t="shared" ref="J49:K49" si="15">+E49</f>
        <v>#REF!</v>
      </c>
      <c r="K49" s="26" t="e">
        <f t="shared" si="15"/>
        <v>#REF!</v>
      </c>
      <c r="L49" s="1" t="s">
        <v>53</v>
      </c>
      <c r="M49" s="27">
        <v>1770.5761999999995</v>
      </c>
      <c r="N49" s="28">
        <v>0.64955213670449796</v>
      </c>
      <c r="O49" s="27">
        <f t="shared" si="4"/>
        <v>1150.0815539081302</v>
      </c>
      <c r="P49" s="1" t="e">
        <f>+#REF!</f>
        <v>#REF!</v>
      </c>
      <c r="Q49" s="3" t="e">
        <f>+M49-J49</f>
        <v>#REF!</v>
      </c>
      <c r="R49" s="31" t="e">
        <f t="shared" ref="R49:S49" si="16">+IF(J49&lt;&gt;0,(M49-J49)/J49,0)</f>
        <v>#REF!</v>
      </c>
      <c r="S49" s="31" t="e">
        <f t="shared" si="16"/>
        <v>#REF!</v>
      </c>
      <c r="T49" s="28" t="e">
        <f t="shared" si="6"/>
        <v>#REF!</v>
      </c>
      <c r="U49" s="30"/>
      <c r="V49" s="28" t="e">
        <f t="shared" si="7"/>
        <v>#REF!</v>
      </c>
      <c r="W49" s="30"/>
      <c r="AA49" s="1" t="s">
        <v>15</v>
      </c>
      <c r="AB49" s="16"/>
      <c r="AC49" s="16"/>
      <c r="AI49" s="13"/>
      <c r="AJ49" s="13"/>
    </row>
    <row r="50" spans="4:36" ht="15.75" customHeight="1" x14ac:dyDescent="0.2">
      <c r="G50" s="8"/>
      <c r="H50" s="1">
        <f t="shared" ref="H50:I50" si="17">+H8</f>
        <v>5</v>
      </c>
      <c r="I50" s="2" t="str">
        <f t="shared" si="17"/>
        <v>Alim a Chancado</v>
      </c>
      <c r="J50" s="36" t="e">
        <f>+J46+J47</f>
        <v>#REF!</v>
      </c>
      <c r="K50" s="37" t="e">
        <f>+(J46*K46+J47*K47)/J50</f>
        <v>#REF!</v>
      </c>
      <c r="L50" s="1"/>
      <c r="M50" s="27">
        <v>502781.82030850503</v>
      </c>
      <c r="N50" s="28">
        <v>0.46140050554742978</v>
      </c>
      <c r="O50" s="27">
        <f t="shared" si="4"/>
        <v>231983.78607040123</v>
      </c>
      <c r="R50" s="31" t="e">
        <f t="shared" ref="R50:S50" si="18">+IF(J50&lt;&gt;0,(M50-J50)/J50,0)</f>
        <v>#REF!</v>
      </c>
      <c r="S50" s="31" t="e">
        <f t="shared" si="18"/>
        <v>#REF!</v>
      </c>
      <c r="T50" s="28" t="e">
        <f t="shared" si="6"/>
        <v>#REF!</v>
      </c>
      <c r="U50" s="30"/>
      <c r="V50" s="28" t="e">
        <f t="shared" si="7"/>
        <v>#REF!</v>
      </c>
      <c r="W50" s="30"/>
      <c r="AA50" s="1" t="s">
        <v>16</v>
      </c>
      <c r="AB50" s="16"/>
      <c r="AC50" s="16"/>
      <c r="AI50" s="13"/>
      <c r="AJ50" s="13"/>
    </row>
    <row r="51" spans="4:36" ht="15.75" customHeight="1" x14ac:dyDescent="0.2">
      <c r="G51" s="8"/>
      <c r="H51" s="1">
        <f t="shared" ref="H51:I51" si="19">+H9</f>
        <v>6</v>
      </c>
      <c r="I51" s="2" t="str">
        <f t="shared" si="19"/>
        <v>Chanc a Stock Prec Los Col.</v>
      </c>
      <c r="J51" s="36">
        <v>0</v>
      </c>
      <c r="K51" s="37">
        <f>+IF(J51&lt;&gt;0,(J50*K50-J52*K52)/J51,0)</f>
        <v>0</v>
      </c>
      <c r="L51" s="1"/>
      <c r="M51" s="27">
        <v>0</v>
      </c>
      <c r="N51" s="28">
        <v>0</v>
      </c>
      <c r="O51" s="27">
        <f t="shared" si="4"/>
        <v>0</v>
      </c>
      <c r="R51" s="31">
        <f t="shared" ref="R51:S51" si="20">+IF(J51&lt;&gt;0,(M51-J51)/J51,0)</f>
        <v>0</v>
      </c>
      <c r="S51" s="31">
        <f t="shared" si="20"/>
        <v>0</v>
      </c>
      <c r="T51" s="28">
        <f t="shared" si="6"/>
        <v>0</v>
      </c>
      <c r="U51" s="30"/>
      <c r="V51" s="28">
        <f t="shared" si="7"/>
        <v>0</v>
      </c>
      <c r="W51" s="30"/>
      <c r="AA51" s="1" t="s">
        <v>17</v>
      </c>
      <c r="AB51" s="16"/>
      <c r="AC51" s="16"/>
      <c r="AI51" s="13"/>
      <c r="AJ51" s="13"/>
    </row>
    <row r="52" spans="4:36" ht="15.75" customHeight="1" x14ac:dyDescent="0.2">
      <c r="G52" s="8"/>
      <c r="H52" s="1">
        <f t="shared" ref="H52:I52" si="21">+H10</f>
        <v>7</v>
      </c>
      <c r="I52" s="2" t="str">
        <f t="shared" si="21"/>
        <v>Chanc a Stock Grueso</v>
      </c>
      <c r="J52" s="36" t="e">
        <f t="shared" ref="J52:K52" si="22">+J50</f>
        <v>#REF!</v>
      </c>
      <c r="K52" s="37" t="e">
        <f t="shared" si="22"/>
        <v>#REF!</v>
      </c>
      <c r="L52" s="1"/>
      <c r="M52" s="27">
        <v>502781.82030850503</v>
      </c>
      <c r="N52" s="28">
        <v>0.46140050554742978</v>
      </c>
      <c r="O52" s="27">
        <f t="shared" si="4"/>
        <v>231983.78607040123</v>
      </c>
      <c r="R52" s="31" t="e">
        <f t="shared" ref="R52:S52" si="23">+IF(J52&lt;&gt;0,(M52-J52)/J52,0)</f>
        <v>#REF!</v>
      </c>
      <c r="S52" s="31" t="e">
        <f t="shared" si="23"/>
        <v>#REF!</v>
      </c>
      <c r="T52" s="28" t="e">
        <f t="shared" si="6"/>
        <v>#REF!</v>
      </c>
      <c r="U52" s="30"/>
      <c r="V52" s="28" t="e">
        <f t="shared" si="7"/>
        <v>#REF!</v>
      </c>
      <c r="W52" s="30"/>
      <c r="AA52" s="1" t="s">
        <v>18</v>
      </c>
      <c r="AB52" s="16"/>
      <c r="AC52" s="16"/>
      <c r="AI52" s="13"/>
      <c r="AJ52" s="13"/>
    </row>
    <row r="53" spans="4:36" ht="15.75" customHeight="1" x14ac:dyDescent="0.2">
      <c r="D53" s="3" t="e">
        <f>+#REF!</f>
        <v>#REF!</v>
      </c>
      <c r="E53" s="34" t="e">
        <f>+#REF!</f>
        <v>#REF!</v>
      </c>
      <c r="F53" s="35" t="e">
        <f>+#REF!</f>
        <v>#REF!</v>
      </c>
      <c r="G53" s="1" t="e">
        <f>+IF(D53&gt;0,1,IF(D53&lt;&gt;0,-1,0))</f>
        <v>#REF!</v>
      </c>
      <c r="H53" s="1">
        <f t="shared" ref="H53:I53" si="24">+H11</f>
        <v>8</v>
      </c>
      <c r="I53" s="2" t="str">
        <f t="shared" si="24"/>
        <v>Delta Stock de Grueso</v>
      </c>
      <c r="J53" s="25" t="e">
        <f>+E53</f>
        <v>#REF!</v>
      </c>
      <c r="K53" s="26" t="e">
        <f>+IF(J53&lt;&gt;0,F53,0)</f>
        <v>#REF!</v>
      </c>
      <c r="L53" s="1" t="s">
        <v>53</v>
      </c>
      <c r="M53" s="27">
        <v>44584.890479999987</v>
      </c>
      <c r="N53" s="28">
        <v>0.35577723078410545</v>
      </c>
      <c r="O53" s="27">
        <f t="shared" si="4"/>
        <v>15862.288869787022</v>
      </c>
      <c r="P53" s="1" t="e">
        <f>+#REF!</f>
        <v>#REF!</v>
      </c>
      <c r="Q53" s="3" t="e">
        <f>+M53-J53</f>
        <v>#REF!</v>
      </c>
      <c r="R53" s="31" t="e">
        <f t="shared" ref="R53:S53" si="25">+IF(J53&lt;&gt;0,(M53-J53)/J53,0)</f>
        <v>#REF!</v>
      </c>
      <c r="S53" s="31" t="e">
        <f t="shared" si="25"/>
        <v>#REF!</v>
      </c>
      <c r="T53" s="28" t="e">
        <f t="shared" si="6"/>
        <v>#REF!</v>
      </c>
      <c r="U53" s="30">
        <v>0.1</v>
      </c>
      <c r="V53" s="28" t="e">
        <f t="shared" si="7"/>
        <v>#REF!</v>
      </c>
      <c r="W53" s="30"/>
      <c r="AA53" s="1" t="s">
        <v>19</v>
      </c>
      <c r="AB53" s="16"/>
      <c r="AC53" s="16"/>
      <c r="AI53" s="13"/>
      <c r="AJ53" s="13"/>
    </row>
    <row r="54" spans="4:36" ht="15.75" customHeight="1" x14ac:dyDescent="0.2">
      <c r="G54" s="8"/>
      <c r="H54" s="1">
        <f t="shared" ref="H54:I54" si="26">+H12</f>
        <v>9</v>
      </c>
      <c r="I54" s="2" t="str">
        <f t="shared" si="26"/>
        <v>De Stock Grueso a conc magn (alim A52 y A82)</v>
      </c>
      <c r="J54" s="25" t="e">
        <f t="shared" ref="J54:K54" si="27">+#REF!</f>
        <v>#REF!</v>
      </c>
      <c r="K54" s="26" t="e">
        <f t="shared" si="27"/>
        <v>#REF!</v>
      </c>
      <c r="L54" s="1"/>
      <c r="M54" s="27">
        <v>458196.92982851854</v>
      </c>
      <c r="N54" s="28">
        <v>0.47167818710941145</v>
      </c>
      <c r="O54" s="27">
        <f t="shared" si="4"/>
        <v>216121.49720061384</v>
      </c>
      <c r="R54" s="31" t="e">
        <f t="shared" ref="R54:S54" si="28">+IF(J54&lt;&gt;0,(M54-J54)/J54,0)</f>
        <v>#REF!</v>
      </c>
      <c r="S54" s="31" t="e">
        <f t="shared" si="28"/>
        <v>#REF!</v>
      </c>
      <c r="T54" s="28" t="e">
        <f t="shared" si="6"/>
        <v>#REF!</v>
      </c>
      <c r="U54" s="30"/>
      <c r="V54" s="28" t="e">
        <f t="shared" si="7"/>
        <v>#REF!</v>
      </c>
      <c r="W54" s="30"/>
      <c r="AA54" s="1" t="s">
        <v>20</v>
      </c>
      <c r="AB54" s="16"/>
      <c r="AC54" s="16"/>
      <c r="AI54" s="13"/>
      <c r="AJ54" s="13"/>
    </row>
    <row r="55" spans="4:36" ht="15.75" customHeight="1" x14ac:dyDescent="0.2">
      <c r="G55" s="8"/>
      <c r="H55" s="1">
        <f t="shared" ref="H55:I55" si="29">+H13</f>
        <v>10</v>
      </c>
      <c r="I55" s="2" t="str">
        <f t="shared" si="29"/>
        <v>Stock Prec a (o desde) Acopio Mina</v>
      </c>
      <c r="J55" s="25" t="e">
        <f t="shared" ref="J55:K55" si="30">+#REF!</f>
        <v>#REF!</v>
      </c>
      <c r="K55" s="26" t="e">
        <f t="shared" si="30"/>
        <v>#REF!</v>
      </c>
      <c r="L55" s="1"/>
      <c r="M55" s="27">
        <v>14732.2052</v>
      </c>
      <c r="N55" s="28">
        <v>0.60105751253405559</v>
      </c>
      <c r="O55" s="27">
        <f t="shared" si="4"/>
        <v>8854.9026116532787</v>
      </c>
      <c r="R55" s="31" t="e">
        <f t="shared" ref="R55:S55" si="31">+IF(J55&lt;&gt;0,(M55-J55)/J55,0)</f>
        <v>#REF!</v>
      </c>
      <c r="S55" s="31" t="e">
        <f t="shared" si="31"/>
        <v>#REF!</v>
      </c>
      <c r="T55" s="28" t="e">
        <f t="shared" si="6"/>
        <v>#REF!</v>
      </c>
      <c r="U55" s="30">
        <v>0</v>
      </c>
      <c r="V55" s="28" t="e">
        <f t="shared" si="7"/>
        <v>#REF!</v>
      </c>
      <c r="W55" s="30">
        <v>0.05</v>
      </c>
      <c r="AA55" s="1" t="s">
        <v>21</v>
      </c>
      <c r="AB55" s="16"/>
      <c r="AC55" s="16"/>
      <c r="AI55" s="13"/>
      <c r="AJ55" s="13"/>
    </row>
    <row r="56" spans="4:36" ht="15.75" customHeight="1" x14ac:dyDescent="0.2">
      <c r="D56" s="3" t="e">
        <f>+J58+J51-J69-J57-J55</f>
        <v>#REF!</v>
      </c>
      <c r="E56" s="34" t="e">
        <f>+#REF!</f>
        <v>#REF!</v>
      </c>
      <c r="F56" s="35" t="e">
        <f>+(J58*K58+J51*K51-J69*K69-J57*K57-J55*K55)/(J58+J51-J69-J57-J55)</f>
        <v>#REF!</v>
      </c>
      <c r="G56" s="1" t="e">
        <f>+IF(D56&gt;0,1,IF(D56&lt;&gt;0,-1,0))</f>
        <v>#REF!</v>
      </c>
      <c r="H56" s="1">
        <f t="shared" ref="H56:I56" si="32">+H14</f>
        <v>11</v>
      </c>
      <c r="I56" s="2" t="str">
        <f t="shared" si="32"/>
        <v>Delta Stock Prec</v>
      </c>
      <c r="J56" s="25" t="e">
        <f t="shared" ref="J56:K56" si="33">+E56</f>
        <v>#REF!</v>
      </c>
      <c r="K56" s="26" t="e">
        <f t="shared" si="33"/>
        <v>#REF!</v>
      </c>
      <c r="L56" s="1" t="s">
        <v>53</v>
      </c>
      <c r="M56" s="27">
        <v>30901.954517017632</v>
      </c>
      <c r="N56" s="28">
        <v>0.92151230196043055</v>
      </c>
      <c r="O56" s="27">
        <f t="shared" si="4"/>
        <v>28476.531242053443</v>
      </c>
      <c r="P56" s="1" t="e">
        <f>+#REF!</f>
        <v>#REF!</v>
      </c>
      <c r="Q56" s="3" t="e">
        <f>+M56-J56</f>
        <v>#REF!</v>
      </c>
      <c r="R56" s="31" t="e">
        <f t="shared" ref="R56:S56" si="34">+IF(J56&lt;&gt;0,(M56-J56)/J56,0)</f>
        <v>#REF!</v>
      </c>
      <c r="S56" s="31" t="e">
        <f t="shared" si="34"/>
        <v>#REF!</v>
      </c>
      <c r="T56" s="28" t="e">
        <f t="shared" si="6"/>
        <v>#REF!</v>
      </c>
      <c r="U56" s="30"/>
      <c r="V56" s="28" t="e">
        <f t="shared" si="7"/>
        <v>#REF!</v>
      </c>
      <c r="W56" s="30"/>
      <c r="AI56" s="13"/>
      <c r="AJ56" s="13"/>
    </row>
    <row r="57" spans="4:36" ht="15.75" customHeight="1" x14ac:dyDescent="0.2">
      <c r="G57" s="8"/>
      <c r="H57" s="1">
        <f t="shared" ref="H57:I57" si="35">+H15</f>
        <v>12</v>
      </c>
      <c r="I57" s="32" t="str">
        <f t="shared" si="35"/>
        <v>de Stock Prec a Terceros (a otras faenas)</v>
      </c>
      <c r="J57" s="25" t="e">
        <f t="shared" ref="J57:K57" si="36">+#REF!</f>
        <v>#REF!</v>
      </c>
      <c r="K57" s="26" t="e">
        <f t="shared" si="36"/>
        <v>#REF!</v>
      </c>
      <c r="L57" s="1" t="s">
        <v>54</v>
      </c>
      <c r="M57" s="27">
        <v>16162.331</v>
      </c>
      <c r="N57" s="28">
        <v>0.59864253060095862</v>
      </c>
      <c r="O57" s="27">
        <f t="shared" si="4"/>
        <v>9675.4587302503223</v>
      </c>
      <c r="P57" s="33"/>
      <c r="R57" s="31" t="e">
        <f t="shared" ref="R57:S57" si="37">+IF(J57&lt;&gt;0,(M57-J57)/J57,0)</f>
        <v>#REF!</v>
      </c>
      <c r="S57" s="31" t="e">
        <f t="shared" si="37"/>
        <v>#REF!</v>
      </c>
      <c r="T57" s="28" t="e">
        <f t="shared" si="6"/>
        <v>#REF!</v>
      </c>
      <c r="U57" s="30">
        <v>0</v>
      </c>
      <c r="V57" s="28" t="e">
        <f t="shared" si="7"/>
        <v>#REF!</v>
      </c>
      <c r="W57" s="30">
        <v>0.01</v>
      </c>
      <c r="AA57" s="8" t="s">
        <v>55</v>
      </c>
      <c r="AB57" s="1" t="e">
        <f ca="1">+SUM(ANCHORARRAY(AB45))</f>
        <v>#NAME?</v>
      </c>
      <c r="AI57" s="13"/>
      <c r="AJ57" s="13"/>
    </row>
    <row r="58" spans="4:36" ht="15.75" customHeight="1" x14ac:dyDescent="0.2">
      <c r="G58" s="8"/>
      <c r="H58" s="1">
        <f t="shared" ref="H58:I58" si="38">+H16</f>
        <v>13</v>
      </c>
      <c r="I58" s="2" t="str">
        <f t="shared" si="38"/>
        <v>de Conc Magnética a Stock Prec (Prod A52 y A 82)</v>
      </c>
      <c r="J58" s="25" t="e">
        <f t="shared" ref="J58:K58" si="39">+#REF!</f>
        <v>#REF!</v>
      </c>
      <c r="K58" s="26" t="e">
        <f t="shared" si="39"/>
        <v>#REF!</v>
      </c>
      <c r="L58" s="1"/>
      <c r="M58" s="27">
        <v>345267.33650650288</v>
      </c>
      <c r="N58" s="28">
        <v>0.57400089624061745</v>
      </c>
      <c r="O58" s="27">
        <f t="shared" si="4"/>
        <v>198183.7605973435</v>
      </c>
      <c r="R58" s="31" t="e">
        <f t="shared" ref="R58:S58" si="40">+IF(J58&lt;&gt;0,(M58-J58)/J58,0)</f>
        <v>#REF!</v>
      </c>
      <c r="S58" s="31" t="e">
        <f t="shared" si="40"/>
        <v>#REF!</v>
      </c>
      <c r="T58" s="29" t="e">
        <f t="shared" si="6"/>
        <v>#REF!</v>
      </c>
      <c r="U58" s="30">
        <v>0.03</v>
      </c>
      <c r="V58" s="28" t="e">
        <f t="shared" si="7"/>
        <v>#REF!</v>
      </c>
      <c r="W58" s="30"/>
      <c r="AA58" s="8" t="s">
        <v>56</v>
      </c>
      <c r="AB58" s="3" t="e">
        <f>+SUM(J100:K123)</f>
        <v>#REF!</v>
      </c>
      <c r="AI58" s="13"/>
      <c r="AJ58" s="13"/>
    </row>
    <row r="59" spans="4:36" ht="15.75" customHeight="1" x14ac:dyDescent="0.2">
      <c r="G59" s="8"/>
      <c r="H59" s="1">
        <f t="shared" ref="H59:I59" si="41">+H17</f>
        <v>14</v>
      </c>
      <c r="I59" s="2" t="str">
        <f t="shared" si="41"/>
        <v>total de rechazo</v>
      </c>
      <c r="J59" s="36" t="e">
        <f>+J60+J61</f>
        <v>#REF!</v>
      </c>
      <c r="K59" s="37" t="e">
        <f>+K60</f>
        <v>#REF!</v>
      </c>
      <c r="L59" s="1"/>
      <c r="M59" s="27">
        <v>112929.59332199999</v>
      </c>
      <c r="N59" s="28">
        <v>0.15884000000000001</v>
      </c>
      <c r="O59" s="27">
        <f t="shared" si="4"/>
        <v>17937.73660326648</v>
      </c>
      <c r="R59" s="31" t="e">
        <f t="shared" ref="R59:S59" si="42">+IF(J59&lt;&gt;0,(M59-J59)/J59,0)</f>
        <v>#REF!</v>
      </c>
      <c r="S59" s="31" t="e">
        <f t="shared" si="42"/>
        <v>#REF!</v>
      </c>
      <c r="T59" s="28" t="e">
        <f t="shared" si="6"/>
        <v>#REF!</v>
      </c>
      <c r="U59" s="30">
        <v>0.02</v>
      </c>
      <c r="V59" s="28" t="e">
        <f t="shared" si="7"/>
        <v>#REF!</v>
      </c>
      <c r="W59" s="30">
        <v>0.05</v>
      </c>
    </row>
    <row r="60" spans="4:36" ht="15.75" customHeight="1" x14ac:dyDescent="0.2">
      <c r="G60" s="8"/>
      <c r="H60" s="1">
        <f t="shared" ref="H60:I60" si="43">+H18</f>
        <v>15</v>
      </c>
      <c r="I60" s="2" t="str">
        <f t="shared" si="43"/>
        <v>Rechazo  a Stock de Rechazo</v>
      </c>
      <c r="J60" s="25" t="e">
        <f t="shared" ref="J60:K60" si="44">+#REF!</f>
        <v>#REF!</v>
      </c>
      <c r="K60" s="26" t="e">
        <f t="shared" si="44"/>
        <v>#REF!</v>
      </c>
      <c r="L60" s="1"/>
      <c r="M60" s="27">
        <v>30174.414309067877</v>
      </c>
      <c r="N60" s="28">
        <v>0.19850415593901971</v>
      </c>
      <c r="O60" s="27">
        <f t="shared" si="4"/>
        <v>5989.7466433757972</v>
      </c>
      <c r="R60" s="31" t="e">
        <f t="shared" ref="R60:S60" si="45">+IF(J60&lt;&gt;0,(M60-J60)/J60,0)</f>
        <v>#REF!</v>
      </c>
      <c r="S60" s="31" t="e">
        <f t="shared" si="45"/>
        <v>#REF!</v>
      </c>
      <c r="T60" s="28" t="e">
        <f t="shared" si="6"/>
        <v>#REF!</v>
      </c>
      <c r="U60" s="30"/>
      <c r="V60" s="28" t="e">
        <f t="shared" si="7"/>
        <v>#REF!</v>
      </c>
      <c r="W60" s="30"/>
    </row>
    <row r="61" spans="4:36" ht="15.75" customHeight="1" x14ac:dyDescent="0.2">
      <c r="G61" s="8"/>
      <c r="H61" s="1">
        <f t="shared" ref="H61:I61" si="46">+H19</f>
        <v>16</v>
      </c>
      <c r="I61" s="2" t="str">
        <f t="shared" si="46"/>
        <v>alim fresca a Planta Rechazo</v>
      </c>
      <c r="J61" s="25" t="e">
        <f t="shared" ref="J61:K61" si="47">+#REF!</f>
        <v>#REF!</v>
      </c>
      <c r="K61" s="26" t="e">
        <f t="shared" si="47"/>
        <v>#REF!</v>
      </c>
      <c r="L61" s="1"/>
      <c r="M61" s="27">
        <v>82755.179012932131</v>
      </c>
      <c r="N61" s="28">
        <v>0.14437754955847257</v>
      </c>
      <c r="O61" s="27">
        <f t="shared" si="4"/>
        <v>11947.989959159877</v>
      </c>
      <c r="R61" s="31" t="e">
        <f t="shared" ref="R61:S61" si="48">+IF(J61&lt;&gt;0,(M61-J61)/J61,0)</f>
        <v>#REF!</v>
      </c>
      <c r="S61" s="31" t="e">
        <f t="shared" si="48"/>
        <v>#REF!</v>
      </c>
      <c r="T61" s="28" t="e">
        <f t="shared" si="6"/>
        <v>#REF!</v>
      </c>
      <c r="U61" s="30"/>
      <c r="V61" s="28" t="e">
        <f t="shared" si="7"/>
        <v>#REF!</v>
      </c>
      <c r="W61" s="30"/>
    </row>
    <row r="62" spans="4:36" ht="15.75" customHeight="1" x14ac:dyDescent="0.2">
      <c r="D62" s="38" t="e">
        <f>+#REF!</f>
        <v>#REF!</v>
      </c>
      <c r="E62" s="34" t="e">
        <f>+ABS(D62)</f>
        <v>#REF!</v>
      </c>
      <c r="F62" s="35" t="e">
        <f>+#REF!</f>
        <v>#REF!</v>
      </c>
      <c r="G62" s="1" t="e">
        <f>+IF(D62&gt;0,1,IF(D62&lt;&gt;0,-1,0))</f>
        <v>#REF!</v>
      </c>
      <c r="H62" s="1">
        <f t="shared" ref="H62:I62" si="49">+H20</f>
        <v>17</v>
      </c>
      <c r="I62" s="2" t="str">
        <f t="shared" si="49"/>
        <v>Delta Stock de Rechazo</v>
      </c>
      <c r="J62" s="25" t="e">
        <f t="shared" ref="J62:K62" si="50">+E62</f>
        <v>#REF!</v>
      </c>
      <c r="K62" s="26" t="e">
        <f t="shared" si="50"/>
        <v>#REF!</v>
      </c>
      <c r="L62" s="1" t="s">
        <v>53</v>
      </c>
      <c r="M62" s="27">
        <v>14174.322317347074</v>
      </c>
      <c r="N62" s="28">
        <v>0.25498811377226288</v>
      </c>
      <c r="O62" s="27">
        <f t="shared" si="4"/>
        <v>3614.2837117004206</v>
      </c>
      <c r="P62" s="3" t="e">
        <f>+#REF!</f>
        <v>#REF!</v>
      </c>
      <c r="Q62" s="3" t="e">
        <f>+M62-J62</f>
        <v>#REF!</v>
      </c>
      <c r="R62" s="31" t="e">
        <f t="shared" ref="R62:S62" si="51">+IF(J62&lt;&gt;0,(M62-J62)/J62,0)</f>
        <v>#REF!</v>
      </c>
      <c r="S62" s="31" t="e">
        <f t="shared" si="51"/>
        <v>#REF!</v>
      </c>
      <c r="T62" s="28" t="e">
        <f t="shared" si="6"/>
        <v>#REF!</v>
      </c>
      <c r="U62" s="30"/>
      <c r="V62" s="28" t="e">
        <f t="shared" si="7"/>
        <v>#REF!</v>
      </c>
      <c r="W62" s="30"/>
    </row>
    <row r="63" spans="4:36" ht="15.75" customHeight="1" x14ac:dyDescent="0.2">
      <c r="G63" s="8"/>
      <c r="H63" s="1">
        <f t="shared" ref="H63:I63" si="52">+H21</f>
        <v>18</v>
      </c>
      <c r="I63" s="2" t="str">
        <f t="shared" si="52"/>
        <v>Stock Rechazo a Planta Rechazo</v>
      </c>
      <c r="J63" s="25" t="e">
        <f t="shared" ref="J63:K63" si="53">+#REF!</f>
        <v>#REF!</v>
      </c>
      <c r="K63" s="26" t="e">
        <f t="shared" si="53"/>
        <v>#REF!</v>
      </c>
      <c r="L63" s="1"/>
      <c r="M63" s="27">
        <v>44348.736626414939</v>
      </c>
      <c r="N63" s="28">
        <v>0.21655702250803865</v>
      </c>
      <c r="O63" s="27">
        <f t="shared" si="4"/>
        <v>9604.0303558096184</v>
      </c>
      <c r="P63" s="3"/>
      <c r="R63" s="31" t="e">
        <f t="shared" ref="R63:S63" si="54">+IF(J63&lt;&gt;0,(M63-J63)/J63,0)</f>
        <v>#REF!</v>
      </c>
      <c r="S63" s="31" t="e">
        <f t="shared" si="54"/>
        <v>#REF!</v>
      </c>
      <c r="T63" s="28" t="e">
        <f t="shared" si="6"/>
        <v>#REF!</v>
      </c>
      <c r="U63" s="30"/>
      <c r="V63" s="28" t="e">
        <f t="shared" si="7"/>
        <v>#REF!</v>
      </c>
      <c r="W63" s="30">
        <v>0.03</v>
      </c>
    </row>
    <row r="64" spans="4:36" ht="15.75" customHeight="1" x14ac:dyDescent="0.2">
      <c r="G64" s="8"/>
      <c r="H64" s="1">
        <f t="shared" ref="H64:I64" si="55">+H22</f>
        <v>19</v>
      </c>
      <c r="I64" s="2" t="str">
        <f t="shared" si="55"/>
        <v>Alimentación Planta Rechazo</v>
      </c>
      <c r="J64" s="25" t="e">
        <f t="shared" ref="J64:K64" si="56">+#REF!</f>
        <v>#REF!</v>
      </c>
      <c r="K64" s="26" t="e">
        <f t="shared" si="56"/>
        <v>#REF!</v>
      </c>
      <c r="L64" s="3"/>
      <c r="M64" s="27">
        <v>127103.91563934706</v>
      </c>
      <c r="N64" s="28">
        <v>0.16956220590496998</v>
      </c>
      <c r="O64" s="27">
        <f t="shared" si="4"/>
        <v>21552.0203149669</v>
      </c>
      <c r="R64" s="31" t="e">
        <f t="shared" ref="R64:S64" si="57">+IF(J64&lt;&gt;0,(M64-J64)/J64,0)</f>
        <v>#REF!</v>
      </c>
      <c r="S64" s="31" t="e">
        <f t="shared" si="57"/>
        <v>#REF!</v>
      </c>
      <c r="T64" s="28" t="e">
        <f t="shared" si="6"/>
        <v>#REF!</v>
      </c>
      <c r="U64" s="30"/>
      <c r="V64" s="28" t="e">
        <f t="shared" si="7"/>
        <v>#REF!</v>
      </c>
      <c r="W64" s="30"/>
    </row>
    <row r="65" spans="4:29" ht="15.75" customHeight="1" x14ac:dyDescent="0.2">
      <c r="G65" s="8"/>
      <c r="H65" s="1">
        <f t="shared" ref="H65:I65" si="58">+H23</f>
        <v>20</v>
      </c>
      <c r="I65" s="32" t="str">
        <f t="shared" si="58"/>
        <v>Rechazo Final Los Colorados</v>
      </c>
      <c r="J65" s="25" t="e">
        <f t="shared" ref="J65:K65" si="59">+#REF!</f>
        <v>#REF!</v>
      </c>
      <c r="K65" s="26" t="e">
        <f t="shared" si="59"/>
        <v>#REF!</v>
      </c>
      <c r="L65" s="1" t="s">
        <v>57</v>
      </c>
      <c r="M65" s="27">
        <v>108284.65870939114</v>
      </c>
      <c r="N65" s="28">
        <v>0.12974457621375801</v>
      </c>
      <c r="O65" s="27">
        <f t="shared" si="4"/>
        <v>14049.347154701374</v>
      </c>
      <c r="R65" s="31" t="e">
        <f t="shared" ref="R65:S65" si="60">+IF(J65&lt;&gt;0,(M65-J65)/J65,0)</f>
        <v>#REF!</v>
      </c>
      <c r="S65" s="31" t="e">
        <f t="shared" si="60"/>
        <v>#REF!</v>
      </c>
      <c r="T65" s="28" t="e">
        <f t="shared" si="6"/>
        <v>#REF!</v>
      </c>
      <c r="U65" s="30"/>
      <c r="V65" s="28" t="e">
        <f t="shared" si="7"/>
        <v>#REF!</v>
      </c>
      <c r="W65" s="30"/>
    </row>
    <row r="66" spans="4:29" ht="15.75" customHeight="1" x14ac:dyDescent="0.2">
      <c r="G66" s="8"/>
      <c r="H66" s="1">
        <f t="shared" ref="H66:I66" si="61">+H24</f>
        <v>21</v>
      </c>
      <c r="I66" s="2" t="str">
        <f t="shared" si="61"/>
        <v>Producción Planta Rechazo a Stock P40</v>
      </c>
      <c r="J66" s="25" t="e">
        <f t="shared" ref="J66:K66" si="62">+#REF!</f>
        <v>#REF!</v>
      </c>
      <c r="K66" s="26" t="e">
        <f t="shared" si="62"/>
        <v>#REF!</v>
      </c>
      <c r="L66" s="1"/>
      <c r="M66" s="27">
        <v>18819.256929955947</v>
      </c>
      <c r="N66" s="28">
        <v>0.39866999999999997</v>
      </c>
      <c r="O66" s="27">
        <f t="shared" si="4"/>
        <v>7502.6731602655373</v>
      </c>
      <c r="R66" s="31" t="e">
        <f t="shared" ref="R66:S66" si="63">+IF(J66&lt;&gt;0,(M66-J66)/J66,0)</f>
        <v>#REF!</v>
      </c>
      <c r="S66" s="31" t="e">
        <f t="shared" si="63"/>
        <v>#REF!</v>
      </c>
      <c r="T66" s="28" t="e">
        <f t="shared" si="6"/>
        <v>#REF!</v>
      </c>
      <c r="U66" s="30"/>
      <c r="V66" s="28" t="e">
        <f t="shared" si="7"/>
        <v>#REF!</v>
      </c>
      <c r="W66" s="30">
        <v>0.03</v>
      </c>
      <c r="AA66" s="3"/>
      <c r="AB66" s="3"/>
    </row>
    <row r="67" spans="4:29" ht="15.75" customHeight="1" x14ac:dyDescent="0.2">
      <c r="D67" s="3" t="e">
        <f>+#REF!</f>
        <v>#REF!</v>
      </c>
      <c r="E67" s="3" t="e">
        <f>+#REF!</f>
        <v>#REF!</v>
      </c>
      <c r="F67" s="35" t="e">
        <f>+#REF!</f>
        <v>#REF!</v>
      </c>
      <c r="G67" s="1" t="e">
        <f>+IF(D67&gt;0,1,IF(D67&lt;&gt;0,-1,0))</f>
        <v>#REF!</v>
      </c>
      <c r="H67" s="1">
        <f t="shared" ref="H67:I67" si="64">+H25</f>
        <v>22</v>
      </c>
      <c r="I67" s="2" t="str">
        <f t="shared" si="64"/>
        <v>Delta Stock P40</v>
      </c>
      <c r="J67" s="25" t="e">
        <f t="shared" ref="J67:K67" si="65">+E67</f>
        <v>#REF!</v>
      </c>
      <c r="K67" s="26" t="e">
        <f t="shared" si="65"/>
        <v>#REF!</v>
      </c>
      <c r="L67" s="1" t="s">
        <v>53</v>
      </c>
      <c r="M67" s="27">
        <v>311.60807004405655</v>
      </c>
      <c r="N67" s="28">
        <v>0.37755839663533081</v>
      </c>
      <c r="O67" s="27">
        <f t="shared" si="4"/>
        <v>117.65024330446384</v>
      </c>
      <c r="P67" s="1" t="e">
        <f>+#REF!</f>
        <v>#REF!</v>
      </c>
      <c r="Q67" s="3" t="e">
        <f>+M67-J67</f>
        <v>#REF!</v>
      </c>
      <c r="R67" s="31" t="e">
        <f t="shared" ref="R67:S67" si="66">+IF(J67&lt;&gt;0,(M67-J67)/J67,0)</f>
        <v>#REF!</v>
      </c>
      <c r="S67" s="31" t="e">
        <f t="shared" si="66"/>
        <v>#REF!</v>
      </c>
      <c r="T67" s="28" t="e">
        <f t="shared" si="6"/>
        <v>#REF!</v>
      </c>
      <c r="U67" s="30"/>
      <c r="V67" s="28" t="e">
        <f t="shared" si="7"/>
        <v>#REF!</v>
      </c>
      <c r="W67" s="30"/>
    </row>
    <row r="68" spans="4:29" ht="15.75" customHeight="1" x14ac:dyDescent="0.2">
      <c r="G68" s="8"/>
      <c r="H68" s="1">
        <f t="shared" ref="H68:I68" si="67">+H26</f>
        <v>23</v>
      </c>
      <c r="I68" s="39" t="str">
        <f t="shared" si="67"/>
        <v>Venta desde P40</v>
      </c>
      <c r="J68" s="40" t="e">
        <f t="shared" ref="J68:K68" si="68">+#REF!</f>
        <v>#REF!</v>
      </c>
      <c r="K68" s="41" t="e">
        <f t="shared" si="68"/>
        <v>#REF!</v>
      </c>
      <c r="L68" s="1" t="s">
        <v>54</v>
      </c>
      <c r="M68" s="42">
        <v>19130.865000000002</v>
      </c>
      <c r="N68" s="43">
        <v>0.39832612919332189</v>
      </c>
      <c r="O68" s="42">
        <f t="shared" si="4"/>
        <v>7620.3234035700007</v>
      </c>
      <c r="P68" s="33"/>
      <c r="R68" s="44" t="e">
        <f t="shared" ref="R68:S68" si="69">+IF(J68&lt;&gt;0,(M68-J68)/J68,0)</f>
        <v>#REF!</v>
      </c>
      <c r="S68" s="44" t="e">
        <f t="shared" si="69"/>
        <v>#REF!</v>
      </c>
      <c r="T68" s="28" t="e">
        <f t="shared" si="6"/>
        <v>#REF!</v>
      </c>
      <c r="U68" s="30">
        <v>0</v>
      </c>
      <c r="V68" s="28" t="e">
        <f t="shared" si="7"/>
        <v>#REF!</v>
      </c>
      <c r="W68" s="30">
        <v>0.01</v>
      </c>
      <c r="AA68" s="3"/>
      <c r="AB68" s="3"/>
    </row>
    <row r="69" spans="4:29" ht="15.75" customHeight="1" x14ac:dyDescent="0.2">
      <c r="G69" s="8"/>
      <c r="H69" s="1">
        <f t="shared" ref="H69:I69" si="70">+H27</f>
        <v>24</v>
      </c>
      <c r="I69" s="45" t="str">
        <f t="shared" si="70"/>
        <v>de Stoc Prec a Nodo Alim Planta de Pellet</v>
      </c>
      <c r="J69" s="46" t="e">
        <f t="shared" ref="J69:K69" si="71">+#REF!</f>
        <v>#REF!</v>
      </c>
      <c r="K69" s="47" t="e">
        <f t="shared" si="71"/>
        <v>#REF!</v>
      </c>
      <c r="L69" s="15" t="s">
        <v>58</v>
      </c>
      <c r="M69" s="48">
        <v>673884.94200000004</v>
      </c>
      <c r="N69" s="49">
        <v>0.60967226044045075</v>
      </c>
      <c r="O69" s="48">
        <f t="shared" si="4"/>
        <v>410848.95586592209</v>
      </c>
      <c r="P69" s="50"/>
      <c r="Q69" s="15"/>
      <c r="R69" s="51" t="e">
        <f t="shared" ref="R69:S69" si="72">+IF(J69&lt;&gt;0,(M69-J69)/J69,0)</f>
        <v>#REF!</v>
      </c>
      <c r="S69" s="52" t="e">
        <f t="shared" si="72"/>
        <v>#REF!</v>
      </c>
      <c r="T69" s="28" t="e">
        <f t="shared" si="6"/>
        <v>#REF!</v>
      </c>
      <c r="U69" s="30">
        <v>0</v>
      </c>
      <c r="V69" s="28" t="e">
        <f t="shared" si="7"/>
        <v>#REF!</v>
      </c>
      <c r="W69" s="30">
        <v>0</v>
      </c>
      <c r="AA69" s="35"/>
      <c r="AB69" s="3"/>
      <c r="AC69" s="3"/>
    </row>
    <row r="70" spans="4:29" ht="15.75" customHeight="1" x14ac:dyDescent="0.2">
      <c r="I70" s="1">
        <v>73294</v>
      </c>
      <c r="AA70" s="35"/>
      <c r="AB70" s="3"/>
    </row>
    <row r="71" spans="4:29" ht="15.75" customHeight="1" x14ac:dyDescent="0.2">
      <c r="J71" s="576" t="s">
        <v>59</v>
      </c>
      <c r="K71" s="532"/>
      <c r="M71" s="53" t="s">
        <v>60</v>
      </c>
      <c r="N71" s="53"/>
      <c r="R71" s="35" t="e">
        <f>+#REF!</f>
        <v>#REF!</v>
      </c>
      <c r="V71" s="3"/>
    </row>
    <row r="72" spans="4:29" ht="15.75" customHeight="1" x14ac:dyDescent="0.2">
      <c r="J72" s="54" t="s">
        <v>61</v>
      </c>
      <c r="K72" s="54" t="s">
        <v>51</v>
      </c>
      <c r="M72" s="53" t="s">
        <v>61</v>
      </c>
      <c r="N72" s="53" t="s">
        <v>51</v>
      </c>
      <c r="P72" s="3"/>
    </row>
    <row r="73" spans="4:29" ht="15.75" customHeight="1" x14ac:dyDescent="0.2">
      <c r="I73" s="9" t="str">
        <f t="shared" ref="I73:I96" si="73">+I46</f>
        <v>Alimentación Mina</v>
      </c>
      <c r="J73" s="55">
        <v>99</v>
      </c>
      <c r="K73" s="56">
        <v>10</v>
      </c>
      <c r="M73" s="3" t="e">
        <f t="shared" ref="M73:N73" si="74">+J73*J46/100</f>
        <v>#REF!</v>
      </c>
      <c r="N73" s="35" t="e">
        <f t="shared" si="74"/>
        <v>#REF!</v>
      </c>
    </row>
    <row r="74" spans="4:29" ht="15.75" customHeight="1" x14ac:dyDescent="0.2">
      <c r="I74" s="9" t="str">
        <f t="shared" si="73"/>
        <v>Alim a Planta desde Acopio Mina</v>
      </c>
      <c r="J74" s="1">
        <v>99</v>
      </c>
      <c r="K74" s="1">
        <v>99</v>
      </c>
      <c r="M74" s="3" t="e">
        <f t="shared" ref="M74:N74" si="75">+J74*J47/100</f>
        <v>#REF!</v>
      </c>
      <c r="N74" s="35" t="e">
        <f t="shared" si="75"/>
        <v>#REF!</v>
      </c>
    </row>
    <row r="75" spans="4:29" ht="15.75" customHeight="1" x14ac:dyDescent="0.2">
      <c r="I75" s="57" t="str">
        <f t="shared" si="73"/>
        <v>Acopio Mina a Terceros</v>
      </c>
      <c r="J75" s="58">
        <v>0.1</v>
      </c>
      <c r="K75" s="58">
        <v>1</v>
      </c>
      <c r="M75" s="3" t="e">
        <f t="shared" ref="M75:N75" si="76">+J75*J48/100</f>
        <v>#REF!</v>
      </c>
      <c r="N75" s="35" t="e">
        <f t="shared" si="76"/>
        <v>#REF!</v>
      </c>
    </row>
    <row r="76" spans="4:29" ht="15.75" customHeight="1" x14ac:dyDescent="0.2">
      <c r="I76" s="9" t="str">
        <f t="shared" si="73"/>
        <v>Delta S Acopio Mina</v>
      </c>
      <c r="J76" s="1">
        <v>99</v>
      </c>
      <c r="K76" s="1">
        <v>30</v>
      </c>
      <c r="M76" s="3" t="e">
        <f t="shared" ref="M76:N76" si="77">+J76*J49/100</f>
        <v>#REF!</v>
      </c>
      <c r="N76" s="35" t="e">
        <f t="shared" si="77"/>
        <v>#REF!</v>
      </c>
    </row>
    <row r="77" spans="4:29" ht="15.75" customHeight="1" x14ac:dyDescent="0.2">
      <c r="I77" s="9" t="str">
        <f t="shared" si="73"/>
        <v>Alim a Chancado</v>
      </c>
      <c r="J77" s="1">
        <v>99</v>
      </c>
      <c r="K77" s="1">
        <v>30</v>
      </c>
      <c r="M77" s="3" t="e">
        <f t="shared" ref="M77:N77" si="78">+J77*J50/100</f>
        <v>#REF!</v>
      </c>
      <c r="N77" s="35" t="e">
        <f t="shared" si="78"/>
        <v>#REF!</v>
      </c>
    </row>
    <row r="78" spans="4:29" ht="15.75" customHeight="1" x14ac:dyDescent="0.2">
      <c r="I78" s="9" t="str">
        <f t="shared" si="73"/>
        <v>Chanc a Stock Prec Los Col.</v>
      </c>
      <c r="J78" s="1">
        <v>99</v>
      </c>
      <c r="K78" s="1">
        <v>30</v>
      </c>
      <c r="M78" s="3">
        <f t="shared" ref="M78:N78" si="79">+J78*J51/100</f>
        <v>0</v>
      </c>
      <c r="N78" s="35">
        <f t="shared" si="79"/>
        <v>0</v>
      </c>
    </row>
    <row r="79" spans="4:29" ht="15.75" customHeight="1" x14ac:dyDescent="0.2">
      <c r="I79" s="9" t="str">
        <f t="shared" si="73"/>
        <v>Chanc a Stock Grueso</v>
      </c>
      <c r="J79" s="1">
        <v>99</v>
      </c>
      <c r="K79" s="1">
        <v>30</v>
      </c>
      <c r="M79" s="3" t="e">
        <f t="shared" ref="M79:N79" si="80">+J79*J52/100</f>
        <v>#REF!</v>
      </c>
      <c r="N79" s="35" t="e">
        <f t="shared" si="80"/>
        <v>#REF!</v>
      </c>
    </row>
    <row r="80" spans="4:29" ht="15.75" customHeight="1" x14ac:dyDescent="0.2">
      <c r="I80" s="9" t="str">
        <f t="shared" si="73"/>
        <v>Delta Stock de Grueso</v>
      </c>
      <c r="J80" s="1">
        <v>99</v>
      </c>
      <c r="K80" s="1">
        <v>30</v>
      </c>
      <c r="M80" s="3" t="e">
        <f t="shared" ref="M80:N80" si="81">+J80*J53/100</f>
        <v>#REF!</v>
      </c>
      <c r="N80" s="35" t="e">
        <f t="shared" si="81"/>
        <v>#REF!</v>
      </c>
    </row>
    <row r="81" spans="9:14" ht="15.75" customHeight="1" x14ac:dyDescent="0.2">
      <c r="I81" s="9" t="str">
        <f t="shared" si="73"/>
        <v>De Stock Grueso a conc magn (alim A52 y A82)</v>
      </c>
      <c r="J81" s="1">
        <v>99</v>
      </c>
      <c r="K81" s="1">
        <v>30</v>
      </c>
      <c r="M81" s="3" t="e">
        <f t="shared" ref="M81:N81" si="82">+J81*J54/100</f>
        <v>#REF!</v>
      </c>
      <c r="N81" s="35" t="e">
        <f t="shared" si="82"/>
        <v>#REF!</v>
      </c>
    </row>
    <row r="82" spans="9:14" ht="15.75" customHeight="1" x14ac:dyDescent="0.2">
      <c r="I82" s="9" t="str">
        <f t="shared" si="73"/>
        <v>Stock Prec a (o desde) Acopio Mina</v>
      </c>
      <c r="J82" s="1">
        <v>99</v>
      </c>
      <c r="K82" s="1">
        <v>30</v>
      </c>
      <c r="M82" s="3" t="e">
        <f t="shared" ref="M82:N82" si="83">+J82*J55/100</f>
        <v>#REF!</v>
      </c>
      <c r="N82" s="35" t="e">
        <f t="shared" si="83"/>
        <v>#REF!</v>
      </c>
    </row>
    <row r="83" spans="9:14" ht="15.75" customHeight="1" x14ac:dyDescent="0.2">
      <c r="I83" s="9" t="str">
        <f t="shared" si="73"/>
        <v>Delta Stock Prec</v>
      </c>
      <c r="J83" s="1">
        <v>99</v>
      </c>
      <c r="K83" s="1">
        <v>30</v>
      </c>
      <c r="M83" s="3" t="e">
        <f t="shared" ref="M83:N83" si="84">+J83*J56/100</f>
        <v>#REF!</v>
      </c>
      <c r="N83" s="35" t="e">
        <f t="shared" si="84"/>
        <v>#REF!</v>
      </c>
    </row>
    <row r="84" spans="9:14" ht="15.75" customHeight="1" x14ac:dyDescent="0.2">
      <c r="I84" s="57" t="str">
        <f t="shared" si="73"/>
        <v>de Stock Prec a Terceros (a otras faenas)</v>
      </c>
      <c r="J84" s="58">
        <v>0.1</v>
      </c>
      <c r="K84" s="58">
        <v>1</v>
      </c>
      <c r="M84" s="3" t="e">
        <f t="shared" ref="M84:N84" si="85">+J84*J57/100</f>
        <v>#REF!</v>
      </c>
      <c r="N84" s="35" t="e">
        <f t="shared" si="85"/>
        <v>#REF!</v>
      </c>
    </row>
    <row r="85" spans="9:14" ht="15.75" customHeight="1" x14ac:dyDescent="0.2">
      <c r="I85" s="9" t="str">
        <f t="shared" si="73"/>
        <v>de Conc Magnética a Stock Prec (Prod A52 y A 82)</v>
      </c>
      <c r="J85" s="1">
        <v>99</v>
      </c>
      <c r="K85" s="1">
        <v>99</v>
      </c>
      <c r="M85" s="3" t="e">
        <f t="shared" ref="M85:N85" si="86">+J85*J58/100</f>
        <v>#REF!</v>
      </c>
      <c r="N85" s="35" t="e">
        <f t="shared" si="86"/>
        <v>#REF!</v>
      </c>
    </row>
    <row r="86" spans="9:14" ht="15.75" customHeight="1" x14ac:dyDescent="0.2">
      <c r="I86" s="9" t="str">
        <f t="shared" si="73"/>
        <v>total de rechazo</v>
      </c>
      <c r="J86" s="1">
        <v>99</v>
      </c>
      <c r="K86" s="1">
        <v>10</v>
      </c>
      <c r="M86" s="3" t="e">
        <f t="shared" ref="M86:N86" si="87">+J86*J59/100</f>
        <v>#REF!</v>
      </c>
      <c r="N86" s="35" t="e">
        <f t="shared" si="87"/>
        <v>#REF!</v>
      </c>
    </row>
    <row r="87" spans="9:14" ht="15.75" customHeight="1" x14ac:dyDescent="0.2">
      <c r="I87" s="9" t="str">
        <f t="shared" si="73"/>
        <v>Rechazo  a Stock de Rechazo</v>
      </c>
      <c r="J87" s="1">
        <v>99</v>
      </c>
      <c r="K87" s="1">
        <v>10</v>
      </c>
      <c r="M87" s="3" t="e">
        <f t="shared" ref="M87:N87" si="88">+J87*J60/100</f>
        <v>#REF!</v>
      </c>
      <c r="N87" s="35" t="e">
        <f t="shared" si="88"/>
        <v>#REF!</v>
      </c>
    </row>
    <row r="88" spans="9:14" ht="15.75" customHeight="1" x14ac:dyDescent="0.2">
      <c r="I88" s="9" t="str">
        <f t="shared" si="73"/>
        <v>alim fresca a Planta Rechazo</v>
      </c>
      <c r="J88" s="1">
        <v>99</v>
      </c>
      <c r="K88" s="1">
        <v>10</v>
      </c>
      <c r="M88" s="3" t="e">
        <f t="shared" ref="M88:N88" si="89">+J88*J61/100</f>
        <v>#REF!</v>
      </c>
      <c r="N88" s="35" t="e">
        <f t="shared" si="89"/>
        <v>#REF!</v>
      </c>
    </row>
    <row r="89" spans="9:14" ht="15.75" customHeight="1" x14ac:dyDescent="0.2">
      <c r="I89" s="9" t="str">
        <f t="shared" si="73"/>
        <v>Delta Stock de Rechazo</v>
      </c>
      <c r="J89" s="1">
        <v>99</v>
      </c>
      <c r="K89" s="1">
        <v>10</v>
      </c>
      <c r="M89" s="3" t="e">
        <f t="shared" ref="M89:N89" si="90">+J89*J62/100</f>
        <v>#REF!</v>
      </c>
      <c r="N89" s="35" t="e">
        <f t="shared" si="90"/>
        <v>#REF!</v>
      </c>
    </row>
    <row r="90" spans="9:14" ht="15.75" customHeight="1" x14ac:dyDescent="0.2">
      <c r="I90" s="9" t="str">
        <f t="shared" si="73"/>
        <v>Stock Rechazo a Planta Rechazo</v>
      </c>
      <c r="J90" s="1">
        <v>99</v>
      </c>
      <c r="K90" s="1">
        <v>10</v>
      </c>
      <c r="M90" s="3" t="e">
        <f t="shared" ref="M90:N90" si="91">+J90*J63/100</f>
        <v>#REF!</v>
      </c>
      <c r="N90" s="35" t="e">
        <f t="shared" si="91"/>
        <v>#REF!</v>
      </c>
    </row>
    <row r="91" spans="9:14" ht="15.75" customHeight="1" x14ac:dyDescent="0.2">
      <c r="I91" s="9" t="str">
        <f t="shared" si="73"/>
        <v>Alimentación Planta Rechazo</v>
      </c>
      <c r="J91" s="1">
        <v>99</v>
      </c>
      <c r="K91" s="1">
        <v>10</v>
      </c>
      <c r="M91" s="3" t="e">
        <f t="shared" ref="M91:N91" si="92">+J91*J64/100</f>
        <v>#REF!</v>
      </c>
      <c r="N91" s="35" t="e">
        <f t="shared" si="92"/>
        <v>#REF!</v>
      </c>
    </row>
    <row r="92" spans="9:14" ht="15.75" customHeight="1" x14ac:dyDescent="0.2">
      <c r="I92" s="9" t="str">
        <f t="shared" si="73"/>
        <v>Rechazo Final Los Colorados</v>
      </c>
      <c r="J92" s="58">
        <v>99</v>
      </c>
      <c r="K92" s="1">
        <v>10</v>
      </c>
      <c r="M92" s="3" t="e">
        <f t="shared" ref="M92:N92" si="93">+J92*J65/100</f>
        <v>#REF!</v>
      </c>
      <c r="N92" s="35" t="e">
        <f t="shared" si="93"/>
        <v>#REF!</v>
      </c>
    </row>
    <row r="93" spans="9:14" ht="15.75" customHeight="1" x14ac:dyDescent="0.2">
      <c r="I93" s="9" t="str">
        <f t="shared" si="73"/>
        <v>Producción Planta Rechazo a Stock P40</v>
      </c>
      <c r="J93" s="58">
        <v>99</v>
      </c>
      <c r="K93" s="1">
        <v>10</v>
      </c>
      <c r="M93" s="3" t="e">
        <f t="shared" ref="M93:N93" si="94">+J93*J66/100</f>
        <v>#REF!</v>
      </c>
      <c r="N93" s="35" t="e">
        <f t="shared" si="94"/>
        <v>#REF!</v>
      </c>
    </row>
    <row r="94" spans="9:14" ht="15.75" customHeight="1" x14ac:dyDescent="0.2">
      <c r="I94" s="9" t="str">
        <f t="shared" si="73"/>
        <v>Delta Stock P40</v>
      </c>
      <c r="J94" s="58">
        <v>99</v>
      </c>
      <c r="K94" s="1">
        <v>10</v>
      </c>
      <c r="M94" s="3" t="e">
        <f t="shared" ref="M94:N94" si="95">+J94*J67/100</f>
        <v>#REF!</v>
      </c>
      <c r="N94" s="35" t="e">
        <f t="shared" si="95"/>
        <v>#REF!</v>
      </c>
    </row>
    <row r="95" spans="9:14" ht="15.75" customHeight="1" x14ac:dyDescent="0.2">
      <c r="I95" s="57" t="str">
        <f t="shared" si="73"/>
        <v>Venta desde P40</v>
      </c>
      <c r="J95" s="58">
        <v>0.1</v>
      </c>
      <c r="K95" s="1">
        <v>10</v>
      </c>
      <c r="M95" s="3" t="e">
        <f t="shared" ref="M95:N95" si="96">+J95*J68/100</f>
        <v>#REF!</v>
      </c>
      <c r="N95" s="35" t="e">
        <f t="shared" si="96"/>
        <v>#REF!</v>
      </c>
    </row>
    <row r="96" spans="9:14" ht="15.75" customHeight="1" x14ac:dyDescent="0.2">
      <c r="I96" s="14" t="str">
        <f t="shared" si="73"/>
        <v>de Stoc Prec a Nodo Alim Planta de Pellet</v>
      </c>
      <c r="J96" s="1">
        <v>99</v>
      </c>
      <c r="K96" s="1">
        <v>30</v>
      </c>
      <c r="M96" s="3" t="e">
        <f t="shared" ref="M96:N96" si="97">+J96*J69/100</f>
        <v>#REF!</v>
      </c>
      <c r="N96" s="35" t="e">
        <f t="shared" si="97"/>
        <v>#REF!</v>
      </c>
    </row>
    <row r="97" spans="9:11" ht="15.75" customHeight="1" x14ac:dyDescent="0.2"/>
    <row r="98" spans="9:11" ht="15.75" customHeight="1" x14ac:dyDescent="0.2">
      <c r="J98" s="53" t="s">
        <v>62</v>
      </c>
      <c r="K98" s="53"/>
    </row>
    <row r="99" spans="9:11" ht="15.75" customHeight="1" x14ac:dyDescent="0.2">
      <c r="J99" s="54" t="s">
        <v>61</v>
      </c>
      <c r="K99" s="54" t="s">
        <v>51</v>
      </c>
    </row>
    <row r="100" spans="9:11" ht="15.75" customHeight="1" x14ac:dyDescent="0.2">
      <c r="I100" s="9" t="str">
        <f t="shared" ref="I100:I123" si="98">+I73</f>
        <v>Alimentación Mina</v>
      </c>
      <c r="J100" s="55" t="e">
        <f t="shared" ref="J100:K100" si="99">+IF(M73&lt;&gt;0,(M46-J46)^2/M73,"")</f>
        <v>#REF!</v>
      </c>
      <c r="K100" s="55" t="e">
        <f t="shared" si="99"/>
        <v>#REF!</v>
      </c>
    </row>
    <row r="101" spans="9:11" ht="15.75" customHeight="1" x14ac:dyDescent="0.2">
      <c r="I101" s="9" t="str">
        <f t="shared" si="98"/>
        <v>Alim a Planta desde Acopio Mina</v>
      </c>
      <c r="J101" s="55" t="e">
        <f t="shared" ref="J101:K101" si="100">+IF(M74&lt;&gt;0,(M47-J47)^2/M74,"")</f>
        <v>#REF!</v>
      </c>
      <c r="K101" s="55" t="e">
        <f t="shared" si="100"/>
        <v>#REF!</v>
      </c>
    </row>
    <row r="102" spans="9:11" ht="15.75" customHeight="1" x14ac:dyDescent="0.2">
      <c r="I102" s="9" t="str">
        <f t="shared" si="98"/>
        <v>Acopio Mina a Terceros</v>
      </c>
      <c r="J102" s="55" t="e">
        <f t="shared" ref="J102:K102" si="101">+IF(M75&lt;&gt;0,(M48-J48)^2/M75,"")</f>
        <v>#REF!</v>
      </c>
      <c r="K102" s="55" t="e">
        <f t="shared" si="101"/>
        <v>#REF!</v>
      </c>
    </row>
    <row r="103" spans="9:11" ht="15.75" customHeight="1" x14ac:dyDescent="0.2">
      <c r="I103" s="9" t="str">
        <f t="shared" si="98"/>
        <v>Delta S Acopio Mina</v>
      </c>
      <c r="J103" s="55" t="e">
        <f t="shared" ref="J103:K103" si="102">+IF(M76&lt;&gt;0,(M49-J49)^2/M76,"")</f>
        <v>#REF!</v>
      </c>
      <c r="K103" s="55" t="e">
        <f t="shared" si="102"/>
        <v>#REF!</v>
      </c>
    </row>
    <row r="104" spans="9:11" ht="15.75" customHeight="1" x14ac:dyDescent="0.2">
      <c r="I104" s="9" t="str">
        <f t="shared" si="98"/>
        <v>Alim a Chancado</v>
      </c>
      <c r="J104" s="55" t="e">
        <f t="shared" ref="J104:K104" si="103">+IF(M77&lt;&gt;0,(M50-J50)^2/M77,"")</f>
        <v>#REF!</v>
      </c>
      <c r="K104" s="55" t="e">
        <f t="shared" si="103"/>
        <v>#REF!</v>
      </c>
    </row>
    <row r="105" spans="9:11" ht="15.75" customHeight="1" x14ac:dyDescent="0.2">
      <c r="I105" s="9" t="str">
        <f t="shared" si="98"/>
        <v>Chanc a Stock Prec Los Col.</v>
      </c>
      <c r="J105" s="55" t="str">
        <f t="shared" ref="J105:K105" si="104">+IF(M78&lt;&gt;0,(M51-J51)^2/M78,"")</f>
        <v/>
      </c>
      <c r="K105" s="55" t="str">
        <f t="shared" si="104"/>
        <v/>
      </c>
    </row>
    <row r="106" spans="9:11" ht="15.75" customHeight="1" x14ac:dyDescent="0.2">
      <c r="I106" s="9" t="str">
        <f t="shared" si="98"/>
        <v>Chanc a Stock Grueso</v>
      </c>
      <c r="J106" s="55" t="e">
        <f t="shared" ref="J106:K106" si="105">+IF(M79&lt;&gt;0,(M52-J52)^2/M79,"")</f>
        <v>#REF!</v>
      </c>
      <c r="K106" s="55" t="e">
        <f t="shared" si="105"/>
        <v>#REF!</v>
      </c>
    </row>
    <row r="107" spans="9:11" ht="15.75" customHeight="1" x14ac:dyDescent="0.2">
      <c r="I107" s="9" t="str">
        <f t="shared" si="98"/>
        <v>Delta Stock de Grueso</v>
      </c>
      <c r="J107" s="55" t="e">
        <f t="shared" ref="J107:K107" si="106">+IF(M80&lt;&gt;0,(M53-J53)^2/M80,"")</f>
        <v>#REF!</v>
      </c>
      <c r="K107" s="55" t="e">
        <f t="shared" si="106"/>
        <v>#REF!</v>
      </c>
    </row>
    <row r="108" spans="9:11" ht="15.75" customHeight="1" x14ac:dyDescent="0.2">
      <c r="I108" s="9" t="str">
        <f t="shared" si="98"/>
        <v>De Stock Grueso a conc magn (alim A52 y A82)</v>
      </c>
      <c r="J108" s="55" t="e">
        <f t="shared" ref="J108:K108" si="107">+IF(M81&lt;&gt;0,(M54-J54)^2/M81,"")</f>
        <v>#REF!</v>
      </c>
      <c r="K108" s="55" t="e">
        <f t="shared" si="107"/>
        <v>#REF!</v>
      </c>
    </row>
    <row r="109" spans="9:11" ht="15.75" customHeight="1" x14ac:dyDescent="0.2">
      <c r="I109" s="9" t="str">
        <f t="shared" si="98"/>
        <v>Stock Prec a (o desde) Acopio Mina</v>
      </c>
      <c r="J109" s="55" t="e">
        <f t="shared" ref="J109:K109" si="108">+IF(M82&lt;&gt;0,(M55-J55)^2/M82,"")</f>
        <v>#REF!</v>
      </c>
      <c r="K109" s="55" t="e">
        <f t="shared" si="108"/>
        <v>#REF!</v>
      </c>
    </row>
    <row r="110" spans="9:11" ht="15.75" customHeight="1" x14ac:dyDescent="0.2">
      <c r="I110" s="9" t="str">
        <f t="shared" si="98"/>
        <v>Delta Stock Prec</v>
      </c>
      <c r="J110" s="55" t="e">
        <f t="shared" ref="J110:K110" si="109">+IF(M83&lt;&gt;0,(M56-J56)^2/M83,"")</f>
        <v>#REF!</v>
      </c>
      <c r="K110" s="55" t="e">
        <f t="shared" si="109"/>
        <v>#REF!</v>
      </c>
    </row>
    <row r="111" spans="9:11" ht="15.75" customHeight="1" x14ac:dyDescent="0.2">
      <c r="I111" s="9" t="str">
        <f t="shared" si="98"/>
        <v>de Stock Prec a Terceros (a otras faenas)</v>
      </c>
      <c r="J111" s="55" t="e">
        <f t="shared" ref="J111:K111" si="110">+IF(M84&lt;&gt;0,(M57-J57)^2/M84,"")</f>
        <v>#REF!</v>
      </c>
      <c r="K111" s="55" t="e">
        <f t="shared" si="110"/>
        <v>#REF!</v>
      </c>
    </row>
    <row r="112" spans="9:11" ht="15.75" customHeight="1" x14ac:dyDescent="0.2">
      <c r="I112" s="9" t="str">
        <f t="shared" si="98"/>
        <v>de Conc Magnética a Stock Prec (Prod A52 y A 82)</v>
      </c>
      <c r="J112" s="55" t="e">
        <f t="shared" ref="J112:K112" si="111">+IF(M85&lt;&gt;0,(M58-J58)^2/M85,"")</f>
        <v>#REF!</v>
      </c>
      <c r="K112" s="55" t="e">
        <f t="shared" si="111"/>
        <v>#REF!</v>
      </c>
    </row>
    <row r="113" spans="9:11" ht="15.75" customHeight="1" x14ac:dyDescent="0.2">
      <c r="I113" s="9" t="str">
        <f t="shared" si="98"/>
        <v>total de rechazo</v>
      </c>
      <c r="J113" s="55" t="e">
        <f t="shared" ref="J113:K113" si="112">+IF(M86&lt;&gt;0,(M59-J59)^2/M86,"")</f>
        <v>#REF!</v>
      </c>
      <c r="K113" s="55" t="e">
        <f t="shared" si="112"/>
        <v>#REF!</v>
      </c>
    </row>
    <row r="114" spans="9:11" ht="15.75" customHeight="1" x14ac:dyDescent="0.2">
      <c r="I114" s="9" t="str">
        <f t="shared" si="98"/>
        <v>Rechazo  a Stock de Rechazo</v>
      </c>
      <c r="J114" s="55" t="e">
        <f t="shared" ref="J114:K114" si="113">+IF(M87&lt;&gt;0,(M60-J60)^2/M87,"")</f>
        <v>#REF!</v>
      </c>
      <c r="K114" s="55" t="e">
        <f t="shared" si="113"/>
        <v>#REF!</v>
      </c>
    </row>
    <row r="115" spans="9:11" ht="15.75" customHeight="1" x14ac:dyDescent="0.2">
      <c r="I115" s="9" t="str">
        <f t="shared" si="98"/>
        <v>alim fresca a Planta Rechazo</v>
      </c>
      <c r="J115" s="55" t="e">
        <f t="shared" ref="J115:K115" si="114">+IF(M88&lt;&gt;0,(M61-J61)^2/M88,"")</f>
        <v>#REF!</v>
      </c>
      <c r="K115" s="55" t="e">
        <f t="shared" si="114"/>
        <v>#REF!</v>
      </c>
    </row>
    <row r="116" spans="9:11" ht="15.75" customHeight="1" x14ac:dyDescent="0.2">
      <c r="I116" s="9" t="str">
        <f t="shared" si="98"/>
        <v>Delta Stock de Rechazo</v>
      </c>
      <c r="J116" s="55" t="e">
        <f t="shared" ref="J116:K116" si="115">+IF(M89&lt;&gt;0,(M62-J62)^2/M89,"")</f>
        <v>#REF!</v>
      </c>
      <c r="K116" s="55" t="e">
        <f t="shared" si="115"/>
        <v>#REF!</v>
      </c>
    </row>
    <row r="117" spans="9:11" ht="15.75" customHeight="1" x14ac:dyDescent="0.2">
      <c r="I117" s="9" t="str">
        <f t="shared" si="98"/>
        <v>Stock Rechazo a Planta Rechazo</v>
      </c>
      <c r="J117" s="55" t="e">
        <f t="shared" ref="J117:K117" si="116">+IF(M90&lt;&gt;0,(M63-J63)^2/M90,"")</f>
        <v>#REF!</v>
      </c>
      <c r="K117" s="55" t="e">
        <f t="shared" si="116"/>
        <v>#REF!</v>
      </c>
    </row>
    <row r="118" spans="9:11" ht="15.75" customHeight="1" x14ac:dyDescent="0.2">
      <c r="I118" s="9" t="str">
        <f t="shared" si="98"/>
        <v>Alimentación Planta Rechazo</v>
      </c>
      <c r="J118" s="55" t="e">
        <f t="shared" ref="J118:K118" si="117">+IF(M91&lt;&gt;0,(M64-J64)^2/M91,"")</f>
        <v>#REF!</v>
      </c>
      <c r="K118" s="55" t="e">
        <f t="shared" si="117"/>
        <v>#REF!</v>
      </c>
    </row>
    <row r="119" spans="9:11" ht="15.75" customHeight="1" x14ac:dyDescent="0.2">
      <c r="I119" s="9" t="str">
        <f t="shared" si="98"/>
        <v>Rechazo Final Los Colorados</v>
      </c>
      <c r="J119" s="55" t="e">
        <f t="shared" ref="J119:K119" si="118">+IF(M92&lt;&gt;0,(M65-J65)^2/M92,"")</f>
        <v>#REF!</v>
      </c>
      <c r="K119" s="55" t="e">
        <f t="shared" si="118"/>
        <v>#REF!</v>
      </c>
    </row>
    <row r="120" spans="9:11" ht="15.75" customHeight="1" x14ac:dyDescent="0.2">
      <c r="I120" s="9" t="str">
        <f t="shared" si="98"/>
        <v>Producción Planta Rechazo a Stock P40</v>
      </c>
      <c r="J120" s="55" t="e">
        <f t="shared" ref="J120:K120" si="119">+IF(M93&lt;&gt;0,(M66-J66)^2/M93,"")</f>
        <v>#REF!</v>
      </c>
      <c r="K120" s="55" t="e">
        <f t="shared" si="119"/>
        <v>#REF!</v>
      </c>
    </row>
    <row r="121" spans="9:11" ht="15.75" customHeight="1" x14ac:dyDescent="0.2">
      <c r="I121" s="9" t="str">
        <f t="shared" si="98"/>
        <v>Delta Stock P40</v>
      </c>
      <c r="J121" s="55" t="e">
        <f t="shared" ref="J121:K121" si="120">+IF(M94&lt;&gt;0,(M67-J67)^2/M94,"")</f>
        <v>#REF!</v>
      </c>
      <c r="K121" s="55" t="e">
        <f t="shared" si="120"/>
        <v>#REF!</v>
      </c>
    </row>
    <row r="122" spans="9:11" ht="15.75" customHeight="1" x14ac:dyDescent="0.2">
      <c r="I122" s="9" t="str">
        <f t="shared" si="98"/>
        <v>Venta desde P40</v>
      </c>
      <c r="J122" s="55" t="e">
        <f t="shared" ref="J122:K122" si="121">+IF(M95&lt;&gt;0,(M68-J68)^2/M95,"")</f>
        <v>#REF!</v>
      </c>
      <c r="K122" s="55" t="e">
        <f t="shared" si="121"/>
        <v>#REF!</v>
      </c>
    </row>
    <row r="123" spans="9:11" ht="15.75" customHeight="1" x14ac:dyDescent="0.2">
      <c r="I123" s="9" t="str">
        <f t="shared" si="98"/>
        <v>de Stoc Prec a Nodo Alim Planta de Pellet</v>
      </c>
      <c r="J123" s="55" t="e">
        <f t="shared" ref="J123:K123" si="122">+IF(M96&lt;&gt;0,(M69-J69)^2/M96,"")</f>
        <v>#REF!</v>
      </c>
      <c r="K123" s="55" t="e">
        <f t="shared" si="122"/>
        <v>#REF!</v>
      </c>
    </row>
    <row r="124" spans="9:11" ht="15.75" customHeight="1" x14ac:dyDescent="0.2"/>
    <row r="125" spans="9:11" ht="15.75" customHeight="1" x14ac:dyDescent="0.2"/>
    <row r="126" spans="9:11" ht="15.75" customHeight="1" x14ac:dyDescent="0.2"/>
    <row r="127" spans="9:11" ht="15.75" customHeight="1" x14ac:dyDescent="0.2"/>
    <row r="128" spans="9:11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J44:K44"/>
    <mergeCell ref="M44:O44"/>
    <mergeCell ref="R44:S44"/>
    <mergeCell ref="J71:K71"/>
  </mergeCells>
  <conditionalFormatting sqref="J4:T27 Q28:R43">
    <cfRule type="expression" dxfId="9" priority="1">
      <formula>J4&lt;&gt;0</formula>
    </cfRule>
  </conditionalFormatting>
  <conditionalFormatting sqref="R46:T69 V46:V69">
    <cfRule type="expression" dxfId="8" priority="2">
      <formula>ABS(R46)&gt;=10%</formula>
    </cfRule>
  </conditionalFormatting>
  <pageMargins left="0.7" right="0.7" top="0.75" bottom="0.75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7CAAC"/>
  </sheetPr>
  <dimension ref="B2:Y1000"/>
  <sheetViews>
    <sheetView showGridLines="0" workbookViewId="0"/>
  </sheetViews>
  <sheetFormatPr baseColWidth="10" defaultColWidth="14.5" defaultRowHeight="15" customHeight="1" x14ac:dyDescent="0.2"/>
  <cols>
    <col min="1" max="1" width="4.83203125" customWidth="1"/>
    <col min="2" max="4" width="10.6640625" customWidth="1"/>
    <col min="5" max="5" width="16" customWidth="1"/>
    <col min="6" max="6" width="10.6640625" customWidth="1"/>
    <col min="7" max="7" width="13.1640625" customWidth="1"/>
    <col min="8" max="8" width="13.5" customWidth="1"/>
    <col min="9" max="9" width="14.83203125" customWidth="1"/>
    <col min="10" max="10" width="13.5" customWidth="1"/>
    <col min="11" max="12" width="10.6640625" customWidth="1"/>
    <col min="13" max="13" width="10.83203125" customWidth="1"/>
    <col min="14" max="14" width="12.83203125" customWidth="1"/>
    <col min="15" max="15" width="15.5" customWidth="1"/>
    <col min="16" max="16" width="11.83203125" customWidth="1"/>
    <col min="17" max="17" width="10.6640625" customWidth="1"/>
    <col min="18" max="18" width="7.5" customWidth="1"/>
    <col min="19" max="19" width="10.6640625" customWidth="1"/>
    <col min="20" max="20" width="5.5" customWidth="1"/>
    <col min="21" max="26" width="10.6640625" customWidth="1"/>
  </cols>
  <sheetData>
    <row r="2" spans="2:20" x14ac:dyDescent="0.2">
      <c r="B2" s="59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60"/>
    </row>
    <row r="3" spans="2:20" x14ac:dyDescent="0.2">
      <c r="B3" s="6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62"/>
    </row>
    <row r="4" spans="2:20" x14ac:dyDescent="0.2">
      <c r="B4" s="6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62"/>
    </row>
    <row r="5" spans="2:20" x14ac:dyDescent="0.2">
      <c r="B5" s="6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62"/>
    </row>
    <row r="6" spans="2:20" ht="16" x14ac:dyDescent="0.2">
      <c r="B6" s="61"/>
      <c r="C6" s="1"/>
      <c r="D6" s="1"/>
      <c r="E6" s="1"/>
      <c r="F6" s="63">
        <f>+'Bal Los Colorados'!M47</f>
        <v>0</v>
      </c>
      <c r="G6" s="1"/>
      <c r="H6" s="1"/>
      <c r="I6" s="64">
        <f>+'Bal Los Colorados'!M46</f>
        <v>502781.82030850503</v>
      </c>
      <c r="J6" s="1"/>
      <c r="K6" s="1"/>
      <c r="L6" s="1"/>
      <c r="M6" s="1"/>
      <c r="N6" s="1"/>
      <c r="O6" s="1"/>
      <c r="P6" s="1"/>
      <c r="Q6" s="1"/>
      <c r="R6" s="1"/>
      <c r="S6" s="1"/>
      <c r="T6" s="62"/>
    </row>
    <row r="7" spans="2:20" ht="16" x14ac:dyDescent="0.2">
      <c r="B7" s="61"/>
      <c r="C7" s="1"/>
      <c r="D7" s="1"/>
      <c r="E7" s="65">
        <f>+-C8+D16-F6</f>
        <v>1770.5761999999995</v>
      </c>
      <c r="F7" s="66">
        <f>+'Bal Los Colorados'!N47</f>
        <v>0</v>
      </c>
      <c r="G7" s="1"/>
      <c r="H7" s="1"/>
      <c r="I7" s="67">
        <f>+'Bal Los Colorados'!N46</f>
        <v>0.46140050554742984</v>
      </c>
      <c r="J7" s="1"/>
      <c r="K7" s="1"/>
      <c r="L7" s="1"/>
      <c r="M7" s="1"/>
      <c r="N7" s="1"/>
      <c r="O7" s="1"/>
      <c r="P7" s="577" t="s">
        <v>63</v>
      </c>
      <c r="Q7" s="532"/>
      <c r="R7" s="1"/>
      <c r="S7" s="1"/>
      <c r="T7" s="62"/>
    </row>
    <row r="8" spans="2:20" ht="16" x14ac:dyDescent="0.2">
      <c r="B8" s="61"/>
      <c r="C8" s="64">
        <f>+'Bal Los Colorados'!M48</f>
        <v>12961.629000000001</v>
      </c>
      <c r="D8" s="1"/>
      <c r="E8" s="1"/>
      <c r="F8" s="68">
        <f>+'Bal Los Colorados'!O47</f>
        <v>0</v>
      </c>
      <c r="G8" s="1"/>
      <c r="H8" s="1"/>
      <c r="I8" s="69">
        <f>+'Bal Los Colorados'!O46</f>
        <v>231983.78607040126</v>
      </c>
      <c r="J8" s="1"/>
      <c r="K8" s="1"/>
      <c r="L8" s="1"/>
      <c r="M8" s="1"/>
      <c r="N8" s="1"/>
      <c r="O8" s="1"/>
      <c r="P8" s="70" t="s">
        <v>64</v>
      </c>
      <c r="Q8" s="71">
        <f>+I25/K20</f>
        <v>0.75353481009949175</v>
      </c>
      <c r="R8" s="1"/>
      <c r="S8" s="1"/>
      <c r="T8" s="62"/>
    </row>
    <row r="9" spans="2:20" ht="16" x14ac:dyDescent="0.2">
      <c r="B9" s="61"/>
      <c r="C9" s="67">
        <f>+'Bal Los Colorados'!N48</f>
        <v>0.59443308072967893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70" t="s">
        <v>65</v>
      </c>
      <c r="Q9" s="71">
        <f>+I27/K22</f>
        <v>0.91700160865247149</v>
      </c>
      <c r="R9" s="1"/>
      <c r="S9" s="1"/>
      <c r="T9" s="62"/>
    </row>
    <row r="10" spans="2:20" ht="16" x14ac:dyDescent="0.2">
      <c r="B10" s="61"/>
      <c r="C10" s="69">
        <f>+'Bal Los Colorados'!O48</f>
        <v>7704.8210577451482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577" t="s">
        <v>20</v>
      </c>
      <c r="Q10" s="532"/>
      <c r="R10" s="1"/>
      <c r="S10" s="1"/>
      <c r="T10" s="62"/>
    </row>
    <row r="11" spans="2:20" ht="16" x14ac:dyDescent="0.2">
      <c r="B11" s="61"/>
      <c r="C11" s="1"/>
      <c r="D11" s="1"/>
      <c r="E11" s="1"/>
      <c r="F11" s="1"/>
      <c r="G11" s="1"/>
      <c r="H11" s="1"/>
      <c r="I11" s="1"/>
      <c r="J11" s="64">
        <f>+'Bal Los Colorados'!M52</f>
        <v>502781.82030850503</v>
      </c>
      <c r="K11" s="1"/>
      <c r="L11" s="1"/>
      <c r="M11" s="1"/>
      <c r="N11" s="1"/>
      <c r="O11" s="1"/>
      <c r="P11" s="70" t="s">
        <v>64</v>
      </c>
      <c r="Q11" s="71">
        <f>+O33/(P22+M30)</f>
        <v>0.1480619761814021</v>
      </c>
      <c r="R11" s="1"/>
      <c r="S11" s="1"/>
      <c r="T11" s="62"/>
    </row>
    <row r="12" spans="2:20" ht="16" x14ac:dyDescent="0.2">
      <c r="B12" s="61"/>
      <c r="C12" s="1"/>
      <c r="D12" s="1"/>
      <c r="E12" s="1"/>
      <c r="F12" s="1"/>
      <c r="G12" s="1"/>
      <c r="H12" s="64">
        <f>+'Bal Los Colorados'!M50</f>
        <v>502781.82030850503</v>
      </c>
      <c r="I12" s="1"/>
      <c r="J12" s="67">
        <f>+'Bal Los Colorados'!N52</f>
        <v>0.46140050554742978</v>
      </c>
      <c r="K12" s="1"/>
      <c r="L12" s="1"/>
      <c r="M12" s="1"/>
      <c r="N12" s="1"/>
      <c r="O12" s="1"/>
      <c r="P12" s="70" t="s">
        <v>65</v>
      </c>
      <c r="Q12" s="71">
        <f>+O35/(P24+M32)</f>
        <v>0.34811925056763093</v>
      </c>
      <c r="R12" s="1"/>
      <c r="S12" s="1"/>
      <c r="T12" s="62"/>
    </row>
    <row r="13" spans="2:20" ht="16" x14ac:dyDescent="0.2">
      <c r="B13" s="61"/>
      <c r="C13" s="1"/>
      <c r="D13" s="1"/>
      <c r="E13" s="1"/>
      <c r="F13" s="1"/>
      <c r="G13" s="1"/>
      <c r="H13" s="67">
        <f>+'Bal Los Colorados'!N50</f>
        <v>0.46140050554742978</v>
      </c>
      <c r="I13" s="1"/>
      <c r="J13" s="69">
        <f>+'Bal Los Colorados'!O52</f>
        <v>231983.78607040123</v>
      </c>
      <c r="K13" s="1"/>
      <c r="L13" s="1"/>
      <c r="M13" s="1"/>
      <c r="N13" s="1"/>
      <c r="O13" s="1"/>
      <c r="P13" s="578" t="s">
        <v>66</v>
      </c>
      <c r="Q13" s="532"/>
      <c r="R13" s="1"/>
      <c r="S13" s="1"/>
      <c r="T13" s="62"/>
    </row>
    <row r="14" spans="2:20" ht="16" x14ac:dyDescent="0.2">
      <c r="B14" s="61"/>
      <c r="C14" s="1"/>
      <c r="D14" s="1"/>
      <c r="E14" s="1"/>
      <c r="F14" s="1"/>
      <c r="G14" s="1"/>
      <c r="H14" s="69">
        <f>+'Bal Los Colorados'!O50</f>
        <v>231983.78607040123</v>
      </c>
      <c r="I14" s="1"/>
      <c r="J14" s="1"/>
      <c r="K14" s="1"/>
      <c r="L14" s="1"/>
      <c r="M14" s="1"/>
      <c r="N14" s="1"/>
      <c r="O14" s="1"/>
      <c r="P14" s="70" t="s">
        <v>64</v>
      </c>
      <c r="Q14" s="71">
        <f>+(O33+I25)/(K20+(M30+P22-(L25-M15)))</f>
        <v>0.72448459461366954</v>
      </c>
      <c r="R14" s="1"/>
      <c r="S14" s="1"/>
      <c r="T14" s="62"/>
    </row>
    <row r="15" spans="2:20" ht="16" x14ac:dyDescent="0.2">
      <c r="B15" s="61"/>
      <c r="C15" s="1"/>
      <c r="D15" s="1"/>
      <c r="E15" s="1"/>
      <c r="F15" s="1"/>
      <c r="G15" s="1"/>
      <c r="H15" s="1"/>
      <c r="I15" s="1"/>
      <c r="J15" s="1"/>
      <c r="K15" s="1"/>
      <c r="L15" s="1"/>
      <c r="M15" s="63">
        <f>+'Bal Los Colorados'!M60</f>
        <v>30174.414309067877</v>
      </c>
      <c r="N15" s="1"/>
      <c r="O15" s="1"/>
      <c r="P15" s="70" t="s">
        <v>65</v>
      </c>
      <c r="Q15" s="71">
        <f>+(O34+I27)/(K22+(M32+P24-(L27-M17)))</f>
        <v>0.87798735665130323</v>
      </c>
      <c r="R15" s="1"/>
      <c r="S15" s="1"/>
      <c r="T15" s="62"/>
    </row>
    <row r="16" spans="2:20" ht="16" x14ac:dyDescent="0.2">
      <c r="B16" s="61"/>
      <c r="C16" s="1"/>
      <c r="D16" s="63">
        <f>+'Bal Los Colorados'!M55</f>
        <v>14732.2052</v>
      </c>
      <c r="E16" s="1"/>
      <c r="F16" s="1"/>
      <c r="G16" s="1"/>
      <c r="H16" s="1"/>
      <c r="I16" s="1"/>
      <c r="J16" s="1"/>
      <c r="K16" s="1"/>
      <c r="L16" s="1"/>
      <c r="M16" s="66">
        <f>+'Bal Los Colorados'!N60</f>
        <v>0.19850415593901971</v>
      </c>
      <c r="N16" s="1"/>
      <c r="O16" s="1"/>
      <c r="P16" s="1"/>
      <c r="Q16" s="1"/>
      <c r="R16" s="1"/>
      <c r="S16" s="1"/>
      <c r="T16" s="62"/>
    </row>
    <row r="17" spans="2:25" ht="16" x14ac:dyDescent="0.2">
      <c r="B17" s="61"/>
      <c r="C17" s="1"/>
      <c r="D17" s="66">
        <f>+'Bal Los Colorados'!N55</f>
        <v>0.60105751253405559</v>
      </c>
      <c r="E17" s="1"/>
      <c r="F17" s="1"/>
      <c r="G17" s="1"/>
      <c r="H17" s="1"/>
      <c r="I17" s="1"/>
      <c r="J17" s="1"/>
      <c r="K17" s="1"/>
      <c r="L17" s="1"/>
      <c r="M17" s="68">
        <f>+'Bal Los Colorados'!O60</f>
        <v>5989.7466433757972</v>
      </c>
      <c r="N17" s="1"/>
      <c r="O17" s="1"/>
      <c r="P17" s="1"/>
      <c r="Q17" s="1"/>
      <c r="R17" s="1"/>
      <c r="S17" s="1"/>
      <c r="T17" s="62"/>
    </row>
    <row r="18" spans="2:25" ht="16" x14ac:dyDescent="0.2">
      <c r="B18" s="61"/>
      <c r="C18" s="1"/>
      <c r="D18" s="68">
        <f>+'Bal Los Colorados'!O55</f>
        <v>8854.9026116532787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62"/>
    </row>
    <row r="19" spans="2:25" ht="16" x14ac:dyDescent="0.2">
      <c r="B19" s="61"/>
      <c r="C19" s="1"/>
      <c r="D19" s="1"/>
      <c r="E19" s="1"/>
      <c r="F19" s="1"/>
      <c r="G19" s="1"/>
      <c r="H19" s="64"/>
      <c r="I19" s="1"/>
      <c r="J19" s="65">
        <f>+J11-K20</f>
        <v>44584.890479986498</v>
      </c>
      <c r="K19" s="1"/>
      <c r="L19" s="1"/>
      <c r="M19" s="1"/>
      <c r="N19" s="1"/>
      <c r="O19" s="1"/>
      <c r="P19" s="1"/>
      <c r="Q19" s="1"/>
      <c r="R19" s="1"/>
      <c r="S19" s="1"/>
      <c r="T19" s="62"/>
      <c r="X19" s="1">
        <v>13390</v>
      </c>
      <c r="Y19" s="3">
        <f>+J11+X20</f>
        <v>542951.82030850509</v>
      </c>
    </row>
    <row r="20" spans="2:25" ht="16" x14ac:dyDescent="0.2">
      <c r="B20" s="61"/>
      <c r="C20" s="1"/>
      <c r="D20" s="1"/>
      <c r="E20" s="1"/>
      <c r="F20" s="1"/>
      <c r="G20" s="1"/>
      <c r="H20" s="67"/>
      <c r="I20" s="1"/>
      <c r="J20" s="1"/>
      <c r="K20" s="64">
        <f>+'Bal Los Colorados'!M54</f>
        <v>458196.92982851854</v>
      </c>
      <c r="L20" s="1"/>
      <c r="M20" s="1"/>
      <c r="N20" s="1"/>
      <c r="O20" s="65">
        <f>+M15-P22</f>
        <v>-14174.322317347061</v>
      </c>
      <c r="P20" s="1"/>
      <c r="Q20" s="1"/>
      <c r="R20" s="1"/>
      <c r="S20" s="1"/>
      <c r="T20" s="62"/>
      <c r="X20" s="1">
        <f>+X19*3</f>
        <v>40170</v>
      </c>
    </row>
    <row r="21" spans="2:25" ht="15.75" customHeight="1" x14ac:dyDescent="0.2">
      <c r="B21" s="61"/>
      <c r="C21" s="1"/>
      <c r="D21" s="1"/>
      <c r="E21" s="1"/>
      <c r="F21" s="1"/>
      <c r="G21" s="1"/>
      <c r="H21" s="69"/>
      <c r="I21" s="1"/>
      <c r="J21" s="1"/>
      <c r="K21" s="67">
        <f>+'Bal Los Colorados'!N54</f>
        <v>0.47167818710941145</v>
      </c>
      <c r="L21" s="1"/>
      <c r="M21" s="1"/>
      <c r="N21" s="1"/>
      <c r="O21" s="1"/>
      <c r="P21" s="1"/>
      <c r="Q21" s="1"/>
      <c r="R21" s="1"/>
      <c r="S21" s="1"/>
      <c r="T21" s="62"/>
    </row>
    <row r="22" spans="2:25" ht="15.75" customHeight="1" x14ac:dyDescent="0.2">
      <c r="B22" s="72"/>
      <c r="C22" s="1"/>
      <c r="D22" s="1"/>
      <c r="E22" s="1"/>
      <c r="F22" s="1"/>
      <c r="G22" s="1"/>
      <c r="H22" s="1"/>
      <c r="I22" s="1"/>
      <c r="J22" s="1"/>
      <c r="K22" s="69">
        <f>+'Bal Los Colorados'!O54</f>
        <v>216121.49720061384</v>
      </c>
      <c r="L22" s="1"/>
      <c r="M22" s="1"/>
      <c r="N22" s="1"/>
      <c r="O22" s="1"/>
      <c r="P22" s="63">
        <f>+'Bal Los Colorados'!M63</f>
        <v>44348.736626414939</v>
      </c>
      <c r="Q22" s="1"/>
      <c r="R22" s="1"/>
      <c r="S22" s="1"/>
      <c r="T22" s="62"/>
    </row>
    <row r="23" spans="2:25" ht="15.75" customHeight="1" x14ac:dyDescent="0.2">
      <c r="B23" s="6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66">
        <f>+'Bal Los Colorados'!N63</f>
        <v>0.21655702250803865</v>
      </c>
      <c r="Q23" s="1"/>
      <c r="R23" s="1"/>
      <c r="S23" s="1"/>
      <c r="T23" s="62"/>
    </row>
    <row r="24" spans="2:25" ht="15.75" customHeight="1" x14ac:dyDescent="0.2">
      <c r="B24" s="6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68">
        <f>+'Bal Los Colorados'!O63</f>
        <v>9604.0303558096184</v>
      </c>
      <c r="Q24" s="1"/>
      <c r="R24" s="1"/>
      <c r="S24" s="1"/>
      <c r="T24" s="62"/>
    </row>
    <row r="25" spans="2:25" ht="15.75" customHeight="1" x14ac:dyDescent="0.2">
      <c r="B25" s="61"/>
      <c r="C25" s="1"/>
      <c r="D25" s="1"/>
      <c r="E25" s="1"/>
      <c r="F25" s="1"/>
      <c r="G25" s="1"/>
      <c r="H25" s="1"/>
      <c r="I25" s="64">
        <f>+'Bal Los Colorados'!M58</f>
        <v>345267.33650650288</v>
      </c>
      <c r="J25" s="1"/>
      <c r="K25" s="1"/>
      <c r="L25" s="64">
        <f>+'Bal Los Colorados'!M59</f>
        <v>112929.59332199999</v>
      </c>
      <c r="M25" s="1"/>
      <c r="N25" s="1"/>
      <c r="O25" s="1"/>
      <c r="P25" s="1"/>
      <c r="Q25" s="1"/>
      <c r="R25" s="1"/>
      <c r="S25" s="1"/>
      <c r="T25" s="62"/>
    </row>
    <row r="26" spans="2:25" ht="15.75" customHeight="1" x14ac:dyDescent="0.2">
      <c r="B26" s="61"/>
      <c r="C26" s="1"/>
      <c r="D26" s="1"/>
      <c r="E26" s="1"/>
      <c r="F26" s="1"/>
      <c r="G26" s="1"/>
      <c r="H26" s="1"/>
      <c r="I26" s="67">
        <f>+'Bal Los Colorados'!N58</f>
        <v>0.57400089624061745</v>
      </c>
      <c r="J26" s="1"/>
      <c r="K26" s="1"/>
      <c r="L26" s="67">
        <f>+'Bal Los Colorados'!N59</f>
        <v>0.15884000000000001</v>
      </c>
      <c r="M26" s="1"/>
      <c r="N26" s="1"/>
      <c r="O26" s="1"/>
      <c r="P26" s="1"/>
      <c r="Q26" s="1"/>
      <c r="R26" s="1"/>
      <c r="S26" s="1"/>
      <c r="T26" s="62"/>
    </row>
    <row r="27" spans="2:25" ht="15.75" customHeight="1" x14ac:dyDescent="0.2">
      <c r="B27" s="61"/>
      <c r="C27" s="1"/>
      <c r="D27" s="1"/>
      <c r="E27" s="1"/>
      <c r="F27" s="1"/>
      <c r="G27" s="65">
        <f>+I25-C28-G36-D16</f>
        <v>-359512.14169349719</v>
      </c>
      <c r="H27" s="1"/>
      <c r="I27" s="69">
        <f>+'Bal Los Colorados'!O58</f>
        <v>198183.7605973435</v>
      </c>
      <c r="J27" s="1"/>
      <c r="K27" s="1"/>
      <c r="L27" s="69">
        <f>+'Bal Los Colorados'!O59</f>
        <v>17937.73660326648</v>
      </c>
      <c r="M27" s="1"/>
      <c r="N27" s="1"/>
      <c r="O27" s="1"/>
      <c r="P27" s="1"/>
      <c r="Q27" s="1"/>
      <c r="R27" s="1"/>
      <c r="S27" s="1"/>
      <c r="T27" s="62"/>
    </row>
    <row r="28" spans="2:25" ht="15.75" customHeight="1" x14ac:dyDescent="0.2">
      <c r="B28" s="61"/>
      <c r="C28" s="64">
        <f>+'Bal Los Colorados'!M57</f>
        <v>16162.331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63">
        <f>+'Bal Los Colorados'!M65</f>
        <v>108284.65870939114</v>
      </c>
      <c r="T28" s="62"/>
    </row>
    <row r="29" spans="2:25" ht="15.75" customHeight="1" x14ac:dyDescent="0.2">
      <c r="B29" s="61"/>
      <c r="C29" s="67">
        <f>+'Bal Los Colorados'!N57</f>
        <v>0.59864253060095862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66">
        <f>+'Bal Los Colorados'!N65</f>
        <v>0.12974457621375801</v>
      </c>
      <c r="T29" s="62"/>
    </row>
    <row r="30" spans="2:25" ht="15.75" customHeight="1" x14ac:dyDescent="0.2">
      <c r="B30" s="61"/>
      <c r="C30" s="69">
        <f>+'Bal Los Colorados'!O57</f>
        <v>9675.4587302503223</v>
      </c>
      <c r="D30" s="1"/>
      <c r="E30" s="1"/>
      <c r="F30" s="1"/>
      <c r="G30" s="1"/>
      <c r="H30" s="1"/>
      <c r="I30" s="1"/>
      <c r="J30" s="1"/>
      <c r="K30" s="3"/>
      <c r="L30" s="1"/>
      <c r="M30" s="63">
        <f>+'Bal Los Colorados'!M61</f>
        <v>82755.179012932131</v>
      </c>
      <c r="N30" s="1"/>
      <c r="O30" s="1"/>
      <c r="P30" s="1"/>
      <c r="Q30" s="1"/>
      <c r="R30" s="1"/>
      <c r="S30" s="68">
        <f>+'Bal Los Colorados'!O65</f>
        <v>14049.347154701374</v>
      </c>
      <c r="T30" s="62"/>
    </row>
    <row r="31" spans="2:25" ht="15.75" customHeight="1" x14ac:dyDescent="0.2">
      <c r="B31" s="61"/>
      <c r="C31" s="1"/>
      <c r="D31" s="1"/>
      <c r="E31" s="1"/>
      <c r="F31" s="1"/>
      <c r="G31" s="1"/>
      <c r="H31" s="1"/>
      <c r="I31" s="1"/>
      <c r="J31" s="1"/>
      <c r="K31" s="1"/>
      <c r="L31" s="1"/>
      <c r="M31" s="66">
        <f>+'Bal Los Colorados'!N61</f>
        <v>0.14437754955847257</v>
      </c>
      <c r="N31" s="1"/>
      <c r="O31" s="1"/>
      <c r="P31" s="1"/>
      <c r="Q31" s="1"/>
      <c r="R31" s="1"/>
      <c r="S31" s="1"/>
      <c r="T31" s="62"/>
    </row>
    <row r="32" spans="2:25" ht="15.75" customHeight="1" x14ac:dyDescent="0.2">
      <c r="B32" s="61"/>
      <c r="C32" s="1"/>
      <c r="D32" s="1"/>
      <c r="E32" s="1"/>
      <c r="F32" s="1"/>
      <c r="G32" s="1"/>
      <c r="H32" s="1"/>
      <c r="I32" s="3">
        <f>+I25-D16</f>
        <v>330535.13130650285</v>
      </c>
      <c r="J32" s="1"/>
      <c r="K32" s="1"/>
      <c r="L32" s="1"/>
      <c r="M32" s="68">
        <f>+'Bal Los Colorados'!O61</f>
        <v>11947.989959159877</v>
      </c>
      <c r="N32" s="1"/>
      <c r="O32" s="1"/>
      <c r="P32" s="1"/>
      <c r="Q32" s="1"/>
      <c r="R32" s="1"/>
      <c r="S32" s="1"/>
      <c r="T32" s="62"/>
    </row>
    <row r="33" spans="2:20" ht="15.75" customHeight="1" x14ac:dyDescent="0.2">
      <c r="B33" s="6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63">
        <f>+'Bal Los Colorados'!M66</f>
        <v>18819.256929955947</v>
      </c>
      <c r="P33" s="1"/>
      <c r="Q33" s="1"/>
      <c r="R33" s="1"/>
      <c r="S33" s="1"/>
      <c r="T33" s="62"/>
    </row>
    <row r="34" spans="2:20" ht="15.75" customHeight="1" x14ac:dyDescent="0.2">
      <c r="B34" s="6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66">
        <f>+'Bal Los Colorados'!N66</f>
        <v>0.39866999999999997</v>
      </c>
      <c r="P34" s="1"/>
      <c r="Q34" s="1"/>
      <c r="R34" s="1"/>
      <c r="S34" s="1"/>
      <c r="T34" s="62"/>
    </row>
    <row r="35" spans="2:20" ht="15.75" customHeight="1" x14ac:dyDescent="0.2">
      <c r="B35" s="6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68">
        <f>+'Bal Los Colorados'!O66</f>
        <v>7502.6731602655373</v>
      </c>
      <c r="P35" s="1"/>
      <c r="Q35" s="1"/>
      <c r="R35" s="1"/>
      <c r="S35" s="1"/>
      <c r="T35" s="62"/>
    </row>
    <row r="36" spans="2:20" ht="15.75" customHeight="1" x14ac:dyDescent="0.2">
      <c r="B36" s="61"/>
      <c r="C36" s="1"/>
      <c r="D36" s="1"/>
      <c r="E36" s="1"/>
      <c r="F36" s="1"/>
      <c r="G36" s="63">
        <f>+'Bal Los Colorados'!M69</f>
        <v>673884.94200000004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63">
        <f>+'Bal Los Colorados'!M68</f>
        <v>19130.865000000002</v>
      </c>
      <c r="T36" s="62"/>
    </row>
    <row r="37" spans="2:20" ht="15.75" customHeight="1" x14ac:dyDescent="0.2">
      <c r="B37" s="61"/>
      <c r="C37" s="1"/>
      <c r="D37" s="1"/>
      <c r="E37" s="1"/>
      <c r="F37" s="1"/>
      <c r="G37" s="66">
        <f>+'Bal Los Colorados'!N69</f>
        <v>0.60967226044045075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66">
        <f>+'Bal Los Colorados'!N68</f>
        <v>0.39832612919332189</v>
      </c>
      <c r="T37" s="62"/>
    </row>
    <row r="38" spans="2:20" ht="15.75" customHeight="1" x14ac:dyDescent="0.2">
      <c r="B38" s="61"/>
      <c r="C38" s="1"/>
      <c r="D38" s="1"/>
      <c r="E38" s="1"/>
      <c r="F38" s="1"/>
      <c r="G38" s="68">
        <f>+'Bal Los Colorados'!O69</f>
        <v>410848.95586592209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68">
        <f>+'Bal Los Colorados'!O68</f>
        <v>7620.3234035700007</v>
      </c>
      <c r="T38" s="62"/>
    </row>
    <row r="39" spans="2:20" ht="15.75" customHeight="1" x14ac:dyDescent="0.2">
      <c r="B39" s="6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62"/>
    </row>
    <row r="40" spans="2:20" ht="15.75" customHeight="1" x14ac:dyDescent="0.2">
      <c r="B40" s="6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65">
        <f>+O33-S36</f>
        <v>-311.60807004405433</v>
      </c>
      <c r="Q40" s="1"/>
      <c r="R40" s="1"/>
      <c r="S40" s="1"/>
      <c r="T40" s="62"/>
    </row>
    <row r="41" spans="2:20" ht="15.75" customHeight="1" x14ac:dyDescent="0.2">
      <c r="B41" s="6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62"/>
    </row>
    <row r="42" spans="2:20" ht="15.75" customHeight="1" x14ac:dyDescent="0.2">
      <c r="B42" s="73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5"/>
    </row>
    <row r="43" spans="2:20" ht="15.75" customHeight="1" x14ac:dyDescent="0.2">
      <c r="E43" s="76" t="s">
        <v>67</v>
      </c>
    </row>
    <row r="44" spans="2:20" ht="32.25" customHeight="1" x14ac:dyDescent="0.2">
      <c r="E44" s="579" t="s">
        <v>68</v>
      </c>
      <c r="F44" s="580"/>
      <c r="G44" s="531"/>
      <c r="H44" s="579" t="s">
        <v>69</v>
      </c>
      <c r="I44" s="580"/>
      <c r="J44" s="532"/>
      <c r="K44" s="581" t="s">
        <v>70</v>
      </c>
      <c r="L44" s="580"/>
      <c r="M44" s="580"/>
      <c r="N44" s="532"/>
    </row>
    <row r="45" spans="2:20" ht="15.75" customHeight="1" x14ac:dyDescent="0.2">
      <c r="E45" s="16" t="s">
        <v>71</v>
      </c>
      <c r="F45" s="16"/>
      <c r="G45" s="27">
        <f>+I6</f>
        <v>502781.82030850503</v>
      </c>
      <c r="H45" s="582" t="s">
        <v>72</v>
      </c>
      <c r="I45" s="532"/>
      <c r="J45" s="27">
        <f>+E7</f>
        <v>1770.5761999999995</v>
      </c>
      <c r="K45" s="582" t="s">
        <v>73</v>
      </c>
      <c r="L45" s="580"/>
      <c r="M45" s="532"/>
      <c r="N45" s="27">
        <f>+C8</f>
        <v>12961.629000000001</v>
      </c>
    </row>
    <row r="46" spans="2:20" ht="15.75" customHeight="1" x14ac:dyDescent="0.2">
      <c r="E46" s="576"/>
      <c r="F46" s="532"/>
      <c r="G46" s="16"/>
      <c r="H46" s="582" t="s">
        <v>74</v>
      </c>
      <c r="I46" s="532"/>
      <c r="J46" s="27">
        <f>+J19</f>
        <v>44584.890479986498</v>
      </c>
      <c r="K46" s="582" t="s">
        <v>75</v>
      </c>
      <c r="L46" s="580"/>
      <c r="M46" s="532"/>
      <c r="N46" s="27">
        <f>+C28</f>
        <v>16162.331</v>
      </c>
    </row>
    <row r="47" spans="2:20" ht="15.75" customHeight="1" x14ac:dyDescent="0.2">
      <c r="E47" s="576"/>
      <c r="F47" s="532"/>
      <c r="G47" s="16"/>
      <c r="H47" s="582" t="s">
        <v>76</v>
      </c>
      <c r="I47" s="532"/>
      <c r="J47" s="27">
        <f>+G27</f>
        <v>-359512.14169349719</v>
      </c>
      <c r="K47" s="582" t="s">
        <v>77</v>
      </c>
      <c r="L47" s="580"/>
      <c r="M47" s="532"/>
      <c r="N47" s="27">
        <f>+S36</f>
        <v>19130.865000000002</v>
      </c>
    </row>
    <row r="48" spans="2:20" ht="15.75" customHeight="1" x14ac:dyDescent="0.2">
      <c r="E48" s="576"/>
      <c r="F48" s="532"/>
      <c r="G48" s="16"/>
      <c r="H48" s="77" t="s">
        <v>78</v>
      </c>
      <c r="I48" s="77"/>
      <c r="J48" s="27">
        <f>+O20</f>
        <v>-14174.322317347061</v>
      </c>
      <c r="K48" s="582" t="s">
        <v>79</v>
      </c>
      <c r="L48" s="580"/>
      <c r="M48" s="532"/>
      <c r="N48" s="27">
        <f>+S28</f>
        <v>108284.65870939114</v>
      </c>
    </row>
    <row r="49" spans="5:14" ht="15.75" customHeight="1" x14ac:dyDescent="0.2">
      <c r="E49" s="576"/>
      <c r="F49" s="532"/>
      <c r="G49" s="16"/>
      <c r="H49" s="582" t="s">
        <v>80</v>
      </c>
      <c r="I49" s="532"/>
      <c r="J49" s="27">
        <f>+P40</f>
        <v>-311.60807004405433</v>
      </c>
      <c r="K49" s="582" t="s">
        <v>81</v>
      </c>
      <c r="L49" s="580"/>
      <c r="M49" s="532"/>
      <c r="N49" s="27">
        <f>+G36</f>
        <v>673884.94200000004</v>
      </c>
    </row>
    <row r="50" spans="5:14" ht="15.75" customHeight="1" x14ac:dyDescent="0.25">
      <c r="E50" s="585" t="s">
        <v>82</v>
      </c>
      <c r="F50" s="532"/>
      <c r="G50" s="78">
        <f>+G45</f>
        <v>502781.82030850503</v>
      </c>
      <c r="H50" s="583" t="s">
        <v>83</v>
      </c>
      <c r="I50" s="532"/>
      <c r="J50" s="79">
        <f>+SUM(J45:J49)</f>
        <v>-327642.60540090181</v>
      </c>
      <c r="K50" s="583" t="s">
        <v>84</v>
      </c>
      <c r="L50" s="580"/>
      <c r="M50" s="532"/>
      <c r="N50" s="78">
        <f>+SUM(N45:N49)</f>
        <v>830424.42570939125</v>
      </c>
    </row>
    <row r="51" spans="5:14" ht="15.75" customHeight="1" x14ac:dyDescent="0.2"/>
    <row r="52" spans="5:14" ht="15.75" customHeight="1" x14ac:dyDescent="0.25">
      <c r="J52" s="80" t="s">
        <v>85</v>
      </c>
      <c r="K52" s="81"/>
      <c r="L52" s="82"/>
      <c r="M52" s="81"/>
      <c r="N52" s="83">
        <f>+G50-J50-N50</f>
        <v>1.5599653124809265E-8</v>
      </c>
    </row>
    <row r="53" spans="5:14" ht="15.75" customHeight="1" x14ac:dyDescent="0.25">
      <c r="F53" s="84"/>
      <c r="G53" s="84"/>
      <c r="H53" s="84"/>
      <c r="I53" s="84"/>
      <c r="J53" s="85"/>
    </row>
    <row r="54" spans="5:14" ht="15.75" customHeight="1" x14ac:dyDescent="0.2">
      <c r="E54" s="76" t="s">
        <v>86</v>
      </c>
    </row>
    <row r="55" spans="5:14" ht="15.75" customHeight="1" x14ac:dyDescent="0.2">
      <c r="E55" s="586" t="s">
        <v>68</v>
      </c>
      <c r="F55" s="580"/>
      <c r="G55" s="531"/>
      <c r="H55" s="586" t="s">
        <v>69</v>
      </c>
      <c r="I55" s="580"/>
      <c r="J55" s="532"/>
      <c r="K55" s="584" t="s">
        <v>70</v>
      </c>
      <c r="L55" s="580"/>
      <c r="M55" s="580"/>
      <c r="N55" s="532"/>
    </row>
    <row r="56" spans="5:14" ht="15.75" customHeight="1" x14ac:dyDescent="0.2">
      <c r="E56" s="16" t="s">
        <v>71</v>
      </c>
      <c r="F56" s="16"/>
      <c r="G56" s="27">
        <f>+I8</f>
        <v>231983.78607040126</v>
      </c>
      <c r="H56" s="582" t="s">
        <v>72</v>
      </c>
      <c r="I56" s="532"/>
      <c r="J56" s="27" t="e">
        <f>+'Bal Los Colorados'!O49*'Bal Los Colorados'!G49</f>
        <v>#REF!</v>
      </c>
      <c r="K56" s="582" t="s">
        <v>73</v>
      </c>
      <c r="L56" s="580"/>
      <c r="M56" s="532"/>
      <c r="N56" s="27">
        <f>+C10</f>
        <v>7704.8210577451482</v>
      </c>
    </row>
    <row r="57" spans="5:14" ht="15.75" customHeight="1" x14ac:dyDescent="0.2">
      <c r="E57" s="576"/>
      <c r="F57" s="532"/>
      <c r="G57" s="16"/>
      <c r="H57" s="582" t="s">
        <v>74</v>
      </c>
      <c r="I57" s="532"/>
      <c r="J57" s="27" t="e">
        <f>+'Bal Los Colorados'!O53*'Bal Los Colorados'!G53</f>
        <v>#REF!</v>
      </c>
      <c r="K57" s="582" t="s">
        <v>75</v>
      </c>
      <c r="L57" s="580"/>
      <c r="M57" s="532"/>
      <c r="N57" s="27">
        <f>+C30</f>
        <v>9675.4587302503223</v>
      </c>
    </row>
    <row r="58" spans="5:14" ht="15.75" customHeight="1" x14ac:dyDescent="0.2">
      <c r="E58" s="576"/>
      <c r="F58" s="532"/>
      <c r="G58" s="16"/>
      <c r="H58" s="582" t="s">
        <v>76</v>
      </c>
      <c r="I58" s="532"/>
      <c r="J58" s="27" t="e">
        <f>+'Bal Los Colorados'!O56*'Bal Los Colorados'!G56</f>
        <v>#REF!</v>
      </c>
      <c r="K58" s="582" t="s">
        <v>77</v>
      </c>
      <c r="L58" s="580"/>
      <c r="M58" s="532"/>
      <c r="N58" s="27">
        <f>+S38</f>
        <v>7620.3234035700007</v>
      </c>
    </row>
    <row r="59" spans="5:14" ht="15.75" customHeight="1" x14ac:dyDescent="0.2">
      <c r="E59" s="576"/>
      <c r="F59" s="532"/>
      <c r="G59" s="16"/>
      <c r="H59" s="77" t="s">
        <v>78</v>
      </c>
      <c r="I59" s="77"/>
      <c r="J59" s="27" t="e">
        <f>+'Bal Los Colorados'!O62*'Bal Los Colorados'!G62</f>
        <v>#REF!</v>
      </c>
      <c r="K59" s="582" t="s">
        <v>79</v>
      </c>
      <c r="L59" s="580"/>
      <c r="M59" s="532"/>
      <c r="N59" s="27">
        <f>+S30</f>
        <v>14049.347154701374</v>
      </c>
    </row>
    <row r="60" spans="5:14" ht="15.75" customHeight="1" x14ac:dyDescent="0.2">
      <c r="E60" s="576"/>
      <c r="F60" s="532"/>
      <c r="G60" s="16"/>
      <c r="H60" s="582" t="s">
        <v>80</v>
      </c>
      <c r="I60" s="532"/>
      <c r="J60" s="27" t="e">
        <f>+'Bal Los Colorados'!O67*'Bal Los Colorados'!G67</f>
        <v>#REF!</v>
      </c>
      <c r="K60" s="582" t="s">
        <v>81</v>
      </c>
      <c r="L60" s="580"/>
      <c r="M60" s="532"/>
      <c r="N60" s="27">
        <f>+G38</f>
        <v>410848.95586592209</v>
      </c>
    </row>
    <row r="61" spans="5:14" ht="15.75" customHeight="1" x14ac:dyDescent="0.25">
      <c r="E61" s="585" t="s">
        <v>82</v>
      </c>
      <c r="F61" s="532"/>
      <c r="G61" s="78">
        <f>+G56</f>
        <v>231983.78607040126</v>
      </c>
      <c r="H61" s="583" t="s">
        <v>83</v>
      </c>
      <c r="I61" s="532"/>
      <c r="J61" s="79" t="e">
        <f>+SUM(J56:J60)</f>
        <v>#REF!</v>
      </c>
      <c r="K61" s="583" t="s">
        <v>84</v>
      </c>
      <c r="L61" s="580"/>
      <c r="M61" s="532"/>
      <c r="N61" s="78">
        <f>+SUM(N56:N60)</f>
        <v>449898.90621218894</v>
      </c>
    </row>
    <row r="62" spans="5:14" ht="15.75" customHeight="1" x14ac:dyDescent="0.2"/>
    <row r="63" spans="5:14" ht="15.75" customHeight="1" x14ac:dyDescent="0.25">
      <c r="J63" s="80" t="s">
        <v>85</v>
      </c>
      <c r="K63" s="81"/>
      <c r="L63" s="82"/>
      <c r="M63" s="81"/>
      <c r="N63" s="83" t="e">
        <f>+G61-J61-N61</f>
        <v>#REF!</v>
      </c>
    </row>
    <row r="64" spans="5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1">
    <mergeCell ref="H61:I61"/>
    <mergeCell ref="K57:M57"/>
    <mergeCell ref="H55:J55"/>
    <mergeCell ref="H56:I56"/>
    <mergeCell ref="E61:F61"/>
    <mergeCell ref="K60:M60"/>
    <mergeCell ref="K61:M61"/>
    <mergeCell ref="E60:F60"/>
    <mergeCell ref="H60:I60"/>
    <mergeCell ref="E55:G55"/>
    <mergeCell ref="K58:M58"/>
    <mergeCell ref="K59:M59"/>
    <mergeCell ref="K56:M56"/>
    <mergeCell ref="E59:F59"/>
    <mergeCell ref="E57:F57"/>
    <mergeCell ref="E58:F58"/>
    <mergeCell ref="H57:I57"/>
    <mergeCell ref="H58:I58"/>
    <mergeCell ref="E47:F47"/>
    <mergeCell ref="H47:I47"/>
    <mergeCell ref="E48:F48"/>
    <mergeCell ref="H49:I49"/>
    <mergeCell ref="H50:I50"/>
    <mergeCell ref="E49:F49"/>
    <mergeCell ref="E50:F50"/>
    <mergeCell ref="K47:M47"/>
    <mergeCell ref="K48:M48"/>
    <mergeCell ref="K49:M49"/>
    <mergeCell ref="K50:M50"/>
    <mergeCell ref="K55:N55"/>
    <mergeCell ref="H45:I45"/>
    <mergeCell ref="K45:M45"/>
    <mergeCell ref="E44:G44"/>
    <mergeCell ref="E46:F46"/>
    <mergeCell ref="H46:I46"/>
    <mergeCell ref="K46:M46"/>
    <mergeCell ref="P7:Q7"/>
    <mergeCell ref="P10:Q10"/>
    <mergeCell ref="P13:Q13"/>
    <mergeCell ref="H44:J44"/>
    <mergeCell ref="K44:N44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99"/>
  <sheetViews>
    <sheetView workbookViewId="0">
      <selection activeCell="E24" sqref="E24"/>
    </sheetView>
  </sheetViews>
  <sheetFormatPr baseColWidth="10" defaultColWidth="14.5" defaultRowHeight="15" customHeight="1" x14ac:dyDescent="0.2"/>
  <cols>
    <col min="1" max="1" width="72.83203125" customWidth="1"/>
    <col min="2" max="2" width="29.1640625" customWidth="1"/>
    <col min="3" max="3" width="20.1640625" customWidth="1"/>
    <col min="4" max="4" width="24.1640625" customWidth="1"/>
    <col min="5" max="5" width="27.83203125" customWidth="1"/>
    <col min="6" max="26" width="10.6640625" customWidth="1"/>
  </cols>
  <sheetData>
    <row r="1" spans="1:8" ht="21" x14ac:dyDescent="0.25">
      <c r="A1" s="462" t="s">
        <v>276</v>
      </c>
      <c r="B1" s="463">
        <v>66753</v>
      </c>
      <c r="C1" s="464">
        <v>0</v>
      </c>
      <c r="D1" s="464">
        <v>0</v>
      </c>
      <c r="E1" s="463">
        <v>0</v>
      </c>
      <c r="F1" s="465"/>
      <c r="G1" s="463"/>
      <c r="H1" s="463"/>
    </row>
    <row r="2" spans="1:8" ht="21" x14ac:dyDescent="0.25">
      <c r="A2" s="466" t="s">
        <v>88</v>
      </c>
      <c r="B2" s="467">
        <v>24736</v>
      </c>
      <c r="C2" s="466">
        <v>0</v>
      </c>
      <c r="D2" s="468">
        <v>0</v>
      </c>
      <c r="E2" s="463">
        <v>0</v>
      </c>
      <c r="F2" s="465"/>
      <c r="G2" s="463"/>
      <c r="H2" s="463"/>
    </row>
    <row r="3" spans="1:8" ht="21" x14ac:dyDescent="0.25">
      <c r="A3" s="466" t="s">
        <v>89</v>
      </c>
      <c r="B3" s="467">
        <v>50490</v>
      </c>
      <c r="C3" s="466">
        <v>0</v>
      </c>
      <c r="D3" s="468">
        <v>0</v>
      </c>
      <c r="E3" s="463">
        <v>0</v>
      </c>
      <c r="F3" s="469"/>
      <c r="G3" s="463"/>
      <c r="H3" s="463"/>
    </row>
    <row r="4" spans="1:8" ht="21" x14ac:dyDescent="0.25">
      <c r="A4" s="466" t="s">
        <v>277</v>
      </c>
      <c r="B4" s="467">
        <v>0</v>
      </c>
      <c r="C4" s="466">
        <v>0</v>
      </c>
      <c r="D4" s="468">
        <v>0</v>
      </c>
      <c r="E4" s="463">
        <v>0</v>
      </c>
      <c r="F4" s="463"/>
      <c r="G4" s="463"/>
      <c r="H4" s="463"/>
    </row>
    <row r="5" spans="1:8" ht="21" x14ac:dyDescent="0.25">
      <c r="A5" s="466" t="s">
        <v>90</v>
      </c>
      <c r="B5" s="467">
        <v>0</v>
      </c>
      <c r="C5" s="466">
        <v>0</v>
      </c>
      <c r="D5" s="468">
        <v>0</v>
      </c>
      <c r="E5" s="463">
        <v>0</v>
      </c>
      <c r="F5" s="463"/>
      <c r="G5" s="463"/>
      <c r="H5" s="463"/>
    </row>
    <row r="6" spans="1:8" ht="21" x14ac:dyDescent="0.25">
      <c r="A6" s="466" t="s">
        <v>91</v>
      </c>
      <c r="B6" s="467">
        <v>0</v>
      </c>
      <c r="C6" s="466">
        <v>0</v>
      </c>
      <c r="D6" s="468">
        <v>0</v>
      </c>
      <c r="E6" s="463">
        <v>0</v>
      </c>
      <c r="F6" s="463"/>
      <c r="G6" s="463"/>
      <c r="H6" s="463"/>
    </row>
    <row r="7" spans="1:8" ht="21" x14ac:dyDescent="0.25">
      <c r="A7" s="466" t="s">
        <v>92</v>
      </c>
      <c r="B7" s="467">
        <v>150617</v>
      </c>
      <c r="C7" s="466">
        <v>0</v>
      </c>
      <c r="D7" s="468">
        <v>0</v>
      </c>
      <c r="E7" s="463">
        <v>0</v>
      </c>
      <c r="F7" s="463"/>
      <c r="G7" s="463"/>
      <c r="H7" s="463"/>
    </row>
    <row r="8" spans="1:8" ht="21" x14ac:dyDescent="0.25">
      <c r="A8" s="466" t="s">
        <v>93</v>
      </c>
      <c r="B8" s="467">
        <v>435811</v>
      </c>
      <c r="C8" s="466">
        <v>0</v>
      </c>
      <c r="D8" s="468">
        <v>0</v>
      </c>
      <c r="E8" s="463">
        <v>0</v>
      </c>
      <c r="F8" s="463"/>
      <c r="G8" s="463"/>
      <c r="H8" s="463"/>
    </row>
    <row r="9" spans="1:8" ht="21" x14ac:dyDescent="0.25">
      <c r="A9" s="466" t="s">
        <v>94</v>
      </c>
      <c r="B9" s="467">
        <v>2203</v>
      </c>
      <c r="C9" s="466">
        <v>0</v>
      </c>
      <c r="D9" s="468">
        <v>0</v>
      </c>
      <c r="E9" s="463">
        <v>0</v>
      </c>
      <c r="F9" s="463"/>
      <c r="G9" s="463"/>
      <c r="H9" s="463"/>
    </row>
    <row r="10" spans="1:8" ht="21" x14ac:dyDescent="0.25">
      <c r="A10" s="466" t="s">
        <v>95</v>
      </c>
      <c r="B10" s="467">
        <v>27</v>
      </c>
      <c r="C10" s="466">
        <v>0</v>
      </c>
      <c r="D10" s="468">
        <v>0</v>
      </c>
      <c r="E10" s="463">
        <v>0</v>
      </c>
      <c r="F10" s="463"/>
      <c r="G10" s="463"/>
      <c r="H10" s="463"/>
    </row>
    <row r="11" spans="1:8" ht="21" x14ac:dyDescent="0.25">
      <c r="A11" s="466" t="s">
        <v>96</v>
      </c>
      <c r="B11" s="467">
        <v>25122</v>
      </c>
      <c r="C11" s="466">
        <v>0</v>
      </c>
      <c r="D11" s="468">
        <v>0</v>
      </c>
      <c r="E11" s="463">
        <v>0</v>
      </c>
      <c r="F11" s="463"/>
      <c r="G11" s="463"/>
      <c r="H11" s="463"/>
    </row>
    <row r="12" spans="1:8" ht="21" x14ac:dyDescent="0.25">
      <c r="A12" s="466" t="s">
        <v>247</v>
      </c>
      <c r="B12" s="467">
        <v>841140</v>
      </c>
      <c r="C12" s="466">
        <v>1</v>
      </c>
      <c r="D12" s="468">
        <v>2.65</v>
      </c>
      <c r="E12" s="463">
        <v>0</v>
      </c>
      <c r="F12" s="463"/>
      <c r="G12" s="463"/>
      <c r="H12" s="463"/>
    </row>
    <row r="13" spans="1:8" ht="21" x14ac:dyDescent="0.25">
      <c r="A13" s="466" t="s">
        <v>248</v>
      </c>
      <c r="B13" s="467">
        <v>841140</v>
      </c>
      <c r="C13" s="466">
        <v>1</v>
      </c>
      <c r="D13" s="468">
        <v>1.7937498607364257</v>
      </c>
      <c r="E13" s="463">
        <v>0</v>
      </c>
      <c r="F13" s="463"/>
      <c r="G13" s="463"/>
      <c r="H13" s="463"/>
    </row>
    <row r="14" spans="1:8" ht="21" x14ac:dyDescent="0.25">
      <c r="A14" s="466" t="s">
        <v>249</v>
      </c>
      <c r="B14" s="467">
        <v>799464</v>
      </c>
      <c r="C14" s="466">
        <v>0.85</v>
      </c>
      <c r="D14" s="468">
        <v>0.93275003802393297</v>
      </c>
      <c r="E14" s="463">
        <v>0</v>
      </c>
      <c r="F14" s="463"/>
      <c r="G14" s="463"/>
      <c r="H14" s="463"/>
    </row>
    <row r="15" spans="1:8" ht="21" x14ac:dyDescent="0.25">
      <c r="A15" s="466" t="s">
        <v>250</v>
      </c>
      <c r="B15" s="467">
        <v>309440</v>
      </c>
      <c r="C15" s="466">
        <v>0.15</v>
      </c>
      <c r="D15" s="468">
        <v>1.1554858656662388</v>
      </c>
      <c r="E15" s="463">
        <v>0</v>
      </c>
      <c r="F15" s="463"/>
      <c r="G15" s="463"/>
      <c r="H15" s="463"/>
    </row>
    <row r="16" spans="1:8" ht="21" x14ac:dyDescent="0.25">
      <c r="A16" s="466" t="s">
        <v>251</v>
      </c>
      <c r="B16" s="467">
        <v>719345</v>
      </c>
      <c r="C16" s="466">
        <v>1</v>
      </c>
      <c r="D16" s="468">
        <v>6.7708475606506466</v>
      </c>
      <c r="E16" s="463">
        <v>0</v>
      </c>
      <c r="F16" s="463"/>
      <c r="G16" s="463"/>
      <c r="H16" s="463"/>
    </row>
    <row r="17" spans="1:8" ht="21" x14ac:dyDescent="0.25">
      <c r="A17" s="466" t="s">
        <v>253</v>
      </c>
      <c r="B17" s="467">
        <v>0</v>
      </c>
      <c r="C17" s="466">
        <v>0</v>
      </c>
      <c r="D17" s="468">
        <v>12.73464883638535</v>
      </c>
      <c r="E17" s="463">
        <v>0</v>
      </c>
      <c r="F17" s="463"/>
      <c r="G17" s="463"/>
      <c r="H17" s="463"/>
    </row>
    <row r="18" spans="1:8" ht="21" x14ac:dyDescent="0.25">
      <c r="A18" s="466" t="s">
        <v>254</v>
      </c>
      <c r="B18" s="467">
        <v>0</v>
      </c>
      <c r="C18" s="466">
        <v>0</v>
      </c>
      <c r="D18" s="468">
        <v>20.331616421326252</v>
      </c>
      <c r="E18" s="463">
        <v>0</v>
      </c>
      <c r="F18" s="463"/>
      <c r="G18" s="463"/>
      <c r="H18" s="463"/>
    </row>
    <row r="19" spans="1:8" ht="21" x14ac:dyDescent="0.25">
      <c r="A19" s="466" t="s">
        <v>255</v>
      </c>
      <c r="B19" s="467">
        <v>0</v>
      </c>
      <c r="C19" s="466">
        <v>0</v>
      </c>
      <c r="D19" s="468">
        <v>8.225477491060424</v>
      </c>
      <c r="E19" s="463">
        <v>0</v>
      </c>
      <c r="F19" s="463"/>
      <c r="G19" s="463"/>
      <c r="H19" s="463"/>
    </row>
    <row r="20" spans="1:8" ht="21" x14ac:dyDescent="0.25">
      <c r="A20" s="466" t="s">
        <v>256</v>
      </c>
      <c r="B20" s="467">
        <v>0</v>
      </c>
      <c r="C20" s="466">
        <v>0</v>
      </c>
      <c r="D20" s="468">
        <v>2.7579753151123789</v>
      </c>
      <c r="E20" s="463">
        <v>0</v>
      </c>
      <c r="F20" s="463"/>
      <c r="G20" s="463"/>
      <c r="H20" s="463"/>
    </row>
    <row r="21" spans="1:8" ht="21" x14ac:dyDescent="0.25">
      <c r="A21" s="466" t="s">
        <v>256</v>
      </c>
      <c r="B21" s="467">
        <v>0</v>
      </c>
      <c r="C21" s="466">
        <v>0</v>
      </c>
      <c r="D21" s="468">
        <v>2.7579753151123789</v>
      </c>
      <c r="E21" s="463">
        <v>0</v>
      </c>
      <c r="F21" s="463"/>
      <c r="G21" s="463"/>
      <c r="H21" s="463"/>
    </row>
    <row r="22" spans="1:8" ht="21" x14ac:dyDescent="0.25">
      <c r="A22" s="466" t="s">
        <v>201</v>
      </c>
      <c r="B22" s="467">
        <v>0</v>
      </c>
      <c r="C22" s="466">
        <v>0.04</v>
      </c>
      <c r="D22" s="468">
        <v>0</v>
      </c>
      <c r="E22" s="463">
        <v>0.57999999999999996</v>
      </c>
      <c r="F22" s="463"/>
      <c r="G22" s="463"/>
      <c r="H22" s="463"/>
    </row>
    <row r="23" spans="1:8" ht="21" x14ac:dyDescent="0.25">
      <c r="A23" s="466" t="s">
        <v>278</v>
      </c>
      <c r="B23" s="467">
        <v>9444</v>
      </c>
      <c r="C23" s="466">
        <v>0.04</v>
      </c>
      <c r="D23" s="468">
        <v>9066.24</v>
      </c>
      <c r="E23" s="463">
        <v>0.57999999999999996</v>
      </c>
      <c r="F23" s="463"/>
      <c r="G23" s="463"/>
      <c r="H23" s="463"/>
    </row>
    <row r="24" spans="1:8" ht="21" x14ac:dyDescent="0.25">
      <c r="A24" s="466" t="s">
        <v>279</v>
      </c>
      <c r="B24" s="467">
        <v>2203</v>
      </c>
      <c r="C24" s="466">
        <v>2.8000000000000001E-2</v>
      </c>
      <c r="D24" s="468">
        <v>2141.3159999999998</v>
      </c>
      <c r="E24" s="463">
        <v>0.62560000000000004</v>
      </c>
      <c r="F24" s="463"/>
      <c r="G24" s="463"/>
      <c r="H24" s="463"/>
    </row>
    <row r="25" spans="1:8" ht="21" x14ac:dyDescent="0.25">
      <c r="A25" s="470" t="s">
        <v>204</v>
      </c>
      <c r="B25" s="467">
        <v>0</v>
      </c>
      <c r="C25" s="471">
        <v>0</v>
      </c>
      <c r="D25" s="472">
        <v>0</v>
      </c>
      <c r="E25" s="463">
        <v>0</v>
      </c>
      <c r="F25" s="463"/>
      <c r="G25" s="463"/>
      <c r="H25" s="463"/>
    </row>
    <row r="26" spans="1:8" ht="21" x14ac:dyDescent="0.25">
      <c r="A26" s="470" t="s">
        <v>208</v>
      </c>
      <c r="B26" s="467">
        <v>0</v>
      </c>
      <c r="C26" s="471">
        <v>2.6944684E-2</v>
      </c>
      <c r="D26" s="472">
        <v>0</v>
      </c>
      <c r="E26" s="463">
        <v>0.62503473099999995</v>
      </c>
      <c r="F26" s="463"/>
      <c r="G26" s="463"/>
      <c r="H26" s="463"/>
    </row>
    <row r="27" spans="1:8" ht="21" x14ac:dyDescent="0.25">
      <c r="A27" s="470" t="s">
        <v>210</v>
      </c>
      <c r="B27" s="467">
        <v>0</v>
      </c>
      <c r="C27" s="471">
        <v>0</v>
      </c>
      <c r="D27" s="472">
        <v>0</v>
      </c>
      <c r="E27" s="463">
        <v>0</v>
      </c>
      <c r="F27" s="463"/>
      <c r="G27" s="463"/>
      <c r="H27" s="463"/>
    </row>
    <row r="28" spans="1:8" ht="21" x14ac:dyDescent="0.25">
      <c r="A28" s="470" t="s">
        <v>280</v>
      </c>
      <c r="B28" s="467">
        <v>24345</v>
      </c>
      <c r="C28" s="471">
        <v>0</v>
      </c>
      <c r="D28" s="472">
        <v>24345</v>
      </c>
      <c r="E28" s="463">
        <v>0.65</v>
      </c>
      <c r="F28" s="463"/>
      <c r="G28" s="463"/>
      <c r="H28" s="463"/>
    </row>
    <row r="29" spans="1:8" ht="21" x14ac:dyDescent="0.25">
      <c r="A29" s="470" t="s">
        <v>212</v>
      </c>
      <c r="B29" s="467">
        <v>24345</v>
      </c>
      <c r="C29" s="471">
        <v>0</v>
      </c>
      <c r="D29" s="472">
        <v>24345</v>
      </c>
      <c r="E29" s="463">
        <v>0.65</v>
      </c>
      <c r="F29" s="463"/>
      <c r="G29" s="463"/>
      <c r="H29" s="463"/>
    </row>
    <row r="30" spans="1:8" ht="21" x14ac:dyDescent="0.25">
      <c r="A30" s="470" t="s">
        <v>213</v>
      </c>
      <c r="B30" s="467">
        <v>0</v>
      </c>
      <c r="C30" s="471">
        <v>0</v>
      </c>
      <c r="D30" s="472">
        <v>0</v>
      </c>
      <c r="E30" s="463">
        <v>0</v>
      </c>
      <c r="F30" s="463"/>
      <c r="G30" s="463"/>
      <c r="H30" s="463"/>
    </row>
    <row r="31" spans="1:8" ht="21" x14ac:dyDescent="0.25">
      <c r="A31" s="470" t="s">
        <v>214</v>
      </c>
      <c r="B31" s="467">
        <v>0</v>
      </c>
      <c r="C31" s="471">
        <v>0</v>
      </c>
      <c r="D31" s="472">
        <v>0</v>
      </c>
      <c r="E31" s="463">
        <v>0</v>
      </c>
      <c r="F31" s="463"/>
      <c r="G31" s="463"/>
      <c r="H31" s="463"/>
    </row>
    <row r="32" spans="1:8" ht="21" x14ac:dyDescent="0.25">
      <c r="A32" s="470" t="s">
        <v>219</v>
      </c>
      <c r="B32" s="467">
        <v>0</v>
      </c>
      <c r="C32" s="471">
        <v>0</v>
      </c>
      <c r="D32" s="472">
        <v>0</v>
      </c>
      <c r="E32" s="463">
        <v>0</v>
      </c>
      <c r="F32" s="463"/>
      <c r="G32" s="463"/>
      <c r="H32" s="463"/>
    </row>
    <row r="33" spans="1:8" ht="21" x14ac:dyDescent="0.25">
      <c r="A33" s="470" t="s">
        <v>220</v>
      </c>
      <c r="B33" s="467">
        <v>0</v>
      </c>
      <c r="C33" s="471">
        <v>0</v>
      </c>
      <c r="D33" s="472">
        <v>0</v>
      </c>
      <c r="E33" s="463">
        <v>0</v>
      </c>
      <c r="F33" s="463"/>
      <c r="G33" s="463"/>
      <c r="H33" s="463"/>
    </row>
    <row r="34" spans="1:8" ht="21" x14ac:dyDescent="0.25">
      <c r="A34" s="473" t="s">
        <v>281</v>
      </c>
      <c r="B34" s="463">
        <v>0</v>
      </c>
      <c r="C34" s="463">
        <v>0</v>
      </c>
      <c r="D34" s="463">
        <v>0</v>
      </c>
      <c r="E34" s="463">
        <v>0</v>
      </c>
      <c r="F34" s="463"/>
      <c r="G34" s="463"/>
      <c r="H34" s="463"/>
    </row>
    <row r="35" spans="1:8" ht="21" x14ac:dyDescent="0.25">
      <c r="A35" s="473" t="s">
        <v>224</v>
      </c>
      <c r="B35" s="463">
        <v>0</v>
      </c>
      <c r="C35" s="463">
        <v>0</v>
      </c>
      <c r="D35" s="463">
        <v>0</v>
      </c>
      <c r="E35" s="463">
        <v>0</v>
      </c>
      <c r="F35" s="463"/>
      <c r="G35" s="463"/>
      <c r="H35" s="463"/>
    </row>
    <row r="36" spans="1:8" ht="21" x14ac:dyDescent="0.25">
      <c r="A36" s="473" t="s">
        <v>226</v>
      </c>
      <c r="B36" s="463">
        <v>0</v>
      </c>
      <c r="C36" s="463">
        <v>0</v>
      </c>
      <c r="D36" s="463">
        <v>0</v>
      </c>
      <c r="E36" s="463">
        <v>0</v>
      </c>
      <c r="F36" s="463"/>
      <c r="G36" s="463"/>
      <c r="H36" s="463"/>
    </row>
    <row r="37" spans="1:8" ht="21" x14ac:dyDescent="0.25">
      <c r="A37" s="473" t="s">
        <v>228</v>
      </c>
      <c r="B37" s="463">
        <v>0</v>
      </c>
      <c r="C37" s="463">
        <v>0</v>
      </c>
      <c r="D37" s="463">
        <v>0</v>
      </c>
      <c r="E37" s="463">
        <v>0</v>
      </c>
      <c r="F37" s="463"/>
      <c r="G37" s="463"/>
      <c r="H37" s="463"/>
    </row>
    <row r="38" spans="1:8" ht="21" x14ac:dyDescent="0.25">
      <c r="A38" s="473" t="s">
        <v>92</v>
      </c>
      <c r="B38" s="463">
        <v>149936</v>
      </c>
      <c r="C38" s="463">
        <v>150934.60122179985</v>
      </c>
      <c r="D38" s="463">
        <v>998.60122179985046</v>
      </c>
      <c r="E38" s="463">
        <v>9.6968121743781464E-3</v>
      </c>
      <c r="F38" s="463">
        <v>1453.9012301775617</v>
      </c>
      <c r="G38" s="463">
        <v>149616.65539018225</v>
      </c>
      <c r="H38" s="463">
        <v>148482.09876982245</v>
      </c>
    </row>
    <row r="39" spans="1:8" ht="21" x14ac:dyDescent="0.25">
      <c r="A39" s="473" t="s">
        <v>93</v>
      </c>
      <c r="B39" s="463">
        <v>435765</v>
      </c>
      <c r="C39" s="463">
        <v>395462.99999999988</v>
      </c>
      <c r="D39" s="463">
        <v>-40302.000000000116</v>
      </c>
      <c r="E39" s="463">
        <v>9.6713366074297497E-3</v>
      </c>
      <c r="F39" s="463">
        <v>149046.44449790861</v>
      </c>
      <c r="G39" s="463">
        <v>434139.57238202594</v>
      </c>
      <c r="H39" s="463">
        <v>431550.57000326336</v>
      </c>
    </row>
    <row r="40" spans="1:8" ht="21" x14ac:dyDescent="0.25">
      <c r="A40" s="473" t="s">
        <v>282</v>
      </c>
      <c r="B40" s="463">
        <v>0</v>
      </c>
      <c r="C40" s="463">
        <v>-2927.9471969604492</v>
      </c>
      <c r="D40" s="463">
        <v>-2927.9471969604492</v>
      </c>
      <c r="E40" s="463">
        <v>8.6E-3</v>
      </c>
      <c r="F40" s="463">
        <v>8030.3399999999992</v>
      </c>
      <c r="G40" s="463">
        <v>0</v>
      </c>
      <c r="H40" s="463">
        <v>0</v>
      </c>
    </row>
    <row r="41" spans="1:8" ht="21" x14ac:dyDescent="0.25">
      <c r="A41" s="473" t="s">
        <v>283</v>
      </c>
      <c r="B41" s="463">
        <v>0</v>
      </c>
      <c r="C41" s="463">
        <v>-1980</v>
      </c>
      <c r="D41" s="463">
        <v>-1980</v>
      </c>
      <c r="E41" s="463">
        <v>0</v>
      </c>
      <c r="F41" s="463">
        <v>2700</v>
      </c>
      <c r="G41" s="463">
        <v>0</v>
      </c>
      <c r="H41" s="463">
        <v>0</v>
      </c>
    </row>
    <row r="42" spans="1:8" ht="21" x14ac:dyDescent="0.25">
      <c r="A42" s="473" t="s">
        <v>107</v>
      </c>
      <c r="B42" s="463">
        <v>48104</v>
      </c>
      <c r="C42" s="463">
        <v>147374.00000000003</v>
      </c>
      <c r="D42" s="463">
        <v>99270.000000000029</v>
      </c>
      <c r="E42" s="463">
        <v>7.6449041795111791E-2</v>
      </c>
      <c r="F42" s="463">
        <v>-350455.26435521792</v>
      </c>
      <c r="G42" s="463">
        <v>46202.702648706152</v>
      </c>
      <c r="H42" s="463">
        <v>44426.49529348794</v>
      </c>
    </row>
    <row r="43" spans="1:8" ht="21" x14ac:dyDescent="0.25">
      <c r="A43" s="473" t="s">
        <v>284</v>
      </c>
      <c r="B43" s="463">
        <v>0</v>
      </c>
      <c r="C43" s="463">
        <v>0</v>
      </c>
      <c r="D43" s="463">
        <v>0</v>
      </c>
      <c r="E43" s="463">
        <v>0</v>
      </c>
      <c r="F43" s="463">
        <v>0</v>
      </c>
      <c r="G43" s="463">
        <v>0</v>
      </c>
      <c r="H43" s="463">
        <v>0</v>
      </c>
    </row>
    <row r="44" spans="1:8" ht="21" x14ac:dyDescent="0.25">
      <c r="A44" s="474" t="s">
        <v>109</v>
      </c>
      <c r="B44" s="475">
        <v>65746</v>
      </c>
      <c r="C44" s="476">
        <v>14273.091962099075</v>
      </c>
      <c r="D44" s="477">
        <v>-51472.908037900925</v>
      </c>
      <c r="E44" s="463">
        <v>5.0000000000000001E-3</v>
      </c>
      <c r="F44" s="463">
        <v>-275163.13804390526</v>
      </c>
      <c r="G44" s="463">
        <v>67260.881143905281</v>
      </c>
      <c r="H44" s="463">
        <v>65417.27</v>
      </c>
    </row>
    <row r="45" spans="1:8" ht="21" x14ac:dyDescent="0.25">
      <c r="A45" s="478" t="s">
        <v>285</v>
      </c>
      <c r="B45" s="479">
        <v>24742</v>
      </c>
      <c r="C45" s="480">
        <v>12095.744312286377</v>
      </c>
      <c r="D45" s="480">
        <v>-12646.255687713623</v>
      </c>
      <c r="E45" s="463">
        <v>5.0000000000000001E-3</v>
      </c>
      <c r="F45" s="463">
        <v>-364.17</v>
      </c>
      <c r="G45" s="463">
        <v>24982.46</v>
      </c>
      <c r="H45" s="463">
        <v>24618.29</v>
      </c>
    </row>
    <row r="46" spans="1:8" ht="21" x14ac:dyDescent="0.25">
      <c r="A46" s="478" t="s">
        <v>286</v>
      </c>
      <c r="B46" s="479">
        <v>2203</v>
      </c>
      <c r="C46" s="480">
        <v>1837.2749805450439</v>
      </c>
      <c r="D46" s="480">
        <v>-365.72501945495605</v>
      </c>
      <c r="E46" s="463">
        <v>3.5000000000000003E-2</v>
      </c>
      <c r="F46" s="463">
        <v>2125.4149139356614</v>
      </c>
      <c r="G46" s="463">
        <v>0.48008606433868406</v>
      </c>
      <c r="H46" s="463">
        <v>2125.895</v>
      </c>
    </row>
    <row r="47" spans="1:8" ht="21" x14ac:dyDescent="0.25">
      <c r="A47" s="497" t="s">
        <v>287</v>
      </c>
      <c r="B47" s="498">
        <v>0</v>
      </c>
      <c r="C47" s="499">
        <v>0</v>
      </c>
      <c r="D47" s="499">
        <v>0</v>
      </c>
      <c r="E47" s="492">
        <v>0</v>
      </c>
      <c r="F47" s="492">
        <v>0</v>
      </c>
      <c r="G47" s="492">
        <v>0</v>
      </c>
      <c r="H47" s="492">
        <v>0</v>
      </c>
    </row>
    <row r="48" spans="1:8" ht="21" x14ac:dyDescent="0.25">
      <c r="A48" s="587" t="s">
        <v>221</v>
      </c>
      <c r="B48" s="587">
        <v>0</v>
      </c>
      <c r="C48" s="481">
        <v>115642</v>
      </c>
      <c r="D48" s="481">
        <v>112764</v>
      </c>
      <c r="E48" s="482"/>
      <c r="F48" s="483">
        <v>68.849999999999994</v>
      </c>
      <c r="G48" s="483">
        <v>7.7</v>
      </c>
      <c r="H48" s="463"/>
    </row>
    <row r="49" spans="1:9" ht="21" x14ac:dyDescent="0.25">
      <c r="A49" s="587" t="s">
        <v>223</v>
      </c>
      <c r="B49" s="587">
        <v>0</v>
      </c>
      <c r="C49" s="484">
        <v>0</v>
      </c>
      <c r="D49" s="484">
        <v>0</v>
      </c>
      <c r="E49" s="482"/>
      <c r="F49" s="483">
        <v>68.77</v>
      </c>
      <c r="G49" s="483">
        <v>7.74</v>
      </c>
      <c r="H49" s="463"/>
    </row>
    <row r="50" spans="1:9" ht="21" x14ac:dyDescent="0.25">
      <c r="A50" s="587" t="s">
        <v>225</v>
      </c>
      <c r="B50" s="587">
        <v>0</v>
      </c>
      <c r="C50" s="484">
        <v>0</v>
      </c>
      <c r="D50" s="484">
        <v>0</v>
      </c>
      <c r="E50" s="482"/>
      <c r="F50" s="483">
        <v>69.150000000000006</v>
      </c>
      <c r="G50" s="483">
        <v>7.37</v>
      </c>
      <c r="H50" s="463"/>
    </row>
    <row r="51" spans="1:9" ht="21" x14ac:dyDescent="0.25">
      <c r="A51" s="587" t="s">
        <v>227</v>
      </c>
      <c r="B51" s="587">
        <v>0</v>
      </c>
      <c r="C51" s="484">
        <v>0</v>
      </c>
      <c r="D51" s="484">
        <v>0</v>
      </c>
      <c r="E51" s="482"/>
      <c r="F51" s="483">
        <v>69.150000000000006</v>
      </c>
      <c r="G51" s="483">
        <v>7.37</v>
      </c>
      <c r="H51" s="463"/>
    </row>
    <row r="52" spans="1:9" ht="21" x14ac:dyDescent="0.25">
      <c r="A52" s="587" t="s">
        <v>221</v>
      </c>
      <c r="B52" s="587">
        <v>0</v>
      </c>
      <c r="C52" s="485">
        <v>0</v>
      </c>
      <c r="D52" s="485">
        <v>0</v>
      </c>
      <c r="E52" s="482"/>
      <c r="F52" s="483">
        <v>65.34</v>
      </c>
      <c r="G52" s="483">
        <v>1.1200000000000001</v>
      </c>
      <c r="H52" s="463"/>
    </row>
    <row r="53" spans="1:9" ht="21" x14ac:dyDescent="0.25">
      <c r="A53" s="587" t="s">
        <v>223</v>
      </c>
      <c r="B53" s="587">
        <v>0</v>
      </c>
      <c r="C53" s="485">
        <v>0</v>
      </c>
      <c r="D53" s="485">
        <v>0</v>
      </c>
      <c r="E53" s="486"/>
      <c r="F53" s="483">
        <v>65.180000000000007</v>
      </c>
      <c r="G53" s="483">
        <v>0.69</v>
      </c>
      <c r="H53" s="463"/>
    </row>
    <row r="54" spans="1:9" ht="21" x14ac:dyDescent="0.25">
      <c r="A54" s="587" t="s">
        <v>225</v>
      </c>
      <c r="B54" s="587">
        <v>0</v>
      </c>
      <c r="C54" s="485">
        <v>0</v>
      </c>
      <c r="D54" s="487">
        <v>0</v>
      </c>
      <c r="E54" s="486"/>
      <c r="F54" s="483">
        <v>65.55</v>
      </c>
      <c r="G54" s="483">
        <v>0.71</v>
      </c>
      <c r="H54" s="463"/>
    </row>
    <row r="55" spans="1:9" ht="21" x14ac:dyDescent="0.25">
      <c r="A55" s="587" t="s">
        <v>227</v>
      </c>
      <c r="B55" s="587">
        <v>0</v>
      </c>
      <c r="C55" s="484">
        <v>0</v>
      </c>
      <c r="D55" s="484">
        <v>0</v>
      </c>
      <c r="E55" s="486"/>
      <c r="F55" s="483"/>
      <c r="G55" s="483"/>
      <c r="H55" s="463"/>
    </row>
    <row r="56" spans="1:9" ht="21" x14ac:dyDescent="0.25">
      <c r="A56" s="587" t="s">
        <v>221</v>
      </c>
      <c r="B56" s="587">
        <v>0</v>
      </c>
      <c r="C56" s="487">
        <v>62770</v>
      </c>
      <c r="D56" s="487">
        <v>65510</v>
      </c>
      <c r="E56" s="486"/>
      <c r="F56" s="483">
        <v>64.069999999999993</v>
      </c>
      <c r="G56" s="483">
        <v>1.19</v>
      </c>
      <c r="H56" s="463"/>
    </row>
    <row r="57" spans="1:9" ht="21" x14ac:dyDescent="0.25">
      <c r="A57" s="587" t="s">
        <v>223</v>
      </c>
      <c r="B57" s="587">
        <v>0</v>
      </c>
      <c r="C57" s="487">
        <v>136102</v>
      </c>
      <c r="D57" s="487">
        <v>139489</v>
      </c>
      <c r="E57" s="486"/>
      <c r="F57" s="483">
        <v>64.069999999999993</v>
      </c>
      <c r="G57" s="483">
        <v>1.19</v>
      </c>
      <c r="H57" s="463"/>
    </row>
    <row r="58" spans="1:9" ht="21" x14ac:dyDescent="0.25">
      <c r="A58" s="587" t="s">
        <v>225</v>
      </c>
      <c r="B58" s="587">
        <v>0</v>
      </c>
      <c r="C58" s="487">
        <v>0</v>
      </c>
      <c r="D58" s="487">
        <v>0</v>
      </c>
      <c r="E58" s="486"/>
      <c r="F58" s="483"/>
      <c r="G58" s="483"/>
      <c r="H58" s="463"/>
    </row>
    <row r="59" spans="1:9" ht="21" x14ac:dyDescent="0.25">
      <c r="A59" s="587" t="s">
        <v>227</v>
      </c>
      <c r="B59" s="587">
        <v>0</v>
      </c>
      <c r="C59" s="487">
        <v>0</v>
      </c>
      <c r="D59" s="487">
        <v>0</v>
      </c>
      <c r="E59" s="488"/>
      <c r="F59" s="483"/>
      <c r="G59" s="483"/>
      <c r="H59" s="463"/>
    </row>
    <row r="60" spans="1:9" ht="15.75" customHeight="1" x14ac:dyDescent="0.25">
      <c r="A60" s="587" t="s">
        <v>221</v>
      </c>
      <c r="B60" s="587">
        <v>0</v>
      </c>
      <c r="C60" s="484">
        <v>67282</v>
      </c>
      <c r="D60" s="484">
        <v>66000</v>
      </c>
      <c r="E60" s="486"/>
      <c r="F60" s="483"/>
      <c r="G60" s="483"/>
      <c r="H60" s="463"/>
    </row>
    <row r="61" spans="1:9" ht="15.75" customHeight="1" x14ac:dyDescent="0.25">
      <c r="A61" s="587" t="s">
        <v>223</v>
      </c>
      <c r="B61" s="587">
        <v>0</v>
      </c>
      <c r="C61" s="484">
        <v>0</v>
      </c>
      <c r="D61" s="484">
        <v>0</v>
      </c>
      <c r="E61" s="486"/>
      <c r="F61" s="483"/>
      <c r="G61" s="483"/>
      <c r="H61" s="463"/>
      <c r="I61" s="305"/>
    </row>
    <row r="62" spans="1:9" ht="15.75" customHeight="1" x14ac:dyDescent="0.25">
      <c r="A62" s="489"/>
      <c r="B62" s="489"/>
      <c r="C62" s="490"/>
      <c r="D62" s="491"/>
      <c r="E62" s="463"/>
      <c r="F62" s="463"/>
      <c r="G62" s="463"/>
      <c r="H62" s="463"/>
      <c r="I62" s="305"/>
    </row>
    <row r="63" spans="1:9" ht="15.75" customHeight="1" x14ac:dyDescent="0.25">
      <c r="A63" s="493"/>
      <c r="B63" s="493"/>
      <c r="C63" s="494"/>
      <c r="D63" s="495"/>
      <c r="E63" s="496"/>
      <c r="F63" s="496"/>
      <c r="G63" s="496"/>
      <c r="H63" s="496"/>
      <c r="I63" s="305"/>
    </row>
    <row r="64" spans="1:9" ht="15.75" customHeight="1" x14ac:dyDescent="0.25">
      <c r="A64" s="493"/>
      <c r="B64" s="493"/>
      <c r="C64" s="494"/>
      <c r="D64" s="495"/>
      <c r="E64" s="496"/>
      <c r="F64" s="496"/>
      <c r="G64" s="496"/>
      <c r="H64" s="496"/>
      <c r="I64" s="305"/>
    </row>
    <row r="65" spans="1:9" ht="15.75" customHeight="1" x14ac:dyDescent="0.2">
      <c r="A65" s="305"/>
      <c r="B65" s="305"/>
      <c r="C65" s="305"/>
      <c r="D65" s="305"/>
      <c r="E65" s="305"/>
      <c r="F65" s="305"/>
      <c r="G65" s="305"/>
      <c r="H65" s="305"/>
      <c r="I65" s="305"/>
    </row>
    <row r="66" spans="1:9" ht="15.75" customHeight="1" x14ac:dyDescent="0.2">
      <c r="A66" s="305"/>
      <c r="B66" s="305"/>
      <c r="C66" s="305"/>
      <c r="D66" s="305"/>
      <c r="E66" s="305"/>
      <c r="F66" s="305"/>
      <c r="G66" s="305"/>
      <c r="H66" s="305"/>
      <c r="I66" s="305"/>
    </row>
    <row r="67" spans="1:9" ht="15.75" customHeight="1" x14ac:dyDescent="0.2">
      <c r="A67" s="305"/>
      <c r="B67" s="305"/>
      <c r="C67" s="305"/>
      <c r="D67" s="305"/>
      <c r="E67" s="305"/>
      <c r="F67" s="305"/>
      <c r="G67" s="305"/>
      <c r="H67" s="305"/>
      <c r="I67" s="305"/>
    </row>
    <row r="68" spans="1:9" ht="15.75" customHeight="1" x14ac:dyDescent="0.2">
      <c r="A68" s="305"/>
      <c r="B68" s="305"/>
      <c r="C68" s="305"/>
      <c r="D68" s="305"/>
      <c r="E68" s="305"/>
      <c r="F68" s="305"/>
      <c r="G68" s="305"/>
      <c r="H68" s="305"/>
      <c r="I68" s="305"/>
    </row>
    <row r="69" spans="1:9" ht="15.75" customHeight="1" x14ac:dyDescent="0.2"/>
    <row r="70" spans="1:9" ht="15.75" customHeight="1" x14ac:dyDescent="0.2"/>
    <row r="71" spans="1:9" ht="15.75" customHeight="1" x14ac:dyDescent="0.2"/>
    <row r="72" spans="1:9" ht="15.75" customHeight="1" x14ac:dyDescent="0.2"/>
    <row r="73" spans="1:9" ht="15.75" customHeight="1" x14ac:dyDescent="0.2"/>
    <row r="74" spans="1:9" ht="15.75" customHeight="1" x14ac:dyDescent="0.2"/>
    <row r="75" spans="1:9" ht="15.75" customHeight="1" x14ac:dyDescent="0.2"/>
    <row r="76" spans="1:9" ht="15.75" customHeight="1" x14ac:dyDescent="0.2"/>
    <row r="77" spans="1:9" ht="15.75" customHeight="1" x14ac:dyDescent="0.2"/>
    <row r="78" spans="1:9" ht="15.75" customHeight="1" x14ac:dyDescent="0.2"/>
    <row r="79" spans="1:9" ht="15.75" customHeight="1" x14ac:dyDescent="0.2"/>
    <row r="80" spans="1: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4">
    <mergeCell ref="A53:B53"/>
    <mergeCell ref="A48:B48"/>
    <mergeCell ref="A49:B49"/>
    <mergeCell ref="A50:B50"/>
    <mergeCell ref="A51:B51"/>
    <mergeCell ref="A52:B52"/>
    <mergeCell ref="A60:B60"/>
    <mergeCell ref="A61:B61"/>
    <mergeCell ref="A54:B54"/>
    <mergeCell ref="A55:B55"/>
    <mergeCell ref="A56:B56"/>
    <mergeCell ref="A57:B57"/>
    <mergeCell ref="A58:B58"/>
    <mergeCell ref="A59:B59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8D08D"/>
    <outlinePr summaryBelow="0"/>
  </sheetPr>
  <dimension ref="A1:AK1000"/>
  <sheetViews>
    <sheetView workbookViewId="0">
      <selection sqref="A1:E32"/>
    </sheetView>
  </sheetViews>
  <sheetFormatPr baseColWidth="10" defaultColWidth="14.5" defaultRowHeight="15" customHeight="1" x14ac:dyDescent="0.2"/>
  <cols>
    <col min="1" max="3" width="10.83203125" customWidth="1"/>
    <col min="4" max="4" width="15.5" customWidth="1"/>
    <col min="5" max="5" width="14.1640625" customWidth="1"/>
    <col min="6" max="8" width="10.83203125" customWidth="1"/>
    <col min="9" max="9" width="5.5" customWidth="1"/>
    <col min="10" max="10" width="53.1640625" customWidth="1"/>
    <col min="11" max="15" width="10.83203125" customWidth="1"/>
    <col min="16" max="16" width="10.5" customWidth="1"/>
    <col min="17" max="19" width="10.83203125" customWidth="1"/>
    <col min="20" max="21" width="11.5" customWidth="1"/>
    <col min="22" max="22" width="8.1640625" customWidth="1"/>
    <col min="23" max="23" width="9.5" customWidth="1"/>
    <col min="24" max="24" width="11.83203125" customWidth="1"/>
    <col min="25" max="25" width="10.83203125" customWidth="1"/>
    <col min="26" max="26" width="11.83203125" customWidth="1"/>
    <col min="27" max="29" width="10.83203125" customWidth="1"/>
    <col min="30" max="34" width="8.33203125" customWidth="1"/>
    <col min="35" max="35" width="10.83203125" customWidth="1"/>
    <col min="36" max="36" width="9.5" customWidth="1"/>
    <col min="37" max="37" width="30.6640625" customWidth="1"/>
  </cols>
  <sheetData>
    <row r="1" spans="1:37" x14ac:dyDescent="0.2">
      <c r="A1">
        <v>388479</v>
      </c>
      <c r="B1">
        <v>388479</v>
      </c>
      <c r="C1" s="301">
        <v>61.25</v>
      </c>
      <c r="D1" s="301">
        <v>61.631580448000001</v>
      </c>
      <c r="E1" s="421">
        <v>9.2167453407737462E-3</v>
      </c>
      <c r="F1" s="422">
        <f t="shared" ref="F1:F27" si="0">D1*B1</f>
        <v>23942574.740858592</v>
      </c>
      <c r="G1" s="294"/>
      <c r="H1" s="298" t="s">
        <v>170</v>
      </c>
      <c r="I1" s="88"/>
      <c r="J1" s="88"/>
      <c r="K1" s="88">
        <f>C1/100</f>
        <v>0.61250000000000004</v>
      </c>
      <c r="L1" s="88"/>
      <c r="M1" s="88"/>
      <c r="N1" s="88"/>
      <c r="O1" s="88"/>
      <c r="P1" s="88"/>
      <c r="Q1" s="88"/>
      <c r="R1" s="86"/>
      <c r="S1" s="86"/>
      <c r="T1" s="1"/>
      <c r="U1" s="1"/>
      <c r="V1" s="1"/>
      <c r="W1" s="1"/>
      <c r="X1" s="1"/>
      <c r="Y1" s="1"/>
      <c r="Z1" s="1"/>
    </row>
    <row r="2" spans="1:37" x14ac:dyDescent="0.2">
      <c r="A2">
        <v>163082</v>
      </c>
      <c r="B2">
        <v>163082</v>
      </c>
      <c r="C2" s="301">
        <v>63.3</v>
      </c>
      <c r="D2" s="301">
        <v>63.392359511000002</v>
      </c>
      <c r="E2" s="421">
        <v>9.5300999999999997E-3</v>
      </c>
      <c r="F2" s="422">
        <f t="shared" si="0"/>
        <v>10338152.773772903</v>
      </c>
      <c r="G2" s="294"/>
      <c r="H2" s="298" t="s">
        <v>171</v>
      </c>
      <c r="I2" s="88"/>
      <c r="J2" s="88"/>
      <c r="K2" s="88"/>
      <c r="L2" s="88"/>
      <c r="M2" s="88"/>
      <c r="N2" s="88"/>
      <c r="O2" s="88"/>
      <c r="P2" s="88"/>
      <c r="Q2" s="88"/>
      <c r="R2" s="86"/>
      <c r="S2" s="86"/>
      <c r="T2" s="1"/>
      <c r="U2" s="1"/>
      <c r="V2" s="1"/>
      <c r="W2" s="1"/>
      <c r="X2" s="1"/>
      <c r="Y2" s="1"/>
      <c r="Z2" s="1"/>
    </row>
    <row r="3" spans="1:37" ht="51" customHeight="1" x14ac:dyDescent="0.2">
      <c r="A3">
        <v>202642</v>
      </c>
      <c r="B3">
        <v>202642</v>
      </c>
      <c r="C3" s="301">
        <v>63.7</v>
      </c>
      <c r="D3" s="301">
        <v>63.386387507999999</v>
      </c>
      <c r="E3" s="421">
        <v>1.15E-2</v>
      </c>
      <c r="F3" s="422">
        <f t="shared" si="0"/>
        <v>12844744.337396136</v>
      </c>
      <c r="G3" s="295"/>
      <c r="H3" s="298" t="s">
        <v>172</v>
      </c>
      <c r="I3" s="89"/>
      <c r="J3" s="89"/>
      <c r="K3" s="90"/>
      <c r="L3" s="90"/>
      <c r="M3" s="90"/>
      <c r="N3" s="90"/>
      <c r="O3" s="90"/>
      <c r="P3" s="90"/>
      <c r="Q3" s="90"/>
      <c r="R3" s="91"/>
      <c r="S3" s="91"/>
      <c r="T3" s="7"/>
      <c r="U3" s="7"/>
      <c r="V3" s="7"/>
      <c r="W3" s="7"/>
      <c r="X3" s="7"/>
      <c r="Y3" s="7"/>
      <c r="Z3" s="7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ht="82.5" customHeight="1" x14ac:dyDescent="0.2">
      <c r="A4">
        <v>225397</v>
      </c>
      <c r="B4">
        <v>225397</v>
      </c>
      <c r="C4" s="301">
        <v>59.76</v>
      </c>
      <c r="D4" s="301">
        <v>60.357599999999998</v>
      </c>
      <c r="E4" s="421">
        <v>8.9899000000000003E-3</v>
      </c>
      <c r="F4" s="422">
        <f t="shared" si="0"/>
        <v>13604421.9672</v>
      </c>
      <c r="G4" s="295"/>
      <c r="H4" s="298" t="s">
        <v>173</v>
      </c>
      <c r="I4" s="88"/>
      <c r="J4" s="88"/>
      <c r="K4" s="88"/>
      <c r="L4" s="88"/>
      <c r="M4" s="88"/>
      <c r="N4" s="88"/>
      <c r="O4" s="88"/>
      <c r="P4" s="88"/>
      <c r="Q4" s="88"/>
      <c r="R4" s="86"/>
      <c r="S4" s="86"/>
      <c r="T4" s="1"/>
      <c r="U4" s="1"/>
      <c r="V4" s="1"/>
      <c r="W4" s="1"/>
      <c r="X4" s="1"/>
      <c r="Y4" s="1"/>
      <c r="Z4" s="1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x14ac:dyDescent="0.2">
      <c r="A5">
        <v>228628</v>
      </c>
      <c r="B5">
        <v>228628</v>
      </c>
      <c r="C5" s="301">
        <v>60.29</v>
      </c>
      <c r="D5" s="301">
        <v>59.687100000000001</v>
      </c>
      <c r="E5" s="421">
        <v>8.9899000000000003E-3</v>
      </c>
      <c r="F5" s="422">
        <f t="shared" si="0"/>
        <v>13646142.298800001</v>
      </c>
      <c r="G5" s="294"/>
      <c r="H5" s="299" t="s">
        <v>138</v>
      </c>
      <c r="I5" s="88"/>
      <c r="J5" s="88"/>
      <c r="K5" s="88"/>
      <c r="L5" s="88"/>
      <c r="M5" s="88"/>
      <c r="N5" s="88"/>
      <c r="O5" s="88"/>
      <c r="P5" s="88"/>
      <c r="Q5" s="88"/>
      <c r="R5" s="86"/>
      <c r="S5" s="86"/>
      <c r="T5" s="1"/>
      <c r="U5" s="1"/>
      <c r="V5" s="1"/>
      <c r="W5" s="1"/>
      <c r="X5" s="1"/>
      <c r="Y5" s="1"/>
      <c r="Z5" s="1"/>
    </row>
    <row r="6" spans="1:37" x14ac:dyDescent="0.2">
      <c r="A6">
        <v>-2903</v>
      </c>
      <c r="B6">
        <v>-4354.5</v>
      </c>
      <c r="C6" s="301">
        <v>60.29</v>
      </c>
      <c r="D6" s="301">
        <v>63.304499999999997</v>
      </c>
      <c r="E6" s="421">
        <v>8.6E-3</v>
      </c>
      <c r="F6" s="422">
        <f t="shared" si="0"/>
        <v>-275659.44524999999</v>
      </c>
      <c r="G6" s="294"/>
      <c r="H6" s="299" t="s">
        <v>8</v>
      </c>
      <c r="I6" s="88"/>
      <c r="J6" s="88"/>
      <c r="K6" s="88"/>
      <c r="L6" s="88"/>
      <c r="M6" s="88"/>
      <c r="N6" s="88"/>
      <c r="O6" s="88"/>
      <c r="P6" s="88"/>
      <c r="Q6" s="88"/>
      <c r="R6" s="86"/>
      <c r="S6" s="86"/>
      <c r="T6" s="1"/>
      <c r="U6" s="1"/>
      <c r="V6" s="1"/>
      <c r="W6" s="1"/>
      <c r="X6" s="1"/>
      <c r="Y6" s="1"/>
      <c r="Z6" s="1"/>
    </row>
    <row r="7" spans="1:37" x14ac:dyDescent="0.2">
      <c r="A7">
        <v>231530</v>
      </c>
      <c r="B7">
        <v>229834.02368000001</v>
      </c>
      <c r="C7" s="301">
        <v>58.82</v>
      </c>
      <c r="D7" s="301">
        <v>60.589335206999998</v>
      </c>
      <c r="E7" s="421">
        <v>7.6E-3</v>
      </c>
      <c r="F7" s="422">
        <f t="shared" si="0"/>
        <v>13925490.702721097</v>
      </c>
      <c r="G7" s="294"/>
      <c r="H7" s="299" t="s">
        <v>139</v>
      </c>
      <c r="I7" s="88"/>
      <c r="J7" s="88"/>
      <c r="K7" s="88"/>
      <c r="L7" s="88"/>
      <c r="M7" s="88"/>
      <c r="N7" s="88"/>
      <c r="O7" s="88"/>
      <c r="P7" s="88"/>
      <c r="Q7" s="88"/>
      <c r="R7" s="86"/>
      <c r="S7" s="86"/>
      <c r="T7" s="1"/>
      <c r="U7" s="1"/>
      <c r="V7" s="1"/>
      <c r="W7" s="1"/>
      <c r="X7" s="1"/>
      <c r="Y7" s="1"/>
      <c r="Z7" s="1"/>
    </row>
    <row r="8" spans="1:37" x14ac:dyDescent="0.2">
      <c r="A8">
        <v>-2106</v>
      </c>
      <c r="B8">
        <v>-2106</v>
      </c>
      <c r="C8" s="301">
        <v>68.650000000000006</v>
      </c>
      <c r="D8" s="301">
        <v>68.650000000000006</v>
      </c>
      <c r="E8" s="421">
        <v>0</v>
      </c>
      <c r="F8" s="422">
        <f t="shared" si="0"/>
        <v>-144576.90000000002</v>
      </c>
      <c r="G8" s="294"/>
      <c r="H8" s="299" t="s">
        <v>87</v>
      </c>
      <c r="I8" s="88"/>
      <c r="J8" s="88"/>
      <c r="K8" s="88"/>
      <c r="L8" s="88"/>
      <c r="M8" s="88"/>
      <c r="N8" s="88"/>
      <c r="O8" s="88"/>
      <c r="P8" s="88"/>
      <c r="Q8" s="88"/>
      <c r="R8" s="86"/>
      <c r="S8" s="86"/>
      <c r="T8" s="1"/>
      <c r="U8" s="1"/>
      <c r="V8" s="1"/>
      <c r="W8" s="1"/>
      <c r="X8" s="1"/>
      <c r="Y8" s="1"/>
      <c r="Z8" s="1"/>
    </row>
    <row r="9" spans="1:37" x14ac:dyDescent="0.2">
      <c r="A9">
        <v>1021</v>
      </c>
      <c r="B9">
        <v>969.95</v>
      </c>
      <c r="C9" s="301">
        <v>11.31</v>
      </c>
      <c r="D9" s="301">
        <v>11.196899999999999</v>
      </c>
      <c r="E9" s="421">
        <v>0</v>
      </c>
      <c r="F9" s="422">
        <f t="shared" si="0"/>
        <v>10860.433155000001</v>
      </c>
      <c r="G9" s="294"/>
      <c r="H9" s="299" t="s">
        <v>140</v>
      </c>
      <c r="I9" s="88"/>
      <c r="J9" s="88"/>
      <c r="K9" s="88"/>
      <c r="L9" s="88"/>
      <c r="M9" s="88"/>
      <c r="N9" s="88"/>
      <c r="O9" s="88"/>
      <c r="P9" s="88"/>
      <c r="Q9" s="88"/>
      <c r="R9" s="86"/>
      <c r="S9" s="86"/>
      <c r="T9" s="1"/>
      <c r="U9" s="1"/>
      <c r="V9" s="1"/>
      <c r="W9" s="1"/>
      <c r="X9" s="1"/>
      <c r="Y9" s="1"/>
      <c r="Z9" s="1"/>
    </row>
    <row r="10" spans="1:37" x14ac:dyDescent="0.2">
      <c r="A10">
        <v>23778</v>
      </c>
      <c r="B10">
        <v>21060.023684</v>
      </c>
      <c r="C10" s="301">
        <v>11.31</v>
      </c>
      <c r="D10" s="301">
        <v>10.7445</v>
      </c>
      <c r="E10" s="421">
        <v>0</v>
      </c>
      <c r="F10" s="422">
        <f t="shared" si="0"/>
        <v>226279.424472738</v>
      </c>
      <c r="G10" s="294"/>
      <c r="H10" s="299" t="s">
        <v>141</v>
      </c>
      <c r="I10" s="88"/>
      <c r="J10" s="88"/>
      <c r="K10" s="88"/>
      <c r="L10" s="88"/>
      <c r="M10" s="88"/>
      <c r="N10" s="88"/>
      <c r="O10" s="88"/>
      <c r="P10" s="88"/>
      <c r="Q10" s="88"/>
      <c r="R10" s="86"/>
      <c r="S10" s="86"/>
      <c r="T10" s="1"/>
      <c r="U10" s="1"/>
      <c r="V10" s="1"/>
      <c r="W10" s="1"/>
      <c r="X10" s="1"/>
      <c r="Y10" s="1"/>
      <c r="Z10" s="1"/>
    </row>
    <row r="11" spans="1:37" x14ac:dyDescent="0.2">
      <c r="A11" s="298">
        <v>22756</v>
      </c>
      <c r="B11" s="298">
        <v>20480.400000000001</v>
      </c>
      <c r="C11" s="302">
        <v>11.31</v>
      </c>
      <c r="D11" s="302">
        <v>10.5183</v>
      </c>
      <c r="E11" s="421">
        <v>0</v>
      </c>
      <c r="F11" s="422">
        <f t="shared" si="0"/>
        <v>215418.99132</v>
      </c>
      <c r="G11" s="294"/>
      <c r="H11" s="299" t="s">
        <v>197</v>
      </c>
      <c r="I11" s="88"/>
      <c r="J11" s="88"/>
      <c r="K11" s="88"/>
      <c r="L11" s="88"/>
      <c r="M11" s="88"/>
      <c r="N11" s="88"/>
      <c r="O11" s="88"/>
      <c r="P11" s="88"/>
      <c r="Q11" s="88"/>
      <c r="R11" s="86"/>
      <c r="S11" s="86"/>
      <c r="T11" s="1"/>
      <c r="U11" s="1"/>
      <c r="V11" s="1"/>
      <c r="W11" s="1"/>
      <c r="X11" s="1"/>
      <c r="Y11" s="1"/>
      <c r="Z11" s="1"/>
    </row>
    <row r="12" spans="1:37" x14ac:dyDescent="0.2">
      <c r="A12">
        <v>208774</v>
      </c>
      <c r="B12">
        <v>208774</v>
      </c>
      <c r="C12" s="301">
        <v>68.7</v>
      </c>
      <c r="D12" s="301">
        <v>66.638999999999996</v>
      </c>
      <c r="E12" s="421">
        <v>9.9546339989804444E-3</v>
      </c>
      <c r="F12" s="422">
        <f t="shared" si="0"/>
        <v>13912490.585999999</v>
      </c>
      <c r="G12" s="294"/>
      <c r="H12" s="299" t="s">
        <v>259</v>
      </c>
      <c r="I12" s="88"/>
      <c r="J12" s="88"/>
      <c r="K12" s="88"/>
      <c r="L12" s="88"/>
      <c r="M12" s="88"/>
      <c r="N12" s="88"/>
      <c r="O12" s="88"/>
      <c r="P12" s="88"/>
      <c r="Q12" s="88"/>
      <c r="R12" s="86"/>
      <c r="S12" s="86"/>
      <c r="T12" s="1"/>
      <c r="U12" s="1"/>
      <c r="V12" s="1"/>
      <c r="W12" s="1"/>
      <c r="X12" s="1"/>
      <c r="Y12" s="1"/>
      <c r="Z12" s="1"/>
    </row>
    <row r="13" spans="1:37" x14ac:dyDescent="0.2">
      <c r="A13">
        <v>210880</v>
      </c>
      <c r="B13">
        <v>210880</v>
      </c>
      <c r="C13" s="159">
        <v>68.650000000000006</v>
      </c>
      <c r="D13" s="159">
        <v>67.963499999999996</v>
      </c>
      <c r="E13" s="421">
        <v>8.3495571339466099E-2</v>
      </c>
      <c r="F13" s="422">
        <f t="shared" si="0"/>
        <v>14332142.879999999</v>
      </c>
      <c r="G13" s="294"/>
      <c r="H13" s="299" t="s">
        <v>174</v>
      </c>
      <c r="I13" s="88"/>
      <c r="J13" s="88"/>
      <c r="K13" s="88"/>
      <c r="L13" s="88"/>
      <c r="M13" s="88"/>
      <c r="N13" s="88"/>
      <c r="O13" s="88"/>
      <c r="P13" s="88"/>
      <c r="Q13" s="88"/>
      <c r="R13" s="86"/>
      <c r="S13" s="86"/>
      <c r="T13" s="1"/>
      <c r="U13" s="1"/>
      <c r="V13" s="1"/>
      <c r="W13" s="1"/>
      <c r="X13" s="1"/>
      <c r="Y13" s="1"/>
      <c r="Z13" s="1"/>
    </row>
    <row r="14" spans="1:37" x14ac:dyDescent="0.2">
      <c r="A14">
        <v>0</v>
      </c>
      <c r="B14">
        <v>0</v>
      </c>
      <c r="C14" s="159">
        <v>58</v>
      </c>
      <c r="D14" s="159">
        <v>58</v>
      </c>
      <c r="E14" s="421">
        <v>0</v>
      </c>
      <c r="F14" s="422">
        <f t="shared" si="0"/>
        <v>0</v>
      </c>
      <c r="G14" s="294"/>
      <c r="H14" s="299" t="s">
        <v>176</v>
      </c>
      <c r="I14" s="88"/>
      <c r="J14" s="88"/>
      <c r="K14" s="88"/>
      <c r="L14" s="88"/>
      <c r="M14" s="88"/>
      <c r="N14" s="88"/>
      <c r="O14" s="88"/>
      <c r="P14" s="88"/>
      <c r="Q14" s="88"/>
      <c r="R14" s="86"/>
      <c r="S14" s="86"/>
      <c r="T14" s="1"/>
      <c r="U14" s="1"/>
      <c r="V14" s="1"/>
      <c r="W14" s="1"/>
      <c r="X14" s="1"/>
      <c r="Y14" s="1"/>
      <c r="Z14" s="1"/>
    </row>
    <row r="15" spans="1:37" x14ac:dyDescent="0.2">
      <c r="A15">
        <v>192143</v>
      </c>
      <c r="B15">
        <v>192143</v>
      </c>
      <c r="C15" s="157">
        <v>68.650000000000006</v>
      </c>
      <c r="D15" s="157">
        <v>68.650000000000006</v>
      </c>
      <c r="E15" s="421">
        <v>8.3495571339466099E-2</v>
      </c>
      <c r="F15" s="422">
        <f t="shared" si="0"/>
        <v>13190616.950000001</v>
      </c>
      <c r="G15" s="294"/>
      <c r="H15" s="299" t="s">
        <v>142</v>
      </c>
      <c r="I15" s="88"/>
      <c r="J15" s="88"/>
      <c r="K15" s="88"/>
      <c r="L15" s="88"/>
      <c r="M15" s="88"/>
      <c r="N15" s="88"/>
      <c r="O15" s="88"/>
      <c r="P15" s="88"/>
      <c r="Q15" s="88"/>
      <c r="R15" s="86"/>
      <c r="S15" s="86"/>
      <c r="T15" s="1"/>
      <c r="U15" s="1"/>
      <c r="V15" s="1"/>
      <c r="W15" s="1"/>
      <c r="X15" s="1"/>
      <c r="Y15" s="1"/>
      <c r="Z15" s="1"/>
    </row>
    <row r="16" spans="1:37" x14ac:dyDescent="0.2">
      <c r="A16">
        <v>192143</v>
      </c>
      <c r="B16">
        <v>192143</v>
      </c>
      <c r="C16" s="159">
        <v>68.650000000000006</v>
      </c>
      <c r="D16" s="159">
        <v>68.650000000000006</v>
      </c>
      <c r="E16" s="421">
        <v>8.3495571339466099E-2</v>
      </c>
      <c r="F16" s="422">
        <f t="shared" si="0"/>
        <v>13190616.950000001</v>
      </c>
      <c r="G16" s="294"/>
      <c r="H16" s="299" t="s">
        <v>182</v>
      </c>
      <c r="I16" s="88"/>
      <c r="J16" s="88"/>
      <c r="K16" s="88"/>
      <c r="L16" s="88"/>
      <c r="M16" s="88"/>
      <c r="N16" s="88"/>
      <c r="O16" s="88"/>
      <c r="P16" s="88"/>
      <c r="Q16" s="88"/>
      <c r="R16" s="86"/>
      <c r="S16" s="86"/>
      <c r="T16" s="1"/>
      <c r="U16" s="1"/>
      <c r="V16" s="1"/>
      <c r="W16" s="1"/>
      <c r="X16" s="1"/>
      <c r="Y16" s="1"/>
      <c r="Z16" s="1"/>
    </row>
    <row r="17" spans="1:26" x14ac:dyDescent="0.2">
      <c r="A17">
        <v>0</v>
      </c>
      <c r="B17">
        <v>0</v>
      </c>
      <c r="C17" s="159">
        <v>68.650000000000006</v>
      </c>
      <c r="D17" s="159">
        <v>68.650000000000006</v>
      </c>
      <c r="E17" s="421">
        <v>8.3495571339466099E-2</v>
      </c>
      <c r="F17" s="422">
        <f t="shared" si="0"/>
        <v>0</v>
      </c>
      <c r="G17" s="294"/>
      <c r="H17" s="299" t="s">
        <v>187</v>
      </c>
      <c r="I17" s="88"/>
      <c r="J17" s="88"/>
      <c r="K17" s="88"/>
      <c r="L17" s="88"/>
      <c r="M17" s="88"/>
      <c r="N17" s="88"/>
      <c r="O17" s="88"/>
      <c r="P17" s="88"/>
      <c r="Q17" s="88"/>
      <c r="R17" s="86"/>
      <c r="S17" s="86"/>
      <c r="T17" s="1"/>
      <c r="U17" s="1"/>
      <c r="V17" s="1"/>
      <c r="W17" s="1"/>
      <c r="X17" s="1"/>
      <c r="Y17" s="1"/>
      <c r="Z17" s="1"/>
    </row>
    <row r="18" spans="1:26" x14ac:dyDescent="0.2">
      <c r="A18">
        <v>18736</v>
      </c>
      <c r="B18">
        <v>15836.380952</v>
      </c>
      <c r="C18" s="157">
        <v>68.650000000000006</v>
      </c>
      <c r="D18" s="157">
        <v>72.082499999999996</v>
      </c>
      <c r="E18" s="421">
        <v>8.3495571339466099E-2</v>
      </c>
      <c r="F18" s="422">
        <f t="shared" si="0"/>
        <v>1141525.9299725399</v>
      </c>
      <c r="G18" s="294"/>
      <c r="H18" s="299" t="s">
        <v>191</v>
      </c>
      <c r="I18" s="88"/>
      <c r="J18" s="88"/>
      <c r="K18" s="88"/>
      <c r="L18" s="88"/>
      <c r="M18" s="88"/>
      <c r="N18" s="88"/>
      <c r="O18" s="88"/>
      <c r="P18" s="88"/>
      <c r="Q18" s="88"/>
      <c r="R18" s="86"/>
      <c r="S18" s="86"/>
      <c r="T18" s="1"/>
      <c r="U18" s="1"/>
      <c r="V18" s="1"/>
      <c r="W18" s="1"/>
      <c r="X18" s="1"/>
      <c r="Y18" s="1"/>
      <c r="Z18" s="1"/>
    </row>
    <row r="19" spans="1:26" x14ac:dyDescent="0.2">
      <c r="A19">
        <v>103878</v>
      </c>
      <c r="B19">
        <v>103878</v>
      </c>
      <c r="C19" s="157">
        <v>68.680000000000007</v>
      </c>
      <c r="D19" s="157">
        <v>68.680000000000007</v>
      </c>
      <c r="E19" s="421">
        <v>7.8799999999999995E-2</v>
      </c>
      <c r="F19" s="422">
        <f t="shared" si="0"/>
        <v>7134341.040000001</v>
      </c>
      <c r="G19" s="294"/>
      <c r="H19" s="299" t="s">
        <v>143</v>
      </c>
      <c r="I19" s="88"/>
      <c r="J19" s="88"/>
      <c r="K19" s="88"/>
      <c r="L19" s="88"/>
      <c r="M19" s="88"/>
      <c r="N19" s="88"/>
      <c r="O19" s="88"/>
      <c r="P19" s="88"/>
      <c r="Q19" s="88"/>
      <c r="R19" s="86"/>
      <c r="S19" s="86"/>
      <c r="T19" s="1"/>
      <c r="U19" s="1"/>
      <c r="V19" s="1"/>
      <c r="W19" s="1"/>
      <c r="X19" s="1"/>
      <c r="Y19" s="1"/>
      <c r="Z19" s="1"/>
    </row>
    <row r="20" spans="1:26" x14ac:dyDescent="0.2">
      <c r="A20">
        <v>0</v>
      </c>
      <c r="B20">
        <v>0</v>
      </c>
      <c r="C20" s="157">
        <v>0</v>
      </c>
      <c r="D20" s="157">
        <v>0</v>
      </c>
      <c r="E20" s="421">
        <v>0</v>
      </c>
      <c r="F20" s="422">
        <f t="shared" si="0"/>
        <v>0</v>
      </c>
      <c r="G20" s="294"/>
      <c r="H20" s="299" t="s">
        <v>144</v>
      </c>
      <c r="I20" s="88"/>
      <c r="J20" s="88"/>
      <c r="K20" s="88"/>
      <c r="L20" s="88"/>
      <c r="M20" s="88"/>
      <c r="N20" s="88"/>
      <c r="O20" s="88"/>
      <c r="P20" s="88"/>
      <c r="Q20" s="88"/>
      <c r="R20" s="86"/>
      <c r="S20" s="86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>
        <v>0</v>
      </c>
      <c r="B21">
        <v>0</v>
      </c>
      <c r="C21" s="157">
        <v>0</v>
      </c>
      <c r="D21" s="157">
        <v>0</v>
      </c>
      <c r="E21" s="421">
        <v>1</v>
      </c>
      <c r="F21" s="422">
        <f t="shared" si="0"/>
        <v>0</v>
      </c>
      <c r="G21" s="294"/>
      <c r="H21" s="299" t="s">
        <v>145</v>
      </c>
      <c r="I21" s="88"/>
      <c r="J21" s="88"/>
      <c r="K21" s="88"/>
      <c r="L21" s="88"/>
      <c r="M21" s="88"/>
      <c r="N21" s="88"/>
      <c r="O21" s="88"/>
      <c r="P21" s="88"/>
      <c r="Q21" s="88"/>
      <c r="R21" s="86"/>
      <c r="S21" s="86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>
        <v>0</v>
      </c>
      <c r="B22">
        <v>0</v>
      </c>
      <c r="C22" s="157">
        <v>0</v>
      </c>
      <c r="D22" s="157">
        <v>0</v>
      </c>
      <c r="E22" s="421">
        <v>0</v>
      </c>
      <c r="F22" s="422">
        <f t="shared" si="0"/>
        <v>0</v>
      </c>
      <c r="G22" s="294"/>
      <c r="H22" s="299" t="s">
        <v>146</v>
      </c>
      <c r="I22" s="88"/>
      <c r="J22" s="88"/>
      <c r="K22" s="88"/>
      <c r="L22" s="88"/>
      <c r="M22" s="88"/>
      <c r="N22" s="88"/>
      <c r="O22" s="88"/>
      <c r="P22" s="88"/>
      <c r="Q22" s="88"/>
      <c r="R22" s="86"/>
      <c r="S22" s="86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>
        <v>0</v>
      </c>
      <c r="B23">
        <v>0</v>
      </c>
      <c r="C23" s="159">
        <v>0</v>
      </c>
      <c r="D23" s="159">
        <v>0</v>
      </c>
      <c r="E23" s="421">
        <v>0</v>
      </c>
      <c r="F23" s="422">
        <f t="shared" si="0"/>
        <v>0</v>
      </c>
      <c r="G23" s="294"/>
      <c r="H23" s="299" t="s">
        <v>147</v>
      </c>
      <c r="I23" s="88"/>
      <c r="J23" s="88"/>
      <c r="K23" s="88"/>
      <c r="L23" s="88"/>
      <c r="M23" s="88"/>
      <c r="N23" s="88"/>
      <c r="O23" s="88"/>
      <c r="P23" s="88"/>
      <c r="Q23" s="88"/>
      <c r="R23" s="86"/>
      <c r="S23" s="86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>
        <v>0</v>
      </c>
      <c r="B24">
        <v>0</v>
      </c>
      <c r="C24" s="157">
        <v>0</v>
      </c>
      <c r="D24" s="157">
        <v>0</v>
      </c>
      <c r="E24" s="421">
        <v>0</v>
      </c>
      <c r="F24" s="422">
        <f t="shared" si="0"/>
        <v>0</v>
      </c>
      <c r="G24" s="294"/>
      <c r="H24" s="299" t="s">
        <v>10</v>
      </c>
      <c r="I24" s="88"/>
      <c r="J24" s="88"/>
      <c r="K24" s="88"/>
      <c r="L24" s="88"/>
      <c r="M24" s="88"/>
      <c r="N24" s="88"/>
      <c r="O24" s="88"/>
      <c r="P24" s="88"/>
      <c r="Q24" s="88"/>
      <c r="R24" s="86"/>
      <c r="S24" s="86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>
        <v>0</v>
      </c>
      <c r="B25">
        <v>0</v>
      </c>
      <c r="C25" s="420">
        <v>0</v>
      </c>
      <c r="D25" s="420">
        <v>0</v>
      </c>
      <c r="E25" s="421">
        <v>0</v>
      </c>
      <c r="F25" s="422">
        <f t="shared" si="0"/>
        <v>0</v>
      </c>
      <c r="G25" s="294"/>
      <c r="H25" s="299" t="s">
        <v>200</v>
      </c>
      <c r="I25" s="88"/>
      <c r="J25" s="88"/>
      <c r="K25" s="88"/>
      <c r="L25" s="88"/>
      <c r="M25" s="88"/>
      <c r="N25" s="88"/>
      <c r="O25" s="88"/>
      <c r="P25" s="88"/>
      <c r="Q25" s="88"/>
      <c r="R25" s="86"/>
      <c r="S25" s="86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298">
        <v>0</v>
      </c>
      <c r="B26" s="298">
        <v>0</v>
      </c>
      <c r="C26" s="303">
        <v>0</v>
      </c>
      <c r="D26" s="303">
        <v>0</v>
      </c>
      <c r="E26" s="421">
        <v>0</v>
      </c>
      <c r="F26" s="422">
        <f t="shared" si="0"/>
        <v>0</v>
      </c>
      <c r="G26" s="294"/>
      <c r="H26" s="299" t="s">
        <v>260</v>
      </c>
      <c r="I26" s="88"/>
      <c r="J26" s="88"/>
      <c r="K26" s="88"/>
      <c r="L26" s="88"/>
      <c r="M26" s="88"/>
      <c r="N26" s="88"/>
      <c r="O26" s="88"/>
      <c r="P26" s="88"/>
      <c r="Q26" s="88"/>
      <c r="R26" s="86"/>
      <c r="S26" s="86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298">
        <v>-51216</v>
      </c>
      <c r="B27" s="298">
        <v>-35851.199999999997</v>
      </c>
      <c r="C27" s="301">
        <v>0</v>
      </c>
      <c r="D27" s="301">
        <v>0</v>
      </c>
      <c r="E27" s="421">
        <v>5.0000000000000001E-3</v>
      </c>
      <c r="F27" s="422">
        <f t="shared" si="0"/>
        <v>0</v>
      </c>
      <c r="G27" s="294"/>
      <c r="H27" s="300" t="s">
        <v>261</v>
      </c>
      <c r="I27" s="88"/>
      <c r="J27" s="88"/>
      <c r="K27" s="88"/>
      <c r="L27" s="88"/>
      <c r="M27" s="88"/>
      <c r="N27" s="88"/>
      <c r="O27" s="88"/>
      <c r="P27" s="88"/>
      <c r="Q27" s="88"/>
      <c r="R27" s="86"/>
      <c r="S27" s="86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291">
        <v>0</v>
      </c>
      <c r="B28" s="291">
        <v>0</v>
      </c>
      <c r="C28" s="292">
        <v>0</v>
      </c>
      <c r="D28" s="292">
        <v>0</v>
      </c>
      <c r="E28" s="421">
        <v>0</v>
      </c>
      <c r="F28" s="422"/>
      <c r="G28" s="294"/>
      <c r="H28" s="294"/>
      <c r="I28" s="88"/>
      <c r="J28" s="88"/>
      <c r="K28" s="88"/>
      <c r="L28" s="88"/>
      <c r="M28" s="88"/>
      <c r="N28" s="88"/>
      <c r="O28" s="88"/>
      <c r="P28" s="88"/>
      <c r="Q28" s="88"/>
      <c r="R28" s="86"/>
      <c r="S28" s="86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291">
        <v>0</v>
      </c>
      <c r="B29" s="291">
        <v>0</v>
      </c>
      <c r="C29" s="292">
        <v>0</v>
      </c>
      <c r="D29" s="292">
        <v>0</v>
      </c>
      <c r="E29" s="421">
        <v>0.01</v>
      </c>
      <c r="F29" s="422"/>
      <c r="G29" s="294"/>
      <c r="H29" s="294"/>
      <c r="I29" s="88"/>
      <c r="J29" s="88"/>
      <c r="K29" s="88"/>
      <c r="L29" s="88"/>
      <c r="M29" s="88"/>
      <c r="N29" s="88"/>
      <c r="O29" s="88"/>
      <c r="P29" s="88"/>
      <c r="Q29" s="88"/>
      <c r="R29" s="86"/>
      <c r="S29" s="86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291">
        <v>0</v>
      </c>
      <c r="B30" s="291">
        <v>0</v>
      </c>
      <c r="C30" s="292">
        <v>68.650000000000006</v>
      </c>
      <c r="D30" s="292">
        <v>68.650000000000006</v>
      </c>
      <c r="E30" s="421">
        <v>0.01</v>
      </c>
      <c r="F30" s="422"/>
      <c r="G30" s="294"/>
      <c r="H30" s="294"/>
      <c r="I30" s="88"/>
      <c r="J30" s="88"/>
      <c r="K30" s="88"/>
      <c r="L30" s="88"/>
      <c r="M30" s="88"/>
      <c r="N30" s="88"/>
      <c r="O30" s="88"/>
      <c r="P30" s="88"/>
      <c r="Q30" s="88"/>
      <c r="R30" s="86"/>
      <c r="S30" s="86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291">
        <v>989</v>
      </c>
      <c r="B31" s="291">
        <v>692.3</v>
      </c>
      <c r="C31" s="292">
        <v>59.76</v>
      </c>
      <c r="D31" s="292">
        <v>56.771999999999998</v>
      </c>
      <c r="E31" s="421">
        <v>9.6968121743781464E-3</v>
      </c>
      <c r="F31" s="422"/>
      <c r="G31" s="294"/>
      <c r="H31" s="294"/>
      <c r="I31" s="88"/>
      <c r="J31" s="88"/>
      <c r="K31" s="88"/>
      <c r="L31" s="88"/>
      <c r="M31" s="88"/>
      <c r="N31" s="88"/>
      <c r="O31" s="88"/>
      <c r="P31" s="88"/>
      <c r="Q31" s="88"/>
      <c r="R31" s="86"/>
      <c r="S31" s="86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291">
        <v>91681</v>
      </c>
      <c r="B32" s="291">
        <v>88265</v>
      </c>
      <c r="C32" s="292">
        <v>68.650000000000006</v>
      </c>
      <c r="D32" s="292">
        <v>68.614693367000001</v>
      </c>
      <c r="E32" s="421">
        <v>7.6449041795111791E-2</v>
      </c>
      <c r="F32" s="422"/>
      <c r="G32" s="294"/>
      <c r="H32" s="294"/>
      <c r="I32" s="88"/>
      <c r="J32" s="88"/>
      <c r="K32" s="88"/>
      <c r="L32" s="88"/>
      <c r="M32" s="88"/>
      <c r="N32" s="88"/>
      <c r="O32" s="88"/>
      <c r="P32" s="88"/>
      <c r="Q32" s="88"/>
      <c r="R32" s="86"/>
      <c r="S32" s="86"/>
      <c r="T32" s="1"/>
      <c r="U32" s="1"/>
      <c r="V32" s="1"/>
      <c r="W32" s="1"/>
      <c r="X32" s="1"/>
      <c r="Y32" s="1"/>
      <c r="Z32" s="1"/>
    </row>
    <row r="33" spans="1:37" ht="15.75" customHeight="1" x14ac:dyDescent="0.2">
      <c r="A33" s="291">
        <v>-39912</v>
      </c>
      <c r="B33" s="291">
        <v>-39560</v>
      </c>
      <c r="C33" s="292">
        <v>63.3</v>
      </c>
      <c r="D33" s="292">
        <v>63.361768546</v>
      </c>
      <c r="E33" s="293">
        <v>9.6713366074297497E-3</v>
      </c>
      <c r="F33" s="294"/>
      <c r="G33" s="294"/>
      <c r="H33" s="294"/>
      <c r="I33" s="88"/>
      <c r="J33" s="88"/>
      <c r="K33" s="88"/>
      <c r="L33" s="88"/>
      <c r="M33" s="88"/>
      <c r="N33" s="88"/>
      <c r="O33" s="88"/>
      <c r="P33" s="88"/>
      <c r="Q33" s="88"/>
      <c r="R33" s="86"/>
      <c r="S33" s="86"/>
      <c r="T33" s="1"/>
      <c r="U33" s="1"/>
      <c r="V33" s="1"/>
      <c r="W33" s="1"/>
      <c r="X33" s="1"/>
      <c r="Y33" s="1"/>
      <c r="Z33" s="1"/>
    </row>
    <row r="34" spans="1:37" ht="15.75" customHeight="1" x14ac:dyDescent="0.2">
      <c r="A34" s="291">
        <v>-12583</v>
      </c>
      <c r="B34" s="291">
        <v>-16357.9</v>
      </c>
      <c r="C34" s="292">
        <v>65</v>
      </c>
      <c r="D34" s="292">
        <v>68.25</v>
      </c>
      <c r="E34" s="293">
        <v>5.0000000000000001E-3</v>
      </c>
      <c r="F34" s="294"/>
      <c r="G34" s="294"/>
      <c r="H34" s="294"/>
      <c r="I34" s="88"/>
      <c r="J34" s="88"/>
      <c r="K34" s="88"/>
      <c r="L34" s="88"/>
      <c r="M34" s="88"/>
      <c r="N34" s="88"/>
      <c r="O34" s="88"/>
      <c r="P34" s="88"/>
      <c r="Q34" s="88"/>
      <c r="R34" s="86"/>
      <c r="S34" s="86"/>
      <c r="T34" s="1"/>
      <c r="U34" s="1"/>
      <c r="V34" s="1"/>
      <c r="W34" s="1"/>
      <c r="X34" s="1"/>
      <c r="Y34" s="1"/>
      <c r="Z34" s="1"/>
    </row>
    <row r="35" spans="1:37" ht="15.75" customHeight="1" x14ac:dyDescent="0.2">
      <c r="A35" s="291">
        <v>65670</v>
      </c>
      <c r="B35" s="291">
        <v>65670</v>
      </c>
      <c r="C35" s="292">
        <v>65</v>
      </c>
      <c r="D35" s="292">
        <v>65</v>
      </c>
      <c r="E35" s="293">
        <v>5.0000000000000001E-3</v>
      </c>
      <c r="F35" s="294"/>
      <c r="G35" s="294"/>
      <c r="H35" s="294"/>
      <c r="I35" s="88"/>
      <c r="J35" s="88"/>
      <c r="K35" s="88"/>
      <c r="L35" s="88"/>
      <c r="M35" s="88"/>
      <c r="N35" s="88"/>
      <c r="O35" s="88"/>
      <c r="P35" s="88"/>
      <c r="Q35" s="88"/>
      <c r="R35" s="86"/>
      <c r="S35" s="86"/>
      <c r="T35" s="1"/>
      <c r="U35" s="1"/>
      <c r="V35" s="1"/>
      <c r="W35" s="1"/>
      <c r="X35" s="1"/>
      <c r="Y35" s="1"/>
      <c r="Z35" s="1"/>
    </row>
    <row r="36" spans="1:37" ht="15.75" customHeight="1" x14ac:dyDescent="0.2">
      <c r="A36" s="298">
        <v>0</v>
      </c>
      <c r="B36" s="298">
        <v>0</v>
      </c>
      <c r="C36" s="298">
        <v>82.99</v>
      </c>
      <c r="D36" s="298">
        <v>90.836855508685659</v>
      </c>
      <c r="E36" s="298">
        <v>0.82988350961181212</v>
      </c>
      <c r="F36" s="298"/>
      <c r="G36" s="298"/>
      <c r="H36" s="298"/>
      <c r="I36" s="298"/>
      <c r="J36" s="298"/>
      <c r="K36" s="88"/>
      <c r="L36" s="88"/>
      <c r="M36" s="88"/>
      <c r="N36" s="88"/>
      <c r="O36" s="88"/>
      <c r="P36" s="88"/>
      <c r="Q36" s="88"/>
      <c r="R36" s="86"/>
      <c r="S36" s="86"/>
      <c r="T36" s="1"/>
      <c r="U36" s="1"/>
      <c r="V36" s="1"/>
      <c r="W36" s="1"/>
      <c r="X36" s="1"/>
      <c r="Y36" s="1"/>
      <c r="Z36" s="1"/>
    </row>
    <row r="37" spans="1:37" ht="15.75" customHeight="1" x14ac:dyDescent="0.2">
      <c r="A37" s="298">
        <v>0</v>
      </c>
      <c r="B37" s="298">
        <v>0</v>
      </c>
      <c r="C37" s="298">
        <v>96.87</v>
      </c>
      <c r="D37" s="298">
        <v>99.906645180420412</v>
      </c>
      <c r="E37" s="298">
        <v>0.96866077601964029</v>
      </c>
      <c r="F37" s="298"/>
      <c r="G37" s="298"/>
      <c r="H37" s="298"/>
      <c r="I37" s="298"/>
      <c r="J37" s="298"/>
      <c r="K37" s="88"/>
      <c r="L37" s="88"/>
      <c r="M37" s="88"/>
      <c r="N37" s="88"/>
      <c r="O37" s="88"/>
      <c r="P37" s="88"/>
      <c r="Q37" s="88"/>
      <c r="R37" s="86"/>
      <c r="S37" s="86"/>
      <c r="T37" s="1"/>
      <c r="U37" s="1"/>
      <c r="V37" s="1"/>
      <c r="W37" s="1"/>
      <c r="X37" s="1"/>
      <c r="Y37" s="1"/>
      <c r="Z37" s="1"/>
    </row>
    <row r="38" spans="1:37" ht="15.75" customHeight="1" x14ac:dyDescent="0.2">
      <c r="A38" s="298"/>
      <c r="B38" s="298"/>
      <c r="C38" s="298"/>
      <c r="D38" s="298"/>
      <c r="E38" s="298"/>
      <c r="F38" s="298"/>
      <c r="G38" s="298"/>
      <c r="H38" s="298"/>
      <c r="I38" s="298"/>
      <c r="J38" s="298"/>
      <c r="K38" s="88"/>
      <c r="L38" s="88"/>
      <c r="M38" s="88"/>
      <c r="N38" s="88"/>
      <c r="O38" s="88"/>
      <c r="P38" s="88"/>
      <c r="Q38" s="88"/>
      <c r="R38" s="86"/>
      <c r="S38" s="86"/>
      <c r="T38" s="1"/>
      <c r="U38" s="1"/>
      <c r="V38" s="1"/>
      <c r="W38" s="1"/>
      <c r="X38" s="1"/>
      <c r="Y38" s="1"/>
      <c r="Z38" s="1"/>
    </row>
    <row r="39" spans="1:37" ht="15.75" customHeight="1" x14ac:dyDescent="0.2">
      <c r="A39" s="298"/>
      <c r="B39" s="298"/>
      <c r="C39" s="298"/>
      <c r="D39" s="298"/>
      <c r="E39" s="298"/>
      <c r="F39" s="298"/>
      <c r="G39" s="298"/>
      <c r="H39" s="298"/>
      <c r="I39" s="298"/>
      <c r="K39" s="88"/>
      <c r="L39" s="88"/>
      <c r="M39" s="88"/>
      <c r="N39" s="88"/>
      <c r="O39" s="88"/>
      <c r="P39" s="88"/>
      <c r="Q39" s="88"/>
      <c r="R39" s="86"/>
      <c r="S39" s="86"/>
      <c r="T39" s="1"/>
      <c r="U39" s="1"/>
      <c r="V39" s="1"/>
      <c r="W39" s="1"/>
      <c r="X39" s="1"/>
      <c r="Y39" s="1"/>
      <c r="Z39" s="1"/>
    </row>
    <row r="40" spans="1:37" ht="15.75" customHeight="1" x14ac:dyDescent="0.2">
      <c r="A40" s="299"/>
      <c r="B40" s="299"/>
      <c r="C40" s="299"/>
      <c r="D40" s="299"/>
      <c r="E40" s="299"/>
      <c r="F40" s="299"/>
      <c r="G40" s="299"/>
      <c r="H40" s="299"/>
      <c r="I40" s="299"/>
      <c r="J40" s="299"/>
      <c r="K40" s="88"/>
      <c r="L40" s="88"/>
      <c r="M40" s="88"/>
      <c r="N40" s="88"/>
      <c r="O40" s="88"/>
      <c r="P40" s="88"/>
      <c r="Q40" s="88"/>
      <c r="R40" s="86"/>
      <c r="S40" s="86"/>
      <c r="T40" s="1"/>
      <c r="U40" s="1"/>
      <c r="V40" s="1"/>
      <c r="W40" s="1"/>
      <c r="X40" s="1"/>
      <c r="Y40" s="1"/>
      <c r="Z40" s="1"/>
    </row>
    <row r="41" spans="1:37" ht="15.75" customHeight="1" x14ac:dyDescent="0.2">
      <c r="A41" s="299"/>
      <c r="B41" s="299"/>
      <c r="C41" s="299"/>
      <c r="D41" s="299"/>
      <c r="E41" s="299"/>
      <c r="F41" s="299"/>
      <c r="G41" s="299"/>
      <c r="H41" s="299"/>
      <c r="I41" s="299"/>
      <c r="J41" s="299"/>
      <c r="K41" s="88"/>
      <c r="L41" s="88"/>
      <c r="M41" s="88"/>
      <c r="N41" s="88"/>
      <c r="O41" s="88"/>
      <c r="P41" s="88"/>
      <c r="Q41" s="88"/>
      <c r="R41" s="86"/>
      <c r="S41" s="86"/>
      <c r="T41" s="1"/>
      <c r="U41" s="1"/>
      <c r="V41" s="1"/>
      <c r="W41" s="1"/>
      <c r="X41" s="1"/>
      <c r="Y41" s="1"/>
      <c r="Z41" s="1"/>
    </row>
    <row r="42" spans="1:37" ht="15.75" customHeight="1" x14ac:dyDescent="0.2">
      <c r="A42" s="299"/>
      <c r="B42" s="299"/>
      <c r="C42" s="299"/>
      <c r="D42" s="299"/>
      <c r="E42" s="299"/>
      <c r="F42" s="299"/>
      <c r="G42" s="299"/>
      <c r="H42" s="299"/>
      <c r="I42" s="299"/>
      <c r="J42" s="299"/>
      <c r="K42" s="88"/>
      <c r="L42" s="88"/>
      <c r="M42" s="88"/>
      <c r="N42" s="88"/>
      <c r="O42" s="88"/>
      <c r="P42" s="88"/>
      <c r="Q42" s="88"/>
      <c r="R42" s="86"/>
      <c r="S42" s="86"/>
      <c r="T42" s="1"/>
      <c r="U42" s="1"/>
      <c r="V42" s="1"/>
      <c r="W42" s="1"/>
      <c r="X42" s="1"/>
      <c r="Y42" s="1"/>
      <c r="Z42" s="1"/>
    </row>
    <row r="43" spans="1:37" ht="15.75" customHeight="1" x14ac:dyDescent="0.2">
      <c r="A43" s="299"/>
      <c r="B43" s="299"/>
      <c r="C43" s="299"/>
      <c r="D43" s="299"/>
      <c r="E43" s="299"/>
      <c r="F43" s="299"/>
      <c r="G43" s="298"/>
      <c r="H43" s="299"/>
      <c r="I43" s="299"/>
      <c r="J43" s="299"/>
      <c r="K43" s="88"/>
      <c r="L43" s="88"/>
      <c r="M43" s="88"/>
      <c r="N43" s="88"/>
      <c r="O43" s="88"/>
      <c r="P43" s="88"/>
      <c r="Q43" s="88"/>
      <c r="R43" s="86"/>
      <c r="S43" s="86"/>
      <c r="T43" s="1"/>
      <c r="U43" s="1"/>
      <c r="V43" s="1"/>
      <c r="W43" s="1"/>
      <c r="X43" s="1"/>
      <c r="Y43" s="1"/>
      <c r="Z43" s="1"/>
    </row>
    <row r="44" spans="1:37" ht="15.75" customHeight="1" x14ac:dyDescent="0.2">
      <c r="A44" s="299"/>
      <c r="B44" s="299"/>
      <c r="C44" s="299"/>
      <c r="D44" s="299"/>
      <c r="E44" s="299"/>
      <c r="F44" s="299"/>
      <c r="G44" s="299"/>
      <c r="H44" s="299"/>
      <c r="I44" s="299"/>
      <c r="J44" s="299"/>
      <c r="K44" s="88"/>
      <c r="L44" s="88"/>
      <c r="M44" s="88"/>
      <c r="N44" s="88"/>
      <c r="O44" s="88"/>
      <c r="P44" s="88"/>
      <c r="Q44" s="88"/>
      <c r="R44" s="86"/>
      <c r="S44" s="86"/>
      <c r="T44" s="1"/>
      <c r="U44" s="1"/>
      <c r="V44" s="1"/>
      <c r="W44" s="1"/>
      <c r="X44" s="1"/>
      <c r="Y44" s="1"/>
      <c r="Z44" s="1"/>
    </row>
    <row r="45" spans="1:37" ht="15.75" customHeight="1" x14ac:dyDescent="0.2">
      <c r="A45" s="299"/>
      <c r="B45" s="299"/>
      <c r="C45" s="299"/>
      <c r="D45" s="299"/>
      <c r="E45" s="299"/>
      <c r="F45" s="299"/>
      <c r="G45" s="299"/>
      <c r="H45" s="299"/>
      <c r="I45" s="299"/>
      <c r="J45" s="299"/>
      <c r="K45" s="88"/>
      <c r="L45" s="88"/>
      <c r="M45" s="88"/>
      <c r="N45" s="88"/>
      <c r="O45" s="88"/>
      <c r="P45" s="88"/>
      <c r="Q45" s="88"/>
      <c r="R45" s="86"/>
      <c r="S45" s="86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5.75" customHeight="1" x14ac:dyDescent="0.2">
      <c r="A46" s="299"/>
      <c r="B46" s="299"/>
      <c r="C46" s="299"/>
      <c r="D46" s="299"/>
      <c r="E46" s="299"/>
      <c r="F46" s="299"/>
      <c r="G46" s="299"/>
      <c r="H46" s="299"/>
      <c r="I46" s="299"/>
      <c r="J46" s="299"/>
      <c r="K46" s="88"/>
      <c r="L46" s="88"/>
      <c r="M46" s="88"/>
      <c r="N46" s="88"/>
      <c r="O46" s="88"/>
      <c r="P46" s="88"/>
      <c r="Q46" s="88"/>
      <c r="R46" s="86"/>
      <c r="S46" s="86"/>
      <c r="T46" s="1"/>
      <c r="U46" s="1"/>
      <c r="V46" s="1"/>
      <c r="W46" s="1"/>
      <c r="X46" s="1"/>
      <c r="Y46" s="1"/>
      <c r="Z46" s="1"/>
    </row>
    <row r="47" spans="1:37" ht="15.75" customHeight="1" x14ac:dyDescent="0.2">
      <c r="A47" s="299"/>
      <c r="B47" s="299"/>
      <c r="C47" s="299"/>
      <c r="D47" s="299"/>
      <c r="E47" s="299"/>
      <c r="F47" s="299"/>
      <c r="G47" s="299"/>
      <c r="H47" s="299"/>
      <c r="I47" s="299"/>
      <c r="J47" s="299"/>
      <c r="K47" s="88"/>
      <c r="L47" s="88"/>
      <c r="M47" s="88"/>
      <c r="N47" s="88"/>
      <c r="O47" s="88"/>
      <c r="P47" s="88"/>
      <c r="Q47" s="88"/>
      <c r="R47" s="86"/>
      <c r="S47" s="86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5.75" customHeight="1" x14ac:dyDescent="0.2">
      <c r="A48" s="299"/>
      <c r="B48" s="299"/>
      <c r="C48" s="299"/>
      <c r="D48" s="299"/>
      <c r="E48" s="299"/>
      <c r="F48" s="299"/>
      <c r="G48" s="299"/>
      <c r="H48" s="299"/>
      <c r="I48" s="299"/>
      <c r="J48" s="299"/>
      <c r="K48" s="88"/>
      <c r="L48" s="88"/>
      <c r="M48" s="88"/>
      <c r="N48" s="88"/>
      <c r="O48" s="88"/>
      <c r="P48" s="88"/>
      <c r="Q48" s="88"/>
      <c r="R48" s="86"/>
      <c r="S48" s="86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5.75" customHeight="1" x14ac:dyDescent="0.2">
      <c r="A49" s="299"/>
      <c r="B49" s="299"/>
      <c r="C49" s="299"/>
      <c r="D49" s="299"/>
      <c r="E49" s="299"/>
      <c r="F49" s="299"/>
      <c r="G49" s="299"/>
      <c r="H49" s="299"/>
      <c r="I49" s="299"/>
      <c r="J49" s="299"/>
      <c r="K49" s="88"/>
      <c r="L49" s="88"/>
      <c r="M49" s="88"/>
      <c r="N49" s="88"/>
      <c r="O49" s="88"/>
      <c r="P49" s="88"/>
      <c r="Q49" s="88"/>
      <c r="R49" s="86"/>
      <c r="S49" s="86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5.75" customHeight="1" x14ac:dyDescent="0.2">
      <c r="A50" s="299"/>
      <c r="B50" s="299"/>
      <c r="C50" s="299"/>
      <c r="D50" s="299"/>
      <c r="E50" s="299"/>
      <c r="F50" s="299"/>
      <c r="G50" s="299"/>
      <c r="H50" s="299"/>
      <c r="I50" s="299"/>
      <c r="J50" s="299"/>
      <c r="K50" s="88"/>
      <c r="L50" s="88"/>
      <c r="M50" s="88"/>
      <c r="N50" s="88"/>
      <c r="O50" s="88"/>
      <c r="P50" s="88"/>
      <c r="Q50" s="88"/>
      <c r="R50" s="86"/>
      <c r="S50" s="86"/>
      <c r="T50" s="1"/>
      <c r="U50" s="1"/>
      <c r="V50" s="1"/>
      <c r="W50" s="1"/>
      <c r="X50" s="1"/>
      <c r="Y50" s="1"/>
      <c r="Z50" s="1"/>
    </row>
    <row r="51" spans="1:37" ht="15.75" customHeight="1" x14ac:dyDescent="0.2">
      <c r="A51" s="299"/>
      <c r="B51" s="299"/>
      <c r="C51" s="299"/>
      <c r="D51" s="299"/>
      <c r="E51" s="299"/>
      <c r="F51" s="299"/>
      <c r="G51" s="299"/>
      <c r="H51" s="299"/>
      <c r="I51" s="299"/>
      <c r="J51" s="299"/>
      <c r="K51" s="88"/>
      <c r="L51" s="88"/>
      <c r="M51" s="88"/>
      <c r="N51" s="88"/>
      <c r="O51" s="88"/>
      <c r="P51" s="88"/>
      <c r="Q51" s="88"/>
      <c r="R51" s="86"/>
      <c r="S51" s="86"/>
      <c r="T51" s="1"/>
      <c r="U51" s="1"/>
      <c r="V51" s="1"/>
      <c r="W51" s="1"/>
      <c r="X51" s="1"/>
      <c r="Y51" s="1"/>
      <c r="Z51" s="1"/>
    </row>
    <row r="52" spans="1:37" ht="15.75" customHeight="1" x14ac:dyDescent="0.2">
      <c r="A52" s="299"/>
      <c r="B52" s="299"/>
      <c r="C52" s="299"/>
      <c r="D52" s="299"/>
      <c r="E52" s="299"/>
      <c r="F52" s="299"/>
      <c r="G52" s="299"/>
      <c r="H52" s="299"/>
      <c r="I52" s="299"/>
      <c r="J52" s="299"/>
      <c r="K52" s="88"/>
      <c r="L52" s="88"/>
      <c r="M52" s="88"/>
      <c r="N52" s="88"/>
      <c r="O52" s="88"/>
      <c r="P52" s="88"/>
      <c r="Q52" s="88"/>
      <c r="R52" s="86"/>
      <c r="S52" s="86"/>
      <c r="T52" s="1"/>
      <c r="U52" s="1"/>
      <c r="V52" s="1"/>
      <c r="W52" s="1"/>
      <c r="X52" s="1"/>
      <c r="Y52" s="1"/>
      <c r="Z52" s="1"/>
    </row>
    <row r="53" spans="1:37" ht="15.75" customHeight="1" x14ac:dyDescent="0.2">
      <c r="A53" s="299"/>
      <c r="B53" s="299"/>
      <c r="C53" s="299"/>
      <c r="D53" s="299"/>
      <c r="E53" s="299"/>
      <c r="F53" s="299"/>
      <c r="G53" s="299"/>
      <c r="H53" s="299"/>
      <c r="I53" s="299"/>
      <c r="J53" s="299"/>
      <c r="K53" s="88"/>
      <c r="L53" s="88"/>
      <c r="M53" s="88"/>
      <c r="N53" s="88"/>
      <c r="O53" s="88"/>
      <c r="P53" s="88"/>
      <c r="Q53" s="88"/>
      <c r="R53" s="86"/>
      <c r="S53" s="86"/>
      <c r="T53" s="1"/>
      <c r="U53" s="1"/>
      <c r="V53" s="1"/>
      <c r="W53" s="1"/>
      <c r="X53" s="1"/>
      <c r="Y53" s="1"/>
      <c r="Z53" s="1"/>
    </row>
    <row r="54" spans="1:37" ht="15.75" customHeight="1" x14ac:dyDescent="0.2">
      <c r="A54" s="299"/>
      <c r="B54" s="299"/>
      <c r="C54" s="299"/>
      <c r="D54" s="299"/>
      <c r="E54" s="299"/>
      <c r="F54" s="299"/>
      <c r="G54" s="299"/>
      <c r="H54" s="299"/>
      <c r="I54" s="299"/>
      <c r="J54" s="299"/>
      <c r="K54" s="88"/>
      <c r="L54" s="88"/>
      <c r="M54" s="88"/>
      <c r="N54" s="88"/>
      <c r="O54" s="88"/>
      <c r="P54" s="88"/>
      <c r="Q54" s="88"/>
      <c r="R54" s="86"/>
      <c r="S54" s="86"/>
      <c r="T54" s="1"/>
      <c r="U54" s="1"/>
      <c r="V54" s="1"/>
      <c r="W54" s="1"/>
      <c r="X54" s="1"/>
      <c r="Y54" s="1"/>
      <c r="Z54" s="1"/>
    </row>
    <row r="55" spans="1:37" ht="15.75" customHeight="1" x14ac:dyDescent="0.2">
      <c r="A55" s="299"/>
      <c r="B55" s="299"/>
      <c r="C55" s="299"/>
      <c r="D55" s="299"/>
      <c r="E55" s="299"/>
      <c r="F55" s="299"/>
      <c r="G55" s="299"/>
      <c r="H55" s="299"/>
      <c r="I55" s="299"/>
      <c r="J55" s="299"/>
      <c r="K55" s="88"/>
      <c r="L55" s="88"/>
      <c r="M55" s="88"/>
      <c r="N55" s="88"/>
      <c r="O55" s="88"/>
      <c r="P55" s="88"/>
      <c r="Q55" s="88"/>
      <c r="R55" s="86"/>
      <c r="S55" s="86"/>
      <c r="T55" s="1"/>
      <c r="U55" s="1"/>
      <c r="V55" s="1"/>
      <c r="W55" s="1"/>
      <c r="X55" s="1"/>
      <c r="Y55" s="1"/>
      <c r="Z55" s="1"/>
    </row>
    <row r="56" spans="1:37" ht="15.75" customHeight="1" x14ac:dyDescent="0.2">
      <c r="A56" s="299"/>
      <c r="B56" s="299"/>
      <c r="C56" s="299"/>
      <c r="D56" s="299"/>
      <c r="E56" s="299"/>
      <c r="F56" s="299"/>
      <c r="G56" s="299"/>
      <c r="H56" s="299"/>
      <c r="I56" s="299"/>
      <c r="J56" s="299"/>
      <c r="K56" s="88"/>
      <c r="L56" s="88"/>
      <c r="M56" s="88"/>
      <c r="N56" s="88"/>
      <c r="O56" s="88"/>
      <c r="P56" s="88"/>
      <c r="Q56" s="88"/>
      <c r="R56" s="86"/>
      <c r="S56" s="86"/>
      <c r="T56" s="1"/>
      <c r="U56" s="1"/>
      <c r="V56" s="1"/>
      <c r="W56" s="1"/>
      <c r="X56" s="1"/>
      <c r="Y56" s="1"/>
      <c r="Z56" s="1"/>
    </row>
    <row r="57" spans="1:37" ht="15.75" customHeight="1" x14ac:dyDescent="0.2">
      <c r="A57" s="299"/>
      <c r="B57" s="299"/>
      <c r="C57" s="299"/>
      <c r="D57" s="299"/>
      <c r="E57" s="299"/>
      <c r="F57" s="299"/>
      <c r="G57" s="299"/>
      <c r="H57" s="299"/>
      <c r="I57" s="299"/>
      <c r="J57" s="299"/>
      <c r="K57" s="88"/>
      <c r="L57" s="88"/>
      <c r="M57" s="88"/>
      <c r="N57" s="88"/>
      <c r="O57" s="88"/>
      <c r="P57" s="88"/>
      <c r="Q57" s="88"/>
      <c r="R57" s="86"/>
      <c r="S57" s="86"/>
      <c r="T57" s="1"/>
      <c r="U57" s="1"/>
      <c r="V57" s="1"/>
      <c r="W57" s="1"/>
      <c r="X57" s="1"/>
      <c r="Y57" s="1"/>
      <c r="Z57" s="1"/>
    </row>
    <row r="58" spans="1:37" ht="15.75" customHeight="1" x14ac:dyDescent="0.2">
      <c r="A58" s="299"/>
      <c r="B58" s="299"/>
      <c r="C58" s="299"/>
      <c r="D58" s="299"/>
      <c r="E58" s="299"/>
      <c r="F58" s="299"/>
      <c r="G58" s="299"/>
      <c r="H58" s="299"/>
      <c r="I58" s="299"/>
      <c r="J58" s="299"/>
      <c r="K58" s="88"/>
      <c r="L58" s="88"/>
      <c r="M58" s="88"/>
      <c r="N58" s="88"/>
      <c r="O58" s="88"/>
      <c r="P58" s="88"/>
      <c r="Q58" s="88"/>
      <c r="R58" s="86"/>
      <c r="S58" s="86"/>
      <c r="T58" s="1"/>
      <c r="U58" s="1"/>
      <c r="V58" s="1"/>
      <c r="W58" s="1"/>
      <c r="X58" s="1"/>
      <c r="Y58" s="1"/>
      <c r="Z58" s="1"/>
    </row>
    <row r="59" spans="1:37" ht="15.75" customHeight="1" x14ac:dyDescent="0.2">
      <c r="A59" s="299"/>
      <c r="B59" s="299"/>
      <c r="C59" s="299"/>
      <c r="D59" s="299"/>
      <c r="E59" s="299"/>
      <c r="F59" s="299"/>
      <c r="G59" s="299"/>
      <c r="H59" s="299"/>
      <c r="I59" s="299"/>
      <c r="J59" s="299"/>
      <c r="K59" s="88"/>
      <c r="L59" s="88"/>
      <c r="M59" s="88"/>
      <c r="N59" s="88"/>
      <c r="O59" s="88"/>
      <c r="P59" s="88"/>
      <c r="Q59" s="88"/>
      <c r="R59" s="86"/>
      <c r="S59" s="86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3"/>
    </row>
    <row r="60" spans="1:37" ht="15.75" customHeight="1" x14ac:dyDescent="0.2">
      <c r="A60" s="299"/>
      <c r="B60" s="299"/>
      <c r="C60" s="299"/>
      <c r="D60" s="299"/>
      <c r="E60" s="299"/>
      <c r="F60" s="299"/>
      <c r="G60" s="299"/>
      <c r="H60" s="299"/>
      <c r="I60" s="299"/>
      <c r="J60" s="299"/>
      <c r="K60" s="88"/>
      <c r="L60" s="88"/>
      <c r="M60" s="88"/>
      <c r="N60" s="88"/>
      <c r="O60" s="88"/>
      <c r="P60" s="88"/>
      <c r="Q60" s="88"/>
      <c r="R60" s="86"/>
      <c r="S60" s="86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3"/>
    </row>
    <row r="61" spans="1:37" ht="15.75" customHeight="1" x14ac:dyDescent="0.2">
      <c r="A61" s="299"/>
      <c r="B61" s="299"/>
      <c r="C61" s="299"/>
      <c r="D61" s="299"/>
      <c r="E61" s="299"/>
      <c r="F61" s="299"/>
      <c r="G61" s="299"/>
      <c r="H61" s="299"/>
      <c r="I61" s="299"/>
      <c r="J61" s="299"/>
      <c r="K61" s="88"/>
      <c r="L61" s="88"/>
      <c r="M61" s="88"/>
      <c r="N61" s="88"/>
      <c r="O61" s="88"/>
      <c r="P61" s="88"/>
      <c r="Q61" s="88"/>
      <c r="R61" s="86"/>
      <c r="S61" s="86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3"/>
      <c r="AK61" s="3"/>
    </row>
    <row r="62" spans="1:37" ht="15.75" customHeight="1" x14ac:dyDescent="0.2">
      <c r="A62" s="300"/>
      <c r="B62" s="300"/>
      <c r="C62" s="300"/>
      <c r="D62" s="300"/>
      <c r="E62" s="300"/>
      <c r="F62" s="300"/>
      <c r="G62" s="300"/>
      <c r="H62" s="300"/>
      <c r="I62" s="300"/>
      <c r="J62" s="300"/>
      <c r="K62" s="88"/>
      <c r="L62" s="88"/>
      <c r="M62" s="88"/>
      <c r="N62" s="93"/>
      <c r="O62" s="93"/>
      <c r="P62" s="93"/>
      <c r="Q62" s="9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3"/>
      <c r="AK62" s="3"/>
    </row>
    <row r="63" spans="1:37" ht="15.75" customHeight="1" x14ac:dyDescent="0.2">
      <c r="A63" s="294"/>
      <c r="B63" s="293"/>
      <c r="C63" s="293"/>
      <c r="D63" s="294"/>
      <c r="E63" s="293"/>
      <c r="F63" s="294"/>
      <c r="G63" s="294"/>
      <c r="H63" s="294"/>
      <c r="I63" s="88"/>
      <c r="J63" s="88"/>
      <c r="K63" s="88"/>
      <c r="L63" s="88"/>
      <c r="M63" s="88"/>
      <c r="N63" s="93"/>
      <c r="O63" s="93"/>
      <c r="P63" s="93"/>
      <c r="Q63" s="9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3"/>
      <c r="AK63" s="3"/>
    </row>
    <row r="64" spans="1:37" ht="15.75" customHeight="1" x14ac:dyDescent="0.2">
      <c r="A64" s="294"/>
      <c r="B64" s="294"/>
      <c r="C64" s="294"/>
      <c r="D64" s="294"/>
      <c r="E64" s="293"/>
      <c r="F64" s="294"/>
      <c r="G64" s="294"/>
      <c r="H64" s="294"/>
      <c r="I64" s="88"/>
      <c r="J64" s="88"/>
      <c r="K64" s="88"/>
      <c r="L64" s="88"/>
      <c r="M64" s="88"/>
      <c r="N64" s="93"/>
      <c r="O64" s="93"/>
      <c r="P64" s="93"/>
      <c r="Q64" s="9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3"/>
      <c r="AJ64" s="3"/>
      <c r="AK64" s="3"/>
    </row>
    <row r="65" spans="1:37" ht="15.75" customHeight="1" x14ac:dyDescent="0.25">
      <c r="A65" s="294"/>
      <c r="B65" s="294"/>
      <c r="C65" s="294"/>
      <c r="D65" s="294"/>
      <c r="E65" s="293"/>
      <c r="F65" s="294"/>
      <c r="G65" s="294"/>
      <c r="H65" s="294"/>
      <c r="I65" s="88"/>
      <c r="J65" s="88"/>
      <c r="K65" s="588"/>
      <c r="L65" s="589"/>
      <c r="M65" s="88"/>
      <c r="N65" s="590" t="s">
        <v>46</v>
      </c>
      <c r="O65" s="591"/>
      <c r="P65" s="589"/>
      <c r="Q65" s="93"/>
      <c r="R65" s="592"/>
      <c r="S65" s="593"/>
      <c r="T65" s="1"/>
      <c r="U65" s="1"/>
      <c r="V65" s="1"/>
      <c r="W65" s="94"/>
      <c r="X65" s="1"/>
      <c r="Y65" s="1"/>
      <c r="Z65" s="1"/>
      <c r="AA65" s="1"/>
      <c r="AB65" s="1"/>
      <c r="AC65" s="3"/>
      <c r="AD65" s="3"/>
      <c r="AE65" s="3"/>
      <c r="AF65" s="3"/>
      <c r="AG65" s="1"/>
      <c r="AH65" s="1"/>
      <c r="AI65" s="3"/>
      <c r="AJ65" s="3"/>
      <c r="AK65" s="3"/>
    </row>
    <row r="66" spans="1:37" ht="18.75" customHeight="1" x14ac:dyDescent="0.2">
      <c r="A66" s="294"/>
      <c r="B66" s="294"/>
      <c r="C66" s="294"/>
      <c r="D66" s="294"/>
      <c r="E66" s="293"/>
      <c r="F66" s="294"/>
      <c r="G66" s="294"/>
      <c r="H66" s="294"/>
      <c r="I66" s="88"/>
      <c r="J66" s="88"/>
      <c r="K66" s="95"/>
      <c r="L66" s="95"/>
      <c r="M66" s="88"/>
      <c r="N66" s="95" t="s">
        <v>40</v>
      </c>
      <c r="O66" s="95" t="s">
        <v>2</v>
      </c>
      <c r="P66" s="96" t="s">
        <v>50</v>
      </c>
      <c r="Q66" s="93" t="s">
        <v>132</v>
      </c>
      <c r="R66" s="97"/>
      <c r="S66" s="97"/>
      <c r="T66" s="1"/>
      <c r="U66" s="98"/>
      <c r="V66" s="1"/>
      <c r="W66" s="98"/>
      <c r="X66" s="1"/>
      <c r="Y66" s="1"/>
      <c r="Z66" s="1"/>
      <c r="AA66" s="1"/>
      <c r="AB66" s="97"/>
      <c r="AC66" s="13"/>
      <c r="AD66" s="3"/>
      <c r="AE66" s="3"/>
      <c r="AF66" s="3"/>
      <c r="AG66" s="1"/>
      <c r="AH66" s="1"/>
      <c r="AI66" s="1"/>
      <c r="AJ66" s="1"/>
      <c r="AK66" s="1"/>
    </row>
    <row r="67" spans="1:37" ht="15.75" customHeight="1" x14ac:dyDescent="0.2">
      <c r="A67" s="294"/>
      <c r="B67" s="294"/>
      <c r="C67" s="294"/>
      <c r="D67" s="294"/>
      <c r="E67" s="293"/>
      <c r="F67" s="294"/>
      <c r="G67" s="294"/>
      <c r="H67" s="294"/>
      <c r="I67" s="88"/>
      <c r="J67" s="88"/>
      <c r="K67" s="99"/>
      <c r="L67" s="100"/>
      <c r="M67" s="88"/>
      <c r="N67" s="93">
        <f t="shared" ref="N67:N68" si="1">B1</f>
        <v>388479</v>
      </c>
      <c r="O67" s="87">
        <f t="shared" ref="O67:O126" si="2">IF(D$1&gt;1,D1/100,D1)</f>
        <v>0.61631580448000001</v>
      </c>
      <c r="P67" s="101">
        <f t="shared" ref="P67:P126" si="3">N67*O67</f>
        <v>239425.74740858591</v>
      </c>
      <c r="Q67" s="102">
        <f t="shared" ref="Q67:Q126" si="4">E1</f>
        <v>9.2167453407737462E-3</v>
      </c>
      <c r="R67" s="103"/>
      <c r="S67" s="103"/>
      <c r="T67" s="1"/>
      <c r="U67" s="35"/>
      <c r="V67" s="104"/>
      <c r="W67" s="35"/>
      <c r="X67" s="104"/>
      <c r="Y67" s="1"/>
      <c r="Z67" s="1"/>
      <c r="AA67" s="105"/>
      <c r="AB67" s="3"/>
      <c r="AC67" s="3"/>
      <c r="AD67" s="1"/>
      <c r="AE67" s="1"/>
      <c r="AF67" s="3"/>
      <c r="AG67" s="1"/>
      <c r="AH67" s="1"/>
      <c r="AI67" s="1"/>
      <c r="AJ67" s="1"/>
      <c r="AK67" s="1"/>
    </row>
    <row r="68" spans="1:37" ht="15.75" customHeight="1" x14ac:dyDescent="0.2">
      <c r="A68" s="294"/>
      <c r="B68" s="294"/>
      <c r="C68" s="294"/>
      <c r="D68" s="294"/>
      <c r="E68" s="293"/>
      <c r="F68" s="294"/>
      <c r="G68" s="294"/>
      <c r="H68" s="294"/>
      <c r="I68" s="88"/>
      <c r="J68" s="88"/>
      <c r="K68" s="106"/>
      <c r="L68" s="87"/>
      <c r="M68" s="107"/>
      <c r="N68" s="93">
        <f t="shared" si="1"/>
        <v>163082</v>
      </c>
      <c r="O68" s="87">
        <f t="shared" si="2"/>
        <v>0.63392359511000007</v>
      </c>
      <c r="P68" s="101">
        <f t="shared" si="3"/>
        <v>103381.52773772903</v>
      </c>
      <c r="Q68" s="102">
        <f t="shared" si="4"/>
        <v>9.5300999999999997E-3</v>
      </c>
      <c r="R68" s="103"/>
      <c r="S68" s="103"/>
      <c r="T68" s="1"/>
      <c r="U68" s="35"/>
      <c r="V68" s="104"/>
      <c r="W68" s="35"/>
      <c r="X68" s="104"/>
      <c r="Y68" s="1"/>
      <c r="Z68" s="1"/>
      <c r="AA68" s="105"/>
      <c r="AB68" s="3"/>
      <c r="AC68" s="3"/>
      <c r="AD68" s="1"/>
      <c r="AE68" s="1"/>
      <c r="AF68" s="3"/>
      <c r="AG68" s="1"/>
      <c r="AH68" s="1"/>
      <c r="AI68" s="1"/>
      <c r="AJ68" s="1"/>
      <c r="AK68" s="1"/>
    </row>
    <row r="69" spans="1:37" ht="15.75" customHeight="1" x14ac:dyDescent="0.2">
      <c r="A69" s="294"/>
      <c r="B69" s="294"/>
      <c r="C69" s="294"/>
      <c r="D69" s="294"/>
      <c r="E69" s="293"/>
      <c r="F69" s="294"/>
      <c r="G69" s="294"/>
      <c r="H69" s="294"/>
      <c r="I69" s="88"/>
      <c r="J69" s="88"/>
      <c r="K69" s="106"/>
      <c r="L69" s="87"/>
      <c r="M69" s="88"/>
      <c r="N69" s="1">
        <v>642376.55039999995</v>
      </c>
      <c r="O69" s="87">
        <f t="shared" si="2"/>
        <v>0.63386387507999997</v>
      </c>
      <c r="P69" s="101">
        <f t="shared" si="3"/>
        <v>407179.28949706687</v>
      </c>
      <c r="Q69" s="102">
        <f t="shared" si="4"/>
        <v>1.15E-2</v>
      </c>
      <c r="R69" s="103"/>
      <c r="S69" s="103"/>
      <c r="T69" s="1"/>
      <c r="U69" s="35"/>
      <c r="V69" s="104"/>
      <c r="W69" s="35"/>
      <c r="X69" s="104"/>
      <c r="Y69" s="1"/>
      <c r="Z69" s="1"/>
      <c r="AA69" s="105"/>
      <c r="AB69" s="3"/>
      <c r="AC69" s="3"/>
      <c r="AD69" s="1"/>
      <c r="AE69" s="1"/>
      <c r="AF69" s="3"/>
      <c r="AG69" s="1"/>
      <c r="AH69" s="1"/>
      <c r="AI69" s="1"/>
      <c r="AJ69" s="1"/>
      <c r="AK69" s="1"/>
    </row>
    <row r="70" spans="1:37" ht="15.75" customHeight="1" x14ac:dyDescent="0.2">
      <c r="A70" s="294"/>
      <c r="B70" s="294"/>
      <c r="C70" s="294"/>
      <c r="D70" s="296"/>
      <c r="E70" s="293"/>
      <c r="F70" s="297"/>
      <c r="G70" s="294"/>
      <c r="H70" s="294"/>
      <c r="I70" s="88"/>
      <c r="J70" s="88"/>
      <c r="K70" s="106"/>
      <c r="L70" s="87"/>
      <c r="M70" s="88"/>
      <c r="N70" s="93">
        <f t="shared" ref="N70:N126" si="5">B4</f>
        <v>225397</v>
      </c>
      <c r="O70" s="87">
        <f t="shared" si="2"/>
        <v>0.603576</v>
      </c>
      <c r="P70" s="101">
        <f t="shared" si="3"/>
        <v>136044.21967200001</v>
      </c>
      <c r="Q70" s="102">
        <f t="shared" si="4"/>
        <v>8.9899000000000003E-3</v>
      </c>
      <c r="R70" s="103"/>
      <c r="S70" s="103"/>
      <c r="T70" s="1"/>
      <c r="U70" s="35"/>
      <c r="V70" s="104"/>
      <c r="W70" s="35"/>
      <c r="X70" s="104"/>
      <c r="Y70" s="1"/>
      <c r="Z70" s="1"/>
      <c r="AA70" s="105"/>
      <c r="AB70" s="3"/>
      <c r="AC70" s="3"/>
      <c r="AD70" s="1"/>
      <c r="AE70" s="1"/>
      <c r="AF70" s="3"/>
      <c r="AG70" s="1"/>
      <c r="AH70" s="1"/>
      <c r="AI70" s="1"/>
      <c r="AJ70" s="1"/>
      <c r="AK70" s="1"/>
    </row>
    <row r="71" spans="1:37" ht="15.75" customHeight="1" x14ac:dyDescent="0.2">
      <c r="A71" s="294"/>
      <c r="B71" s="294"/>
      <c r="C71" s="294"/>
      <c r="D71" s="294"/>
      <c r="E71" s="293"/>
      <c r="F71" s="294"/>
      <c r="G71" s="294"/>
      <c r="H71" s="294"/>
      <c r="I71" s="88"/>
      <c r="J71" s="88"/>
      <c r="K71" s="106"/>
      <c r="L71" s="87"/>
      <c r="M71" s="88"/>
      <c r="N71" s="93">
        <f t="shared" si="5"/>
        <v>228628</v>
      </c>
      <c r="O71" s="87">
        <f t="shared" si="2"/>
        <v>0.59687100000000004</v>
      </c>
      <c r="P71" s="101">
        <f t="shared" si="3"/>
        <v>136461.42298800001</v>
      </c>
      <c r="Q71" s="102">
        <f t="shared" si="4"/>
        <v>8.9899000000000003E-3</v>
      </c>
      <c r="R71" s="103"/>
      <c r="S71" s="103"/>
      <c r="T71" s="1"/>
      <c r="U71" s="35"/>
      <c r="V71" s="104"/>
      <c r="W71" s="35"/>
      <c r="X71" s="104"/>
      <c r="Y71" s="1"/>
      <c r="Z71" s="1"/>
      <c r="AA71" s="105"/>
      <c r="AB71" s="3"/>
      <c r="AC71" s="3"/>
      <c r="AD71" s="1"/>
      <c r="AE71" s="1"/>
      <c r="AF71" s="3"/>
      <c r="AG71" s="1"/>
      <c r="AH71" s="1"/>
      <c r="AI71" s="1"/>
      <c r="AJ71" s="1"/>
      <c r="AK71" s="1"/>
    </row>
    <row r="72" spans="1:37" ht="15.75" customHeight="1" x14ac:dyDescent="0.2">
      <c r="A72" s="294"/>
      <c r="B72" s="294"/>
      <c r="C72" s="294"/>
      <c r="D72" s="296"/>
      <c r="E72" s="293"/>
      <c r="F72" s="297"/>
      <c r="G72" s="294"/>
      <c r="H72" s="294"/>
      <c r="I72" s="88"/>
      <c r="J72" s="88"/>
      <c r="K72" s="106"/>
      <c r="L72" s="87"/>
      <c r="M72" s="88"/>
      <c r="N72" s="93">
        <f t="shared" si="5"/>
        <v>-4354.5</v>
      </c>
      <c r="O72" s="87">
        <f t="shared" si="2"/>
        <v>0.63304499999999997</v>
      </c>
      <c r="P72" s="101">
        <f t="shared" si="3"/>
        <v>-2756.5944525</v>
      </c>
      <c r="Q72" s="102">
        <f t="shared" si="4"/>
        <v>8.6E-3</v>
      </c>
      <c r="R72" s="103"/>
      <c r="S72" s="103"/>
      <c r="T72" s="1"/>
      <c r="U72" s="35"/>
      <c r="V72" s="104"/>
      <c r="W72" s="35"/>
      <c r="X72" s="104"/>
      <c r="Y72" s="1"/>
      <c r="Z72" s="1"/>
      <c r="AA72" s="105"/>
      <c r="AB72" s="3"/>
      <c r="AC72" s="3"/>
      <c r="AD72" s="1"/>
      <c r="AE72" s="1"/>
      <c r="AF72" s="3"/>
      <c r="AG72" s="1"/>
      <c r="AH72" s="1"/>
      <c r="AI72" s="1"/>
      <c r="AJ72" s="1"/>
      <c r="AK72" s="1"/>
    </row>
    <row r="73" spans="1:37" ht="15.75" customHeight="1" x14ac:dyDescent="0.2">
      <c r="A73" s="88"/>
      <c r="B73" s="88"/>
      <c r="C73" s="107"/>
      <c r="D73" s="88"/>
      <c r="E73" s="87"/>
      <c r="F73" s="88"/>
      <c r="G73" s="88"/>
      <c r="H73" s="88"/>
      <c r="I73" s="88"/>
      <c r="J73" s="88"/>
      <c r="K73" s="106"/>
      <c r="L73" s="87"/>
      <c r="M73" s="88"/>
      <c r="N73" s="93">
        <f t="shared" si="5"/>
        <v>229834.02368000001</v>
      </c>
      <c r="O73" s="87">
        <f t="shared" si="2"/>
        <v>0.60589335206999995</v>
      </c>
      <c r="P73" s="101">
        <f t="shared" si="3"/>
        <v>139254.90702721095</v>
      </c>
      <c r="Q73" s="102">
        <f t="shared" si="4"/>
        <v>7.6E-3</v>
      </c>
      <c r="R73" s="103"/>
      <c r="S73" s="103"/>
      <c r="T73" s="1"/>
      <c r="U73" s="35"/>
      <c r="V73" s="104"/>
      <c r="W73" s="35"/>
      <c r="X73" s="104"/>
      <c r="Y73" s="1"/>
      <c r="Z73" s="1"/>
      <c r="AA73" s="105"/>
      <c r="AB73" s="3"/>
      <c r="AC73" s="3"/>
      <c r="AD73" s="1"/>
      <c r="AE73" s="1"/>
      <c r="AF73" s="3"/>
      <c r="AG73" s="1"/>
      <c r="AH73" s="1"/>
      <c r="AI73" s="1"/>
      <c r="AJ73" s="1"/>
      <c r="AK73" s="1"/>
    </row>
    <row r="74" spans="1:37" ht="15.75" customHeight="1" x14ac:dyDescent="0.2">
      <c r="A74" s="88"/>
      <c r="B74" s="88"/>
      <c r="C74" s="88"/>
      <c r="D74" s="107"/>
      <c r="E74" s="87"/>
      <c r="F74" s="109"/>
      <c r="G74" s="109"/>
      <c r="H74" s="92"/>
      <c r="I74" s="88"/>
      <c r="J74" s="88"/>
      <c r="K74" s="106"/>
      <c r="L74" s="87"/>
      <c r="M74" s="88"/>
      <c r="N74" s="93">
        <f t="shared" si="5"/>
        <v>-2106</v>
      </c>
      <c r="O74" s="87">
        <f t="shared" si="2"/>
        <v>0.68650000000000011</v>
      </c>
      <c r="P74" s="101">
        <f t="shared" si="3"/>
        <v>-1445.7690000000002</v>
      </c>
      <c r="Q74" s="102">
        <f t="shared" si="4"/>
        <v>0</v>
      </c>
      <c r="R74" s="103"/>
      <c r="S74" s="103"/>
      <c r="T74" s="1"/>
      <c r="U74" s="35"/>
      <c r="V74" s="104"/>
      <c r="W74" s="35"/>
      <c r="X74" s="104"/>
      <c r="Y74" s="1"/>
      <c r="Z74" s="1"/>
      <c r="AA74" s="105"/>
      <c r="AB74" s="3"/>
      <c r="AC74" s="3"/>
      <c r="AD74" s="1"/>
      <c r="AE74" s="1"/>
      <c r="AF74" s="3"/>
      <c r="AG74" s="1"/>
      <c r="AH74" s="1"/>
      <c r="AI74" s="1"/>
      <c r="AJ74" s="1"/>
      <c r="AK74" s="1"/>
    </row>
    <row r="75" spans="1:37" ht="15.75" customHeight="1" x14ac:dyDescent="0.2">
      <c r="A75" s="88"/>
      <c r="B75" s="88"/>
      <c r="C75" s="88"/>
      <c r="D75" s="88"/>
      <c r="E75" s="87"/>
      <c r="F75" s="88"/>
      <c r="G75" s="88"/>
      <c r="H75" s="88"/>
      <c r="I75" s="88"/>
      <c r="J75" s="88"/>
      <c r="K75" s="106"/>
      <c r="L75" s="87"/>
      <c r="M75" s="88"/>
      <c r="N75" s="93">
        <f t="shared" si="5"/>
        <v>969.95</v>
      </c>
      <c r="O75" s="87">
        <f t="shared" si="2"/>
        <v>0.111969</v>
      </c>
      <c r="P75" s="101">
        <f t="shared" si="3"/>
        <v>108.60433155</v>
      </c>
      <c r="Q75" s="102">
        <f t="shared" si="4"/>
        <v>0</v>
      </c>
      <c r="R75" s="103"/>
      <c r="S75" s="103"/>
      <c r="T75" s="1"/>
      <c r="U75" s="35"/>
      <c r="V75" s="104"/>
      <c r="W75" s="35"/>
      <c r="X75" s="104"/>
      <c r="Y75" s="1"/>
      <c r="Z75" s="1"/>
      <c r="AA75" s="105"/>
      <c r="AB75" s="3"/>
      <c r="AC75" s="3"/>
      <c r="AD75" s="1"/>
      <c r="AE75" s="1"/>
      <c r="AF75" s="3"/>
      <c r="AG75" s="1"/>
      <c r="AH75" s="1"/>
      <c r="AI75" s="1"/>
      <c r="AJ75" s="1"/>
      <c r="AK75" s="1"/>
    </row>
    <row r="76" spans="1:37" ht="15.75" customHeight="1" x14ac:dyDescent="0.2">
      <c r="A76" s="88"/>
      <c r="B76" s="88"/>
      <c r="C76" s="88"/>
      <c r="D76" s="88"/>
      <c r="E76" s="87"/>
      <c r="F76" s="88"/>
      <c r="G76" s="88"/>
      <c r="H76" s="88"/>
      <c r="I76" s="88"/>
      <c r="J76" s="88"/>
      <c r="K76" s="106"/>
      <c r="L76" s="87"/>
      <c r="M76" s="88"/>
      <c r="N76" s="93">
        <f t="shared" si="5"/>
        <v>21060.023684</v>
      </c>
      <c r="O76" s="87">
        <f t="shared" si="2"/>
        <v>0.107445</v>
      </c>
      <c r="P76" s="101">
        <f t="shared" si="3"/>
        <v>2262.7942447273799</v>
      </c>
      <c r="Q76" s="102">
        <f t="shared" si="4"/>
        <v>0</v>
      </c>
      <c r="R76" s="103"/>
      <c r="S76" s="103"/>
      <c r="T76" s="1"/>
      <c r="U76" s="35"/>
      <c r="V76" s="104"/>
      <c r="W76" s="35"/>
      <c r="X76" s="104"/>
      <c r="Y76" s="1"/>
      <c r="Z76" s="1"/>
      <c r="AA76" s="105"/>
      <c r="AB76" s="3"/>
      <c r="AC76" s="3"/>
      <c r="AD76" s="1"/>
      <c r="AE76" s="1"/>
      <c r="AF76" s="3"/>
      <c r="AG76" s="1"/>
      <c r="AH76" s="1"/>
      <c r="AI76" s="1"/>
      <c r="AJ76" s="1"/>
      <c r="AK76" s="1"/>
    </row>
    <row r="77" spans="1:37" ht="15.75" customHeight="1" x14ac:dyDescent="0.2">
      <c r="A77" s="88"/>
      <c r="B77" s="88"/>
      <c r="C77" s="88"/>
      <c r="D77" s="107"/>
      <c r="E77" s="87"/>
      <c r="F77" s="108"/>
      <c r="G77" s="88"/>
      <c r="H77" s="88"/>
      <c r="I77" s="88"/>
      <c r="J77" s="88"/>
      <c r="K77" s="106"/>
      <c r="L77" s="87"/>
      <c r="M77" s="88"/>
      <c r="N77" s="93">
        <f t="shared" si="5"/>
        <v>20480.400000000001</v>
      </c>
      <c r="O77" s="87">
        <f t="shared" si="2"/>
        <v>0.105183</v>
      </c>
      <c r="P77" s="101">
        <f t="shared" si="3"/>
        <v>2154.1899132000003</v>
      </c>
      <c r="Q77" s="102">
        <f t="shared" si="4"/>
        <v>0</v>
      </c>
      <c r="R77" s="103"/>
      <c r="S77" s="103"/>
      <c r="T77" s="1"/>
      <c r="U77" s="35"/>
      <c r="V77" s="104"/>
      <c r="W77" s="35"/>
      <c r="X77" s="104"/>
      <c r="Y77" s="1"/>
      <c r="Z77" s="1"/>
      <c r="AA77" s="105"/>
      <c r="AB77" s="3"/>
      <c r="AC77" s="3"/>
      <c r="AD77" s="1"/>
      <c r="AE77" s="1"/>
      <c r="AF77" s="3"/>
      <c r="AG77" s="1"/>
      <c r="AH77" s="1"/>
      <c r="AI77" s="1"/>
      <c r="AJ77" s="1"/>
      <c r="AK77" s="1"/>
    </row>
    <row r="78" spans="1:37" ht="15.75" customHeight="1" x14ac:dyDescent="0.2">
      <c r="A78" s="88"/>
      <c r="B78" s="88"/>
      <c r="C78" s="88"/>
      <c r="D78" s="88"/>
      <c r="E78" s="87"/>
      <c r="F78" s="88"/>
      <c r="G78" s="88"/>
      <c r="H78" s="88"/>
      <c r="I78" s="88"/>
      <c r="J78" s="88"/>
      <c r="K78" s="106"/>
      <c r="L78" s="87"/>
      <c r="M78" s="88"/>
      <c r="N78" s="93">
        <f t="shared" si="5"/>
        <v>208774</v>
      </c>
      <c r="O78" s="87">
        <f t="shared" si="2"/>
        <v>0.66638999999999993</v>
      </c>
      <c r="P78" s="101">
        <f t="shared" si="3"/>
        <v>139124.90586</v>
      </c>
      <c r="Q78" s="102">
        <f t="shared" si="4"/>
        <v>9.9546339989804444E-3</v>
      </c>
      <c r="R78" s="103"/>
      <c r="S78" s="103"/>
      <c r="T78" s="1"/>
      <c r="U78" s="35"/>
      <c r="V78" s="104"/>
      <c r="W78" s="35"/>
      <c r="X78" s="104"/>
      <c r="Y78" s="1"/>
      <c r="Z78" s="1"/>
      <c r="AA78" s="105"/>
      <c r="AB78" s="3"/>
      <c r="AC78" s="3"/>
      <c r="AD78" s="1"/>
      <c r="AE78" s="1"/>
      <c r="AF78" s="3"/>
      <c r="AG78" s="1"/>
      <c r="AH78" s="1"/>
      <c r="AI78" s="1"/>
      <c r="AJ78" s="1"/>
      <c r="AK78" s="1"/>
    </row>
    <row r="79" spans="1:37" ht="15.75" customHeight="1" x14ac:dyDescent="0.2">
      <c r="A79" s="88"/>
      <c r="B79" s="88"/>
      <c r="C79" s="88"/>
      <c r="D79" s="88"/>
      <c r="E79" s="87"/>
      <c r="F79" s="88"/>
      <c r="G79" s="88"/>
      <c r="H79" s="88"/>
      <c r="I79" s="88"/>
      <c r="J79" s="88"/>
      <c r="K79" s="106"/>
      <c r="L79" s="87"/>
      <c r="M79" s="88"/>
      <c r="N79" s="93">
        <f t="shared" si="5"/>
        <v>210880</v>
      </c>
      <c r="O79" s="87">
        <f t="shared" si="2"/>
        <v>0.67963499999999999</v>
      </c>
      <c r="P79" s="101">
        <f t="shared" si="3"/>
        <v>143321.42879999999</v>
      </c>
      <c r="Q79" s="102">
        <f t="shared" si="4"/>
        <v>8.3495571339466099E-2</v>
      </c>
      <c r="R79" s="103"/>
      <c r="S79" s="103"/>
      <c r="T79" s="1"/>
      <c r="U79" s="35"/>
      <c r="V79" s="104"/>
      <c r="W79" s="35"/>
      <c r="X79" s="104"/>
      <c r="Y79" s="1"/>
      <c r="Z79" s="1"/>
      <c r="AA79" s="105"/>
      <c r="AB79" s="3"/>
      <c r="AC79" s="3"/>
      <c r="AD79" s="1"/>
      <c r="AE79" s="1"/>
      <c r="AF79" s="3"/>
      <c r="AG79" s="1"/>
      <c r="AH79" s="1"/>
      <c r="AI79" s="1"/>
      <c r="AJ79" s="1"/>
      <c r="AK79" s="1"/>
    </row>
    <row r="80" spans="1:37" ht="15.75" customHeight="1" x14ac:dyDescent="0.2">
      <c r="A80" s="88"/>
      <c r="B80" s="88"/>
      <c r="C80" s="88"/>
      <c r="D80" s="88"/>
      <c r="E80" s="87"/>
      <c r="F80" s="107"/>
      <c r="G80" s="107"/>
      <c r="H80" s="88"/>
      <c r="I80" s="88"/>
      <c r="J80" s="88"/>
      <c r="K80" s="106"/>
      <c r="L80" s="87"/>
      <c r="M80" s="88"/>
      <c r="N80" s="93">
        <f t="shared" si="5"/>
        <v>0</v>
      </c>
      <c r="O80" s="87">
        <f t="shared" si="2"/>
        <v>0.57999999999999996</v>
      </c>
      <c r="P80" s="101">
        <f t="shared" si="3"/>
        <v>0</v>
      </c>
      <c r="Q80" s="102">
        <f t="shared" si="4"/>
        <v>0</v>
      </c>
      <c r="R80" s="103"/>
      <c r="S80" s="103"/>
      <c r="T80" s="1"/>
      <c r="U80" s="35"/>
      <c r="V80" s="104"/>
      <c r="W80" s="35"/>
      <c r="X80" s="104"/>
      <c r="Y80" s="1"/>
      <c r="Z80" s="1"/>
      <c r="AA80" s="105"/>
      <c r="AB80" s="3"/>
      <c r="AC80" s="3"/>
      <c r="AD80" s="1"/>
      <c r="AE80" s="1"/>
      <c r="AF80" s="3"/>
      <c r="AG80" s="1"/>
      <c r="AH80" s="1"/>
      <c r="AI80" s="1"/>
      <c r="AJ80" s="1"/>
      <c r="AK80" s="1"/>
    </row>
    <row r="81" spans="1:37" ht="15.75" customHeight="1" x14ac:dyDescent="0.2">
      <c r="A81" s="88"/>
      <c r="B81" s="88"/>
      <c r="C81" s="88"/>
      <c r="D81" s="88"/>
      <c r="E81" s="87"/>
      <c r="F81" s="88"/>
      <c r="G81" s="88"/>
      <c r="H81" s="88"/>
      <c r="I81" s="88"/>
      <c r="J81" s="88"/>
      <c r="K81" s="106"/>
      <c r="L81" s="87"/>
      <c r="M81" s="88"/>
      <c r="N81" s="93">
        <f t="shared" si="5"/>
        <v>192143</v>
      </c>
      <c r="O81" s="87">
        <f t="shared" si="2"/>
        <v>0.68650000000000011</v>
      </c>
      <c r="P81" s="101">
        <f t="shared" si="3"/>
        <v>131906.16950000002</v>
      </c>
      <c r="Q81" s="102">
        <f t="shared" si="4"/>
        <v>8.3495571339466099E-2</v>
      </c>
      <c r="R81" s="103"/>
      <c r="S81" s="103"/>
      <c r="T81" s="1"/>
      <c r="U81" s="35"/>
      <c r="V81" s="104"/>
      <c r="W81" s="35"/>
      <c r="X81" s="104"/>
      <c r="Y81" s="1"/>
      <c r="Z81" s="1"/>
      <c r="AA81" s="105"/>
      <c r="AB81" s="3"/>
      <c r="AC81" s="3"/>
      <c r="AD81" s="1"/>
      <c r="AE81" s="1"/>
      <c r="AF81" s="3"/>
      <c r="AG81" s="1"/>
      <c r="AH81" s="1"/>
      <c r="AI81" s="1"/>
      <c r="AJ81" s="1"/>
      <c r="AK81" s="1"/>
    </row>
    <row r="82" spans="1:37" ht="15.75" customHeight="1" x14ac:dyDescent="0.2">
      <c r="A82" s="88"/>
      <c r="B82" s="88"/>
      <c r="C82" s="88"/>
      <c r="D82" s="107"/>
      <c r="E82" s="87"/>
      <c r="F82" s="88"/>
      <c r="G82" s="88"/>
      <c r="H82" s="88"/>
      <c r="I82" s="88"/>
      <c r="J82" s="88"/>
      <c r="K82" s="106"/>
      <c r="L82" s="87"/>
      <c r="M82" s="88"/>
      <c r="N82" s="93">
        <f t="shared" si="5"/>
        <v>192143</v>
      </c>
      <c r="O82" s="87">
        <f t="shared" si="2"/>
        <v>0.68650000000000011</v>
      </c>
      <c r="P82" s="101">
        <f t="shared" si="3"/>
        <v>131906.16950000002</v>
      </c>
      <c r="Q82" s="102">
        <f t="shared" si="4"/>
        <v>8.3495571339466099E-2</v>
      </c>
      <c r="R82" s="103"/>
      <c r="S82" s="103"/>
      <c r="T82" s="1"/>
      <c r="U82" s="35"/>
      <c r="V82" s="104"/>
      <c r="W82" s="35"/>
      <c r="X82" s="104"/>
      <c r="Y82" s="1"/>
      <c r="Z82" s="1"/>
      <c r="AA82" s="105"/>
      <c r="AB82" s="3"/>
      <c r="AC82" s="3"/>
      <c r="AD82" s="1"/>
      <c r="AE82" s="1"/>
      <c r="AF82" s="3"/>
      <c r="AG82" s="1"/>
      <c r="AH82" s="1"/>
      <c r="AI82" s="1"/>
      <c r="AJ82" s="1"/>
      <c r="AK82" s="1"/>
    </row>
    <row r="83" spans="1:37" ht="15.75" customHeight="1" x14ac:dyDescent="0.2">
      <c r="A83" s="88"/>
      <c r="B83" s="88"/>
      <c r="C83" s="88"/>
      <c r="D83" s="88"/>
      <c r="E83" s="87"/>
      <c r="F83" s="88"/>
      <c r="G83" s="88"/>
      <c r="H83" s="88"/>
      <c r="I83" s="88"/>
      <c r="J83" s="88"/>
      <c r="K83" s="106"/>
      <c r="L83" s="87"/>
      <c r="M83" s="88"/>
      <c r="N83" s="93">
        <f t="shared" si="5"/>
        <v>0</v>
      </c>
      <c r="O83" s="87">
        <f t="shared" si="2"/>
        <v>0.68650000000000011</v>
      </c>
      <c r="P83" s="101">
        <f t="shared" si="3"/>
        <v>0</v>
      </c>
      <c r="Q83" s="102">
        <f t="shared" si="4"/>
        <v>8.3495571339466099E-2</v>
      </c>
      <c r="R83" s="103"/>
      <c r="S83" s="103"/>
      <c r="T83" s="1"/>
      <c r="U83" s="35"/>
      <c r="V83" s="104"/>
      <c r="W83" s="35"/>
      <c r="X83" s="104"/>
      <c r="Y83" s="1"/>
      <c r="Z83" s="1"/>
      <c r="AA83" s="105"/>
      <c r="AB83" s="3"/>
      <c r="AC83" s="3"/>
      <c r="AD83" s="1"/>
      <c r="AE83" s="1"/>
      <c r="AF83" s="3"/>
      <c r="AG83" s="1"/>
      <c r="AH83" s="1"/>
      <c r="AI83" s="1"/>
      <c r="AJ83" s="1"/>
      <c r="AK83" s="1"/>
    </row>
    <row r="84" spans="1:37" ht="15.75" customHeight="1" x14ac:dyDescent="0.2">
      <c r="A84" s="88"/>
      <c r="B84" s="88"/>
      <c r="C84" s="88"/>
      <c r="D84" s="107"/>
      <c r="E84" s="87"/>
      <c r="F84" s="108"/>
      <c r="G84" s="108"/>
      <c r="H84" s="88"/>
      <c r="I84" s="88"/>
      <c r="J84" s="88"/>
      <c r="K84" s="106"/>
      <c r="L84" s="87"/>
      <c r="M84" s="88"/>
      <c r="N84" s="93">
        <f t="shared" si="5"/>
        <v>15836.380952</v>
      </c>
      <c r="O84" s="87">
        <f t="shared" si="2"/>
        <v>0.72082499999999994</v>
      </c>
      <c r="P84" s="101">
        <f t="shared" si="3"/>
        <v>11415.259299725398</v>
      </c>
      <c r="Q84" s="102">
        <f t="shared" si="4"/>
        <v>8.3495571339466099E-2</v>
      </c>
      <c r="R84" s="103"/>
      <c r="S84" s="103"/>
      <c r="T84" s="1"/>
      <c r="U84" s="35"/>
      <c r="V84" s="104"/>
      <c r="W84" s="35"/>
      <c r="X84" s="104"/>
      <c r="Y84" s="1"/>
      <c r="Z84" s="1"/>
      <c r="AA84" s="105"/>
      <c r="AB84" s="3"/>
      <c r="AC84" s="3"/>
      <c r="AD84" s="1"/>
      <c r="AE84" s="1"/>
      <c r="AF84" s="3"/>
      <c r="AG84" s="1"/>
      <c r="AH84" s="1"/>
      <c r="AI84" s="1"/>
      <c r="AJ84" s="1"/>
      <c r="AK84" s="1"/>
    </row>
    <row r="85" spans="1:37" ht="15.75" customHeight="1" x14ac:dyDescent="0.2">
      <c r="A85" s="88"/>
      <c r="B85" s="88"/>
      <c r="C85" s="88"/>
      <c r="D85" s="88"/>
      <c r="E85" s="87"/>
      <c r="F85" s="88"/>
      <c r="G85" s="88"/>
      <c r="H85" s="88"/>
      <c r="I85" s="88"/>
      <c r="J85" s="88"/>
      <c r="K85" s="106"/>
      <c r="L85" s="87"/>
      <c r="M85" s="88"/>
      <c r="N85" s="93">
        <f t="shared" si="5"/>
        <v>103878</v>
      </c>
      <c r="O85" s="87">
        <f t="shared" si="2"/>
        <v>0.68680000000000008</v>
      </c>
      <c r="P85" s="101">
        <f t="shared" si="3"/>
        <v>71343.410400000008</v>
      </c>
      <c r="Q85" s="102">
        <f t="shared" si="4"/>
        <v>7.8799999999999995E-2</v>
      </c>
      <c r="R85" s="103"/>
      <c r="S85" s="103"/>
      <c r="T85" s="1"/>
      <c r="U85" s="35"/>
      <c r="V85" s="104"/>
      <c r="W85" s="35"/>
      <c r="X85" s="104"/>
      <c r="Y85" s="1"/>
      <c r="Z85" s="1"/>
      <c r="AA85" s="105"/>
      <c r="AB85" s="3"/>
      <c r="AC85" s="3"/>
      <c r="AD85" s="1"/>
      <c r="AE85" s="1"/>
      <c r="AF85" s="3"/>
      <c r="AG85" s="1"/>
      <c r="AH85" s="1"/>
      <c r="AI85" s="1"/>
      <c r="AJ85" s="1"/>
      <c r="AK85" s="1"/>
    </row>
    <row r="86" spans="1:37" ht="15.75" customHeight="1" x14ac:dyDescent="0.2">
      <c r="A86" s="88"/>
      <c r="B86" s="88"/>
      <c r="C86" s="88"/>
      <c r="D86" s="88"/>
      <c r="E86" s="87"/>
      <c r="F86" s="88"/>
      <c r="G86" s="88"/>
      <c r="H86" s="88"/>
      <c r="I86" s="88"/>
      <c r="J86" s="88"/>
      <c r="K86" s="106"/>
      <c r="L86" s="87"/>
      <c r="M86" s="88"/>
      <c r="N86" s="93">
        <f t="shared" si="5"/>
        <v>0</v>
      </c>
      <c r="O86" s="87">
        <f t="shared" si="2"/>
        <v>0</v>
      </c>
      <c r="P86" s="101">
        <f t="shared" si="3"/>
        <v>0</v>
      </c>
      <c r="Q86" s="102">
        <f t="shared" si="4"/>
        <v>0</v>
      </c>
      <c r="R86" s="103"/>
      <c r="S86" s="103"/>
      <c r="T86" s="1"/>
      <c r="U86" s="35"/>
      <c r="V86" s="104"/>
      <c r="W86" s="35"/>
      <c r="X86" s="104"/>
      <c r="Y86" s="1"/>
      <c r="Z86" s="1"/>
      <c r="AA86" s="105"/>
      <c r="AB86" s="3"/>
      <c r="AC86" s="3"/>
      <c r="AD86" s="1"/>
      <c r="AE86" s="1"/>
      <c r="AF86" s="3"/>
      <c r="AG86" s="1"/>
      <c r="AH86" s="1"/>
      <c r="AI86" s="1"/>
      <c r="AJ86" s="1"/>
      <c r="AK86" s="1"/>
    </row>
    <row r="87" spans="1:37" ht="15.75" customHeight="1" x14ac:dyDescent="0.2">
      <c r="A87" s="88"/>
      <c r="B87" s="88"/>
      <c r="C87" s="88"/>
      <c r="D87" s="88"/>
      <c r="E87" s="87"/>
      <c r="F87" s="88"/>
      <c r="G87" s="88"/>
      <c r="H87" s="88"/>
      <c r="I87" s="88"/>
      <c r="J87" s="88"/>
      <c r="K87" s="106"/>
      <c r="L87" s="87"/>
      <c r="M87" s="107"/>
      <c r="N87" s="93">
        <f t="shared" si="5"/>
        <v>0</v>
      </c>
      <c r="O87" s="87">
        <f t="shared" si="2"/>
        <v>0</v>
      </c>
      <c r="P87" s="101">
        <f t="shared" si="3"/>
        <v>0</v>
      </c>
      <c r="Q87" s="102">
        <f t="shared" si="4"/>
        <v>1</v>
      </c>
      <c r="R87" s="103"/>
      <c r="S87" s="103"/>
      <c r="T87" s="1"/>
      <c r="U87" s="35"/>
      <c r="V87" s="104"/>
      <c r="W87" s="35"/>
      <c r="X87" s="104"/>
      <c r="Y87" s="1"/>
      <c r="Z87" s="1"/>
      <c r="AA87" s="105"/>
      <c r="AB87" s="3"/>
      <c r="AC87" s="3"/>
      <c r="AD87" s="1"/>
      <c r="AE87" s="1"/>
      <c r="AF87" s="3"/>
      <c r="AG87" s="1"/>
      <c r="AH87" s="1"/>
      <c r="AI87" s="1"/>
      <c r="AJ87" s="1"/>
      <c r="AK87" s="1"/>
    </row>
    <row r="88" spans="1:37" ht="15.75" customHeight="1" x14ac:dyDescent="0.2">
      <c r="A88" s="88"/>
      <c r="B88" s="88"/>
      <c r="C88" s="88"/>
      <c r="D88" s="107"/>
      <c r="E88" s="87"/>
      <c r="F88" s="108"/>
      <c r="G88" s="108"/>
      <c r="H88" s="88"/>
      <c r="I88" s="88"/>
      <c r="J88" s="88"/>
      <c r="K88" s="106"/>
      <c r="L88" s="87"/>
      <c r="M88" s="88"/>
      <c r="N88" s="93">
        <f t="shared" si="5"/>
        <v>0</v>
      </c>
      <c r="O88" s="87">
        <f t="shared" si="2"/>
        <v>0</v>
      </c>
      <c r="P88" s="101">
        <f t="shared" si="3"/>
        <v>0</v>
      </c>
      <c r="Q88" s="102">
        <f t="shared" si="4"/>
        <v>0</v>
      </c>
      <c r="R88" s="103"/>
      <c r="S88" s="103"/>
      <c r="T88" s="1"/>
      <c r="U88" s="35"/>
      <c r="V88" s="104"/>
      <c r="W88" s="35"/>
      <c r="X88" s="104"/>
      <c r="Y88" s="1"/>
      <c r="Z88" s="1"/>
      <c r="AA88" s="105"/>
      <c r="AB88" s="3"/>
      <c r="AC88" s="3"/>
      <c r="AD88" s="1"/>
      <c r="AE88" s="1"/>
      <c r="AF88" s="1"/>
      <c r="AG88" s="1"/>
      <c r="AH88" s="1"/>
      <c r="AI88" s="1"/>
      <c r="AJ88" s="1"/>
      <c r="AK88" s="1"/>
    </row>
    <row r="89" spans="1:37" ht="15.75" customHeight="1" x14ac:dyDescent="0.2">
      <c r="A89" s="88"/>
      <c r="B89" s="88"/>
      <c r="C89" s="88"/>
      <c r="D89" s="88"/>
      <c r="E89" s="87"/>
      <c r="F89" s="88"/>
      <c r="G89" s="88"/>
      <c r="H89" s="88"/>
      <c r="I89" s="88"/>
      <c r="J89" s="88"/>
      <c r="K89" s="106"/>
      <c r="L89" s="87"/>
      <c r="M89" s="88"/>
      <c r="N89" s="93">
        <f t="shared" si="5"/>
        <v>0</v>
      </c>
      <c r="O89" s="87">
        <f t="shared" si="2"/>
        <v>0</v>
      </c>
      <c r="P89" s="101">
        <f t="shared" si="3"/>
        <v>0</v>
      </c>
      <c r="Q89" s="102">
        <f t="shared" si="4"/>
        <v>0</v>
      </c>
      <c r="R89" s="103"/>
      <c r="S89" s="103"/>
      <c r="T89" s="1"/>
      <c r="U89" s="35"/>
      <c r="V89" s="104"/>
      <c r="W89" s="35"/>
      <c r="X89" s="104"/>
      <c r="Y89" s="1"/>
      <c r="Z89" s="1"/>
      <c r="AA89" s="105"/>
      <c r="AB89" s="3"/>
      <c r="AC89" s="3"/>
      <c r="AD89" s="1"/>
      <c r="AE89" s="1"/>
      <c r="AF89" s="1"/>
      <c r="AG89" s="1"/>
      <c r="AH89" s="1"/>
      <c r="AI89" s="1"/>
      <c r="AJ89" s="1"/>
      <c r="AK89" s="1"/>
    </row>
    <row r="90" spans="1:37" ht="15.75" customHeight="1" x14ac:dyDescent="0.2">
      <c r="A90" s="88"/>
      <c r="B90" s="88"/>
      <c r="C90" s="88"/>
      <c r="D90" s="88"/>
      <c r="E90" s="87"/>
      <c r="F90" s="88"/>
      <c r="G90" s="88"/>
      <c r="H90" s="88"/>
      <c r="I90" s="88"/>
      <c r="J90" s="88"/>
      <c r="K90" s="106"/>
      <c r="L90" s="87"/>
      <c r="M90" s="88"/>
      <c r="N90" s="93">
        <f t="shared" si="5"/>
        <v>0</v>
      </c>
      <c r="O90" s="87">
        <f t="shared" si="2"/>
        <v>0</v>
      </c>
      <c r="P90" s="101">
        <f t="shared" si="3"/>
        <v>0</v>
      </c>
      <c r="Q90" s="102">
        <f t="shared" si="4"/>
        <v>0</v>
      </c>
      <c r="R90" s="103"/>
      <c r="S90" s="103"/>
      <c r="T90" s="1"/>
      <c r="U90" s="35"/>
      <c r="V90" s="104"/>
      <c r="W90" s="35"/>
      <c r="X90" s="104"/>
      <c r="Y90" s="1"/>
      <c r="Z90" s="1"/>
      <c r="AA90" s="105"/>
      <c r="AB90" s="3"/>
      <c r="AC90" s="3"/>
      <c r="AD90" s="1"/>
      <c r="AE90" s="1"/>
      <c r="AF90" s="1"/>
      <c r="AG90" s="1"/>
      <c r="AH90" s="1"/>
      <c r="AI90" s="1"/>
      <c r="AJ90" s="1"/>
      <c r="AK90" s="1"/>
    </row>
    <row r="91" spans="1:37" ht="15.75" customHeight="1" x14ac:dyDescent="0.2">
      <c r="A91" s="88"/>
      <c r="B91" s="88"/>
      <c r="C91" s="88"/>
      <c r="D91" s="88"/>
      <c r="E91" s="87"/>
      <c r="F91" s="107"/>
      <c r="G91" s="107"/>
      <c r="H91" s="107"/>
      <c r="I91" s="88"/>
      <c r="J91" s="88"/>
      <c r="K91" s="106"/>
      <c r="L91" s="87"/>
      <c r="M91" s="88"/>
      <c r="N91" s="93">
        <f t="shared" si="5"/>
        <v>0</v>
      </c>
      <c r="O91" s="87">
        <f t="shared" si="2"/>
        <v>0</v>
      </c>
      <c r="P91" s="101">
        <f t="shared" si="3"/>
        <v>0</v>
      </c>
      <c r="Q91" s="102">
        <f t="shared" si="4"/>
        <v>0</v>
      </c>
      <c r="R91" s="103"/>
      <c r="S91" s="103"/>
      <c r="T91" s="1"/>
      <c r="U91" s="35"/>
      <c r="V91" s="104"/>
      <c r="W91" s="35"/>
      <c r="X91" s="104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5.75" customHeight="1" x14ac:dyDescent="0.2">
      <c r="A92" s="88"/>
      <c r="B92" s="88"/>
      <c r="C92" s="88"/>
      <c r="D92" s="88"/>
      <c r="E92" s="87"/>
      <c r="F92" s="88"/>
      <c r="G92" s="88"/>
      <c r="H92" s="88"/>
      <c r="I92" s="88"/>
      <c r="J92" s="88"/>
      <c r="K92" s="106"/>
      <c r="L92" s="87"/>
      <c r="M92" s="88"/>
      <c r="N92" s="93">
        <f t="shared" si="5"/>
        <v>0</v>
      </c>
      <c r="O92" s="87">
        <f t="shared" si="2"/>
        <v>0</v>
      </c>
      <c r="P92" s="101">
        <f t="shared" si="3"/>
        <v>0</v>
      </c>
      <c r="Q92" s="102">
        <f t="shared" si="4"/>
        <v>0</v>
      </c>
      <c r="R92" s="103"/>
      <c r="S92" s="103"/>
      <c r="T92" s="1"/>
      <c r="U92" s="35"/>
      <c r="V92" s="104"/>
      <c r="W92" s="35"/>
      <c r="X92" s="104"/>
      <c r="Y92" s="1"/>
      <c r="Z92" s="1"/>
      <c r="AA92" s="1"/>
      <c r="AB92" s="1"/>
      <c r="AC92" s="3"/>
      <c r="AD92" s="35"/>
      <c r="AE92" s="1"/>
      <c r="AF92" s="1"/>
      <c r="AG92" s="1"/>
      <c r="AH92" s="1"/>
      <c r="AI92" s="1"/>
      <c r="AJ92" s="1"/>
      <c r="AK92" s="1"/>
    </row>
    <row r="93" spans="1:37" ht="15.75" customHeight="1" x14ac:dyDescent="0.25">
      <c r="A93" s="88"/>
      <c r="B93" s="88"/>
      <c r="C93" s="88"/>
      <c r="D93" s="107"/>
      <c r="E93" s="87"/>
      <c r="F93" s="108"/>
      <c r="G93" s="108"/>
      <c r="H93" s="88"/>
      <c r="I93" s="88"/>
      <c r="J93" s="88"/>
      <c r="K93" s="106"/>
      <c r="L93" s="87"/>
      <c r="M93" s="88"/>
      <c r="N93" s="93">
        <f t="shared" si="5"/>
        <v>-35851.199999999997</v>
      </c>
      <c r="O93" s="87">
        <f t="shared" si="2"/>
        <v>0</v>
      </c>
      <c r="P93" s="101">
        <f t="shared" si="3"/>
        <v>0</v>
      </c>
      <c r="Q93" s="102">
        <f t="shared" si="4"/>
        <v>5.0000000000000001E-3</v>
      </c>
      <c r="R93" s="103"/>
      <c r="S93" s="103"/>
      <c r="T93" s="1"/>
      <c r="U93" s="35"/>
      <c r="V93" s="104"/>
      <c r="W93" s="35"/>
      <c r="X93" s="104"/>
      <c r="Y93" s="1"/>
      <c r="Z93" s="1"/>
      <c r="AA93" s="110"/>
      <c r="AB93" s="110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5.75" customHeight="1" x14ac:dyDescent="0.2">
      <c r="A94" s="88"/>
      <c r="B94" s="88"/>
      <c r="C94" s="88"/>
      <c r="D94" s="107"/>
      <c r="E94" s="87"/>
      <c r="F94" s="108"/>
      <c r="G94" s="108"/>
      <c r="H94" s="88"/>
      <c r="I94" s="88"/>
      <c r="J94" s="88"/>
      <c r="K94" s="106"/>
      <c r="L94" s="87"/>
      <c r="M94" s="88"/>
      <c r="N94" s="93">
        <f t="shared" si="5"/>
        <v>0</v>
      </c>
      <c r="O94" s="87">
        <f t="shared" si="2"/>
        <v>0</v>
      </c>
      <c r="P94" s="101">
        <f t="shared" si="3"/>
        <v>0</v>
      </c>
      <c r="Q94" s="102">
        <f t="shared" si="4"/>
        <v>0</v>
      </c>
      <c r="R94" s="103"/>
      <c r="S94" s="103"/>
      <c r="T94" s="1"/>
      <c r="U94" s="35"/>
      <c r="V94" s="104"/>
      <c r="W94" s="35"/>
      <c r="X94" s="104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5.75" customHeight="1" x14ac:dyDescent="0.2">
      <c r="A95" s="88"/>
      <c r="B95" s="88"/>
      <c r="C95" s="88"/>
      <c r="D95" s="107"/>
      <c r="E95" s="87"/>
      <c r="F95" s="108"/>
      <c r="G95" s="88"/>
      <c r="H95" s="88"/>
      <c r="I95" s="88"/>
      <c r="J95" s="88"/>
      <c r="K95" s="106"/>
      <c r="L95" s="87"/>
      <c r="M95" s="88"/>
      <c r="N95" s="93">
        <f t="shared" si="5"/>
        <v>0</v>
      </c>
      <c r="O95" s="87">
        <f t="shared" si="2"/>
        <v>0</v>
      </c>
      <c r="P95" s="101">
        <f t="shared" si="3"/>
        <v>0</v>
      </c>
      <c r="Q95" s="102">
        <f t="shared" si="4"/>
        <v>0.01</v>
      </c>
      <c r="R95" s="103"/>
      <c r="S95" s="103"/>
      <c r="T95" s="1"/>
      <c r="U95" s="35"/>
      <c r="V95" s="104"/>
      <c r="W95" s="35"/>
      <c r="X95" s="104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5.75" customHeight="1" x14ac:dyDescent="0.2">
      <c r="A96" s="88"/>
      <c r="B96" s="88"/>
      <c r="C96" s="88"/>
      <c r="D96" s="88"/>
      <c r="E96" s="87"/>
      <c r="F96" s="88"/>
      <c r="G96" s="88"/>
      <c r="H96" s="88"/>
      <c r="I96" s="88"/>
      <c r="J96" s="88"/>
      <c r="K96" s="106"/>
      <c r="L96" s="87"/>
      <c r="M96" s="88"/>
      <c r="N96" s="93">
        <f t="shared" si="5"/>
        <v>0</v>
      </c>
      <c r="O96" s="87">
        <f t="shared" si="2"/>
        <v>0.68650000000000011</v>
      </c>
      <c r="P96" s="101">
        <f t="shared" si="3"/>
        <v>0</v>
      </c>
      <c r="Q96" s="102">
        <f t="shared" si="4"/>
        <v>0.01</v>
      </c>
      <c r="R96" s="103"/>
      <c r="S96" s="103"/>
      <c r="T96" s="1"/>
      <c r="U96" s="35"/>
      <c r="V96" s="104"/>
      <c r="W96" s="35"/>
      <c r="X96" s="104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5.75" customHeight="1" x14ac:dyDescent="0.2">
      <c r="A97" s="88"/>
      <c r="B97" s="88"/>
      <c r="C97" s="88"/>
      <c r="D97" s="107"/>
      <c r="E97" s="87"/>
      <c r="F97" s="88"/>
      <c r="G97" s="88"/>
      <c r="H97" s="88"/>
      <c r="I97" s="88"/>
      <c r="J97" s="88"/>
      <c r="K97" s="106"/>
      <c r="L97" s="87"/>
      <c r="M97" s="88"/>
      <c r="N97" s="93">
        <f t="shared" si="5"/>
        <v>692.3</v>
      </c>
      <c r="O97" s="87">
        <f t="shared" si="2"/>
        <v>0.56772</v>
      </c>
      <c r="P97" s="101">
        <f t="shared" si="3"/>
        <v>393.032556</v>
      </c>
      <c r="Q97" s="102">
        <f t="shared" si="4"/>
        <v>9.6968121743781464E-3</v>
      </c>
      <c r="R97" s="103"/>
      <c r="S97" s="103"/>
      <c r="T97" s="1"/>
      <c r="U97" s="35"/>
      <c r="V97" s="104"/>
      <c r="W97" s="35"/>
      <c r="X97" s="104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5.75" customHeight="1" x14ac:dyDescent="0.2">
      <c r="A98" s="88"/>
      <c r="B98" s="88"/>
      <c r="C98" s="88"/>
      <c r="D98" s="88"/>
      <c r="E98" s="87"/>
      <c r="F98" s="88"/>
      <c r="G98" s="88"/>
      <c r="H98" s="88"/>
      <c r="I98" s="88"/>
      <c r="J98" s="88"/>
      <c r="K98" s="106"/>
      <c r="L98" s="87"/>
      <c r="M98" s="88"/>
      <c r="N98" s="93">
        <f t="shared" si="5"/>
        <v>88265</v>
      </c>
      <c r="O98" s="87">
        <f t="shared" si="2"/>
        <v>0.68614693367000001</v>
      </c>
      <c r="P98" s="101">
        <f t="shared" si="3"/>
        <v>60562.759100382551</v>
      </c>
      <c r="Q98" s="102">
        <f t="shared" si="4"/>
        <v>7.6449041795111791E-2</v>
      </c>
      <c r="R98" s="103"/>
      <c r="S98" s="103"/>
      <c r="T98" s="1"/>
      <c r="U98" s="35"/>
      <c r="V98" s="104"/>
      <c r="W98" s="35"/>
      <c r="X98" s="104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5.75" customHeight="1" x14ac:dyDescent="0.2">
      <c r="A99" s="88"/>
      <c r="B99" s="88"/>
      <c r="C99" s="88"/>
      <c r="D99" s="88"/>
      <c r="E99" s="87"/>
      <c r="F99" s="88"/>
      <c r="G99" s="88"/>
      <c r="H99" s="88"/>
      <c r="I99" s="88"/>
      <c r="J99" s="88"/>
      <c r="K99" s="106"/>
      <c r="L99" s="87"/>
      <c r="M99" s="88"/>
      <c r="N99" s="93">
        <f t="shared" si="5"/>
        <v>-39560</v>
      </c>
      <c r="O99" s="87">
        <f t="shared" si="2"/>
        <v>0.63361768545999997</v>
      </c>
      <c r="P99" s="101">
        <f t="shared" si="3"/>
        <v>-25065.915636797599</v>
      </c>
      <c r="Q99" s="102">
        <f t="shared" si="4"/>
        <v>9.6713366074297497E-3</v>
      </c>
      <c r="R99" s="103"/>
      <c r="S99" s="103"/>
      <c r="T99" s="1"/>
      <c r="U99" s="35"/>
      <c r="V99" s="104"/>
      <c r="W99" s="35"/>
      <c r="X99" s="104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5.75" customHeight="1" x14ac:dyDescent="0.2">
      <c r="A100" s="88"/>
      <c r="B100" s="88"/>
      <c r="C100" s="88"/>
      <c r="D100" s="107"/>
      <c r="E100" s="87"/>
      <c r="F100" s="108"/>
      <c r="G100" s="108"/>
      <c r="H100" s="88"/>
      <c r="I100" s="88"/>
      <c r="J100" s="88"/>
      <c r="K100" s="106"/>
      <c r="L100" s="87"/>
      <c r="M100" s="88"/>
      <c r="N100" s="93">
        <f t="shared" si="5"/>
        <v>-16357.9</v>
      </c>
      <c r="O100" s="87">
        <f t="shared" si="2"/>
        <v>0.6825</v>
      </c>
      <c r="P100" s="101">
        <f t="shared" si="3"/>
        <v>-11164.266749999999</v>
      </c>
      <c r="Q100" s="102">
        <f t="shared" si="4"/>
        <v>5.0000000000000001E-3</v>
      </c>
      <c r="R100" s="103"/>
      <c r="S100" s="103"/>
      <c r="T100" s="1"/>
      <c r="U100" s="35"/>
      <c r="V100" s="104"/>
      <c r="W100" s="35"/>
      <c r="X100" s="104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5.75" customHeight="1" x14ac:dyDescent="0.2">
      <c r="A101" s="88"/>
      <c r="B101" s="88"/>
      <c r="C101" s="88"/>
      <c r="D101" s="107"/>
      <c r="E101" s="87"/>
      <c r="F101" s="109"/>
      <c r="G101" s="109"/>
      <c r="H101" s="92"/>
      <c r="I101" s="88"/>
      <c r="J101" s="88"/>
      <c r="K101" s="106"/>
      <c r="L101" s="87"/>
      <c r="M101" s="88"/>
      <c r="N101" s="93">
        <f t="shared" si="5"/>
        <v>65670</v>
      </c>
      <c r="O101" s="87">
        <f t="shared" si="2"/>
        <v>0.65</v>
      </c>
      <c r="P101" s="101">
        <f t="shared" si="3"/>
        <v>42685.5</v>
      </c>
      <c r="Q101" s="102">
        <f t="shared" si="4"/>
        <v>5.0000000000000001E-3</v>
      </c>
      <c r="R101" s="103"/>
      <c r="S101" s="103"/>
      <c r="T101" s="1"/>
      <c r="U101" s="35"/>
      <c r="V101" s="104"/>
      <c r="W101" s="35"/>
      <c r="X101" s="104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5.75" customHeight="1" x14ac:dyDescent="0.2">
      <c r="A102" s="88"/>
      <c r="B102" s="88"/>
      <c r="C102" s="88"/>
      <c r="D102" s="107"/>
      <c r="E102" s="87"/>
      <c r="F102" s="108"/>
      <c r="G102" s="108"/>
      <c r="H102" s="88"/>
      <c r="I102" s="88"/>
      <c r="J102" s="88"/>
      <c r="K102" s="106"/>
      <c r="L102" s="87"/>
      <c r="M102" s="88"/>
      <c r="N102" s="93">
        <f t="shared" si="5"/>
        <v>0</v>
      </c>
      <c r="O102" s="87">
        <f t="shared" si="2"/>
        <v>0.90836855508685654</v>
      </c>
      <c r="P102" s="101">
        <f t="shared" si="3"/>
        <v>0</v>
      </c>
      <c r="Q102" s="102">
        <f t="shared" si="4"/>
        <v>0.82988350961181212</v>
      </c>
      <c r="R102" s="103"/>
      <c r="S102" s="103"/>
      <c r="T102" s="1"/>
      <c r="U102" s="35"/>
      <c r="V102" s="104"/>
      <c r="W102" s="35"/>
      <c r="X102" s="104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5.75" customHeight="1" x14ac:dyDescent="0.2">
      <c r="A103" s="88"/>
      <c r="B103" s="88"/>
      <c r="C103" s="88"/>
      <c r="D103" s="88"/>
      <c r="E103" s="87"/>
      <c r="F103" s="88"/>
      <c r="G103" s="88"/>
      <c r="H103" s="88"/>
      <c r="I103" s="88"/>
      <c r="J103" s="88"/>
      <c r="K103" s="106"/>
      <c r="L103" s="87"/>
      <c r="M103" s="88"/>
      <c r="N103" s="93">
        <f t="shared" si="5"/>
        <v>0</v>
      </c>
      <c r="O103" s="87">
        <f t="shared" si="2"/>
        <v>0.99906645180420417</v>
      </c>
      <c r="P103" s="101">
        <f t="shared" si="3"/>
        <v>0</v>
      </c>
      <c r="Q103" s="102">
        <f t="shared" si="4"/>
        <v>0.96866077601964029</v>
      </c>
      <c r="R103" s="103"/>
      <c r="S103" s="103"/>
      <c r="T103" s="1"/>
      <c r="U103" s="35"/>
      <c r="V103" s="104"/>
      <c r="W103" s="35"/>
      <c r="X103" s="104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5.75" customHeight="1" x14ac:dyDescent="0.2">
      <c r="A104" s="88"/>
      <c r="B104" s="88"/>
      <c r="C104" s="88"/>
      <c r="D104" s="107"/>
      <c r="E104" s="87"/>
      <c r="F104" s="108"/>
      <c r="G104" s="108"/>
      <c r="H104" s="88"/>
      <c r="I104" s="88"/>
      <c r="J104" s="88"/>
      <c r="K104" s="106"/>
      <c r="L104" s="87"/>
      <c r="M104" s="88"/>
      <c r="N104" s="93">
        <f t="shared" si="5"/>
        <v>0</v>
      </c>
      <c r="O104" s="87">
        <f t="shared" si="2"/>
        <v>0</v>
      </c>
      <c r="P104" s="101">
        <f t="shared" si="3"/>
        <v>0</v>
      </c>
      <c r="Q104" s="102">
        <f t="shared" si="4"/>
        <v>0</v>
      </c>
      <c r="R104" s="103"/>
      <c r="S104" s="103"/>
      <c r="T104" s="1"/>
      <c r="U104" s="35"/>
      <c r="V104" s="104"/>
      <c r="W104" s="35"/>
      <c r="X104" s="104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5.75" customHeight="1" x14ac:dyDescent="0.2">
      <c r="A105" s="88"/>
      <c r="B105" s="88"/>
      <c r="C105" s="88"/>
      <c r="D105" s="88"/>
      <c r="E105" s="87"/>
      <c r="F105" s="88"/>
      <c r="G105" s="88"/>
      <c r="H105" s="88"/>
      <c r="I105" s="88"/>
      <c r="J105" s="88"/>
      <c r="K105" s="106"/>
      <c r="L105" s="87"/>
      <c r="M105" s="88"/>
      <c r="N105" s="93">
        <f t="shared" si="5"/>
        <v>0</v>
      </c>
      <c r="O105" s="87">
        <f t="shared" si="2"/>
        <v>0</v>
      </c>
      <c r="P105" s="101">
        <f t="shared" si="3"/>
        <v>0</v>
      </c>
      <c r="Q105" s="102">
        <f t="shared" si="4"/>
        <v>0</v>
      </c>
      <c r="R105" s="103"/>
      <c r="S105" s="103"/>
      <c r="T105" s="1"/>
      <c r="U105" s="35"/>
      <c r="V105" s="104"/>
      <c r="W105" s="35"/>
      <c r="X105" s="104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5.75" customHeight="1" x14ac:dyDescent="0.2">
      <c r="A106" s="88"/>
      <c r="B106" s="88"/>
      <c r="C106" s="88"/>
      <c r="D106" s="88"/>
      <c r="E106" s="87"/>
      <c r="F106" s="88"/>
      <c r="G106" s="88"/>
      <c r="H106" s="88"/>
      <c r="I106" s="88"/>
      <c r="J106" s="88"/>
      <c r="K106" s="106"/>
      <c r="L106" s="87"/>
      <c r="M106" s="88"/>
      <c r="N106" s="93">
        <f t="shared" si="5"/>
        <v>0</v>
      </c>
      <c r="O106" s="87">
        <f t="shared" si="2"/>
        <v>0</v>
      </c>
      <c r="P106" s="101">
        <f t="shared" si="3"/>
        <v>0</v>
      </c>
      <c r="Q106" s="102">
        <f t="shared" si="4"/>
        <v>0</v>
      </c>
      <c r="R106" s="103"/>
      <c r="S106" s="103"/>
      <c r="T106" s="1"/>
      <c r="U106" s="35"/>
      <c r="V106" s="104"/>
      <c r="W106" s="35"/>
      <c r="X106" s="104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5.75" customHeight="1" x14ac:dyDescent="0.2">
      <c r="A107" s="88"/>
      <c r="B107" s="88"/>
      <c r="C107" s="88"/>
      <c r="D107" s="88"/>
      <c r="E107" s="87"/>
      <c r="F107" s="88"/>
      <c r="G107" s="88"/>
      <c r="H107" s="88"/>
      <c r="I107" s="88"/>
      <c r="J107" s="88"/>
      <c r="K107" s="106"/>
      <c r="L107" s="87"/>
      <c r="M107" s="88"/>
      <c r="N107" s="93">
        <f t="shared" si="5"/>
        <v>0</v>
      </c>
      <c r="O107" s="87">
        <f t="shared" si="2"/>
        <v>0</v>
      </c>
      <c r="P107" s="101">
        <f t="shared" si="3"/>
        <v>0</v>
      </c>
      <c r="Q107" s="102">
        <f t="shared" si="4"/>
        <v>0</v>
      </c>
      <c r="R107" s="103"/>
      <c r="S107" s="103"/>
      <c r="T107" s="1"/>
      <c r="U107" s="35"/>
      <c r="V107" s="104"/>
      <c r="W107" s="35"/>
      <c r="X107" s="104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5.75" customHeight="1" x14ac:dyDescent="0.2">
      <c r="A108" s="88"/>
      <c r="B108" s="88"/>
      <c r="C108" s="88"/>
      <c r="D108" s="88"/>
      <c r="E108" s="87"/>
      <c r="F108" s="88"/>
      <c r="G108" s="88"/>
      <c r="H108" s="88"/>
      <c r="I108" s="88"/>
      <c r="J108" s="88"/>
      <c r="K108" s="106"/>
      <c r="L108" s="87"/>
      <c r="M108" s="88"/>
      <c r="N108" s="93">
        <f t="shared" si="5"/>
        <v>0</v>
      </c>
      <c r="O108" s="87">
        <f t="shared" si="2"/>
        <v>0</v>
      </c>
      <c r="P108" s="101">
        <f t="shared" si="3"/>
        <v>0</v>
      </c>
      <c r="Q108" s="102">
        <f t="shared" si="4"/>
        <v>0</v>
      </c>
      <c r="R108" s="103"/>
      <c r="S108" s="103"/>
      <c r="T108" s="1"/>
      <c r="U108" s="35"/>
      <c r="V108" s="104"/>
      <c r="W108" s="35"/>
      <c r="X108" s="104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5.75" customHeight="1" x14ac:dyDescent="0.2">
      <c r="A109" s="88"/>
      <c r="B109" s="88"/>
      <c r="C109" s="88"/>
      <c r="D109" s="88"/>
      <c r="E109" s="87"/>
      <c r="F109" s="88"/>
      <c r="G109" s="88"/>
      <c r="H109" s="88"/>
      <c r="I109" s="88"/>
      <c r="J109" s="88"/>
      <c r="K109" s="106"/>
      <c r="L109" s="87"/>
      <c r="M109" s="88"/>
      <c r="N109" s="93">
        <f t="shared" si="5"/>
        <v>0</v>
      </c>
      <c r="O109" s="87">
        <f t="shared" si="2"/>
        <v>0</v>
      </c>
      <c r="P109" s="101">
        <f t="shared" si="3"/>
        <v>0</v>
      </c>
      <c r="Q109" s="102">
        <f t="shared" si="4"/>
        <v>0</v>
      </c>
      <c r="R109" s="103"/>
      <c r="S109" s="103"/>
      <c r="T109" s="1"/>
      <c r="U109" s="35"/>
      <c r="V109" s="104"/>
      <c r="W109" s="35"/>
      <c r="X109" s="104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5.75" customHeight="1" x14ac:dyDescent="0.2">
      <c r="A110" s="88"/>
      <c r="B110" s="88"/>
      <c r="C110" s="88"/>
      <c r="D110" s="88"/>
      <c r="E110" s="87"/>
      <c r="F110" s="88"/>
      <c r="G110" s="88"/>
      <c r="H110" s="88"/>
      <c r="I110" s="88"/>
      <c r="J110" s="88"/>
      <c r="K110" s="106"/>
      <c r="L110" s="87"/>
      <c r="M110" s="88"/>
      <c r="N110" s="93">
        <f t="shared" si="5"/>
        <v>0</v>
      </c>
      <c r="O110" s="87">
        <f t="shared" si="2"/>
        <v>0</v>
      </c>
      <c r="P110" s="101">
        <f t="shared" si="3"/>
        <v>0</v>
      </c>
      <c r="Q110" s="102">
        <f t="shared" si="4"/>
        <v>0</v>
      </c>
      <c r="R110" s="103"/>
      <c r="S110" s="103"/>
      <c r="T110" s="1"/>
      <c r="U110" s="35"/>
      <c r="V110" s="104"/>
      <c r="W110" s="35"/>
      <c r="X110" s="104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5.75" customHeight="1" x14ac:dyDescent="0.2">
      <c r="A111" s="88"/>
      <c r="B111" s="88"/>
      <c r="C111" s="88"/>
      <c r="D111" s="107"/>
      <c r="E111" s="87"/>
      <c r="F111" s="109"/>
      <c r="G111" s="109"/>
      <c r="H111" s="92"/>
      <c r="I111" s="88"/>
      <c r="J111" s="88"/>
      <c r="K111" s="106"/>
      <c r="L111" s="87"/>
      <c r="M111" s="88"/>
      <c r="N111" s="93">
        <f t="shared" si="5"/>
        <v>0</v>
      </c>
      <c r="O111" s="87">
        <f t="shared" si="2"/>
        <v>0</v>
      </c>
      <c r="P111" s="101">
        <f t="shared" si="3"/>
        <v>0</v>
      </c>
      <c r="Q111" s="102">
        <f t="shared" si="4"/>
        <v>0</v>
      </c>
      <c r="R111" s="103"/>
      <c r="S111" s="103"/>
      <c r="T111" s="1"/>
      <c r="U111" s="35"/>
      <c r="V111" s="104"/>
      <c r="W111" s="35"/>
      <c r="X111" s="104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5.75" customHeight="1" x14ac:dyDescent="0.2">
      <c r="A112" s="88"/>
      <c r="B112" s="88"/>
      <c r="C112" s="88"/>
      <c r="D112" s="88"/>
      <c r="E112" s="87"/>
      <c r="F112" s="88"/>
      <c r="G112" s="88"/>
      <c r="H112" s="88"/>
      <c r="I112" s="88"/>
      <c r="J112" s="88"/>
      <c r="K112" s="106"/>
      <c r="L112" s="87"/>
      <c r="M112" s="88"/>
      <c r="N112" s="93">
        <f t="shared" si="5"/>
        <v>0</v>
      </c>
      <c r="O112" s="87">
        <f t="shared" si="2"/>
        <v>0</v>
      </c>
      <c r="P112" s="101">
        <f t="shared" si="3"/>
        <v>0</v>
      </c>
      <c r="Q112" s="102">
        <f t="shared" si="4"/>
        <v>0</v>
      </c>
      <c r="R112" s="103"/>
      <c r="S112" s="103"/>
      <c r="T112" s="1"/>
      <c r="U112" s="35"/>
      <c r="V112" s="104"/>
      <c r="W112" s="35"/>
      <c r="X112" s="104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5.75" customHeight="1" x14ac:dyDescent="0.2">
      <c r="A113" s="88"/>
      <c r="B113" s="88"/>
      <c r="C113" s="88"/>
      <c r="D113" s="88"/>
      <c r="E113" s="87"/>
      <c r="F113" s="88"/>
      <c r="G113" s="88"/>
      <c r="H113" s="88"/>
      <c r="I113" s="88"/>
      <c r="J113" s="88"/>
      <c r="K113" s="106"/>
      <c r="L113" s="87"/>
      <c r="M113" s="88"/>
      <c r="N113" s="93">
        <f t="shared" si="5"/>
        <v>0</v>
      </c>
      <c r="O113" s="87">
        <f t="shared" si="2"/>
        <v>0</v>
      </c>
      <c r="P113" s="101">
        <f t="shared" si="3"/>
        <v>0</v>
      </c>
      <c r="Q113" s="102">
        <f t="shared" si="4"/>
        <v>0</v>
      </c>
      <c r="R113" s="103"/>
      <c r="S113" s="103"/>
      <c r="T113" s="1"/>
      <c r="U113" s="35"/>
      <c r="V113" s="104"/>
      <c r="W113" s="35"/>
      <c r="X113" s="104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5.75" customHeight="1" x14ac:dyDescent="0.2">
      <c r="A114" s="88"/>
      <c r="B114" s="88"/>
      <c r="C114" s="88"/>
      <c r="D114" s="107"/>
      <c r="E114" s="87"/>
      <c r="F114" s="109"/>
      <c r="G114" s="109"/>
      <c r="H114" s="92"/>
      <c r="I114" s="88"/>
      <c r="J114" s="88"/>
      <c r="K114" s="106"/>
      <c r="L114" s="87"/>
      <c r="M114" s="88"/>
      <c r="N114" s="93">
        <f t="shared" si="5"/>
        <v>0</v>
      </c>
      <c r="O114" s="87">
        <f t="shared" si="2"/>
        <v>0</v>
      </c>
      <c r="P114" s="101">
        <f t="shared" si="3"/>
        <v>0</v>
      </c>
      <c r="Q114" s="102">
        <f t="shared" si="4"/>
        <v>0</v>
      </c>
      <c r="R114" s="103"/>
      <c r="S114" s="103"/>
      <c r="T114" s="1"/>
      <c r="U114" s="35"/>
      <c r="V114" s="104"/>
      <c r="W114" s="35"/>
      <c r="X114" s="104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5.75" customHeight="1" x14ac:dyDescent="0.2">
      <c r="A115" s="88"/>
      <c r="B115" s="88"/>
      <c r="C115" s="88"/>
      <c r="D115" s="88"/>
      <c r="E115" s="87"/>
      <c r="F115" s="88"/>
      <c r="G115" s="88"/>
      <c r="H115" s="88"/>
      <c r="I115" s="88"/>
      <c r="J115" s="88"/>
      <c r="K115" s="107"/>
      <c r="L115" s="92"/>
      <c r="M115" s="88"/>
      <c r="N115" s="93">
        <f t="shared" si="5"/>
        <v>0</v>
      </c>
      <c r="O115" s="87">
        <f t="shared" si="2"/>
        <v>0</v>
      </c>
      <c r="P115" s="101">
        <f t="shared" si="3"/>
        <v>0</v>
      </c>
      <c r="Q115" s="102">
        <f t="shared" si="4"/>
        <v>0</v>
      </c>
      <c r="R115" s="103"/>
      <c r="S115" s="103"/>
      <c r="T115" s="1"/>
      <c r="U115" s="35"/>
      <c r="V115" s="104"/>
      <c r="W115" s="35"/>
      <c r="X115" s="104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5.75" customHeight="1" x14ac:dyDescent="0.2">
      <c r="A116" s="88"/>
      <c r="B116" s="88"/>
      <c r="C116" s="88"/>
      <c r="D116" s="107"/>
      <c r="E116" s="87"/>
      <c r="F116" s="109"/>
      <c r="G116" s="109"/>
      <c r="H116" s="92"/>
      <c r="I116" s="88"/>
      <c r="J116" s="88"/>
      <c r="K116" s="107"/>
      <c r="L116" s="92"/>
      <c r="M116" s="88"/>
      <c r="N116" s="93">
        <f t="shared" si="5"/>
        <v>0</v>
      </c>
      <c r="O116" s="87">
        <f t="shared" si="2"/>
        <v>0</v>
      </c>
      <c r="P116" s="101">
        <f t="shared" si="3"/>
        <v>0</v>
      </c>
      <c r="Q116" s="102">
        <f t="shared" si="4"/>
        <v>0</v>
      </c>
      <c r="R116" s="103"/>
      <c r="S116" s="103"/>
      <c r="T116" s="1"/>
      <c r="U116" s="35"/>
      <c r="V116" s="104"/>
      <c r="W116" s="35"/>
      <c r="X116" s="104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5.75" customHeight="1" x14ac:dyDescent="0.2">
      <c r="A117" s="88"/>
      <c r="B117" s="88"/>
      <c r="C117" s="88"/>
      <c r="D117" s="107"/>
      <c r="E117" s="87"/>
      <c r="F117" s="108"/>
      <c r="G117" s="108"/>
      <c r="H117" s="88"/>
      <c r="I117" s="88"/>
      <c r="J117" s="88"/>
      <c r="K117" s="107"/>
      <c r="L117" s="92"/>
      <c r="M117" s="88"/>
      <c r="N117" s="93">
        <f t="shared" si="5"/>
        <v>0</v>
      </c>
      <c r="O117" s="87">
        <f t="shared" si="2"/>
        <v>0</v>
      </c>
      <c r="P117" s="101">
        <f t="shared" si="3"/>
        <v>0</v>
      </c>
      <c r="Q117" s="102">
        <f t="shared" si="4"/>
        <v>0</v>
      </c>
      <c r="R117" s="103"/>
      <c r="S117" s="103"/>
      <c r="T117" s="1"/>
      <c r="U117" s="35"/>
      <c r="V117" s="104"/>
      <c r="W117" s="35"/>
      <c r="X117" s="104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5.75" customHeight="1" x14ac:dyDescent="0.2">
      <c r="A118" s="88"/>
      <c r="B118" s="88"/>
      <c r="C118" s="88"/>
      <c r="D118" s="88"/>
      <c r="E118" s="87"/>
      <c r="F118" s="88"/>
      <c r="G118" s="88"/>
      <c r="H118" s="88"/>
      <c r="I118" s="88"/>
      <c r="J118" s="88"/>
      <c r="K118" s="107"/>
      <c r="L118" s="92"/>
      <c r="M118" s="88"/>
      <c r="N118" s="93">
        <f t="shared" si="5"/>
        <v>0</v>
      </c>
      <c r="O118" s="87">
        <f t="shared" si="2"/>
        <v>0</v>
      </c>
      <c r="P118" s="101">
        <f t="shared" si="3"/>
        <v>0</v>
      </c>
      <c r="Q118" s="102">
        <f t="shared" si="4"/>
        <v>0</v>
      </c>
      <c r="R118" s="103"/>
      <c r="S118" s="103"/>
      <c r="T118" s="1"/>
      <c r="U118" s="35"/>
      <c r="V118" s="104"/>
      <c r="W118" s="35"/>
      <c r="X118" s="104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5.75" customHeight="1" x14ac:dyDescent="0.2">
      <c r="A119" s="88"/>
      <c r="B119" s="88"/>
      <c r="C119" s="88"/>
      <c r="D119" s="88"/>
      <c r="E119" s="87"/>
      <c r="F119" s="88"/>
      <c r="G119" s="88"/>
      <c r="H119" s="88"/>
      <c r="I119" s="88"/>
      <c r="J119" s="88"/>
      <c r="K119" s="107"/>
      <c r="L119" s="92"/>
      <c r="M119" s="88"/>
      <c r="N119" s="93">
        <f t="shared" si="5"/>
        <v>0</v>
      </c>
      <c r="O119" s="87">
        <f t="shared" si="2"/>
        <v>0</v>
      </c>
      <c r="P119" s="101">
        <f t="shared" si="3"/>
        <v>0</v>
      </c>
      <c r="Q119" s="102">
        <f t="shared" si="4"/>
        <v>0</v>
      </c>
      <c r="R119" s="103"/>
      <c r="S119" s="103"/>
      <c r="T119" s="1"/>
      <c r="U119" s="35"/>
      <c r="V119" s="104"/>
      <c r="W119" s="35"/>
      <c r="X119" s="104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5.75" customHeight="1" x14ac:dyDescent="0.2">
      <c r="A120" s="88"/>
      <c r="B120" s="88"/>
      <c r="C120" s="88"/>
      <c r="D120" s="88"/>
      <c r="E120" s="87"/>
      <c r="F120" s="88"/>
      <c r="G120" s="88"/>
      <c r="H120" s="88"/>
      <c r="I120" s="88"/>
      <c r="J120" s="88"/>
      <c r="K120" s="107"/>
      <c r="L120" s="92"/>
      <c r="M120" s="88"/>
      <c r="N120" s="93">
        <f t="shared" si="5"/>
        <v>0</v>
      </c>
      <c r="O120" s="87">
        <f t="shared" si="2"/>
        <v>0</v>
      </c>
      <c r="P120" s="101">
        <f t="shared" si="3"/>
        <v>0</v>
      </c>
      <c r="Q120" s="102">
        <f t="shared" si="4"/>
        <v>0</v>
      </c>
      <c r="R120" s="103"/>
      <c r="S120" s="103"/>
      <c r="T120" s="1"/>
      <c r="U120" s="35"/>
      <c r="V120" s="104"/>
      <c r="W120" s="35"/>
      <c r="X120" s="104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5.75" customHeight="1" x14ac:dyDescent="0.2">
      <c r="A121" s="88"/>
      <c r="B121" s="88"/>
      <c r="C121" s="88"/>
      <c r="D121" s="107"/>
      <c r="E121" s="87"/>
      <c r="F121" s="108"/>
      <c r="G121" s="108"/>
      <c r="H121" s="88"/>
      <c r="I121" s="88"/>
      <c r="J121" s="88"/>
      <c r="K121" s="107"/>
      <c r="L121" s="92"/>
      <c r="M121" s="88"/>
      <c r="N121" s="93">
        <f t="shared" si="5"/>
        <v>0</v>
      </c>
      <c r="O121" s="87">
        <f t="shared" si="2"/>
        <v>0</v>
      </c>
      <c r="P121" s="101">
        <f t="shared" si="3"/>
        <v>0</v>
      </c>
      <c r="Q121" s="102">
        <f t="shared" si="4"/>
        <v>0</v>
      </c>
      <c r="R121" s="103"/>
      <c r="S121" s="103"/>
      <c r="T121" s="1"/>
      <c r="U121" s="35"/>
      <c r="V121" s="104"/>
      <c r="W121" s="35"/>
      <c r="X121" s="104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5.75" customHeight="1" x14ac:dyDescent="0.2">
      <c r="A122" s="88"/>
      <c r="B122" s="88"/>
      <c r="C122" s="88"/>
      <c r="D122" s="88"/>
      <c r="E122" s="87"/>
      <c r="F122" s="88"/>
      <c r="G122" s="88"/>
      <c r="H122" s="88"/>
      <c r="I122" s="88"/>
      <c r="J122" s="88"/>
      <c r="K122" s="107"/>
      <c r="L122" s="92"/>
      <c r="M122" s="88"/>
      <c r="N122" s="93">
        <f t="shared" si="5"/>
        <v>0</v>
      </c>
      <c r="O122" s="87">
        <f t="shared" si="2"/>
        <v>0</v>
      </c>
      <c r="P122" s="101">
        <f t="shared" si="3"/>
        <v>0</v>
      </c>
      <c r="Q122" s="102">
        <f t="shared" si="4"/>
        <v>0</v>
      </c>
      <c r="R122" s="103"/>
      <c r="S122" s="103"/>
      <c r="T122" s="1"/>
      <c r="U122" s="35"/>
      <c r="V122" s="104"/>
      <c r="W122" s="35"/>
      <c r="X122" s="104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5.75" customHeight="1" x14ac:dyDescent="0.2">
      <c r="A123" s="88"/>
      <c r="B123" s="88"/>
      <c r="C123" s="88"/>
      <c r="D123" s="107"/>
      <c r="E123" s="87"/>
      <c r="F123" s="108"/>
      <c r="G123" s="107"/>
      <c r="H123" s="88"/>
      <c r="I123" s="88"/>
      <c r="J123" s="88"/>
      <c r="K123" s="107"/>
      <c r="L123" s="92"/>
      <c r="M123" s="88"/>
      <c r="N123" s="93">
        <f t="shared" si="5"/>
        <v>0</v>
      </c>
      <c r="O123" s="87">
        <f t="shared" si="2"/>
        <v>0</v>
      </c>
      <c r="P123" s="101">
        <f t="shared" si="3"/>
        <v>0</v>
      </c>
      <c r="Q123" s="102">
        <f t="shared" si="4"/>
        <v>0</v>
      </c>
      <c r="R123" s="103"/>
      <c r="S123" s="103"/>
      <c r="T123" s="1"/>
      <c r="U123" s="35"/>
      <c r="V123" s="104"/>
      <c r="W123" s="35"/>
      <c r="X123" s="104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5.75" customHeight="1" x14ac:dyDescent="0.2">
      <c r="A124" s="88"/>
      <c r="B124" s="88"/>
      <c r="C124" s="88"/>
      <c r="D124" s="88"/>
      <c r="E124" s="87"/>
      <c r="F124" s="88"/>
      <c r="G124" s="88"/>
      <c r="H124" s="88"/>
      <c r="I124" s="88"/>
      <c r="J124" s="88"/>
      <c r="K124" s="107"/>
      <c r="L124" s="92"/>
      <c r="M124" s="88"/>
      <c r="N124" s="93">
        <f t="shared" si="5"/>
        <v>0</v>
      </c>
      <c r="O124" s="87">
        <f t="shared" si="2"/>
        <v>0</v>
      </c>
      <c r="P124" s="101">
        <f t="shared" si="3"/>
        <v>0</v>
      </c>
      <c r="Q124" s="102">
        <f t="shared" si="4"/>
        <v>0</v>
      </c>
      <c r="R124" s="103"/>
      <c r="S124" s="103"/>
      <c r="T124" s="1"/>
      <c r="U124" s="35"/>
      <c r="V124" s="104"/>
      <c r="W124" s="35"/>
      <c r="X124" s="104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5.75" customHeight="1" x14ac:dyDescent="0.2">
      <c r="A125" s="88"/>
      <c r="B125" s="88"/>
      <c r="C125" s="88"/>
      <c r="D125" s="107"/>
      <c r="E125" s="87"/>
      <c r="F125" s="108"/>
      <c r="G125" s="88"/>
      <c r="H125" s="88"/>
      <c r="I125" s="88"/>
      <c r="J125" s="88"/>
      <c r="K125" s="107"/>
      <c r="L125" s="92"/>
      <c r="M125" s="88"/>
      <c r="N125" s="93">
        <f t="shared" si="5"/>
        <v>0</v>
      </c>
      <c r="O125" s="87">
        <f t="shared" si="2"/>
        <v>0</v>
      </c>
      <c r="P125" s="101">
        <f t="shared" si="3"/>
        <v>0</v>
      </c>
      <c r="Q125" s="102">
        <f t="shared" si="4"/>
        <v>0</v>
      </c>
      <c r="R125" s="103"/>
      <c r="S125" s="103"/>
      <c r="T125" s="1"/>
      <c r="U125" s="35"/>
      <c r="V125" s="104"/>
      <c r="W125" s="35"/>
      <c r="X125" s="104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5.75" customHeight="1" x14ac:dyDescent="0.2">
      <c r="A126" s="88"/>
      <c r="B126" s="88"/>
      <c r="C126" s="88"/>
      <c r="D126" s="88"/>
      <c r="E126" s="87"/>
      <c r="F126" s="88"/>
      <c r="G126" s="88"/>
      <c r="H126" s="88"/>
      <c r="I126" s="88"/>
      <c r="J126" s="88"/>
      <c r="K126" s="107"/>
      <c r="L126" s="92"/>
      <c r="M126" s="88"/>
      <c r="N126" s="93">
        <f t="shared" si="5"/>
        <v>0</v>
      </c>
      <c r="O126" s="87">
        <f t="shared" si="2"/>
        <v>0</v>
      </c>
      <c r="P126" s="101">
        <f t="shared" si="3"/>
        <v>0</v>
      </c>
      <c r="Q126" s="102">
        <f t="shared" si="4"/>
        <v>0</v>
      </c>
      <c r="R126" s="103"/>
      <c r="S126" s="103"/>
      <c r="T126" s="1"/>
      <c r="U126" s="35"/>
      <c r="V126" s="104"/>
      <c r="W126" s="35"/>
      <c r="X126" s="104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5.75" customHeight="1" x14ac:dyDescent="0.2">
      <c r="A127" s="88"/>
      <c r="B127" s="88"/>
      <c r="C127" s="88"/>
      <c r="D127" s="88"/>
      <c r="E127" s="87"/>
      <c r="F127" s="88"/>
      <c r="G127" s="88"/>
      <c r="H127" s="88"/>
      <c r="I127" s="88"/>
      <c r="J127" s="88"/>
      <c r="K127" s="88"/>
      <c r="L127" s="88"/>
      <c r="M127" s="88"/>
      <c r="N127" s="93"/>
      <c r="O127" s="87"/>
      <c r="P127" s="87"/>
      <c r="Q127" s="9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5.75" customHeight="1" x14ac:dyDescent="0.2">
      <c r="A128" s="88"/>
      <c r="B128" s="88"/>
      <c r="C128" s="88"/>
      <c r="D128" s="88"/>
      <c r="E128" s="87"/>
      <c r="F128" s="88"/>
      <c r="G128" s="88"/>
      <c r="H128" s="88"/>
      <c r="I128" s="88"/>
      <c r="J128" s="88"/>
      <c r="K128" s="88"/>
      <c r="L128" s="88"/>
      <c r="M128" s="88"/>
      <c r="N128" s="93"/>
      <c r="O128" s="87"/>
      <c r="P128" s="87"/>
      <c r="Q128" s="9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5.75" customHeight="1" x14ac:dyDescent="0.2">
      <c r="A129" s="88"/>
      <c r="B129" s="88"/>
      <c r="C129" s="88"/>
      <c r="D129" s="88"/>
      <c r="E129" s="87"/>
      <c r="F129" s="88"/>
      <c r="G129" s="88"/>
      <c r="H129" s="88"/>
      <c r="I129" s="88"/>
      <c r="J129" s="88"/>
      <c r="K129" s="594"/>
      <c r="L129" s="589"/>
      <c r="M129" s="88"/>
      <c r="N129" s="95"/>
      <c r="O129" s="111"/>
      <c r="P129" s="87"/>
      <c r="Q129" s="93"/>
      <c r="R129" s="112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5.75" customHeight="1" x14ac:dyDescent="0.2">
      <c r="A130" s="88"/>
      <c r="B130" s="88"/>
      <c r="C130" s="88"/>
      <c r="D130" s="88"/>
      <c r="E130" s="87"/>
      <c r="F130" s="88"/>
      <c r="G130" s="88"/>
      <c r="H130" s="88"/>
      <c r="I130" s="88"/>
      <c r="J130" s="88"/>
      <c r="K130" s="113"/>
      <c r="L130" s="113"/>
      <c r="M130" s="88"/>
      <c r="N130" s="95"/>
      <c r="O130" s="111"/>
      <c r="P130" s="87"/>
      <c r="Q130" s="93"/>
      <c r="R130" s="112"/>
      <c r="S130" s="112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5.75" customHeight="1" x14ac:dyDescent="0.2">
      <c r="A131" s="88"/>
      <c r="B131" s="88"/>
      <c r="C131" s="88"/>
      <c r="D131" s="88"/>
      <c r="E131" s="87"/>
      <c r="F131" s="88"/>
      <c r="G131" s="88"/>
      <c r="H131" s="88"/>
      <c r="I131" s="88"/>
      <c r="J131" s="88"/>
      <c r="K131" s="88"/>
      <c r="L131" s="88"/>
      <c r="M131" s="88"/>
      <c r="N131" s="106"/>
      <c r="O131" s="87"/>
      <c r="P131" s="87"/>
      <c r="Q131" s="9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5.75" customHeight="1" x14ac:dyDescent="0.2">
      <c r="A132" s="88"/>
      <c r="B132" s="88"/>
      <c r="C132" s="88"/>
      <c r="D132" s="88"/>
      <c r="E132" s="87"/>
      <c r="F132" s="88"/>
      <c r="G132" s="88"/>
      <c r="H132" s="88"/>
      <c r="I132" s="88"/>
      <c r="J132" s="88"/>
      <c r="K132" s="88"/>
      <c r="L132" s="88"/>
      <c r="M132" s="88"/>
      <c r="N132" s="106"/>
      <c r="O132" s="87"/>
      <c r="P132" s="93"/>
      <c r="Q132" s="9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5.75" customHeight="1" x14ac:dyDescent="0.2">
      <c r="A133" s="88"/>
      <c r="B133" s="88"/>
      <c r="C133" s="88"/>
      <c r="D133" s="88"/>
      <c r="E133" s="87"/>
      <c r="F133" s="88"/>
      <c r="G133" s="88"/>
      <c r="H133" s="88"/>
      <c r="I133" s="88"/>
      <c r="J133" s="88"/>
      <c r="K133" s="88"/>
      <c r="L133" s="88"/>
      <c r="M133" s="88"/>
      <c r="N133" s="106"/>
      <c r="O133" s="87"/>
      <c r="P133" s="93"/>
      <c r="Q133" s="9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5.75" customHeight="1" x14ac:dyDescent="0.2">
      <c r="A134" s="93"/>
      <c r="B134" s="93"/>
      <c r="C134" s="93"/>
      <c r="D134" s="93"/>
      <c r="E134" s="87"/>
      <c r="F134" s="93"/>
      <c r="G134" s="93"/>
      <c r="H134" s="93"/>
      <c r="I134" s="93"/>
      <c r="J134" s="93"/>
      <c r="K134" s="93"/>
      <c r="L134" s="93"/>
      <c r="M134" s="93"/>
      <c r="N134" s="106"/>
      <c r="O134" s="87"/>
      <c r="P134" s="93"/>
      <c r="Q134" s="9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5.75" customHeight="1" x14ac:dyDescent="0.2">
      <c r="A135" s="93"/>
      <c r="B135" s="93"/>
      <c r="C135" s="93"/>
      <c r="D135" s="93"/>
      <c r="E135" s="87"/>
      <c r="F135" s="93"/>
      <c r="G135" s="93"/>
      <c r="H135" s="93"/>
      <c r="I135" s="93"/>
      <c r="J135" s="93"/>
      <c r="K135" s="93"/>
      <c r="L135" s="93"/>
      <c r="M135" s="93"/>
      <c r="N135" s="106"/>
      <c r="O135" s="87"/>
      <c r="P135" s="93"/>
      <c r="Q135" s="9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5.75" customHeight="1" x14ac:dyDescent="0.2">
      <c r="A136" s="93"/>
      <c r="B136" s="93"/>
      <c r="C136" s="93"/>
      <c r="D136" s="93"/>
      <c r="E136" s="87"/>
      <c r="F136" s="93"/>
      <c r="G136" s="93"/>
      <c r="H136" s="93"/>
      <c r="I136" s="93"/>
      <c r="J136" s="93"/>
      <c r="K136" s="93"/>
      <c r="L136" s="93"/>
      <c r="M136" s="93"/>
      <c r="N136" s="106"/>
      <c r="O136" s="87"/>
      <c r="P136" s="93"/>
      <c r="Q136" s="9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5.75" customHeight="1" x14ac:dyDescent="0.2">
      <c r="A137" s="93"/>
      <c r="B137" s="93"/>
      <c r="C137" s="93"/>
      <c r="D137" s="93"/>
      <c r="E137" s="87"/>
      <c r="F137" s="93"/>
      <c r="G137" s="93"/>
      <c r="H137" s="93"/>
      <c r="I137" s="93"/>
      <c r="J137" s="93"/>
      <c r="K137" s="93"/>
      <c r="L137" s="93"/>
      <c r="M137" s="93"/>
      <c r="N137" s="106"/>
      <c r="O137" s="87"/>
      <c r="P137" s="93"/>
      <c r="Q137" s="9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5.75" customHeight="1" x14ac:dyDescent="0.2">
      <c r="A138" s="93"/>
      <c r="B138" s="93"/>
      <c r="C138" s="93"/>
      <c r="D138" s="93"/>
      <c r="E138" s="87"/>
      <c r="F138" s="93"/>
      <c r="G138" s="93"/>
      <c r="H138" s="93"/>
      <c r="I138" s="93"/>
      <c r="J138" s="93"/>
      <c r="K138" s="93"/>
      <c r="L138" s="93"/>
      <c r="M138" s="93"/>
      <c r="N138" s="106"/>
      <c r="O138" s="87"/>
      <c r="P138" s="93"/>
      <c r="Q138" s="9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5.75" customHeight="1" x14ac:dyDescent="0.2">
      <c r="A139" s="93"/>
      <c r="B139" s="93"/>
      <c r="C139" s="93"/>
      <c r="D139" s="93"/>
      <c r="E139" s="87"/>
      <c r="F139" s="93"/>
      <c r="G139" s="93"/>
      <c r="H139" s="93"/>
      <c r="I139" s="93"/>
      <c r="J139" s="93"/>
      <c r="K139" s="93"/>
      <c r="L139" s="93"/>
      <c r="M139" s="93"/>
      <c r="N139" s="106"/>
      <c r="O139" s="87"/>
      <c r="P139" s="93"/>
      <c r="Q139" s="9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5.75" customHeight="1" x14ac:dyDescent="0.2">
      <c r="A140" s="93"/>
      <c r="B140" s="93"/>
      <c r="C140" s="93"/>
      <c r="D140" s="93"/>
      <c r="E140" s="87"/>
      <c r="F140" s="93"/>
      <c r="G140" s="93"/>
      <c r="H140" s="93"/>
      <c r="I140" s="93"/>
      <c r="J140" s="93"/>
      <c r="K140" s="93"/>
      <c r="L140" s="93"/>
      <c r="M140" s="93"/>
      <c r="N140" s="106"/>
      <c r="O140" s="87"/>
      <c r="P140" s="93"/>
      <c r="Q140" s="9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5.75" customHeight="1" x14ac:dyDescent="0.2">
      <c r="A141" s="93"/>
      <c r="B141" s="93"/>
      <c r="C141" s="93"/>
      <c r="D141" s="93"/>
      <c r="E141" s="87"/>
      <c r="F141" s="93"/>
      <c r="G141" s="93"/>
      <c r="H141" s="93"/>
      <c r="I141" s="93"/>
      <c r="J141" s="93"/>
      <c r="K141" s="93"/>
      <c r="L141" s="93"/>
      <c r="M141" s="93"/>
      <c r="N141" s="106"/>
      <c r="O141" s="87"/>
      <c r="P141" s="93"/>
      <c r="Q141" s="9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5.75" customHeight="1" x14ac:dyDescent="0.2">
      <c r="A142" s="93"/>
      <c r="B142" s="93"/>
      <c r="C142" s="93"/>
      <c r="D142" s="93"/>
      <c r="E142" s="87"/>
      <c r="F142" s="93"/>
      <c r="G142" s="93"/>
      <c r="H142" s="93"/>
      <c r="I142" s="93"/>
      <c r="J142" s="93"/>
      <c r="K142" s="93"/>
      <c r="L142" s="93"/>
      <c r="M142" s="93"/>
      <c r="N142" s="106"/>
      <c r="O142" s="87"/>
      <c r="P142" s="93"/>
      <c r="Q142" s="9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5.75" customHeight="1" x14ac:dyDescent="0.2">
      <c r="A143" s="93"/>
      <c r="B143" s="93"/>
      <c r="C143" s="93"/>
      <c r="D143" s="93"/>
      <c r="E143" s="87"/>
      <c r="F143" s="93"/>
      <c r="G143" s="93"/>
      <c r="H143" s="93"/>
      <c r="I143" s="93"/>
      <c r="J143" s="93"/>
      <c r="K143" s="93"/>
      <c r="L143" s="93"/>
      <c r="M143" s="93"/>
      <c r="N143" s="106"/>
      <c r="O143" s="87"/>
      <c r="P143" s="93"/>
      <c r="Q143" s="9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5.75" customHeight="1" x14ac:dyDescent="0.2">
      <c r="A144" s="93"/>
      <c r="B144" s="93"/>
      <c r="C144" s="93"/>
      <c r="D144" s="93"/>
      <c r="E144" s="87"/>
      <c r="F144" s="93"/>
      <c r="G144" s="93"/>
      <c r="H144" s="93"/>
      <c r="I144" s="93"/>
      <c r="J144" s="93"/>
      <c r="K144" s="93"/>
      <c r="L144" s="93"/>
      <c r="M144" s="93"/>
      <c r="N144" s="106"/>
      <c r="O144" s="87"/>
      <c r="P144" s="93"/>
      <c r="Q144" s="9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5.75" customHeight="1" x14ac:dyDescent="0.2">
      <c r="A145" s="93"/>
      <c r="B145" s="93"/>
      <c r="C145" s="93"/>
      <c r="D145" s="93"/>
      <c r="E145" s="87"/>
      <c r="F145" s="93"/>
      <c r="G145" s="93"/>
      <c r="H145" s="93"/>
      <c r="I145" s="93"/>
      <c r="J145" s="93"/>
      <c r="K145" s="93"/>
      <c r="L145" s="93"/>
      <c r="M145" s="93"/>
      <c r="N145" s="106"/>
      <c r="O145" s="87"/>
      <c r="P145" s="93"/>
      <c r="Q145" s="9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5.75" customHeight="1" x14ac:dyDescent="0.2">
      <c r="A146" s="93"/>
      <c r="B146" s="93"/>
      <c r="C146" s="93"/>
      <c r="D146" s="93"/>
      <c r="E146" s="87"/>
      <c r="F146" s="93"/>
      <c r="G146" s="93"/>
      <c r="H146" s="93"/>
      <c r="I146" s="93"/>
      <c r="J146" s="93"/>
      <c r="K146" s="93"/>
      <c r="L146" s="93"/>
      <c r="M146" s="93"/>
      <c r="N146" s="106"/>
      <c r="O146" s="87"/>
      <c r="P146" s="93"/>
      <c r="Q146" s="9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5.75" customHeight="1" x14ac:dyDescent="0.2">
      <c r="A147" s="93"/>
      <c r="B147" s="93"/>
      <c r="C147" s="93"/>
      <c r="D147" s="93"/>
      <c r="E147" s="87"/>
      <c r="F147" s="93"/>
      <c r="G147" s="93"/>
      <c r="H147" s="93"/>
      <c r="I147" s="93"/>
      <c r="J147" s="93"/>
      <c r="K147" s="93"/>
      <c r="L147" s="93"/>
      <c r="M147" s="93"/>
      <c r="N147" s="106"/>
      <c r="O147" s="87"/>
      <c r="P147" s="93"/>
      <c r="Q147" s="9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5.75" customHeight="1" x14ac:dyDescent="0.2">
      <c r="A148" s="93"/>
      <c r="B148" s="93"/>
      <c r="C148" s="93"/>
      <c r="D148" s="93"/>
      <c r="E148" s="87"/>
      <c r="F148" s="93"/>
      <c r="G148" s="93"/>
      <c r="H148" s="93"/>
      <c r="I148" s="93"/>
      <c r="J148" s="93"/>
      <c r="K148" s="93"/>
      <c r="L148" s="93"/>
      <c r="M148" s="93"/>
      <c r="N148" s="106"/>
      <c r="O148" s="87"/>
      <c r="P148" s="93"/>
      <c r="Q148" s="9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5.75" customHeight="1" x14ac:dyDescent="0.2">
      <c r="A149" s="93"/>
      <c r="B149" s="93"/>
      <c r="C149" s="93"/>
      <c r="D149" s="93"/>
      <c r="E149" s="87"/>
      <c r="F149" s="93"/>
      <c r="G149" s="93"/>
      <c r="H149" s="93"/>
      <c r="I149" s="93"/>
      <c r="J149" s="93"/>
      <c r="K149" s="93"/>
      <c r="L149" s="93"/>
      <c r="M149" s="93"/>
      <c r="N149" s="106"/>
      <c r="O149" s="87"/>
      <c r="P149" s="93"/>
      <c r="Q149" s="9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5.75" customHeight="1" x14ac:dyDescent="0.2">
      <c r="A150" s="93"/>
      <c r="B150" s="93"/>
      <c r="C150" s="93"/>
      <c r="D150" s="93"/>
      <c r="E150" s="87"/>
      <c r="F150" s="93"/>
      <c r="G150" s="93"/>
      <c r="H150" s="93"/>
      <c r="I150" s="93"/>
      <c r="J150" s="93"/>
      <c r="K150" s="93"/>
      <c r="L150" s="93"/>
      <c r="M150" s="93"/>
      <c r="N150" s="106"/>
      <c r="O150" s="87"/>
      <c r="P150" s="93"/>
      <c r="Q150" s="9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5.75" customHeight="1" x14ac:dyDescent="0.2">
      <c r="A151" s="93"/>
      <c r="B151" s="93"/>
      <c r="C151" s="93"/>
      <c r="D151" s="93"/>
      <c r="E151" s="87"/>
      <c r="F151" s="93"/>
      <c r="G151" s="93"/>
      <c r="H151" s="93"/>
      <c r="I151" s="93"/>
      <c r="J151" s="93"/>
      <c r="K151" s="93"/>
      <c r="L151" s="93"/>
      <c r="M151" s="93"/>
      <c r="N151" s="106"/>
      <c r="O151" s="87"/>
      <c r="P151" s="93"/>
      <c r="Q151" s="9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5.75" customHeight="1" x14ac:dyDescent="0.2">
      <c r="A152" s="93"/>
      <c r="B152" s="93"/>
      <c r="C152" s="93"/>
      <c r="D152" s="93"/>
      <c r="E152" s="87"/>
      <c r="F152" s="93"/>
      <c r="G152" s="93"/>
      <c r="H152" s="93"/>
      <c r="I152" s="93"/>
      <c r="J152" s="93"/>
      <c r="K152" s="93"/>
      <c r="L152" s="93"/>
      <c r="M152" s="93"/>
      <c r="N152" s="106"/>
      <c r="O152" s="87"/>
      <c r="P152" s="93"/>
      <c r="Q152" s="9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5.75" customHeight="1" x14ac:dyDescent="0.2">
      <c r="A153" s="93"/>
      <c r="B153" s="93"/>
      <c r="C153" s="93"/>
      <c r="D153" s="93"/>
      <c r="E153" s="87"/>
      <c r="F153" s="93"/>
      <c r="G153" s="93"/>
      <c r="H153" s="93"/>
      <c r="I153" s="93"/>
      <c r="J153" s="93"/>
      <c r="K153" s="93"/>
      <c r="L153" s="93"/>
      <c r="M153" s="93"/>
      <c r="N153" s="106"/>
      <c r="O153" s="87"/>
      <c r="P153" s="93"/>
      <c r="Q153" s="9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5.75" customHeight="1" x14ac:dyDescent="0.2">
      <c r="A154" s="93"/>
      <c r="B154" s="93"/>
      <c r="C154" s="93"/>
      <c r="D154" s="93"/>
      <c r="E154" s="87"/>
      <c r="F154" s="93"/>
      <c r="G154" s="93"/>
      <c r="H154" s="93"/>
      <c r="I154" s="93"/>
      <c r="J154" s="93"/>
      <c r="K154" s="93"/>
      <c r="L154" s="93"/>
      <c r="M154" s="93"/>
      <c r="N154" s="106"/>
      <c r="O154" s="87"/>
      <c r="P154" s="93"/>
      <c r="Q154" s="9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5.75" customHeight="1" x14ac:dyDescent="0.2">
      <c r="A155" s="93"/>
      <c r="B155" s="93"/>
      <c r="C155" s="93"/>
      <c r="D155" s="93"/>
      <c r="E155" s="87"/>
      <c r="F155" s="93"/>
      <c r="G155" s="93"/>
      <c r="H155" s="93"/>
      <c r="I155" s="93"/>
      <c r="J155" s="93"/>
      <c r="K155" s="93"/>
      <c r="L155" s="93"/>
      <c r="M155" s="93"/>
      <c r="N155" s="106"/>
      <c r="O155" s="87"/>
      <c r="P155" s="93"/>
      <c r="Q155" s="9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5.75" customHeight="1" x14ac:dyDescent="0.2">
      <c r="A156" s="93"/>
      <c r="B156" s="93"/>
      <c r="C156" s="93"/>
      <c r="D156" s="93"/>
      <c r="E156" s="87"/>
      <c r="F156" s="93"/>
      <c r="G156" s="93"/>
      <c r="H156" s="93"/>
      <c r="I156" s="93"/>
      <c r="J156" s="93"/>
      <c r="K156" s="93"/>
      <c r="L156" s="93"/>
      <c r="M156" s="93"/>
      <c r="N156" s="106"/>
      <c r="O156" s="87"/>
      <c r="P156" s="93"/>
      <c r="Q156" s="9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5.75" customHeight="1" x14ac:dyDescent="0.2">
      <c r="A157" s="93"/>
      <c r="B157" s="93"/>
      <c r="C157" s="93"/>
      <c r="D157" s="93"/>
      <c r="E157" s="87"/>
      <c r="F157" s="93"/>
      <c r="G157" s="93"/>
      <c r="H157" s="93"/>
      <c r="I157" s="93"/>
      <c r="J157" s="93"/>
      <c r="K157" s="93"/>
      <c r="L157" s="93"/>
      <c r="M157" s="93"/>
      <c r="N157" s="106"/>
      <c r="O157" s="87"/>
      <c r="P157" s="93"/>
      <c r="Q157" s="9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5.75" customHeight="1" x14ac:dyDescent="0.2">
      <c r="A158" s="93"/>
      <c r="B158" s="93"/>
      <c r="C158" s="93"/>
      <c r="D158" s="93"/>
      <c r="E158" s="87"/>
      <c r="F158" s="93"/>
      <c r="G158" s="93"/>
      <c r="H158" s="93"/>
      <c r="I158" s="93"/>
      <c r="J158" s="93"/>
      <c r="K158" s="93"/>
      <c r="L158" s="93"/>
      <c r="M158" s="93"/>
      <c r="N158" s="106"/>
      <c r="O158" s="87"/>
      <c r="P158" s="93"/>
      <c r="Q158" s="9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5.75" customHeight="1" x14ac:dyDescent="0.2">
      <c r="A159" s="93"/>
      <c r="B159" s="93"/>
      <c r="C159" s="93"/>
      <c r="D159" s="93"/>
      <c r="E159" s="87"/>
      <c r="F159" s="93"/>
      <c r="G159" s="93"/>
      <c r="H159" s="93"/>
      <c r="I159" s="93"/>
      <c r="J159" s="93"/>
      <c r="K159" s="93"/>
      <c r="L159" s="93"/>
      <c r="M159" s="93"/>
      <c r="N159" s="106"/>
      <c r="O159" s="87"/>
      <c r="P159" s="93"/>
      <c r="Q159" s="9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5.75" customHeight="1" x14ac:dyDescent="0.2">
      <c r="A160" s="93"/>
      <c r="B160" s="93"/>
      <c r="C160" s="93"/>
      <c r="D160" s="93"/>
      <c r="E160" s="87"/>
      <c r="F160" s="93"/>
      <c r="G160" s="93"/>
      <c r="H160" s="93"/>
      <c r="I160" s="93"/>
      <c r="J160" s="93"/>
      <c r="K160" s="93"/>
      <c r="L160" s="93"/>
      <c r="M160" s="93"/>
      <c r="N160" s="106"/>
      <c r="O160" s="87"/>
      <c r="P160" s="93"/>
      <c r="Q160" s="9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5.75" customHeight="1" x14ac:dyDescent="0.2">
      <c r="A161" s="93"/>
      <c r="B161" s="93"/>
      <c r="C161" s="93"/>
      <c r="D161" s="93"/>
      <c r="E161" s="87"/>
      <c r="F161" s="93"/>
      <c r="G161" s="93"/>
      <c r="H161" s="93"/>
      <c r="I161" s="93"/>
      <c r="J161" s="93"/>
      <c r="K161" s="93"/>
      <c r="L161" s="93"/>
      <c r="M161" s="93"/>
      <c r="N161" s="106"/>
      <c r="O161" s="87"/>
      <c r="P161" s="93"/>
      <c r="Q161" s="9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5.75" customHeight="1" x14ac:dyDescent="0.2">
      <c r="A162" s="93"/>
      <c r="B162" s="93"/>
      <c r="C162" s="93"/>
      <c r="D162" s="93"/>
      <c r="E162" s="87"/>
      <c r="F162" s="93"/>
      <c r="G162" s="93"/>
      <c r="H162" s="93"/>
      <c r="I162" s="93"/>
      <c r="J162" s="93"/>
      <c r="K162" s="93"/>
      <c r="L162" s="93"/>
      <c r="M162" s="93"/>
      <c r="N162" s="106"/>
      <c r="O162" s="87"/>
      <c r="P162" s="93"/>
      <c r="Q162" s="9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5.75" customHeight="1" x14ac:dyDescent="0.2">
      <c r="A163" s="93"/>
      <c r="B163" s="93"/>
      <c r="C163" s="93"/>
      <c r="D163" s="93"/>
      <c r="E163" s="87"/>
      <c r="F163" s="93"/>
      <c r="G163" s="93"/>
      <c r="H163" s="93"/>
      <c r="I163" s="93"/>
      <c r="J163" s="93"/>
      <c r="K163" s="93"/>
      <c r="L163" s="93"/>
      <c r="M163" s="93"/>
      <c r="N163" s="106"/>
      <c r="O163" s="87"/>
      <c r="P163" s="93"/>
      <c r="Q163" s="9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5.75" customHeight="1" x14ac:dyDescent="0.2">
      <c r="A164" s="93"/>
      <c r="B164" s="93"/>
      <c r="C164" s="93"/>
      <c r="D164" s="93"/>
      <c r="E164" s="87"/>
      <c r="F164" s="93"/>
      <c r="G164" s="93"/>
      <c r="H164" s="93"/>
      <c r="I164" s="93"/>
      <c r="J164" s="93"/>
      <c r="K164" s="93"/>
      <c r="L164" s="93"/>
      <c r="M164" s="93"/>
      <c r="N164" s="106"/>
      <c r="O164" s="87"/>
      <c r="P164" s="93"/>
      <c r="Q164" s="9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5.75" customHeight="1" x14ac:dyDescent="0.2">
      <c r="A165" s="93"/>
      <c r="B165" s="93"/>
      <c r="C165" s="93"/>
      <c r="D165" s="93"/>
      <c r="E165" s="87"/>
      <c r="F165" s="93"/>
      <c r="G165" s="93"/>
      <c r="H165" s="93"/>
      <c r="I165" s="93"/>
      <c r="J165" s="93"/>
      <c r="K165" s="93"/>
      <c r="L165" s="93"/>
      <c r="M165" s="93"/>
      <c r="N165" s="106"/>
      <c r="O165" s="87"/>
      <c r="P165" s="93"/>
      <c r="Q165" s="9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5.75" customHeight="1" x14ac:dyDescent="0.2">
      <c r="A166" s="93"/>
      <c r="B166" s="93"/>
      <c r="C166" s="93"/>
      <c r="D166" s="93"/>
      <c r="E166" s="87"/>
      <c r="F166" s="93"/>
      <c r="G166" s="93"/>
      <c r="H166" s="93"/>
      <c r="I166" s="93"/>
      <c r="J166" s="93"/>
      <c r="K166" s="93"/>
      <c r="L166" s="93"/>
      <c r="M166" s="93"/>
      <c r="N166" s="106"/>
      <c r="O166" s="87"/>
      <c r="P166" s="93"/>
      <c r="Q166" s="9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5.75" customHeight="1" x14ac:dyDescent="0.2">
      <c r="A167" s="93"/>
      <c r="B167" s="93"/>
      <c r="C167" s="93"/>
      <c r="D167" s="93"/>
      <c r="E167" s="87"/>
      <c r="F167" s="93"/>
      <c r="G167" s="93"/>
      <c r="H167" s="93"/>
      <c r="I167" s="93"/>
      <c r="J167" s="93"/>
      <c r="K167" s="93"/>
      <c r="L167" s="93"/>
      <c r="M167" s="93"/>
      <c r="N167" s="106"/>
      <c r="O167" s="87"/>
      <c r="P167" s="93"/>
      <c r="Q167" s="9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5.75" customHeight="1" x14ac:dyDescent="0.2">
      <c r="A168" s="93"/>
      <c r="B168" s="93"/>
      <c r="C168" s="93"/>
      <c r="D168" s="93"/>
      <c r="E168" s="87"/>
      <c r="F168" s="93"/>
      <c r="G168" s="93"/>
      <c r="H168" s="93"/>
      <c r="I168" s="93"/>
      <c r="J168" s="93"/>
      <c r="K168" s="93"/>
      <c r="L168" s="93"/>
      <c r="M168" s="93"/>
      <c r="N168" s="106"/>
      <c r="O168" s="87"/>
      <c r="P168" s="93"/>
      <c r="Q168" s="9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5.75" customHeight="1" x14ac:dyDescent="0.2">
      <c r="A169" s="93"/>
      <c r="B169" s="93"/>
      <c r="C169" s="93"/>
      <c r="D169" s="93"/>
      <c r="E169" s="87"/>
      <c r="F169" s="93"/>
      <c r="G169" s="93"/>
      <c r="H169" s="93"/>
      <c r="I169" s="93"/>
      <c r="J169" s="93"/>
      <c r="K169" s="93"/>
      <c r="L169" s="93"/>
      <c r="M169" s="93"/>
      <c r="N169" s="106"/>
      <c r="O169" s="87"/>
      <c r="P169" s="93"/>
      <c r="Q169" s="9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5.75" customHeight="1" x14ac:dyDescent="0.2">
      <c r="A170" s="93"/>
      <c r="B170" s="93"/>
      <c r="C170" s="93"/>
      <c r="D170" s="93"/>
      <c r="E170" s="87"/>
      <c r="F170" s="93"/>
      <c r="G170" s="93"/>
      <c r="H170" s="93"/>
      <c r="I170" s="93"/>
      <c r="J170" s="93"/>
      <c r="K170" s="93"/>
      <c r="L170" s="93"/>
      <c r="M170" s="93"/>
      <c r="N170" s="106"/>
      <c r="O170" s="87"/>
      <c r="P170" s="93"/>
      <c r="Q170" s="9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5.75" customHeight="1" x14ac:dyDescent="0.2">
      <c r="A171" s="93"/>
      <c r="B171" s="93"/>
      <c r="C171" s="93"/>
      <c r="D171" s="93"/>
      <c r="E171" s="87"/>
      <c r="F171" s="93"/>
      <c r="G171" s="93"/>
      <c r="H171" s="93"/>
      <c r="I171" s="93"/>
      <c r="J171" s="93"/>
      <c r="K171" s="93"/>
      <c r="L171" s="93"/>
      <c r="M171" s="93"/>
      <c r="N171" s="106"/>
      <c r="O171" s="87"/>
      <c r="P171" s="93"/>
      <c r="Q171" s="9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5.75" customHeight="1" x14ac:dyDescent="0.2">
      <c r="A172" s="93"/>
      <c r="B172" s="93"/>
      <c r="C172" s="93"/>
      <c r="D172" s="93"/>
      <c r="E172" s="87"/>
      <c r="F172" s="93"/>
      <c r="G172" s="93"/>
      <c r="H172" s="93"/>
      <c r="I172" s="93"/>
      <c r="J172" s="93"/>
      <c r="K172" s="93"/>
      <c r="L172" s="93"/>
      <c r="M172" s="93"/>
      <c r="N172" s="106"/>
      <c r="O172" s="87"/>
      <c r="P172" s="93"/>
      <c r="Q172" s="9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5.75" customHeight="1" x14ac:dyDescent="0.2">
      <c r="A173" s="93"/>
      <c r="B173" s="93"/>
      <c r="C173" s="93"/>
      <c r="D173" s="93"/>
      <c r="E173" s="87"/>
      <c r="F173" s="93"/>
      <c r="G173" s="93"/>
      <c r="H173" s="93"/>
      <c r="I173" s="93"/>
      <c r="J173" s="93"/>
      <c r="K173" s="93"/>
      <c r="L173" s="93"/>
      <c r="M173" s="93"/>
      <c r="N173" s="106"/>
      <c r="O173" s="87"/>
      <c r="P173" s="93"/>
      <c r="Q173" s="9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5.75" customHeight="1" x14ac:dyDescent="0.2">
      <c r="A174" s="93"/>
      <c r="B174" s="93"/>
      <c r="C174" s="93"/>
      <c r="D174" s="93"/>
      <c r="E174" s="87"/>
      <c r="F174" s="93"/>
      <c r="G174" s="93"/>
      <c r="H174" s="93"/>
      <c r="I174" s="93"/>
      <c r="J174" s="93"/>
      <c r="K174" s="93"/>
      <c r="L174" s="93"/>
      <c r="M174" s="93"/>
      <c r="N174" s="106"/>
      <c r="O174" s="87"/>
      <c r="P174" s="93"/>
      <c r="Q174" s="9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5.75" customHeight="1" x14ac:dyDescent="0.2">
      <c r="A175" s="93"/>
      <c r="B175" s="93"/>
      <c r="C175" s="93"/>
      <c r="D175" s="93"/>
      <c r="E175" s="87"/>
      <c r="F175" s="93"/>
      <c r="G175" s="93"/>
      <c r="H175" s="93"/>
      <c r="I175" s="93"/>
      <c r="J175" s="93"/>
      <c r="K175" s="93"/>
      <c r="L175" s="93"/>
      <c r="M175" s="93"/>
      <c r="N175" s="106"/>
      <c r="O175" s="87"/>
      <c r="P175" s="93"/>
      <c r="Q175" s="9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5.75" customHeight="1" x14ac:dyDescent="0.2">
      <c r="A176" s="93"/>
      <c r="B176" s="93"/>
      <c r="C176" s="93"/>
      <c r="D176" s="93"/>
      <c r="E176" s="87"/>
      <c r="F176" s="93"/>
      <c r="G176" s="93"/>
      <c r="H176" s="93"/>
      <c r="I176" s="93"/>
      <c r="J176" s="93"/>
      <c r="K176" s="93"/>
      <c r="L176" s="93"/>
      <c r="M176" s="93"/>
      <c r="N176" s="106"/>
      <c r="O176" s="87"/>
      <c r="P176" s="93"/>
      <c r="Q176" s="9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5.75" customHeight="1" x14ac:dyDescent="0.2">
      <c r="A177" s="93"/>
      <c r="B177" s="93"/>
      <c r="C177" s="93"/>
      <c r="D177" s="93"/>
      <c r="E177" s="87"/>
      <c r="F177" s="93"/>
      <c r="G177" s="93"/>
      <c r="H177" s="93"/>
      <c r="I177" s="93"/>
      <c r="J177" s="93"/>
      <c r="K177" s="93"/>
      <c r="L177" s="93"/>
      <c r="M177" s="93"/>
      <c r="N177" s="106"/>
      <c r="O177" s="87"/>
      <c r="P177" s="93"/>
      <c r="Q177" s="9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5.75" customHeight="1" x14ac:dyDescent="0.2">
      <c r="A178" s="93"/>
      <c r="B178" s="93"/>
      <c r="C178" s="93"/>
      <c r="D178" s="93"/>
      <c r="E178" s="87"/>
      <c r="F178" s="93"/>
      <c r="G178" s="93"/>
      <c r="H178" s="93"/>
      <c r="I178" s="93"/>
      <c r="J178" s="93"/>
      <c r="K178" s="93"/>
      <c r="L178" s="93"/>
      <c r="M178" s="93"/>
      <c r="N178" s="106"/>
      <c r="O178" s="87"/>
      <c r="P178" s="93"/>
      <c r="Q178" s="9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5.75" customHeight="1" x14ac:dyDescent="0.2">
      <c r="A179" s="93"/>
      <c r="B179" s="93"/>
      <c r="C179" s="93"/>
      <c r="D179" s="93"/>
      <c r="E179" s="87"/>
      <c r="F179" s="93"/>
      <c r="G179" s="93"/>
      <c r="H179" s="93"/>
      <c r="I179" s="93"/>
      <c r="J179" s="93"/>
      <c r="K179" s="93"/>
      <c r="L179" s="93"/>
      <c r="M179" s="93"/>
      <c r="N179" s="106"/>
      <c r="O179" s="87"/>
      <c r="P179" s="93"/>
      <c r="Q179" s="9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5.75" customHeight="1" x14ac:dyDescent="0.2">
      <c r="A180" s="93"/>
      <c r="B180" s="93"/>
      <c r="C180" s="93"/>
      <c r="D180" s="93"/>
      <c r="E180" s="87"/>
      <c r="F180" s="93"/>
      <c r="G180" s="93"/>
      <c r="H180" s="93"/>
      <c r="I180" s="93"/>
      <c r="J180" s="93"/>
      <c r="K180" s="93"/>
      <c r="L180" s="93"/>
      <c r="M180" s="93"/>
      <c r="N180" s="106"/>
      <c r="O180" s="87"/>
      <c r="P180" s="93"/>
      <c r="Q180" s="9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5.75" customHeight="1" x14ac:dyDescent="0.2">
      <c r="A181" s="93"/>
      <c r="B181" s="93"/>
      <c r="C181" s="93"/>
      <c r="D181" s="93"/>
      <c r="E181" s="87"/>
      <c r="F181" s="93"/>
      <c r="G181" s="93"/>
      <c r="H181" s="93"/>
      <c r="I181" s="93"/>
      <c r="J181" s="93"/>
      <c r="K181" s="93"/>
      <c r="L181" s="93"/>
      <c r="M181" s="93"/>
      <c r="N181" s="106"/>
      <c r="O181" s="87"/>
      <c r="P181" s="93"/>
      <c r="Q181" s="9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5.75" customHeight="1" x14ac:dyDescent="0.2">
      <c r="A182" s="93"/>
      <c r="B182" s="93"/>
      <c r="C182" s="93"/>
      <c r="D182" s="93"/>
      <c r="E182" s="87"/>
      <c r="F182" s="93"/>
      <c r="G182" s="93"/>
      <c r="H182" s="93"/>
      <c r="I182" s="93"/>
      <c r="J182" s="93"/>
      <c r="K182" s="93"/>
      <c r="L182" s="93"/>
      <c r="M182" s="93"/>
      <c r="N182" s="106"/>
      <c r="O182" s="87"/>
      <c r="P182" s="93"/>
      <c r="Q182" s="9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5.75" customHeight="1" x14ac:dyDescent="0.2">
      <c r="A183" s="93"/>
      <c r="B183" s="93"/>
      <c r="C183" s="93"/>
      <c r="D183" s="93"/>
      <c r="E183" s="87"/>
      <c r="F183" s="93"/>
      <c r="G183" s="93"/>
      <c r="H183" s="93"/>
      <c r="I183" s="93"/>
      <c r="J183" s="93"/>
      <c r="K183" s="93"/>
      <c r="L183" s="93"/>
      <c r="M183" s="93"/>
      <c r="N183" s="106"/>
      <c r="O183" s="87"/>
      <c r="P183" s="93"/>
      <c r="Q183" s="9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5.75" customHeight="1" x14ac:dyDescent="0.2">
      <c r="A184" s="93"/>
      <c r="B184" s="93"/>
      <c r="C184" s="93"/>
      <c r="D184" s="93"/>
      <c r="E184" s="87"/>
      <c r="F184" s="93"/>
      <c r="G184" s="93"/>
      <c r="H184" s="93"/>
      <c r="I184" s="93"/>
      <c r="J184" s="93"/>
      <c r="K184" s="93"/>
      <c r="L184" s="93"/>
      <c r="M184" s="93"/>
      <c r="N184" s="106"/>
      <c r="O184" s="87"/>
      <c r="P184" s="93"/>
      <c r="Q184" s="9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5.75" customHeight="1" x14ac:dyDescent="0.2">
      <c r="A185" s="93"/>
      <c r="B185" s="93"/>
      <c r="C185" s="93"/>
      <c r="D185" s="93"/>
      <c r="E185" s="87"/>
      <c r="F185" s="93"/>
      <c r="G185" s="93"/>
      <c r="H185" s="93"/>
      <c r="I185" s="93"/>
      <c r="J185" s="93"/>
      <c r="K185" s="93"/>
      <c r="L185" s="93"/>
      <c r="M185" s="93"/>
      <c r="N185" s="106"/>
      <c r="O185" s="87"/>
      <c r="P185" s="93"/>
      <c r="Q185" s="9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5.75" customHeight="1" x14ac:dyDescent="0.2">
      <c r="A186" s="93"/>
      <c r="B186" s="93"/>
      <c r="C186" s="93"/>
      <c r="D186" s="93"/>
      <c r="E186" s="87"/>
      <c r="F186" s="93"/>
      <c r="G186" s="93"/>
      <c r="H186" s="93"/>
      <c r="I186" s="93"/>
      <c r="J186" s="93"/>
      <c r="K186" s="93"/>
      <c r="L186" s="93"/>
      <c r="M186" s="93"/>
      <c r="N186" s="106"/>
      <c r="O186" s="87"/>
      <c r="P186" s="93"/>
      <c r="Q186" s="9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5.75" customHeight="1" x14ac:dyDescent="0.2">
      <c r="A187" s="93"/>
      <c r="B187" s="93"/>
      <c r="C187" s="93"/>
      <c r="D187" s="93"/>
      <c r="E187" s="87"/>
      <c r="F187" s="93"/>
      <c r="G187" s="93"/>
      <c r="H187" s="93"/>
      <c r="I187" s="93"/>
      <c r="J187" s="93"/>
      <c r="K187" s="93"/>
      <c r="L187" s="93"/>
      <c r="M187" s="93"/>
      <c r="N187" s="106"/>
      <c r="O187" s="87"/>
      <c r="P187" s="93"/>
      <c r="Q187" s="9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5.75" customHeight="1" x14ac:dyDescent="0.2">
      <c r="A188" s="93"/>
      <c r="B188" s="93"/>
      <c r="C188" s="93"/>
      <c r="D188" s="93"/>
      <c r="E188" s="87"/>
      <c r="F188" s="93"/>
      <c r="G188" s="93"/>
      <c r="H188" s="93"/>
      <c r="I188" s="93"/>
      <c r="J188" s="93"/>
      <c r="K188" s="93"/>
      <c r="L188" s="93"/>
      <c r="M188" s="93"/>
      <c r="N188" s="106"/>
      <c r="O188" s="87"/>
      <c r="P188" s="93"/>
      <c r="Q188" s="9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5.75" customHeight="1" x14ac:dyDescent="0.2">
      <c r="A189" s="93"/>
      <c r="B189" s="93"/>
      <c r="C189" s="93"/>
      <c r="D189" s="93"/>
      <c r="E189" s="87"/>
      <c r="F189" s="93"/>
      <c r="G189" s="93"/>
      <c r="H189" s="93"/>
      <c r="I189" s="93"/>
      <c r="J189" s="93"/>
      <c r="K189" s="93"/>
      <c r="L189" s="93"/>
      <c r="M189" s="93"/>
      <c r="N189" s="106"/>
      <c r="O189" s="87"/>
      <c r="P189" s="93"/>
      <c r="Q189" s="9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5.75" customHeight="1" x14ac:dyDescent="0.2">
      <c r="A190" s="93"/>
      <c r="B190" s="93"/>
      <c r="C190" s="93"/>
      <c r="D190" s="93"/>
      <c r="E190" s="87"/>
      <c r="F190" s="93"/>
      <c r="G190" s="93"/>
      <c r="H190" s="93"/>
      <c r="I190" s="93"/>
      <c r="J190" s="93"/>
      <c r="K190" s="93"/>
      <c r="L190" s="93"/>
      <c r="M190" s="93"/>
      <c r="N190" s="106"/>
      <c r="O190" s="87"/>
      <c r="P190" s="93"/>
      <c r="Q190" s="9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5.75" customHeight="1" x14ac:dyDescent="0.2">
      <c r="A191" s="93"/>
      <c r="B191" s="93"/>
      <c r="C191" s="93"/>
      <c r="D191" s="93"/>
      <c r="E191" s="87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5.75" customHeight="1" x14ac:dyDescent="0.2">
      <c r="A192" s="93"/>
      <c r="B192" s="93"/>
      <c r="C192" s="93"/>
      <c r="D192" s="93"/>
      <c r="E192" s="87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5.75" customHeight="1" x14ac:dyDescent="0.2">
      <c r="A193" s="93"/>
      <c r="B193" s="93"/>
      <c r="C193" s="93"/>
      <c r="D193" s="93"/>
      <c r="E193" s="87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5.75" customHeight="1" x14ac:dyDescent="0.2">
      <c r="A194" s="93"/>
      <c r="B194" s="93"/>
      <c r="C194" s="93"/>
      <c r="D194" s="93"/>
      <c r="E194" s="87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5.75" customHeight="1" x14ac:dyDescent="0.2">
      <c r="A195" s="93"/>
      <c r="B195" s="93"/>
      <c r="C195" s="93"/>
      <c r="D195" s="93"/>
      <c r="E195" s="87"/>
      <c r="F195" s="93"/>
      <c r="G195" s="93"/>
      <c r="H195" s="93"/>
      <c r="I195" s="93"/>
      <c r="J195" s="93"/>
      <c r="K195" s="95"/>
      <c r="L195" s="95"/>
      <c r="M195" s="93"/>
      <c r="N195" s="93"/>
      <c r="O195" s="93"/>
      <c r="P195" s="93"/>
      <c r="Q195" s="9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5.75" customHeight="1" x14ac:dyDescent="0.2">
      <c r="A196" s="93"/>
      <c r="B196" s="93"/>
      <c r="C196" s="93"/>
      <c r="D196" s="93"/>
      <c r="E196" s="87"/>
      <c r="F196" s="93"/>
      <c r="G196" s="93"/>
      <c r="H196" s="93"/>
      <c r="I196" s="93"/>
      <c r="J196" s="93"/>
      <c r="K196" s="95"/>
      <c r="L196" s="95"/>
      <c r="M196" s="93"/>
      <c r="N196" s="93"/>
      <c r="O196" s="93"/>
      <c r="P196" s="93"/>
      <c r="Q196" s="9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5.75" customHeight="1" x14ac:dyDescent="0.2">
      <c r="A197" s="93"/>
      <c r="B197" s="93"/>
      <c r="C197" s="93"/>
      <c r="D197" s="93"/>
      <c r="E197" s="87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5.75" customHeight="1" x14ac:dyDescent="0.2">
      <c r="A198" s="93"/>
      <c r="B198" s="93"/>
      <c r="C198" s="93"/>
      <c r="D198" s="93"/>
      <c r="E198" s="87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5.75" customHeight="1" x14ac:dyDescent="0.2">
      <c r="A199" s="93"/>
      <c r="B199" s="93"/>
      <c r="C199" s="93"/>
      <c r="D199" s="93"/>
      <c r="E199" s="87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5.75" customHeight="1" x14ac:dyDescent="0.2">
      <c r="A200" s="93"/>
      <c r="B200" s="93"/>
      <c r="C200" s="93"/>
      <c r="D200" s="93"/>
      <c r="E200" s="87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5.75" customHeight="1" x14ac:dyDescent="0.2">
      <c r="A201" s="93"/>
      <c r="B201" s="93"/>
      <c r="C201" s="93"/>
      <c r="D201" s="93"/>
      <c r="E201" s="87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5.75" customHeight="1" x14ac:dyDescent="0.2">
      <c r="A202" s="93"/>
      <c r="B202" s="93"/>
      <c r="C202" s="93"/>
      <c r="D202" s="93"/>
      <c r="E202" s="87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5.75" customHeight="1" x14ac:dyDescent="0.2">
      <c r="A203" s="93"/>
      <c r="B203" s="93"/>
      <c r="C203" s="93"/>
      <c r="D203" s="93"/>
      <c r="E203" s="87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5.75" customHeight="1" x14ac:dyDescent="0.2">
      <c r="A204" s="93"/>
      <c r="B204" s="93"/>
      <c r="C204" s="93"/>
      <c r="D204" s="93"/>
      <c r="E204" s="87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5.75" customHeight="1" x14ac:dyDescent="0.2">
      <c r="A205" s="93"/>
      <c r="B205" s="93"/>
      <c r="C205" s="93"/>
      <c r="D205" s="93"/>
      <c r="E205" s="87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5.75" customHeight="1" x14ac:dyDescent="0.2">
      <c r="A206" s="93"/>
      <c r="B206" s="93"/>
      <c r="C206" s="93"/>
      <c r="D206" s="93"/>
      <c r="E206" s="87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5.75" customHeight="1" x14ac:dyDescent="0.2">
      <c r="A207" s="93"/>
      <c r="B207" s="93"/>
      <c r="C207" s="93"/>
      <c r="D207" s="93"/>
      <c r="E207" s="87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5.75" customHeight="1" x14ac:dyDescent="0.2">
      <c r="A208" s="93"/>
      <c r="B208" s="93"/>
      <c r="C208" s="93"/>
      <c r="D208" s="93"/>
      <c r="E208" s="87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5.75" customHeight="1" x14ac:dyDescent="0.2">
      <c r="A209" s="93"/>
      <c r="B209" s="93"/>
      <c r="C209" s="93"/>
      <c r="D209" s="93"/>
      <c r="E209" s="87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5.75" customHeight="1" x14ac:dyDescent="0.2">
      <c r="A210" s="93"/>
      <c r="B210" s="93"/>
      <c r="C210" s="93"/>
      <c r="D210" s="93"/>
      <c r="E210" s="87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5.75" customHeight="1" x14ac:dyDescent="0.2">
      <c r="A211" s="93"/>
      <c r="B211" s="93"/>
      <c r="C211" s="93"/>
      <c r="D211" s="93"/>
      <c r="E211" s="87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15.75" customHeight="1" x14ac:dyDescent="0.2">
      <c r="A212" s="93"/>
      <c r="B212" s="93"/>
      <c r="C212" s="93"/>
      <c r="D212" s="93"/>
      <c r="E212" s="87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15.75" customHeight="1" x14ac:dyDescent="0.2">
      <c r="A213" s="93"/>
      <c r="B213" s="93"/>
      <c r="C213" s="93"/>
      <c r="D213" s="93"/>
      <c r="E213" s="87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15.75" customHeight="1" x14ac:dyDescent="0.2">
      <c r="A214" s="93"/>
      <c r="B214" s="93"/>
      <c r="C214" s="93"/>
      <c r="D214" s="93"/>
      <c r="E214" s="87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5.75" customHeight="1" x14ac:dyDescent="0.2">
      <c r="A215" s="93"/>
      <c r="B215" s="93"/>
      <c r="C215" s="93"/>
      <c r="D215" s="93"/>
      <c r="E215" s="87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15.75" customHeight="1" x14ac:dyDescent="0.2">
      <c r="A216" s="93"/>
      <c r="B216" s="93"/>
      <c r="C216" s="93"/>
      <c r="D216" s="93"/>
      <c r="E216" s="87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5.75" customHeight="1" x14ac:dyDescent="0.2">
      <c r="A217" s="93"/>
      <c r="B217" s="93"/>
      <c r="C217" s="93"/>
      <c r="D217" s="93"/>
      <c r="E217" s="87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15.75" customHeight="1" x14ac:dyDescent="0.2">
      <c r="A218" s="93"/>
      <c r="B218" s="93"/>
      <c r="C218" s="93"/>
      <c r="D218" s="93"/>
      <c r="E218" s="87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15.75" customHeight="1" x14ac:dyDescent="0.2">
      <c r="A219" s="93"/>
      <c r="B219" s="93"/>
      <c r="C219" s="93"/>
      <c r="D219" s="93"/>
      <c r="E219" s="87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15.75" customHeight="1" x14ac:dyDescent="0.2">
      <c r="A220" s="93"/>
      <c r="B220" s="93"/>
      <c r="C220" s="93"/>
      <c r="D220" s="93"/>
      <c r="E220" s="87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ht="15.75" customHeight="1" x14ac:dyDescent="0.2">
      <c r="A221" s="93"/>
      <c r="B221" s="93"/>
      <c r="C221" s="93"/>
      <c r="D221" s="93"/>
      <c r="E221" s="87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ht="15.75" customHeight="1" x14ac:dyDescent="0.2">
      <c r="A222" s="93"/>
      <c r="B222" s="93"/>
      <c r="C222" s="93"/>
      <c r="D222" s="93"/>
      <c r="E222" s="87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15.75" customHeight="1" x14ac:dyDescent="0.2">
      <c r="A223" s="93"/>
      <c r="B223" s="93"/>
      <c r="C223" s="93"/>
      <c r="D223" s="93"/>
      <c r="E223" s="87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15.75" customHeight="1" x14ac:dyDescent="0.2">
      <c r="A224" s="93"/>
      <c r="B224" s="93"/>
      <c r="C224" s="93"/>
      <c r="D224" s="93"/>
      <c r="E224" s="87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15.75" customHeight="1" x14ac:dyDescent="0.2">
      <c r="A225" s="93"/>
      <c r="B225" s="93"/>
      <c r="C225" s="93"/>
      <c r="D225" s="93"/>
      <c r="E225" s="87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15.75" customHeight="1" x14ac:dyDescent="0.2">
      <c r="A226" s="93"/>
      <c r="B226" s="93"/>
      <c r="C226" s="93"/>
      <c r="D226" s="93"/>
      <c r="E226" s="87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15.75" customHeight="1" x14ac:dyDescent="0.2">
      <c r="A227" s="93"/>
      <c r="B227" s="93"/>
      <c r="C227" s="93"/>
      <c r="D227" s="93"/>
      <c r="E227" s="87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ht="15.75" customHeight="1" x14ac:dyDescent="0.2">
      <c r="A228" s="93"/>
      <c r="B228" s="93"/>
      <c r="C228" s="93"/>
      <c r="D228" s="93"/>
      <c r="E228" s="87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15.75" customHeight="1" x14ac:dyDescent="0.2">
      <c r="A229" s="93"/>
      <c r="B229" s="93"/>
      <c r="C229" s="93"/>
      <c r="D229" s="93"/>
      <c r="E229" s="87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15.75" customHeight="1" x14ac:dyDescent="0.2">
      <c r="A230" s="93"/>
      <c r="B230" s="93"/>
      <c r="C230" s="93"/>
      <c r="D230" s="93"/>
      <c r="E230" s="87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15.75" customHeight="1" x14ac:dyDescent="0.2">
      <c r="A231" s="93"/>
      <c r="B231" s="93"/>
      <c r="C231" s="93"/>
      <c r="D231" s="93"/>
      <c r="E231" s="87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ht="15.75" customHeight="1" x14ac:dyDescent="0.2">
      <c r="A232" s="93"/>
      <c r="B232" s="93"/>
      <c r="C232" s="93"/>
      <c r="D232" s="93"/>
      <c r="E232" s="87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15.75" customHeight="1" x14ac:dyDescent="0.2">
      <c r="A233" s="93"/>
      <c r="B233" s="93"/>
      <c r="C233" s="93"/>
      <c r="D233" s="93"/>
      <c r="E233" s="87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ht="15.75" customHeight="1" x14ac:dyDescent="0.2">
      <c r="A234" s="93"/>
      <c r="B234" s="93"/>
      <c r="C234" s="93"/>
      <c r="D234" s="93"/>
      <c r="E234" s="87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ht="15.75" customHeight="1" x14ac:dyDescent="0.2">
      <c r="A235" s="93"/>
      <c r="B235" s="93"/>
      <c r="C235" s="93"/>
      <c r="D235" s="93"/>
      <c r="E235" s="87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ht="15.75" customHeight="1" x14ac:dyDescent="0.2">
      <c r="A236" s="1"/>
      <c r="B236" s="1"/>
      <c r="C236" s="1"/>
      <c r="D236" s="1"/>
      <c r="E236" s="3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ht="15.75" customHeight="1" x14ac:dyDescent="0.2">
      <c r="A237" s="1"/>
      <c r="B237" s="1"/>
      <c r="C237" s="1"/>
      <c r="D237" s="1"/>
      <c r="E237" s="3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ht="15.75" customHeight="1" x14ac:dyDescent="0.2">
      <c r="A238" s="1"/>
      <c r="B238" s="1"/>
      <c r="C238" s="1"/>
      <c r="D238" s="1"/>
      <c r="E238" s="3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ht="15.75" customHeight="1" x14ac:dyDescent="0.2">
      <c r="A239" s="1"/>
      <c r="B239" s="1"/>
      <c r="C239" s="1"/>
      <c r="D239" s="1"/>
      <c r="E239" s="3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ht="15.75" customHeight="1" x14ac:dyDescent="0.2">
      <c r="A240" s="1"/>
      <c r="B240" s="1"/>
      <c r="C240" s="1"/>
      <c r="D240" s="1"/>
      <c r="E240" s="3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ht="15.75" customHeight="1" x14ac:dyDescent="0.2">
      <c r="A241" s="1"/>
      <c r="B241" s="1"/>
      <c r="C241" s="1"/>
      <c r="D241" s="1"/>
      <c r="E241" s="3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ht="15.75" customHeight="1" x14ac:dyDescent="0.2">
      <c r="A242" s="1"/>
      <c r="B242" s="1"/>
      <c r="C242" s="1"/>
      <c r="D242" s="1"/>
      <c r="E242" s="3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ht="15.75" customHeight="1" x14ac:dyDescent="0.2">
      <c r="A243" s="1"/>
      <c r="B243" s="1"/>
      <c r="C243" s="1"/>
      <c r="D243" s="1"/>
      <c r="E243" s="3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ht="15.75" customHeight="1" x14ac:dyDescent="0.2">
      <c r="A244" s="1"/>
      <c r="B244" s="1"/>
      <c r="C244" s="1"/>
      <c r="D244" s="1"/>
      <c r="E244" s="3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ht="15.75" customHeight="1" x14ac:dyDescent="0.2">
      <c r="A245" s="1"/>
      <c r="B245" s="1"/>
      <c r="C245" s="1"/>
      <c r="D245" s="1"/>
      <c r="E245" s="3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ht="15.75" customHeight="1" x14ac:dyDescent="0.2">
      <c r="A246" s="1"/>
      <c r="B246" s="1"/>
      <c r="C246" s="1"/>
      <c r="D246" s="1"/>
      <c r="E246" s="3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ht="15.75" customHeight="1" x14ac:dyDescent="0.2">
      <c r="A247" s="1"/>
      <c r="B247" s="1"/>
      <c r="C247" s="1"/>
      <c r="D247" s="1"/>
      <c r="E247" s="3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ht="15.75" customHeight="1" x14ac:dyDescent="0.2">
      <c r="A248" s="1"/>
      <c r="B248" s="1"/>
      <c r="C248" s="1"/>
      <c r="D248" s="1"/>
      <c r="E248" s="3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ht="15.75" customHeight="1" x14ac:dyDescent="0.2">
      <c r="A249" s="1"/>
      <c r="B249" s="1"/>
      <c r="C249" s="1"/>
      <c r="D249" s="1"/>
      <c r="E249" s="3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ht="15.75" customHeight="1" x14ac:dyDescent="0.2">
      <c r="A250" s="1"/>
      <c r="B250" s="1"/>
      <c r="C250" s="1"/>
      <c r="D250" s="1"/>
      <c r="E250" s="3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ht="15.75" customHeight="1" x14ac:dyDescent="0.2">
      <c r="A251" s="1"/>
      <c r="B251" s="1"/>
      <c r="C251" s="1"/>
      <c r="D251" s="1"/>
      <c r="E251" s="3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37" ht="15.75" customHeight="1" x14ac:dyDescent="0.2">
      <c r="A252" s="1"/>
      <c r="B252" s="1"/>
      <c r="C252" s="1"/>
      <c r="D252" s="1"/>
      <c r="E252" s="3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37" ht="15.75" customHeight="1" x14ac:dyDescent="0.2">
      <c r="A253" s="1"/>
      <c r="B253" s="1"/>
      <c r="C253" s="1"/>
      <c r="D253" s="1"/>
      <c r="E253" s="3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37" ht="15.75" customHeight="1" x14ac:dyDescent="0.2">
      <c r="A254" s="1"/>
      <c r="B254" s="1"/>
      <c r="C254" s="1"/>
      <c r="D254" s="1"/>
      <c r="E254" s="3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37" ht="15.75" customHeight="1" x14ac:dyDescent="0.2">
      <c r="A255" s="1"/>
      <c r="B255" s="1"/>
      <c r="C255" s="1"/>
      <c r="D255" s="1"/>
      <c r="E255" s="3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37" ht="15.75" customHeight="1" x14ac:dyDescent="0.2">
      <c r="A256" s="1"/>
      <c r="B256" s="1"/>
      <c r="C256" s="1"/>
      <c r="D256" s="1"/>
      <c r="E256" s="3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4:12" ht="15.75" customHeight="1" x14ac:dyDescent="0.2">
      <c r="D257" s="1"/>
      <c r="E257" s="35"/>
      <c r="F257" s="1"/>
      <c r="G257" s="1"/>
      <c r="H257" s="1"/>
      <c r="I257" s="1"/>
      <c r="J257" s="1"/>
      <c r="K257" s="1"/>
      <c r="L257" s="1"/>
    </row>
    <row r="258" spans="4:12" ht="15.75" customHeight="1" x14ac:dyDescent="0.2">
      <c r="D258" s="1"/>
      <c r="E258" s="35"/>
      <c r="F258" s="1"/>
      <c r="G258" s="1"/>
      <c r="H258" s="1"/>
      <c r="I258" s="1"/>
      <c r="J258" s="1"/>
      <c r="K258" s="1"/>
      <c r="L258" s="1"/>
    </row>
    <row r="259" spans="4:12" ht="15.75" customHeight="1" x14ac:dyDescent="0.2">
      <c r="D259" s="1"/>
      <c r="E259" s="35"/>
      <c r="F259" s="1"/>
      <c r="G259" s="1"/>
      <c r="H259" s="1"/>
      <c r="I259" s="1"/>
      <c r="J259" s="1"/>
      <c r="K259" s="1"/>
      <c r="L259" s="1"/>
    </row>
    <row r="260" spans="4:12" ht="15.75" customHeight="1" x14ac:dyDescent="0.2">
      <c r="D260" s="1"/>
      <c r="E260" s="35"/>
      <c r="F260" s="1"/>
      <c r="G260" s="1"/>
      <c r="H260" s="1"/>
      <c r="I260" s="1"/>
      <c r="J260" s="1"/>
      <c r="K260" s="1"/>
      <c r="L260" s="1"/>
    </row>
    <row r="261" spans="4:12" ht="15.75" customHeight="1" x14ac:dyDescent="0.2">
      <c r="E261" s="35"/>
    </row>
    <row r="262" spans="4:12" ht="15.75" customHeight="1" x14ac:dyDescent="0.2">
      <c r="E262" s="35"/>
    </row>
    <row r="263" spans="4:12" ht="15.75" customHeight="1" x14ac:dyDescent="0.2">
      <c r="E263" s="35"/>
    </row>
    <row r="264" spans="4:12" ht="15.75" customHeight="1" x14ac:dyDescent="0.2">
      <c r="E264" s="35"/>
    </row>
    <row r="265" spans="4:12" ht="15.75" customHeight="1" x14ac:dyDescent="0.2">
      <c r="E265" s="35"/>
    </row>
    <row r="266" spans="4:12" ht="15.75" customHeight="1" x14ac:dyDescent="0.2">
      <c r="E266" s="35"/>
    </row>
    <row r="267" spans="4:12" ht="15.75" customHeight="1" x14ac:dyDescent="0.2">
      <c r="E267" s="35"/>
    </row>
    <row r="268" spans="4:12" ht="15.75" customHeight="1" x14ac:dyDescent="0.2">
      <c r="E268" s="35"/>
    </row>
    <row r="269" spans="4:12" ht="15.75" customHeight="1" x14ac:dyDescent="0.2">
      <c r="E269" s="35"/>
    </row>
    <row r="270" spans="4:12" ht="15.75" customHeight="1" x14ac:dyDescent="0.2">
      <c r="E270" s="35"/>
    </row>
    <row r="271" spans="4:12" ht="15.75" customHeight="1" x14ac:dyDescent="0.2">
      <c r="E271" s="35"/>
    </row>
    <row r="272" spans="4:12" ht="15.75" customHeight="1" x14ac:dyDescent="0.2">
      <c r="E272" s="35"/>
    </row>
    <row r="273" spans="5:5" ht="15.75" customHeight="1" x14ac:dyDescent="0.2">
      <c r="E273" s="35"/>
    </row>
    <row r="274" spans="5:5" ht="15.75" customHeight="1" x14ac:dyDescent="0.2">
      <c r="E274" s="35"/>
    </row>
    <row r="275" spans="5:5" ht="15.75" customHeight="1" x14ac:dyDescent="0.2">
      <c r="E275" s="35"/>
    </row>
    <row r="276" spans="5:5" ht="15.75" customHeight="1" x14ac:dyDescent="0.2">
      <c r="E276" s="35"/>
    </row>
    <row r="277" spans="5:5" ht="15.75" customHeight="1" x14ac:dyDescent="0.2">
      <c r="E277" s="35"/>
    </row>
    <row r="278" spans="5:5" ht="15.75" customHeight="1" x14ac:dyDescent="0.2">
      <c r="E278" s="35"/>
    </row>
    <row r="279" spans="5:5" ht="15.75" customHeight="1" x14ac:dyDescent="0.2">
      <c r="E279" s="35"/>
    </row>
    <row r="280" spans="5:5" ht="15.75" customHeight="1" x14ac:dyDescent="0.2">
      <c r="E280" s="35"/>
    </row>
    <row r="281" spans="5:5" ht="15.75" customHeight="1" x14ac:dyDescent="0.2">
      <c r="E281" s="35"/>
    </row>
    <row r="282" spans="5:5" ht="15.75" customHeight="1" x14ac:dyDescent="0.2">
      <c r="E282" s="35"/>
    </row>
    <row r="283" spans="5:5" ht="15.75" customHeight="1" x14ac:dyDescent="0.2">
      <c r="E283" s="35"/>
    </row>
    <row r="284" spans="5:5" ht="15.75" customHeight="1" x14ac:dyDescent="0.2">
      <c r="E284" s="35"/>
    </row>
    <row r="285" spans="5:5" ht="15.75" customHeight="1" x14ac:dyDescent="0.2">
      <c r="E285" s="35"/>
    </row>
    <row r="286" spans="5:5" ht="15.75" customHeight="1" x14ac:dyDescent="0.2">
      <c r="E286" s="35"/>
    </row>
    <row r="287" spans="5:5" ht="15.75" customHeight="1" x14ac:dyDescent="0.2">
      <c r="E287" s="35"/>
    </row>
    <row r="288" spans="5:5" ht="15.75" customHeight="1" x14ac:dyDescent="0.2">
      <c r="E288" s="35"/>
    </row>
    <row r="289" spans="5:5" ht="15.75" customHeight="1" x14ac:dyDescent="0.2">
      <c r="E289" s="35"/>
    </row>
    <row r="290" spans="5:5" ht="15.75" customHeight="1" x14ac:dyDescent="0.2">
      <c r="E290" s="35"/>
    </row>
    <row r="291" spans="5:5" ht="15.75" customHeight="1" x14ac:dyDescent="0.2">
      <c r="E291" s="35"/>
    </row>
    <row r="292" spans="5:5" ht="15.75" customHeight="1" x14ac:dyDescent="0.2">
      <c r="E292" s="35"/>
    </row>
    <row r="293" spans="5:5" ht="15.75" customHeight="1" x14ac:dyDescent="0.2">
      <c r="E293" s="35"/>
    </row>
    <row r="294" spans="5:5" ht="15.75" customHeight="1" x14ac:dyDescent="0.2">
      <c r="E294" s="35"/>
    </row>
    <row r="295" spans="5:5" ht="15.75" customHeight="1" x14ac:dyDescent="0.2">
      <c r="E295" s="35"/>
    </row>
    <row r="296" spans="5:5" ht="15.75" customHeight="1" x14ac:dyDescent="0.2">
      <c r="E296" s="35"/>
    </row>
    <row r="297" spans="5:5" ht="15.75" customHeight="1" x14ac:dyDescent="0.2">
      <c r="E297" s="35"/>
    </row>
    <row r="298" spans="5:5" ht="15.75" customHeight="1" x14ac:dyDescent="0.2">
      <c r="E298" s="35"/>
    </row>
    <row r="299" spans="5:5" ht="15.75" customHeight="1" x14ac:dyDescent="0.2">
      <c r="E299" s="35"/>
    </row>
    <row r="300" spans="5:5" ht="15.75" customHeight="1" x14ac:dyDescent="0.2">
      <c r="E300" s="35"/>
    </row>
    <row r="301" spans="5:5" ht="15.75" customHeight="1" x14ac:dyDescent="0.2">
      <c r="E301" s="35"/>
    </row>
    <row r="302" spans="5:5" ht="15.75" customHeight="1" x14ac:dyDescent="0.2">
      <c r="E302" s="35"/>
    </row>
    <row r="303" spans="5:5" ht="15.75" customHeight="1" x14ac:dyDescent="0.2">
      <c r="E303" s="35"/>
    </row>
    <row r="304" spans="5:5" ht="15.75" customHeight="1" x14ac:dyDescent="0.2">
      <c r="E304" s="35"/>
    </row>
    <row r="305" spans="5:5" ht="15.75" customHeight="1" x14ac:dyDescent="0.2">
      <c r="E305" s="35"/>
    </row>
    <row r="306" spans="5:5" ht="15.75" customHeight="1" x14ac:dyDescent="0.2">
      <c r="E306" s="35"/>
    </row>
    <row r="307" spans="5:5" ht="15.75" customHeight="1" x14ac:dyDescent="0.2">
      <c r="E307" s="35"/>
    </row>
    <row r="308" spans="5:5" ht="15.75" customHeight="1" x14ac:dyDescent="0.2">
      <c r="E308" s="35"/>
    </row>
    <row r="309" spans="5:5" ht="15.75" customHeight="1" x14ac:dyDescent="0.2">
      <c r="E309" s="35"/>
    </row>
    <row r="310" spans="5:5" ht="15.75" customHeight="1" x14ac:dyDescent="0.2">
      <c r="E310" s="35"/>
    </row>
    <row r="311" spans="5:5" ht="15.75" customHeight="1" x14ac:dyDescent="0.2">
      <c r="E311" s="35"/>
    </row>
    <row r="312" spans="5:5" ht="15.75" customHeight="1" x14ac:dyDescent="0.2">
      <c r="E312" s="35"/>
    </row>
    <row r="313" spans="5:5" ht="15.75" customHeight="1" x14ac:dyDescent="0.2">
      <c r="E313" s="35"/>
    </row>
    <row r="314" spans="5:5" ht="15.75" customHeight="1" x14ac:dyDescent="0.2">
      <c r="E314" s="35"/>
    </row>
    <row r="315" spans="5:5" ht="15.75" customHeight="1" x14ac:dyDescent="0.2">
      <c r="E315" s="35"/>
    </row>
    <row r="316" spans="5:5" ht="15.75" customHeight="1" x14ac:dyDescent="0.2">
      <c r="E316" s="35"/>
    </row>
    <row r="317" spans="5:5" ht="15.75" customHeight="1" x14ac:dyDescent="0.2">
      <c r="E317" s="35"/>
    </row>
    <row r="318" spans="5:5" ht="15.75" customHeight="1" x14ac:dyDescent="0.2">
      <c r="E318" s="35"/>
    </row>
    <row r="319" spans="5:5" ht="15.75" customHeight="1" x14ac:dyDescent="0.2">
      <c r="E319" s="35"/>
    </row>
    <row r="320" spans="5:5" ht="15.75" customHeight="1" x14ac:dyDescent="0.2">
      <c r="E320" s="35"/>
    </row>
    <row r="321" spans="5:5" ht="15.75" customHeight="1" x14ac:dyDescent="0.2">
      <c r="E321" s="35"/>
    </row>
    <row r="322" spans="5:5" ht="15.75" customHeight="1" x14ac:dyDescent="0.2">
      <c r="E322" s="35"/>
    </row>
    <row r="323" spans="5:5" ht="15.75" customHeight="1" x14ac:dyDescent="0.2">
      <c r="E323" s="35"/>
    </row>
    <row r="324" spans="5:5" ht="15.75" customHeight="1" x14ac:dyDescent="0.2">
      <c r="E324" s="35"/>
    </row>
    <row r="325" spans="5:5" ht="15.75" customHeight="1" x14ac:dyDescent="0.2">
      <c r="E325" s="35"/>
    </row>
    <row r="326" spans="5:5" ht="15.75" customHeight="1" x14ac:dyDescent="0.2">
      <c r="E326" s="35"/>
    </row>
    <row r="327" spans="5:5" ht="15.75" customHeight="1" x14ac:dyDescent="0.2">
      <c r="E327" s="35"/>
    </row>
    <row r="328" spans="5:5" ht="15.75" customHeight="1" x14ac:dyDescent="0.2">
      <c r="E328" s="35"/>
    </row>
    <row r="329" spans="5:5" ht="15.75" customHeight="1" x14ac:dyDescent="0.2">
      <c r="E329" s="35"/>
    </row>
    <row r="330" spans="5:5" ht="15.75" customHeight="1" x14ac:dyDescent="0.2">
      <c r="E330" s="35"/>
    </row>
    <row r="331" spans="5:5" ht="15.75" customHeight="1" x14ac:dyDescent="0.2">
      <c r="E331" s="35"/>
    </row>
    <row r="332" spans="5:5" ht="15.75" customHeight="1" x14ac:dyDescent="0.2">
      <c r="E332" s="35"/>
    </row>
    <row r="333" spans="5:5" ht="15.75" customHeight="1" x14ac:dyDescent="0.2">
      <c r="E333" s="35"/>
    </row>
    <row r="334" spans="5:5" ht="15.75" customHeight="1" x14ac:dyDescent="0.2">
      <c r="E334" s="35"/>
    </row>
    <row r="335" spans="5:5" ht="15.75" customHeight="1" x14ac:dyDescent="0.2">
      <c r="E335" s="35"/>
    </row>
    <row r="336" spans="5:5" ht="15.75" customHeight="1" x14ac:dyDescent="0.2">
      <c r="E336" s="35"/>
    </row>
    <row r="337" spans="5:5" ht="15.75" customHeight="1" x14ac:dyDescent="0.2">
      <c r="E337" s="35"/>
    </row>
    <row r="338" spans="5:5" ht="15.75" customHeight="1" x14ac:dyDescent="0.2">
      <c r="E338" s="35"/>
    </row>
    <row r="339" spans="5:5" ht="15.75" customHeight="1" x14ac:dyDescent="0.2">
      <c r="E339" s="35"/>
    </row>
    <row r="340" spans="5:5" ht="15.75" customHeight="1" x14ac:dyDescent="0.2">
      <c r="E340" s="35"/>
    </row>
    <row r="341" spans="5:5" ht="15.75" customHeight="1" x14ac:dyDescent="0.2">
      <c r="E341" s="35"/>
    </row>
    <row r="342" spans="5:5" ht="15.75" customHeight="1" x14ac:dyDescent="0.2">
      <c r="E342" s="35"/>
    </row>
    <row r="343" spans="5:5" ht="15.75" customHeight="1" x14ac:dyDescent="0.2">
      <c r="E343" s="35"/>
    </row>
    <row r="344" spans="5:5" ht="15.75" customHeight="1" x14ac:dyDescent="0.2">
      <c r="E344" s="35"/>
    </row>
    <row r="345" spans="5:5" ht="15.75" customHeight="1" x14ac:dyDescent="0.2">
      <c r="E345" s="35"/>
    </row>
    <row r="346" spans="5:5" ht="15.75" customHeight="1" x14ac:dyDescent="0.2">
      <c r="E346" s="35"/>
    </row>
    <row r="347" spans="5:5" ht="15.75" customHeight="1" x14ac:dyDescent="0.2">
      <c r="E347" s="35"/>
    </row>
    <row r="348" spans="5:5" ht="15.75" customHeight="1" x14ac:dyDescent="0.2">
      <c r="E348" s="35"/>
    </row>
    <row r="349" spans="5:5" ht="15.75" customHeight="1" x14ac:dyDescent="0.2">
      <c r="E349" s="35"/>
    </row>
    <row r="350" spans="5:5" ht="15.75" customHeight="1" x14ac:dyDescent="0.2">
      <c r="E350" s="35"/>
    </row>
    <row r="351" spans="5:5" ht="15.75" customHeight="1" x14ac:dyDescent="0.2">
      <c r="E351" s="35"/>
    </row>
    <row r="352" spans="5:5" ht="15.75" customHeight="1" x14ac:dyDescent="0.2">
      <c r="E352" s="35"/>
    </row>
    <row r="353" spans="5:5" ht="15.75" customHeight="1" x14ac:dyDescent="0.2">
      <c r="E353" s="35"/>
    </row>
    <row r="354" spans="5:5" ht="15.75" customHeight="1" x14ac:dyDescent="0.2">
      <c r="E354" s="35"/>
    </row>
    <row r="355" spans="5:5" ht="15.75" customHeight="1" x14ac:dyDescent="0.2">
      <c r="E355" s="35"/>
    </row>
    <row r="356" spans="5:5" ht="15.75" customHeight="1" x14ac:dyDescent="0.2">
      <c r="E356" s="35"/>
    </row>
    <row r="357" spans="5:5" ht="15.75" customHeight="1" x14ac:dyDescent="0.2">
      <c r="E357" s="35"/>
    </row>
    <row r="358" spans="5:5" ht="15.75" customHeight="1" x14ac:dyDescent="0.2">
      <c r="E358" s="35"/>
    </row>
    <row r="359" spans="5:5" ht="15.75" customHeight="1" x14ac:dyDescent="0.2">
      <c r="E359" s="35"/>
    </row>
    <row r="360" spans="5:5" ht="15.75" customHeight="1" x14ac:dyDescent="0.2">
      <c r="E360" s="35"/>
    </row>
    <row r="361" spans="5:5" ht="15.75" customHeight="1" x14ac:dyDescent="0.2">
      <c r="E361" s="35"/>
    </row>
    <row r="362" spans="5:5" ht="15.75" customHeight="1" x14ac:dyDescent="0.2">
      <c r="E362" s="35"/>
    </row>
    <row r="363" spans="5:5" ht="15.75" customHeight="1" x14ac:dyDescent="0.2">
      <c r="E363" s="35"/>
    </row>
    <row r="364" spans="5:5" ht="15.75" customHeight="1" x14ac:dyDescent="0.2">
      <c r="E364" s="35"/>
    </row>
    <row r="365" spans="5:5" ht="15.75" customHeight="1" x14ac:dyDescent="0.2">
      <c r="E365" s="35"/>
    </row>
    <row r="366" spans="5:5" ht="15.75" customHeight="1" x14ac:dyDescent="0.2">
      <c r="E366" s="35"/>
    </row>
    <row r="367" spans="5:5" ht="15.75" customHeight="1" x14ac:dyDescent="0.2">
      <c r="E367" s="35"/>
    </row>
    <row r="368" spans="5:5" ht="15.75" customHeight="1" x14ac:dyDescent="0.2">
      <c r="E368" s="35"/>
    </row>
    <row r="369" spans="5:5" ht="15.75" customHeight="1" x14ac:dyDescent="0.2">
      <c r="E369" s="35"/>
    </row>
    <row r="370" spans="5:5" ht="15.75" customHeight="1" x14ac:dyDescent="0.2">
      <c r="E370" s="35"/>
    </row>
    <row r="371" spans="5:5" ht="15.75" customHeight="1" x14ac:dyDescent="0.2">
      <c r="E371" s="35"/>
    </row>
    <row r="372" spans="5:5" ht="15.75" customHeight="1" x14ac:dyDescent="0.2">
      <c r="E372" s="35"/>
    </row>
    <row r="373" spans="5:5" ht="15.75" customHeight="1" x14ac:dyDescent="0.2">
      <c r="E373" s="35"/>
    </row>
    <row r="374" spans="5:5" ht="15.75" customHeight="1" x14ac:dyDescent="0.2">
      <c r="E374" s="35"/>
    </row>
    <row r="375" spans="5:5" ht="15.75" customHeight="1" x14ac:dyDescent="0.2">
      <c r="E375" s="35"/>
    </row>
    <row r="376" spans="5:5" ht="15.75" customHeight="1" x14ac:dyDescent="0.2">
      <c r="E376" s="35"/>
    </row>
    <row r="377" spans="5:5" ht="15.75" customHeight="1" x14ac:dyDescent="0.2">
      <c r="E377" s="35"/>
    </row>
    <row r="378" spans="5:5" ht="15.75" customHeight="1" x14ac:dyDescent="0.2">
      <c r="E378" s="35"/>
    </row>
    <row r="379" spans="5:5" ht="15.75" customHeight="1" x14ac:dyDescent="0.2">
      <c r="E379" s="35"/>
    </row>
    <row r="380" spans="5:5" ht="15.75" customHeight="1" x14ac:dyDescent="0.2">
      <c r="E380" s="35"/>
    </row>
    <row r="381" spans="5:5" ht="15.75" customHeight="1" x14ac:dyDescent="0.2">
      <c r="E381" s="35"/>
    </row>
    <row r="382" spans="5:5" ht="15.75" customHeight="1" x14ac:dyDescent="0.2">
      <c r="E382" s="35"/>
    </row>
    <row r="383" spans="5:5" ht="15.75" customHeight="1" x14ac:dyDescent="0.2">
      <c r="E383" s="35"/>
    </row>
    <row r="384" spans="5:5" ht="15.75" customHeight="1" x14ac:dyDescent="0.2">
      <c r="E384" s="35"/>
    </row>
    <row r="385" spans="5:5" ht="15.75" customHeight="1" x14ac:dyDescent="0.2">
      <c r="E385" s="35"/>
    </row>
    <row r="386" spans="5:5" ht="15.75" customHeight="1" x14ac:dyDescent="0.2">
      <c r="E386" s="35"/>
    </row>
    <row r="387" spans="5:5" ht="15.75" customHeight="1" x14ac:dyDescent="0.2">
      <c r="E387" s="35"/>
    </row>
    <row r="388" spans="5:5" ht="15.75" customHeight="1" x14ac:dyDescent="0.2">
      <c r="E388" s="35"/>
    </row>
    <row r="389" spans="5:5" ht="15.75" customHeight="1" x14ac:dyDescent="0.2">
      <c r="E389" s="35"/>
    </row>
    <row r="390" spans="5:5" ht="15.75" customHeight="1" x14ac:dyDescent="0.2">
      <c r="E390" s="35"/>
    </row>
    <row r="391" spans="5:5" ht="15.75" customHeight="1" x14ac:dyDescent="0.2">
      <c r="E391" s="35"/>
    </row>
    <row r="392" spans="5:5" ht="15.75" customHeight="1" x14ac:dyDescent="0.2">
      <c r="E392" s="35"/>
    </row>
    <row r="393" spans="5:5" ht="15.75" customHeight="1" x14ac:dyDescent="0.2">
      <c r="E393" s="35"/>
    </row>
    <row r="394" spans="5:5" ht="15.75" customHeight="1" x14ac:dyDescent="0.2">
      <c r="E394" s="35"/>
    </row>
    <row r="395" spans="5:5" ht="15.75" customHeight="1" x14ac:dyDescent="0.2">
      <c r="E395" s="35"/>
    </row>
    <row r="396" spans="5:5" ht="15.75" customHeight="1" x14ac:dyDescent="0.2">
      <c r="E396" s="35"/>
    </row>
    <row r="397" spans="5:5" ht="15.75" customHeight="1" x14ac:dyDescent="0.2">
      <c r="E397" s="35"/>
    </row>
    <row r="398" spans="5:5" ht="15.75" customHeight="1" x14ac:dyDescent="0.2">
      <c r="E398" s="35"/>
    </row>
    <row r="399" spans="5:5" ht="15.75" customHeight="1" x14ac:dyDescent="0.2">
      <c r="E399" s="35"/>
    </row>
    <row r="400" spans="5:5" ht="15.75" customHeight="1" x14ac:dyDescent="0.2">
      <c r="E400" s="35"/>
    </row>
    <row r="401" spans="5:5" ht="15.75" customHeight="1" x14ac:dyDescent="0.2">
      <c r="E401" s="35"/>
    </row>
    <row r="402" spans="5:5" ht="15.75" customHeight="1" x14ac:dyDescent="0.2">
      <c r="E402" s="35"/>
    </row>
    <row r="403" spans="5:5" ht="15.75" customHeight="1" x14ac:dyDescent="0.2">
      <c r="E403" s="35"/>
    </row>
    <row r="404" spans="5:5" ht="15.75" customHeight="1" x14ac:dyDescent="0.2">
      <c r="E404" s="35"/>
    </row>
    <row r="405" spans="5:5" ht="15.75" customHeight="1" x14ac:dyDescent="0.2">
      <c r="E405" s="35"/>
    </row>
    <row r="406" spans="5:5" ht="15.75" customHeight="1" x14ac:dyDescent="0.2">
      <c r="E406" s="35"/>
    </row>
    <row r="407" spans="5:5" ht="15.75" customHeight="1" x14ac:dyDescent="0.2">
      <c r="E407" s="35"/>
    </row>
    <row r="408" spans="5:5" ht="15.75" customHeight="1" x14ac:dyDescent="0.2">
      <c r="E408" s="35"/>
    </row>
    <row r="409" spans="5:5" ht="15.75" customHeight="1" x14ac:dyDescent="0.2">
      <c r="E409" s="35"/>
    </row>
    <row r="410" spans="5:5" ht="15.75" customHeight="1" x14ac:dyDescent="0.2">
      <c r="E410" s="35"/>
    </row>
    <row r="411" spans="5:5" ht="15.75" customHeight="1" x14ac:dyDescent="0.2">
      <c r="E411" s="35"/>
    </row>
    <row r="412" spans="5:5" ht="15.75" customHeight="1" x14ac:dyDescent="0.2">
      <c r="E412" s="35"/>
    </row>
    <row r="413" spans="5:5" ht="15.75" customHeight="1" x14ac:dyDescent="0.2">
      <c r="E413" s="35"/>
    </row>
    <row r="414" spans="5:5" ht="15.75" customHeight="1" x14ac:dyDescent="0.2">
      <c r="E414" s="35"/>
    </row>
    <row r="415" spans="5:5" ht="15.75" customHeight="1" x14ac:dyDescent="0.2">
      <c r="E415" s="35"/>
    </row>
    <row r="416" spans="5:5" ht="15.75" customHeight="1" x14ac:dyDescent="0.2">
      <c r="E416" s="35"/>
    </row>
    <row r="417" spans="5:5" ht="15.75" customHeight="1" x14ac:dyDescent="0.2">
      <c r="E417" s="35"/>
    </row>
    <row r="418" spans="5:5" ht="15.75" customHeight="1" x14ac:dyDescent="0.2">
      <c r="E418" s="35"/>
    </row>
    <row r="419" spans="5:5" ht="15.75" customHeight="1" x14ac:dyDescent="0.2">
      <c r="E419" s="35"/>
    </row>
    <row r="420" spans="5:5" ht="15.75" customHeight="1" x14ac:dyDescent="0.2">
      <c r="E420" s="35"/>
    </row>
    <row r="421" spans="5:5" ht="15.75" customHeight="1" x14ac:dyDescent="0.2">
      <c r="E421" s="35"/>
    </row>
    <row r="422" spans="5:5" ht="15.75" customHeight="1" x14ac:dyDescent="0.2">
      <c r="E422" s="35"/>
    </row>
    <row r="423" spans="5:5" ht="15.75" customHeight="1" x14ac:dyDescent="0.2">
      <c r="E423" s="35"/>
    </row>
    <row r="424" spans="5:5" ht="15.75" customHeight="1" x14ac:dyDescent="0.2">
      <c r="E424" s="35"/>
    </row>
    <row r="425" spans="5:5" ht="15.75" customHeight="1" x14ac:dyDescent="0.2">
      <c r="E425" s="35"/>
    </row>
    <row r="426" spans="5:5" ht="15.75" customHeight="1" x14ac:dyDescent="0.2">
      <c r="E426" s="35"/>
    </row>
    <row r="427" spans="5:5" ht="15.75" customHeight="1" x14ac:dyDescent="0.2">
      <c r="E427" s="35"/>
    </row>
    <row r="428" spans="5:5" ht="15.75" customHeight="1" x14ac:dyDescent="0.2">
      <c r="E428" s="35"/>
    </row>
    <row r="429" spans="5:5" ht="15.75" customHeight="1" x14ac:dyDescent="0.2">
      <c r="E429" s="35"/>
    </row>
    <row r="430" spans="5:5" ht="15.75" customHeight="1" x14ac:dyDescent="0.2">
      <c r="E430" s="35"/>
    </row>
    <row r="431" spans="5:5" ht="15.75" customHeight="1" x14ac:dyDescent="0.2">
      <c r="E431" s="35"/>
    </row>
    <row r="432" spans="5:5" ht="15.75" customHeight="1" x14ac:dyDescent="0.2">
      <c r="E432" s="35"/>
    </row>
    <row r="433" spans="5:5" ht="15.75" customHeight="1" x14ac:dyDescent="0.2">
      <c r="E433" s="35"/>
    </row>
    <row r="434" spans="5:5" ht="15.75" customHeight="1" x14ac:dyDescent="0.2">
      <c r="E434" s="35"/>
    </row>
    <row r="435" spans="5:5" ht="15.75" customHeight="1" x14ac:dyDescent="0.2">
      <c r="E435" s="35"/>
    </row>
    <row r="436" spans="5:5" ht="15.75" customHeight="1" x14ac:dyDescent="0.2">
      <c r="E436" s="35"/>
    </row>
    <row r="437" spans="5:5" ht="15.75" customHeight="1" x14ac:dyDescent="0.2">
      <c r="E437" s="35"/>
    </row>
    <row r="438" spans="5:5" ht="15.75" customHeight="1" x14ac:dyDescent="0.2">
      <c r="E438" s="35"/>
    </row>
    <row r="439" spans="5:5" ht="15.75" customHeight="1" x14ac:dyDescent="0.2">
      <c r="E439" s="35"/>
    </row>
    <row r="440" spans="5:5" ht="15.75" customHeight="1" x14ac:dyDescent="0.2">
      <c r="E440" s="35"/>
    </row>
    <row r="441" spans="5:5" ht="15.75" customHeight="1" x14ac:dyDescent="0.2">
      <c r="E441" s="35"/>
    </row>
    <row r="442" spans="5:5" ht="15.75" customHeight="1" x14ac:dyDescent="0.2">
      <c r="E442" s="35"/>
    </row>
    <row r="443" spans="5:5" ht="15.75" customHeight="1" x14ac:dyDescent="0.2">
      <c r="E443" s="35"/>
    </row>
    <row r="444" spans="5:5" ht="15.75" customHeight="1" x14ac:dyDescent="0.2">
      <c r="E444" s="35"/>
    </row>
    <row r="445" spans="5:5" ht="15.75" customHeight="1" x14ac:dyDescent="0.2">
      <c r="E445" s="35"/>
    </row>
    <row r="446" spans="5:5" ht="15.75" customHeight="1" x14ac:dyDescent="0.2">
      <c r="E446" s="35"/>
    </row>
    <row r="447" spans="5:5" ht="15.75" customHeight="1" x14ac:dyDescent="0.2">
      <c r="E447" s="35"/>
    </row>
    <row r="448" spans="5:5" ht="15.75" customHeight="1" x14ac:dyDescent="0.2">
      <c r="E448" s="35"/>
    </row>
    <row r="449" spans="5:5" ht="15.75" customHeight="1" x14ac:dyDescent="0.2">
      <c r="E449" s="35"/>
    </row>
    <row r="450" spans="5:5" ht="15.75" customHeight="1" x14ac:dyDescent="0.2">
      <c r="E450" s="35"/>
    </row>
    <row r="451" spans="5:5" ht="15.75" customHeight="1" x14ac:dyDescent="0.2">
      <c r="E451" s="35"/>
    </row>
    <row r="452" spans="5:5" ht="15.75" customHeight="1" x14ac:dyDescent="0.2">
      <c r="E452" s="35"/>
    </row>
    <row r="453" spans="5:5" ht="15.75" customHeight="1" x14ac:dyDescent="0.2">
      <c r="E453" s="35"/>
    </row>
    <row r="454" spans="5:5" ht="15.75" customHeight="1" x14ac:dyDescent="0.2">
      <c r="E454" s="35"/>
    </row>
    <row r="455" spans="5:5" ht="15.75" customHeight="1" x14ac:dyDescent="0.2">
      <c r="E455" s="35"/>
    </row>
    <row r="456" spans="5:5" ht="15.75" customHeight="1" x14ac:dyDescent="0.2">
      <c r="E456" s="35"/>
    </row>
    <row r="457" spans="5:5" ht="15.75" customHeight="1" x14ac:dyDescent="0.2">
      <c r="E457" s="35"/>
    </row>
    <row r="458" spans="5:5" ht="15.75" customHeight="1" x14ac:dyDescent="0.2">
      <c r="E458" s="35"/>
    </row>
    <row r="459" spans="5:5" ht="15.75" customHeight="1" x14ac:dyDescent="0.2">
      <c r="E459" s="35"/>
    </row>
    <row r="460" spans="5:5" ht="15.75" customHeight="1" x14ac:dyDescent="0.2">
      <c r="E460" s="35"/>
    </row>
    <row r="461" spans="5:5" ht="15.75" customHeight="1" x14ac:dyDescent="0.2">
      <c r="E461" s="35"/>
    </row>
    <row r="462" spans="5:5" ht="15.75" customHeight="1" x14ac:dyDescent="0.2">
      <c r="E462" s="35"/>
    </row>
    <row r="463" spans="5:5" ht="15.75" customHeight="1" x14ac:dyDescent="0.2">
      <c r="E463" s="35"/>
    </row>
    <row r="464" spans="5:5" ht="15.75" customHeight="1" x14ac:dyDescent="0.2">
      <c r="E464" s="35"/>
    </row>
    <row r="465" spans="5:5" ht="15.75" customHeight="1" x14ac:dyDescent="0.2">
      <c r="E465" s="35"/>
    </row>
    <row r="466" spans="5:5" ht="15.75" customHeight="1" x14ac:dyDescent="0.2">
      <c r="E466" s="35"/>
    </row>
    <row r="467" spans="5:5" ht="15.75" customHeight="1" x14ac:dyDescent="0.2">
      <c r="E467" s="35"/>
    </row>
    <row r="468" spans="5:5" ht="15.75" customHeight="1" x14ac:dyDescent="0.2">
      <c r="E468" s="35"/>
    </row>
    <row r="469" spans="5:5" ht="15.75" customHeight="1" x14ac:dyDescent="0.2">
      <c r="E469" s="35"/>
    </row>
    <row r="470" spans="5:5" ht="15.75" customHeight="1" x14ac:dyDescent="0.2">
      <c r="E470" s="35"/>
    </row>
    <row r="471" spans="5:5" ht="15.75" customHeight="1" x14ac:dyDescent="0.2">
      <c r="E471" s="35"/>
    </row>
    <row r="472" spans="5:5" ht="15.75" customHeight="1" x14ac:dyDescent="0.2">
      <c r="E472" s="35"/>
    </row>
    <row r="473" spans="5:5" ht="15.75" customHeight="1" x14ac:dyDescent="0.2">
      <c r="E473" s="35"/>
    </row>
    <row r="474" spans="5:5" ht="15.75" customHeight="1" x14ac:dyDescent="0.2">
      <c r="E474" s="35"/>
    </row>
    <row r="475" spans="5:5" ht="15.75" customHeight="1" x14ac:dyDescent="0.2">
      <c r="E475" s="35"/>
    </row>
    <row r="476" spans="5:5" ht="15.75" customHeight="1" x14ac:dyDescent="0.2">
      <c r="E476" s="35"/>
    </row>
    <row r="477" spans="5:5" ht="15.75" customHeight="1" x14ac:dyDescent="0.2">
      <c r="E477" s="35"/>
    </row>
    <row r="478" spans="5:5" ht="15.75" customHeight="1" x14ac:dyDescent="0.2">
      <c r="E478" s="35"/>
    </row>
    <row r="479" spans="5:5" ht="15.75" customHeight="1" x14ac:dyDescent="0.2">
      <c r="E479" s="35"/>
    </row>
    <row r="480" spans="5:5" ht="15.75" customHeight="1" x14ac:dyDescent="0.2">
      <c r="E480" s="35"/>
    </row>
    <row r="481" spans="5:5" ht="15.75" customHeight="1" x14ac:dyDescent="0.2">
      <c r="E481" s="35"/>
    </row>
    <row r="482" spans="5:5" ht="15.75" customHeight="1" x14ac:dyDescent="0.2">
      <c r="E482" s="35"/>
    </row>
    <row r="483" spans="5:5" ht="15.75" customHeight="1" x14ac:dyDescent="0.2">
      <c r="E483" s="35"/>
    </row>
    <row r="484" spans="5:5" ht="15.75" customHeight="1" x14ac:dyDescent="0.2">
      <c r="E484" s="35"/>
    </row>
    <row r="485" spans="5:5" ht="15.75" customHeight="1" x14ac:dyDescent="0.2">
      <c r="E485" s="35"/>
    </row>
    <row r="486" spans="5:5" ht="15.75" customHeight="1" x14ac:dyDescent="0.2">
      <c r="E486" s="35"/>
    </row>
    <row r="487" spans="5:5" ht="15.75" customHeight="1" x14ac:dyDescent="0.2">
      <c r="E487" s="35"/>
    </row>
    <row r="488" spans="5:5" ht="15.75" customHeight="1" x14ac:dyDescent="0.2">
      <c r="E488" s="35"/>
    </row>
    <row r="489" spans="5:5" ht="15.75" customHeight="1" x14ac:dyDescent="0.2">
      <c r="E489" s="35"/>
    </row>
    <row r="490" spans="5:5" ht="15.75" customHeight="1" x14ac:dyDescent="0.2">
      <c r="E490" s="35"/>
    </row>
    <row r="491" spans="5:5" ht="15.75" customHeight="1" x14ac:dyDescent="0.2">
      <c r="E491" s="35"/>
    </row>
    <row r="492" spans="5:5" ht="15.75" customHeight="1" x14ac:dyDescent="0.2">
      <c r="E492" s="35"/>
    </row>
    <row r="493" spans="5:5" ht="15.75" customHeight="1" x14ac:dyDescent="0.2">
      <c r="E493" s="35"/>
    </row>
    <row r="494" spans="5:5" ht="15.75" customHeight="1" x14ac:dyDescent="0.2">
      <c r="E494" s="35"/>
    </row>
    <row r="495" spans="5:5" ht="15.75" customHeight="1" x14ac:dyDescent="0.2">
      <c r="E495" s="35"/>
    </row>
    <row r="496" spans="5:5" ht="15.75" customHeight="1" x14ac:dyDescent="0.2">
      <c r="E496" s="35"/>
    </row>
    <row r="497" spans="5:5" ht="15.75" customHeight="1" x14ac:dyDescent="0.2">
      <c r="E497" s="35"/>
    </row>
    <row r="498" spans="5:5" ht="15.75" customHeight="1" x14ac:dyDescent="0.2">
      <c r="E498" s="35"/>
    </row>
    <row r="499" spans="5:5" ht="15.75" customHeight="1" x14ac:dyDescent="0.2">
      <c r="E499" s="35"/>
    </row>
    <row r="500" spans="5:5" ht="15.75" customHeight="1" x14ac:dyDescent="0.2">
      <c r="E500" s="35"/>
    </row>
    <row r="501" spans="5:5" ht="15.75" customHeight="1" x14ac:dyDescent="0.2">
      <c r="E501" s="35"/>
    </row>
    <row r="502" spans="5:5" ht="15.75" customHeight="1" x14ac:dyDescent="0.2">
      <c r="E502" s="35"/>
    </row>
    <row r="503" spans="5:5" ht="15.75" customHeight="1" x14ac:dyDescent="0.2">
      <c r="E503" s="35"/>
    </row>
    <row r="504" spans="5:5" ht="15.75" customHeight="1" x14ac:dyDescent="0.2">
      <c r="E504" s="35"/>
    </row>
    <row r="505" spans="5:5" ht="15.75" customHeight="1" x14ac:dyDescent="0.2">
      <c r="E505" s="35"/>
    </row>
    <row r="506" spans="5:5" ht="15.75" customHeight="1" x14ac:dyDescent="0.2">
      <c r="E506" s="35"/>
    </row>
    <row r="507" spans="5:5" ht="15.75" customHeight="1" x14ac:dyDescent="0.2">
      <c r="E507" s="35"/>
    </row>
    <row r="508" spans="5:5" ht="15.75" customHeight="1" x14ac:dyDescent="0.2">
      <c r="E508" s="35"/>
    </row>
    <row r="509" spans="5:5" ht="15.75" customHeight="1" x14ac:dyDescent="0.2">
      <c r="E509" s="35"/>
    </row>
    <row r="510" spans="5:5" ht="15.75" customHeight="1" x14ac:dyDescent="0.2">
      <c r="E510" s="35"/>
    </row>
    <row r="511" spans="5:5" ht="15.75" customHeight="1" x14ac:dyDescent="0.2">
      <c r="E511" s="35"/>
    </row>
    <row r="512" spans="5:5" ht="15.75" customHeight="1" x14ac:dyDescent="0.2">
      <c r="E512" s="35"/>
    </row>
    <row r="513" spans="5:5" ht="15.75" customHeight="1" x14ac:dyDescent="0.2">
      <c r="E513" s="35"/>
    </row>
    <row r="514" spans="5:5" ht="15.75" customHeight="1" x14ac:dyDescent="0.2">
      <c r="E514" s="35"/>
    </row>
    <row r="515" spans="5:5" ht="15.75" customHeight="1" x14ac:dyDescent="0.2">
      <c r="E515" s="35"/>
    </row>
    <row r="516" spans="5:5" ht="15.75" customHeight="1" x14ac:dyDescent="0.2">
      <c r="E516" s="35"/>
    </row>
    <row r="517" spans="5:5" ht="15.75" customHeight="1" x14ac:dyDescent="0.2">
      <c r="E517" s="35"/>
    </row>
    <row r="518" spans="5:5" ht="15.75" customHeight="1" x14ac:dyDescent="0.2">
      <c r="E518" s="35"/>
    </row>
    <row r="519" spans="5:5" ht="15.75" customHeight="1" x14ac:dyDescent="0.2">
      <c r="E519" s="35"/>
    </row>
    <row r="520" spans="5:5" ht="15.75" customHeight="1" x14ac:dyDescent="0.2">
      <c r="E520" s="35"/>
    </row>
    <row r="521" spans="5:5" ht="15.75" customHeight="1" x14ac:dyDescent="0.2">
      <c r="E521" s="35"/>
    </row>
    <row r="522" spans="5:5" ht="15.75" customHeight="1" x14ac:dyDescent="0.2">
      <c r="E522" s="35"/>
    </row>
    <row r="523" spans="5:5" ht="15.75" customHeight="1" x14ac:dyDescent="0.2">
      <c r="E523" s="35"/>
    </row>
    <row r="524" spans="5:5" ht="15.75" customHeight="1" x14ac:dyDescent="0.2">
      <c r="E524" s="35"/>
    </row>
    <row r="525" spans="5:5" ht="15.75" customHeight="1" x14ac:dyDescent="0.2">
      <c r="E525" s="35"/>
    </row>
    <row r="526" spans="5:5" ht="15.75" customHeight="1" x14ac:dyDescent="0.2">
      <c r="E526" s="35"/>
    </row>
    <row r="527" spans="5:5" ht="15.75" customHeight="1" x14ac:dyDescent="0.2">
      <c r="E527" s="35"/>
    </row>
    <row r="528" spans="5:5" ht="15.75" customHeight="1" x14ac:dyDescent="0.2">
      <c r="E528" s="35"/>
    </row>
    <row r="529" spans="5:5" ht="15.75" customHeight="1" x14ac:dyDescent="0.2">
      <c r="E529" s="35"/>
    </row>
    <row r="530" spans="5:5" ht="15.75" customHeight="1" x14ac:dyDescent="0.2">
      <c r="E530" s="35"/>
    </row>
    <row r="531" spans="5:5" ht="15.75" customHeight="1" x14ac:dyDescent="0.2">
      <c r="E531" s="35"/>
    </row>
    <row r="532" spans="5:5" ht="15.75" customHeight="1" x14ac:dyDescent="0.2">
      <c r="E532" s="35"/>
    </row>
    <row r="533" spans="5:5" ht="15.75" customHeight="1" x14ac:dyDescent="0.2">
      <c r="E533" s="35"/>
    </row>
    <row r="534" spans="5:5" ht="15.75" customHeight="1" x14ac:dyDescent="0.2">
      <c r="E534" s="35"/>
    </row>
    <row r="535" spans="5:5" ht="15.75" customHeight="1" x14ac:dyDescent="0.2">
      <c r="E535" s="35"/>
    </row>
    <row r="536" spans="5:5" ht="15.75" customHeight="1" x14ac:dyDescent="0.2">
      <c r="E536" s="35"/>
    </row>
    <row r="537" spans="5:5" ht="15.75" customHeight="1" x14ac:dyDescent="0.2">
      <c r="E537" s="35"/>
    </row>
    <row r="538" spans="5:5" ht="15.75" customHeight="1" x14ac:dyDescent="0.2">
      <c r="E538" s="35"/>
    </row>
    <row r="539" spans="5:5" ht="15.75" customHeight="1" x14ac:dyDescent="0.2">
      <c r="E539" s="35"/>
    </row>
    <row r="540" spans="5:5" ht="15.75" customHeight="1" x14ac:dyDescent="0.2">
      <c r="E540" s="35"/>
    </row>
    <row r="541" spans="5:5" ht="15.75" customHeight="1" x14ac:dyDescent="0.2">
      <c r="E541" s="35"/>
    </row>
    <row r="542" spans="5:5" ht="15.75" customHeight="1" x14ac:dyDescent="0.2">
      <c r="E542" s="35"/>
    </row>
    <row r="543" spans="5:5" ht="15.75" customHeight="1" x14ac:dyDescent="0.2">
      <c r="E543" s="35"/>
    </row>
    <row r="544" spans="5:5" ht="15.75" customHeight="1" x14ac:dyDescent="0.2">
      <c r="E544" s="35"/>
    </row>
    <row r="545" spans="5:5" ht="15.75" customHeight="1" x14ac:dyDescent="0.2">
      <c r="E545" s="35"/>
    </row>
    <row r="546" spans="5:5" ht="15.75" customHeight="1" x14ac:dyDescent="0.2">
      <c r="E546" s="35"/>
    </row>
    <row r="547" spans="5:5" ht="15.75" customHeight="1" x14ac:dyDescent="0.2">
      <c r="E547" s="35"/>
    </row>
    <row r="548" spans="5:5" ht="15.75" customHeight="1" x14ac:dyDescent="0.2">
      <c r="E548" s="35"/>
    </row>
    <row r="549" spans="5:5" ht="15.75" customHeight="1" x14ac:dyDescent="0.2">
      <c r="E549" s="35"/>
    </row>
    <row r="550" spans="5:5" ht="15.75" customHeight="1" x14ac:dyDescent="0.2">
      <c r="E550" s="35"/>
    </row>
    <row r="551" spans="5:5" ht="15.75" customHeight="1" x14ac:dyDescent="0.2">
      <c r="E551" s="35"/>
    </row>
    <row r="552" spans="5:5" ht="15.75" customHeight="1" x14ac:dyDescent="0.2">
      <c r="E552" s="35"/>
    </row>
    <row r="553" spans="5:5" ht="15.75" customHeight="1" x14ac:dyDescent="0.2">
      <c r="E553" s="35"/>
    </row>
    <row r="554" spans="5:5" ht="15.75" customHeight="1" x14ac:dyDescent="0.2">
      <c r="E554" s="35"/>
    </row>
    <row r="555" spans="5:5" ht="15.75" customHeight="1" x14ac:dyDescent="0.2">
      <c r="E555" s="35"/>
    </row>
    <row r="556" spans="5:5" ht="15.75" customHeight="1" x14ac:dyDescent="0.2">
      <c r="E556" s="35"/>
    </row>
    <row r="557" spans="5:5" ht="15.75" customHeight="1" x14ac:dyDescent="0.2">
      <c r="E557" s="35"/>
    </row>
    <row r="558" spans="5:5" ht="15.75" customHeight="1" x14ac:dyDescent="0.2">
      <c r="E558" s="35"/>
    </row>
    <row r="559" spans="5:5" ht="15.75" customHeight="1" x14ac:dyDescent="0.2">
      <c r="E559" s="35"/>
    </row>
    <row r="560" spans="5:5" ht="15.75" customHeight="1" x14ac:dyDescent="0.2">
      <c r="E560" s="35"/>
    </row>
    <row r="561" spans="5:5" ht="15.75" customHeight="1" x14ac:dyDescent="0.2">
      <c r="E561" s="35"/>
    </row>
    <row r="562" spans="5:5" ht="15.75" customHeight="1" x14ac:dyDescent="0.2">
      <c r="E562" s="35"/>
    </row>
    <row r="563" spans="5:5" ht="15.75" customHeight="1" x14ac:dyDescent="0.2">
      <c r="E563" s="35"/>
    </row>
    <row r="564" spans="5:5" ht="15.75" customHeight="1" x14ac:dyDescent="0.2">
      <c r="E564" s="35"/>
    </row>
    <row r="565" spans="5:5" ht="15.75" customHeight="1" x14ac:dyDescent="0.2">
      <c r="E565" s="35"/>
    </row>
    <row r="566" spans="5:5" ht="15.75" customHeight="1" x14ac:dyDescent="0.2">
      <c r="E566" s="35"/>
    </row>
    <row r="567" spans="5:5" ht="15.75" customHeight="1" x14ac:dyDescent="0.2">
      <c r="E567" s="35"/>
    </row>
    <row r="568" spans="5:5" ht="15.75" customHeight="1" x14ac:dyDescent="0.2">
      <c r="E568" s="35"/>
    </row>
    <row r="569" spans="5:5" ht="15.75" customHeight="1" x14ac:dyDescent="0.2">
      <c r="E569" s="35"/>
    </row>
    <row r="570" spans="5:5" ht="15.75" customHeight="1" x14ac:dyDescent="0.2">
      <c r="E570" s="35"/>
    </row>
    <row r="571" spans="5:5" ht="15.75" customHeight="1" x14ac:dyDescent="0.2">
      <c r="E571" s="35"/>
    </row>
    <row r="572" spans="5:5" ht="15.75" customHeight="1" x14ac:dyDescent="0.2">
      <c r="E572" s="35"/>
    </row>
    <row r="573" spans="5:5" ht="15.75" customHeight="1" x14ac:dyDescent="0.2">
      <c r="E573" s="35"/>
    </row>
    <row r="574" spans="5:5" ht="15.75" customHeight="1" x14ac:dyDescent="0.2">
      <c r="E574" s="35"/>
    </row>
    <row r="575" spans="5:5" ht="15.75" customHeight="1" x14ac:dyDescent="0.2">
      <c r="E575" s="35"/>
    </row>
    <row r="576" spans="5:5" ht="15.75" customHeight="1" x14ac:dyDescent="0.2">
      <c r="E576" s="35"/>
    </row>
    <row r="577" spans="5:5" ht="15.75" customHeight="1" x14ac:dyDescent="0.2">
      <c r="E577" s="35"/>
    </row>
    <row r="578" spans="5:5" ht="15.75" customHeight="1" x14ac:dyDescent="0.2">
      <c r="E578" s="35"/>
    </row>
    <row r="579" spans="5:5" ht="15.75" customHeight="1" x14ac:dyDescent="0.2">
      <c r="E579" s="35"/>
    </row>
    <row r="580" spans="5:5" ht="15.75" customHeight="1" x14ac:dyDescent="0.2">
      <c r="E580" s="35"/>
    </row>
    <row r="581" spans="5:5" ht="15.75" customHeight="1" x14ac:dyDescent="0.2">
      <c r="E581" s="35"/>
    </row>
    <row r="582" spans="5:5" ht="15.75" customHeight="1" x14ac:dyDescent="0.2">
      <c r="E582" s="35"/>
    </row>
    <row r="583" spans="5:5" ht="15.75" customHeight="1" x14ac:dyDescent="0.2">
      <c r="E583" s="35"/>
    </row>
    <row r="584" spans="5:5" ht="15.75" customHeight="1" x14ac:dyDescent="0.2">
      <c r="E584" s="35"/>
    </row>
    <row r="585" spans="5:5" ht="15.75" customHeight="1" x14ac:dyDescent="0.2">
      <c r="E585" s="35"/>
    </row>
    <row r="586" spans="5:5" ht="15.75" customHeight="1" x14ac:dyDescent="0.2">
      <c r="E586" s="35"/>
    </row>
    <row r="587" spans="5:5" ht="15.75" customHeight="1" x14ac:dyDescent="0.2">
      <c r="E587" s="35"/>
    </row>
    <row r="588" spans="5:5" ht="15.75" customHeight="1" x14ac:dyDescent="0.2">
      <c r="E588" s="35"/>
    </row>
    <row r="589" spans="5:5" ht="15.75" customHeight="1" x14ac:dyDescent="0.2">
      <c r="E589" s="35"/>
    </row>
    <row r="590" spans="5:5" ht="15.75" customHeight="1" x14ac:dyDescent="0.2">
      <c r="E590" s="35"/>
    </row>
    <row r="591" spans="5:5" ht="15.75" customHeight="1" x14ac:dyDescent="0.2">
      <c r="E591" s="35"/>
    </row>
    <row r="592" spans="5:5" ht="15.75" customHeight="1" x14ac:dyDescent="0.2">
      <c r="E592" s="35"/>
    </row>
    <row r="593" spans="5:5" ht="15.75" customHeight="1" x14ac:dyDescent="0.2">
      <c r="E593" s="35"/>
    </row>
    <row r="594" spans="5:5" ht="15.75" customHeight="1" x14ac:dyDescent="0.2">
      <c r="E594" s="35"/>
    </row>
    <row r="595" spans="5:5" ht="15.75" customHeight="1" x14ac:dyDescent="0.2">
      <c r="E595" s="35"/>
    </row>
    <row r="596" spans="5:5" ht="15.75" customHeight="1" x14ac:dyDescent="0.2">
      <c r="E596" s="35"/>
    </row>
    <row r="597" spans="5:5" ht="15.75" customHeight="1" x14ac:dyDescent="0.2">
      <c r="E597" s="35"/>
    </row>
    <row r="598" spans="5:5" ht="15.75" customHeight="1" x14ac:dyDescent="0.2">
      <c r="E598" s="35"/>
    </row>
    <row r="599" spans="5:5" ht="15.75" customHeight="1" x14ac:dyDescent="0.2">
      <c r="E599" s="35"/>
    </row>
    <row r="600" spans="5:5" ht="15.75" customHeight="1" x14ac:dyDescent="0.2">
      <c r="E600" s="35"/>
    </row>
    <row r="601" spans="5:5" ht="15.75" customHeight="1" x14ac:dyDescent="0.2">
      <c r="E601" s="35"/>
    </row>
    <row r="602" spans="5:5" ht="15.75" customHeight="1" x14ac:dyDescent="0.2">
      <c r="E602" s="35"/>
    </row>
    <row r="603" spans="5:5" ht="15.75" customHeight="1" x14ac:dyDescent="0.2">
      <c r="E603" s="35"/>
    </row>
    <row r="604" spans="5:5" ht="15.75" customHeight="1" x14ac:dyDescent="0.2">
      <c r="E604" s="35"/>
    </row>
    <row r="605" spans="5:5" ht="15.75" customHeight="1" x14ac:dyDescent="0.2">
      <c r="E605" s="35"/>
    </row>
    <row r="606" spans="5:5" ht="15.75" customHeight="1" x14ac:dyDescent="0.2">
      <c r="E606" s="35"/>
    </row>
    <row r="607" spans="5:5" ht="15.75" customHeight="1" x14ac:dyDescent="0.2">
      <c r="E607" s="35"/>
    </row>
    <row r="608" spans="5:5" ht="15.75" customHeight="1" x14ac:dyDescent="0.2">
      <c r="E608" s="35"/>
    </row>
    <row r="609" spans="5:5" ht="15.75" customHeight="1" x14ac:dyDescent="0.2">
      <c r="E609" s="35"/>
    </row>
    <row r="610" spans="5:5" ht="15.75" customHeight="1" x14ac:dyDescent="0.2">
      <c r="E610" s="35"/>
    </row>
    <row r="611" spans="5:5" ht="15.75" customHeight="1" x14ac:dyDescent="0.2">
      <c r="E611" s="35"/>
    </row>
    <row r="612" spans="5:5" ht="15.75" customHeight="1" x14ac:dyDescent="0.2">
      <c r="E612" s="35"/>
    </row>
    <row r="613" spans="5:5" ht="15.75" customHeight="1" x14ac:dyDescent="0.2">
      <c r="E613" s="35"/>
    </row>
    <row r="614" spans="5:5" ht="15.75" customHeight="1" x14ac:dyDescent="0.2">
      <c r="E614" s="35"/>
    </row>
    <row r="615" spans="5:5" ht="15.75" customHeight="1" x14ac:dyDescent="0.2">
      <c r="E615" s="35"/>
    </row>
    <row r="616" spans="5:5" ht="15.75" customHeight="1" x14ac:dyDescent="0.2">
      <c r="E616" s="35"/>
    </row>
    <row r="617" spans="5:5" ht="15.75" customHeight="1" x14ac:dyDescent="0.2">
      <c r="E617" s="35"/>
    </row>
    <row r="618" spans="5:5" ht="15.75" customHeight="1" x14ac:dyDescent="0.2">
      <c r="E618" s="35"/>
    </row>
    <row r="619" spans="5:5" ht="15.75" customHeight="1" x14ac:dyDescent="0.2">
      <c r="E619" s="35"/>
    </row>
    <row r="620" spans="5:5" ht="15.75" customHeight="1" x14ac:dyDescent="0.2">
      <c r="E620" s="35"/>
    </row>
    <row r="621" spans="5:5" ht="15.75" customHeight="1" x14ac:dyDescent="0.2">
      <c r="E621" s="35"/>
    </row>
    <row r="622" spans="5:5" ht="15.75" customHeight="1" x14ac:dyDescent="0.2">
      <c r="E622" s="35"/>
    </row>
    <row r="623" spans="5:5" ht="15.75" customHeight="1" x14ac:dyDescent="0.2">
      <c r="E623" s="35"/>
    </row>
    <row r="624" spans="5:5" ht="15.75" customHeight="1" x14ac:dyDescent="0.2">
      <c r="E624" s="35"/>
    </row>
    <row r="625" spans="5:5" ht="15.75" customHeight="1" x14ac:dyDescent="0.2">
      <c r="E625" s="35"/>
    </row>
    <row r="626" spans="5:5" ht="15.75" customHeight="1" x14ac:dyDescent="0.2">
      <c r="E626" s="35"/>
    </row>
    <row r="627" spans="5:5" ht="15.75" customHeight="1" x14ac:dyDescent="0.2">
      <c r="E627" s="35"/>
    </row>
    <row r="628" spans="5:5" ht="15.75" customHeight="1" x14ac:dyDescent="0.2">
      <c r="E628" s="35"/>
    </row>
    <row r="629" spans="5:5" ht="15.75" customHeight="1" x14ac:dyDescent="0.2">
      <c r="E629" s="35"/>
    </row>
    <row r="630" spans="5:5" ht="15.75" customHeight="1" x14ac:dyDescent="0.2">
      <c r="E630" s="35"/>
    </row>
    <row r="631" spans="5:5" ht="15.75" customHeight="1" x14ac:dyDescent="0.2">
      <c r="E631" s="35"/>
    </row>
    <row r="632" spans="5:5" ht="15.75" customHeight="1" x14ac:dyDescent="0.2">
      <c r="E632" s="35"/>
    </row>
    <row r="633" spans="5:5" ht="15.75" customHeight="1" x14ac:dyDescent="0.2">
      <c r="E633" s="35"/>
    </row>
    <row r="634" spans="5:5" ht="15.75" customHeight="1" x14ac:dyDescent="0.2">
      <c r="E634" s="35"/>
    </row>
    <row r="635" spans="5:5" ht="15.75" customHeight="1" x14ac:dyDescent="0.2">
      <c r="E635" s="35"/>
    </row>
    <row r="636" spans="5:5" ht="15.75" customHeight="1" x14ac:dyDescent="0.2">
      <c r="E636" s="35"/>
    </row>
    <row r="637" spans="5:5" ht="15.75" customHeight="1" x14ac:dyDescent="0.2">
      <c r="E637" s="35"/>
    </row>
    <row r="638" spans="5:5" ht="15.75" customHeight="1" x14ac:dyDescent="0.2">
      <c r="E638" s="35"/>
    </row>
    <row r="639" spans="5:5" ht="15.75" customHeight="1" x14ac:dyDescent="0.2">
      <c r="E639" s="35"/>
    </row>
    <row r="640" spans="5:5" ht="15.75" customHeight="1" x14ac:dyDescent="0.2">
      <c r="E640" s="35"/>
    </row>
    <row r="641" spans="5:5" ht="15.75" customHeight="1" x14ac:dyDescent="0.2">
      <c r="E641" s="35"/>
    </row>
    <row r="642" spans="5:5" ht="15.75" customHeight="1" x14ac:dyDescent="0.2">
      <c r="E642" s="35"/>
    </row>
    <row r="643" spans="5:5" ht="15.75" customHeight="1" x14ac:dyDescent="0.2">
      <c r="E643" s="35"/>
    </row>
    <row r="644" spans="5:5" ht="15.75" customHeight="1" x14ac:dyDescent="0.2">
      <c r="E644" s="35"/>
    </row>
    <row r="645" spans="5:5" ht="15.75" customHeight="1" x14ac:dyDescent="0.2">
      <c r="E645" s="35"/>
    </row>
    <row r="646" spans="5:5" ht="15.75" customHeight="1" x14ac:dyDescent="0.2">
      <c r="E646" s="35"/>
    </row>
    <row r="647" spans="5:5" ht="15.75" customHeight="1" x14ac:dyDescent="0.2">
      <c r="E647" s="35"/>
    </row>
    <row r="648" spans="5:5" ht="15.75" customHeight="1" x14ac:dyDescent="0.2">
      <c r="E648" s="35"/>
    </row>
    <row r="649" spans="5:5" ht="15.75" customHeight="1" x14ac:dyDescent="0.2">
      <c r="E649" s="35"/>
    </row>
    <row r="650" spans="5:5" ht="15.75" customHeight="1" x14ac:dyDescent="0.2">
      <c r="E650" s="35"/>
    </row>
    <row r="651" spans="5:5" ht="15.75" customHeight="1" x14ac:dyDescent="0.2">
      <c r="E651" s="35"/>
    </row>
    <row r="652" spans="5:5" ht="15.75" customHeight="1" x14ac:dyDescent="0.2">
      <c r="E652" s="35"/>
    </row>
    <row r="653" spans="5:5" ht="15.75" customHeight="1" x14ac:dyDescent="0.2">
      <c r="E653" s="35"/>
    </row>
    <row r="654" spans="5:5" ht="15.75" customHeight="1" x14ac:dyDescent="0.2">
      <c r="E654" s="35"/>
    </row>
    <row r="655" spans="5:5" ht="15.75" customHeight="1" x14ac:dyDescent="0.2">
      <c r="E655" s="35"/>
    </row>
    <row r="656" spans="5:5" ht="15.75" customHeight="1" x14ac:dyDescent="0.2">
      <c r="E656" s="35"/>
    </row>
    <row r="657" spans="5:5" ht="15.75" customHeight="1" x14ac:dyDescent="0.2">
      <c r="E657" s="35"/>
    </row>
    <row r="658" spans="5:5" ht="15.75" customHeight="1" x14ac:dyDescent="0.2">
      <c r="E658" s="35"/>
    </row>
    <row r="659" spans="5:5" ht="15.75" customHeight="1" x14ac:dyDescent="0.2">
      <c r="E659" s="35"/>
    </row>
    <row r="660" spans="5:5" ht="15.75" customHeight="1" x14ac:dyDescent="0.2">
      <c r="E660" s="35"/>
    </row>
    <row r="661" spans="5:5" ht="15.75" customHeight="1" x14ac:dyDescent="0.2">
      <c r="E661" s="35"/>
    </row>
    <row r="662" spans="5:5" ht="15.75" customHeight="1" x14ac:dyDescent="0.2">
      <c r="E662" s="35"/>
    </row>
    <row r="663" spans="5:5" ht="15.75" customHeight="1" x14ac:dyDescent="0.2">
      <c r="E663" s="35"/>
    </row>
    <row r="664" spans="5:5" ht="15.75" customHeight="1" x14ac:dyDescent="0.2">
      <c r="E664" s="35"/>
    </row>
    <row r="665" spans="5:5" ht="15.75" customHeight="1" x14ac:dyDescent="0.2">
      <c r="E665" s="35"/>
    </row>
    <row r="666" spans="5:5" ht="15.75" customHeight="1" x14ac:dyDescent="0.2">
      <c r="E666" s="35"/>
    </row>
    <row r="667" spans="5:5" ht="15.75" customHeight="1" x14ac:dyDescent="0.2">
      <c r="E667" s="35"/>
    </row>
    <row r="668" spans="5:5" ht="15.75" customHeight="1" x14ac:dyDescent="0.2">
      <c r="E668" s="35"/>
    </row>
    <row r="669" spans="5:5" ht="15.75" customHeight="1" x14ac:dyDescent="0.2">
      <c r="E669" s="35"/>
    </row>
    <row r="670" spans="5:5" ht="15.75" customHeight="1" x14ac:dyDescent="0.2">
      <c r="E670" s="35"/>
    </row>
    <row r="671" spans="5:5" ht="15.75" customHeight="1" x14ac:dyDescent="0.2">
      <c r="E671" s="35"/>
    </row>
    <row r="672" spans="5:5" ht="15.75" customHeight="1" x14ac:dyDescent="0.2">
      <c r="E672" s="35"/>
    </row>
    <row r="673" spans="5:5" ht="15.75" customHeight="1" x14ac:dyDescent="0.2">
      <c r="E673" s="35"/>
    </row>
    <row r="674" spans="5:5" ht="15.75" customHeight="1" x14ac:dyDescent="0.2">
      <c r="E674" s="35"/>
    </row>
    <row r="675" spans="5:5" ht="15.75" customHeight="1" x14ac:dyDescent="0.2">
      <c r="E675" s="35"/>
    </row>
    <row r="676" spans="5:5" ht="15.75" customHeight="1" x14ac:dyDescent="0.2">
      <c r="E676" s="35"/>
    </row>
    <row r="677" spans="5:5" ht="15.75" customHeight="1" x14ac:dyDescent="0.2">
      <c r="E677" s="35"/>
    </row>
    <row r="678" spans="5:5" ht="15.75" customHeight="1" x14ac:dyDescent="0.2">
      <c r="E678" s="35"/>
    </row>
    <row r="679" spans="5:5" ht="15.75" customHeight="1" x14ac:dyDescent="0.2">
      <c r="E679" s="35"/>
    </row>
    <row r="680" spans="5:5" ht="15.75" customHeight="1" x14ac:dyDescent="0.2">
      <c r="E680" s="35"/>
    </row>
    <row r="681" spans="5:5" ht="15.75" customHeight="1" x14ac:dyDescent="0.2">
      <c r="E681" s="35"/>
    </row>
    <row r="682" spans="5:5" ht="15.75" customHeight="1" x14ac:dyDescent="0.2">
      <c r="E682" s="35"/>
    </row>
    <row r="683" spans="5:5" ht="15.75" customHeight="1" x14ac:dyDescent="0.2">
      <c r="E683" s="35"/>
    </row>
    <row r="684" spans="5:5" ht="15.75" customHeight="1" x14ac:dyDescent="0.2">
      <c r="E684" s="35"/>
    </row>
    <row r="685" spans="5:5" ht="15.75" customHeight="1" x14ac:dyDescent="0.2">
      <c r="E685" s="35"/>
    </row>
    <row r="686" spans="5:5" ht="15.75" customHeight="1" x14ac:dyDescent="0.2">
      <c r="E686" s="35"/>
    </row>
    <row r="687" spans="5:5" ht="15.75" customHeight="1" x14ac:dyDescent="0.2">
      <c r="E687" s="35"/>
    </row>
    <row r="688" spans="5:5" ht="15.75" customHeight="1" x14ac:dyDescent="0.2">
      <c r="E688" s="35"/>
    </row>
    <row r="689" spans="5:5" ht="15.75" customHeight="1" x14ac:dyDescent="0.2">
      <c r="E689" s="35"/>
    </row>
    <row r="690" spans="5:5" ht="15.75" customHeight="1" x14ac:dyDescent="0.2">
      <c r="E690" s="35"/>
    </row>
    <row r="691" spans="5:5" ht="15.75" customHeight="1" x14ac:dyDescent="0.2">
      <c r="E691" s="35"/>
    </row>
    <row r="692" spans="5:5" ht="15.75" customHeight="1" x14ac:dyDescent="0.2">
      <c r="E692" s="35"/>
    </row>
    <row r="693" spans="5:5" ht="15.75" customHeight="1" x14ac:dyDescent="0.2">
      <c r="E693" s="35"/>
    </row>
    <row r="694" spans="5:5" ht="15.75" customHeight="1" x14ac:dyDescent="0.2">
      <c r="E694" s="35"/>
    </row>
    <row r="695" spans="5:5" ht="15.75" customHeight="1" x14ac:dyDescent="0.2">
      <c r="E695" s="35"/>
    </row>
    <row r="696" spans="5:5" ht="15.75" customHeight="1" x14ac:dyDescent="0.2">
      <c r="E696" s="35"/>
    </row>
    <row r="697" spans="5:5" ht="15.75" customHeight="1" x14ac:dyDescent="0.2">
      <c r="E697" s="35"/>
    </row>
    <row r="698" spans="5:5" ht="15.75" customHeight="1" x14ac:dyDescent="0.2">
      <c r="E698" s="35"/>
    </row>
    <row r="699" spans="5:5" ht="15.75" customHeight="1" x14ac:dyDescent="0.2">
      <c r="E699" s="35"/>
    </row>
    <row r="700" spans="5:5" ht="15.75" customHeight="1" x14ac:dyDescent="0.2">
      <c r="E700" s="35"/>
    </row>
    <row r="701" spans="5:5" ht="15.75" customHeight="1" x14ac:dyDescent="0.2">
      <c r="E701" s="35"/>
    </row>
    <row r="702" spans="5:5" ht="15.75" customHeight="1" x14ac:dyDescent="0.2">
      <c r="E702" s="35"/>
    </row>
    <row r="703" spans="5:5" ht="15.75" customHeight="1" x14ac:dyDescent="0.2">
      <c r="E703" s="35"/>
    </row>
    <row r="704" spans="5:5" ht="15.75" customHeight="1" x14ac:dyDescent="0.2">
      <c r="E704" s="35"/>
    </row>
    <row r="705" spans="5:5" ht="15.75" customHeight="1" x14ac:dyDescent="0.2">
      <c r="E705" s="35"/>
    </row>
    <row r="706" spans="5:5" ht="15.75" customHeight="1" x14ac:dyDescent="0.2">
      <c r="E706" s="35"/>
    </row>
    <row r="707" spans="5:5" ht="15.75" customHeight="1" x14ac:dyDescent="0.2">
      <c r="E707" s="35"/>
    </row>
    <row r="708" spans="5:5" ht="15.75" customHeight="1" x14ac:dyDescent="0.2">
      <c r="E708" s="35"/>
    </row>
    <row r="709" spans="5:5" ht="15.75" customHeight="1" x14ac:dyDescent="0.2">
      <c r="E709" s="35"/>
    </row>
    <row r="710" spans="5:5" ht="15.75" customHeight="1" x14ac:dyDescent="0.2">
      <c r="E710" s="35"/>
    </row>
    <row r="711" spans="5:5" ht="15.75" customHeight="1" x14ac:dyDescent="0.2">
      <c r="E711" s="35"/>
    </row>
    <row r="712" spans="5:5" ht="15.75" customHeight="1" x14ac:dyDescent="0.2">
      <c r="E712" s="35"/>
    </row>
    <row r="713" spans="5:5" ht="15.75" customHeight="1" x14ac:dyDescent="0.2">
      <c r="E713" s="35"/>
    </row>
    <row r="714" spans="5:5" ht="15.75" customHeight="1" x14ac:dyDescent="0.2">
      <c r="E714" s="35"/>
    </row>
    <row r="715" spans="5:5" ht="15.75" customHeight="1" x14ac:dyDescent="0.2">
      <c r="E715" s="35"/>
    </row>
    <row r="716" spans="5:5" ht="15.75" customHeight="1" x14ac:dyDescent="0.2">
      <c r="E716" s="35"/>
    </row>
    <row r="717" spans="5:5" ht="15.75" customHeight="1" x14ac:dyDescent="0.2">
      <c r="E717" s="35"/>
    </row>
    <row r="718" spans="5:5" ht="15.75" customHeight="1" x14ac:dyDescent="0.2">
      <c r="E718" s="35"/>
    </row>
    <row r="719" spans="5:5" ht="15.75" customHeight="1" x14ac:dyDescent="0.2">
      <c r="E719" s="35"/>
    </row>
    <row r="720" spans="5:5" ht="15.75" customHeight="1" x14ac:dyDescent="0.2">
      <c r="E720" s="35"/>
    </row>
    <row r="721" spans="5:5" ht="15.75" customHeight="1" x14ac:dyDescent="0.2">
      <c r="E721" s="35"/>
    </row>
    <row r="722" spans="5:5" ht="15.75" customHeight="1" x14ac:dyDescent="0.2">
      <c r="E722" s="35"/>
    </row>
    <row r="723" spans="5:5" ht="15.75" customHeight="1" x14ac:dyDescent="0.2">
      <c r="E723" s="35"/>
    </row>
    <row r="724" spans="5:5" ht="15.75" customHeight="1" x14ac:dyDescent="0.2">
      <c r="E724" s="35"/>
    </row>
    <row r="725" spans="5:5" ht="15.75" customHeight="1" x14ac:dyDescent="0.2">
      <c r="E725" s="35"/>
    </row>
    <row r="726" spans="5:5" ht="15.75" customHeight="1" x14ac:dyDescent="0.2">
      <c r="E726" s="35"/>
    </row>
    <row r="727" spans="5:5" ht="15.75" customHeight="1" x14ac:dyDescent="0.2">
      <c r="E727" s="35"/>
    </row>
    <row r="728" spans="5:5" ht="15.75" customHeight="1" x14ac:dyDescent="0.2">
      <c r="E728" s="35"/>
    </row>
    <row r="729" spans="5:5" ht="15.75" customHeight="1" x14ac:dyDescent="0.2">
      <c r="E729" s="35"/>
    </row>
    <row r="730" spans="5:5" ht="15.75" customHeight="1" x14ac:dyDescent="0.2">
      <c r="E730" s="35"/>
    </row>
    <row r="731" spans="5:5" ht="15.75" customHeight="1" x14ac:dyDescent="0.2">
      <c r="E731" s="35"/>
    </row>
    <row r="732" spans="5:5" ht="15.75" customHeight="1" x14ac:dyDescent="0.2">
      <c r="E732" s="35"/>
    </row>
    <row r="733" spans="5:5" ht="15.75" customHeight="1" x14ac:dyDescent="0.2">
      <c r="E733" s="35"/>
    </row>
    <row r="734" spans="5:5" ht="15.75" customHeight="1" x14ac:dyDescent="0.2">
      <c r="E734" s="35"/>
    </row>
    <row r="735" spans="5:5" ht="15.75" customHeight="1" x14ac:dyDescent="0.2">
      <c r="E735" s="35"/>
    </row>
    <row r="736" spans="5:5" ht="15.75" customHeight="1" x14ac:dyDescent="0.2">
      <c r="E736" s="35"/>
    </row>
    <row r="737" spans="5:5" ht="15.75" customHeight="1" x14ac:dyDescent="0.2">
      <c r="E737" s="35"/>
    </row>
    <row r="738" spans="5:5" ht="15.75" customHeight="1" x14ac:dyDescent="0.2">
      <c r="E738" s="35"/>
    </row>
    <row r="739" spans="5:5" ht="15.75" customHeight="1" x14ac:dyDescent="0.2">
      <c r="E739" s="35"/>
    </row>
    <row r="740" spans="5:5" ht="15.75" customHeight="1" x14ac:dyDescent="0.2">
      <c r="E740" s="35"/>
    </row>
    <row r="741" spans="5:5" ht="15.75" customHeight="1" x14ac:dyDescent="0.2">
      <c r="E741" s="35"/>
    </row>
    <row r="742" spans="5:5" ht="15.75" customHeight="1" x14ac:dyDescent="0.2">
      <c r="E742" s="35"/>
    </row>
    <row r="743" spans="5:5" ht="15.75" customHeight="1" x14ac:dyDescent="0.2">
      <c r="E743" s="35"/>
    </row>
    <row r="744" spans="5:5" ht="15.75" customHeight="1" x14ac:dyDescent="0.2">
      <c r="E744" s="35"/>
    </row>
    <row r="745" spans="5:5" ht="15.75" customHeight="1" x14ac:dyDescent="0.2">
      <c r="E745" s="35"/>
    </row>
    <row r="746" spans="5:5" ht="15.75" customHeight="1" x14ac:dyDescent="0.2">
      <c r="E746" s="35"/>
    </row>
    <row r="747" spans="5:5" ht="15.75" customHeight="1" x14ac:dyDescent="0.2">
      <c r="E747" s="35"/>
    </row>
    <row r="748" spans="5:5" ht="15.75" customHeight="1" x14ac:dyDescent="0.2">
      <c r="E748" s="35"/>
    </row>
    <row r="749" spans="5:5" ht="15.75" customHeight="1" x14ac:dyDescent="0.2">
      <c r="E749" s="35"/>
    </row>
    <row r="750" spans="5:5" ht="15.75" customHeight="1" x14ac:dyDescent="0.2">
      <c r="E750" s="35"/>
    </row>
    <row r="751" spans="5:5" ht="15.75" customHeight="1" x14ac:dyDescent="0.2">
      <c r="E751" s="35"/>
    </row>
    <row r="752" spans="5:5" ht="15.75" customHeight="1" x14ac:dyDescent="0.2">
      <c r="E752" s="35"/>
    </row>
    <row r="753" spans="5:5" ht="15.75" customHeight="1" x14ac:dyDescent="0.2">
      <c r="E753" s="35"/>
    </row>
    <row r="754" spans="5:5" ht="15.75" customHeight="1" x14ac:dyDescent="0.2">
      <c r="E754" s="35"/>
    </row>
    <row r="755" spans="5:5" ht="15.75" customHeight="1" x14ac:dyDescent="0.2">
      <c r="E755" s="35"/>
    </row>
    <row r="756" spans="5:5" ht="15.75" customHeight="1" x14ac:dyDescent="0.2">
      <c r="E756" s="35"/>
    </row>
    <row r="757" spans="5:5" ht="15.75" customHeight="1" x14ac:dyDescent="0.2">
      <c r="E757" s="35"/>
    </row>
    <row r="758" spans="5:5" ht="15.75" customHeight="1" x14ac:dyDescent="0.2">
      <c r="E758" s="35"/>
    </row>
    <row r="759" spans="5:5" ht="15.75" customHeight="1" x14ac:dyDescent="0.2">
      <c r="E759" s="35"/>
    </row>
    <row r="760" spans="5:5" ht="15.75" customHeight="1" x14ac:dyDescent="0.2">
      <c r="E760" s="35"/>
    </row>
    <row r="761" spans="5:5" ht="15.75" customHeight="1" x14ac:dyDescent="0.2">
      <c r="E761" s="35"/>
    </row>
    <row r="762" spans="5:5" ht="15.75" customHeight="1" x14ac:dyDescent="0.2">
      <c r="E762" s="35"/>
    </row>
    <row r="763" spans="5:5" ht="15.75" customHeight="1" x14ac:dyDescent="0.2">
      <c r="E763" s="35"/>
    </row>
    <row r="764" spans="5:5" ht="15.75" customHeight="1" x14ac:dyDescent="0.2">
      <c r="E764" s="35"/>
    </row>
    <row r="765" spans="5:5" ht="15.75" customHeight="1" x14ac:dyDescent="0.2">
      <c r="E765" s="35"/>
    </row>
    <row r="766" spans="5:5" ht="15.75" customHeight="1" x14ac:dyDescent="0.2">
      <c r="E766" s="35"/>
    </row>
    <row r="767" spans="5:5" ht="15.75" customHeight="1" x14ac:dyDescent="0.2">
      <c r="E767" s="35"/>
    </row>
    <row r="768" spans="5:5" ht="15.75" customHeight="1" x14ac:dyDescent="0.2">
      <c r="E768" s="35"/>
    </row>
    <row r="769" spans="5:5" ht="15.75" customHeight="1" x14ac:dyDescent="0.2">
      <c r="E769" s="35"/>
    </row>
    <row r="770" spans="5:5" ht="15.75" customHeight="1" x14ac:dyDescent="0.2">
      <c r="E770" s="35"/>
    </row>
    <row r="771" spans="5:5" ht="15.75" customHeight="1" x14ac:dyDescent="0.2">
      <c r="E771" s="35"/>
    </row>
    <row r="772" spans="5:5" ht="15.75" customHeight="1" x14ac:dyDescent="0.2">
      <c r="E772" s="35"/>
    </row>
    <row r="773" spans="5:5" ht="15.75" customHeight="1" x14ac:dyDescent="0.2">
      <c r="E773" s="35"/>
    </row>
    <row r="774" spans="5:5" ht="15.75" customHeight="1" x14ac:dyDescent="0.2">
      <c r="E774" s="35"/>
    </row>
    <row r="775" spans="5:5" ht="15.75" customHeight="1" x14ac:dyDescent="0.2">
      <c r="E775" s="35"/>
    </row>
    <row r="776" spans="5:5" ht="15.75" customHeight="1" x14ac:dyDescent="0.2">
      <c r="E776" s="35"/>
    </row>
    <row r="777" spans="5:5" ht="15.75" customHeight="1" x14ac:dyDescent="0.2">
      <c r="E777" s="35"/>
    </row>
    <row r="778" spans="5:5" ht="15.75" customHeight="1" x14ac:dyDescent="0.2">
      <c r="E778" s="35"/>
    </row>
    <row r="779" spans="5:5" ht="15.75" customHeight="1" x14ac:dyDescent="0.2">
      <c r="E779" s="35"/>
    </row>
    <row r="780" spans="5:5" ht="15.75" customHeight="1" x14ac:dyDescent="0.2">
      <c r="E780" s="35"/>
    </row>
    <row r="781" spans="5:5" ht="15.75" customHeight="1" x14ac:dyDescent="0.2">
      <c r="E781" s="35"/>
    </row>
    <row r="782" spans="5:5" ht="15.75" customHeight="1" x14ac:dyDescent="0.2">
      <c r="E782" s="35"/>
    </row>
    <row r="783" spans="5:5" ht="15.75" customHeight="1" x14ac:dyDescent="0.2">
      <c r="E783" s="35"/>
    </row>
    <row r="784" spans="5:5" ht="15.75" customHeight="1" x14ac:dyDescent="0.2">
      <c r="E784" s="35"/>
    </row>
    <row r="785" spans="5:5" ht="15.75" customHeight="1" x14ac:dyDescent="0.2">
      <c r="E785" s="35"/>
    </row>
    <row r="786" spans="5:5" ht="15.75" customHeight="1" x14ac:dyDescent="0.2">
      <c r="E786" s="35"/>
    </row>
    <row r="787" spans="5:5" ht="15.75" customHeight="1" x14ac:dyDescent="0.2">
      <c r="E787" s="35"/>
    </row>
    <row r="788" spans="5:5" ht="15.75" customHeight="1" x14ac:dyDescent="0.2">
      <c r="E788" s="35"/>
    </row>
    <row r="789" spans="5:5" ht="15.75" customHeight="1" x14ac:dyDescent="0.2">
      <c r="E789" s="35"/>
    </row>
    <row r="790" spans="5:5" ht="15.75" customHeight="1" x14ac:dyDescent="0.2">
      <c r="E790" s="35"/>
    </row>
    <row r="791" spans="5:5" ht="15.75" customHeight="1" x14ac:dyDescent="0.2">
      <c r="E791" s="35"/>
    </row>
    <row r="792" spans="5:5" ht="15.75" customHeight="1" x14ac:dyDescent="0.2">
      <c r="E792" s="35"/>
    </row>
    <row r="793" spans="5:5" ht="15.75" customHeight="1" x14ac:dyDescent="0.2">
      <c r="E793" s="35"/>
    </row>
    <row r="794" spans="5:5" ht="15.75" customHeight="1" x14ac:dyDescent="0.2">
      <c r="E794" s="35"/>
    </row>
    <row r="795" spans="5:5" ht="15.75" customHeight="1" x14ac:dyDescent="0.2">
      <c r="E795" s="35"/>
    </row>
    <row r="796" spans="5:5" ht="15.75" customHeight="1" x14ac:dyDescent="0.2">
      <c r="E796" s="35"/>
    </row>
    <row r="797" spans="5:5" ht="15.75" customHeight="1" x14ac:dyDescent="0.2">
      <c r="E797" s="35"/>
    </row>
    <row r="798" spans="5:5" ht="15.75" customHeight="1" x14ac:dyDescent="0.2">
      <c r="E798" s="35"/>
    </row>
    <row r="799" spans="5:5" ht="15.75" customHeight="1" x14ac:dyDescent="0.2">
      <c r="E799" s="35"/>
    </row>
    <row r="800" spans="5:5" ht="15.75" customHeight="1" x14ac:dyDescent="0.2">
      <c r="E800" s="35"/>
    </row>
    <row r="801" spans="5:5" ht="15.75" customHeight="1" x14ac:dyDescent="0.2">
      <c r="E801" s="35"/>
    </row>
    <row r="802" spans="5:5" ht="15.75" customHeight="1" x14ac:dyDescent="0.2">
      <c r="E802" s="35"/>
    </row>
    <row r="803" spans="5:5" ht="15.75" customHeight="1" x14ac:dyDescent="0.2">
      <c r="E803" s="35"/>
    </row>
    <row r="804" spans="5:5" ht="15.75" customHeight="1" x14ac:dyDescent="0.2">
      <c r="E804" s="35"/>
    </row>
    <row r="805" spans="5:5" ht="15.75" customHeight="1" x14ac:dyDescent="0.2">
      <c r="E805" s="35"/>
    </row>
    <row r="806" spans="5:5" ht="15.75" customHeight="1" x14ac:dyDescent="0.2">
      <c r="E806" s="35"/>
    </row>
    <row r="807" spans="5:5" ht="15.75" customHeight="1" x14ac:dyDescent="0.2">
      <c r="E807" s="35"/>
    </row>
    <row r="808" spans="5:5" ht="15.75" customHeight="1" x14ac:dyDescent="0.2">
      <c r="E808" s="35"/>
    </row>
    <row r="809" spans="5:5" ht="15.75" customHeight="1" x14ac:dyDescent="0.2">
      <c r="E809" s="35"/>
    </row>
    <row r="810" spans="5:5" ht="15.75" customHeight="1" x14ac:dyDescent="0.2">
      <c r="E810" s="35"/>
    </row>
    <row r="811" spans="5:5" ht="15.75" customHeight="1" x14ac:dyDescent="0.2">
      <c r="E811" s="35"/>
    </row>
    <row r="812" spans="5:5" ht="15.75" customHeight="1" x14ac:dyDescent="0.2">
      <c r="E812" s="35"/>
    </row>
    <row r="813" spans="5:5" ht="15.75" customHeight="1" x14ac:dyDescent="0.2">
      <c r="E813" s="35"/>
    </row>
    <row r="814" spans="5:5" ht="15.75" customHeight="1" x14ac:dyDescent="0.2">
      <c r="E814" s="35"/>
    </row>
    <row r="815" spans="5:5" ht="15.75" customHeight="1" x14ac:dyDescent="0.2">
      <c r="E815" s="35"/>
    </row>
    <row r="816" spans="5:5" ht="15.75" customHeight="1" x14ac:dyDescent="0.2">
      <c r="E816" s="35"/>
    </row>
    <row r="817" spans="5:5" ht="15.75" customHeight="1" x14ac:dyDescent="0.2">
      <c r="E817" s="35"/>
    </row>
    <row r="818" spans="5:5" ht="15.75" customHeight="1" x14ac:dyDescent="0.2">
      <c r="E818" s="35"/>
    </row>
    <row r="819" spans="5:5" ht="15.75" customHeight="1" x14ac:dyDescent="0.2">
      <c r="E819" s="35"/>
    </row>
    <row r="820" spans="5:5" ht="15.75" customHeight="1" x14ac:dyDescent="0.2">
      <c r="E820" s="35"/>
    </row>
    <row r="821" spans="5:5" ht="15.75" customHeight="1" x14ac:dyDescent="0.2">
      <c r="E821" s="35"/>
    </row>
    <row r="822" spans="5:5" ht="15.75" customHeight="1" x14ac:dyDescent="0.2">
      <c r="E822" s="35"/>
    </row>
    <row r="823" spans="5:5" ht="15.75" customHeight="1" x14ac:dyDescent="0.2">
      <c r="E823" s="35"/>
    </row>
    <row r="824" spans="5:5" ht="15.75" customHeight="1" x14ac:dyDescent="0.2">
      <c r="E824" s="35"/>
    </row>
    <row r="825" spans="5:5" ht="15.75" customHeight="1" x14ac:dyDescent="0.2">
      <c r="E825" s="35"/>
    </row>
    <row r="826" spans="5:5" ht="15.75" customHeight="1" x14ac:dyDescent="0.2">
      <c r="E826" s="35"/>
    </row>
    <row r="827" spans="5:5" ht="15.75" customHeight="1" x14ac:dyDescent="0.2">
      <c r="E827" s="35"/>
    </row>
    <row r="828" spans="5:5" ht="15.75" customHeight="1" x14ac:dyDescent="0.2">
      <c r="E828" s="35"/>
    </row>
    <row r="829" spans="5:5" ht="15.75" customHeight="1" x14ac:dyDescent="0.2">
      <c r="E829" s="35"/>
    </row>
    <row r="830" spans="5:5" ht="15.75" customHeight="1" x14ac:dyDescent="0.2">
      <c r="E830" s="35"/>
    </row>
    <row r="831" spans="5:5" ht="15.75" customHeight="1" x14ac:dyDescent="0.2">
      <c r="E831" s="35"/>
    </row>
    <row r="832" spans="5:5" ht="15.75" customHeight="1" x14ac:dyDescent="0.2">
      <c r="E832" s="35"/>
    </row>
    <row r="833" spans="5:5" ht="15.75" customHeight="1" x14ac:dyDescent="0.2">
      <c r="E833" s="35"/>
    </row>
    <row r="834" spans="5:5" ht="15.75" customHeight="1" x14ac:dyDescent="0.2">
      <c r="E834" s="35"/>
    </row>
    <row r="835" spans="5:5" ht="15.75" customHeight="1" x14ac:dyDescent="0.2">
      <c r="E835" s="35"/>
    </row>
    <row r="836" spans="5:5" ht="15.75" customHeight="1" x14ac:dyDescent="0.2">
      <c r="E836" s="35"/>
    </row>
    <row r="837" spans="5:5" ht="15.75" customHeight="1" x14ac:dyDescent="0.2">
      <c r="E837" s="35"/>
    </row>
    <row r="838" spans="5:5" ht="15.75" customHeight="1" x14ac:dyDescent="0.2">
      <c r="E838" s="35"/>
    </row>
    <row r="839" spans="5:5" ht="15.75" customHeight="1" x14ac:dyDescent="0.2">
      <c r="E839" s="35"/>
    </row>
    <row r="840" spans="5:5" ht="15.75" customHeight="1" x14ac:dyDescent="0.2">
      <c r="E840" s="35"/>
    </row>
    <row r="841" spans="5:5" ht="15.75" customHeight="1" x14ac:dyDescent="0.2">
      <c r="E841" s="35"/>
    </row>
    <row r="842" spans="5:5" ht="15.75" customHeight="1" x14ac:dyDescent="0.2">
      <c r="E842" s="35"/>
    </row>
    <row r="843" spans="5:5" ht="15.75" customHeight="1" x14ac:dyDescent="0.2">
      <c r="E843" s="35"/>
    </row>
    <row r="844" spans="5:5" ht="15.75" customHeight="1" x14ac:dyDescent="0.2">
      <c r="E844" s="35"/>
    </row>
    <row r="845" spans="5:5" ht="15.75" customHeight="1" x14ac:dyDescent="0.2">
      <c r="E845" s="35"/>
    </row>
    <row r="846" spans="5:5" ht="15.75" customHeight="1" x14ac:dyDescent="0.2">
      <c r="E846" s="35"/>
    </row>
    <row r="847" spans="5:5" ht="15.75" customHeight="1" x14ac:dyDescent="0.2">
      <c r="E847" s="35"/>
    </row>
    <row r="848" spans="5:5" ht="15.75" customHeight="1" x14ac:dyDescent="0.2">
      <c r="E848" s="35"/>
    </row>
    <row r="849" spans="5:5" ht="15.75" customHeight="1" x14ac:dyDescent="0.2">
      <c r="E849" s="35"/>
    </row>
    <row r="850" spans="5:5" ht="15.75" customHeight="1" x14ac:dyDescent="0.2">
      <c r="E850" s="35"/>
    </row>
    <row r="851" spans="5:5" ht="15.75" customHeight="1" x14ac:dyDescent="0.2">
      <c r="E851" s="35"/>
    </row>
    <row r="852" spans="5:5" ht="15.75" customHeight="1" x14ac:dyDescent="0.2">
      <c r="E852" s="35"/>
    </row>
    <row r="853" spans="5:5" ht="15.75" customHeight="1" x14ac:dyDescent="0.2">
      <c r="E853" s="35"/>
    </row>
    <row r="854" spans="5:5" ht="15.75" customHeight="1" x14ac:dyDescent="0.2">
      <c r="E854" s="35"/>
    </row>
    <row r="855" spans="5:5" ht="15.75" customHeight="1" x14ac:dyDescent="0.2">
      <c r="E855" s="35"/>
    </row>
    <row r="856" spans="5:5" ht="15.75" customHeight="1" x14ac:dyDescent="0.2">
      <c r="E856" s="35"/>
    </row>
    <row r="857" spans="5:5" ht="15.75" customHeight="1" x14ac:dyDescent="0.2">
      <c r="E857" s="35"/>
    </row>
    <row r="858" spans="5:5" ht="15.75" customHeight="1" x14ac:dyDescent="0.2">
      <c r="E858" s="35"/>
    </row>
    <row r="859" spans="5:5" ht="15.75" customHeight="1" x14ac:dyDescent="0.2">
      <c r="E859" s="35"/>
    </row>
    <row r="860" spans="5:5" ht="15.75" customHeight="1" x14ac:dyDescent="0.2">
      <c r="E860" s="35"/>
    </row>
    <row r="861" spans="5:5" ht="15.75" customHeight="1" x14ac:dyDescent="0.2">
      <c r="E861" s="35"/>
    </row>
    <row r="862" spans="5:5" ht="15.75" customHeight="1" x14ac:dyDescent="0.2">
      <c r="E862" s="35"/>
    </row>
    <row r="863" spans="5:5" ht="15.75" customHeight="1" x14ac:dyDescent="0.2">
      <c r="E863" s="35"/>
    </row>
    <row r="864" spans="5:5" ht="15.75" customHeight="1" x14ac:dyDescent="0.2">
      <c r="E864" s="35"/>
    </row>
    <row r="865" spans="5:5" ht="15.75" customHeight="1" x14ac:dyDescent="0.2">
      <c r="E865" s="35"/>
    </row>
    <row r="866" spans="5:5" ht="15.75" customHeight="1" x14ac:dyDescent="0.2">
      <c r="E866" s="35"/>
    </row>
    <row r="867" spans="5:5" ht="15.75" customHeight="1" x14ac:dyDescent="0.2">
      <c r="E867" s="35"/>
    </row>
    <row r="868" spans="5:5" ht="15.75" customHeight="1" x14ac:dyDescent="0.2">
      <c r="E868" s="35"/>
    </row>
    <row r="869" spans="5:5" ht="15.75" customHeight="1" x14ac:dyDescent="0.2">
      <c r="E869" s="35"/>
    </row>
    <row r="870" spans="5:5" ht="15.75" customHeight="1" x14ac:dyDescent="0.2">
      <c r="E870" s="35"/>
    </row>
    <row r="871" spans="5:5" ht="15.75" customHeight="1" x14ac:dyDescent="0.2">
      <c r="E871" s="35"/>
    </row>
    <row r="872" spans="5:5" ht="15.75" customHeight="1" x14ac:dyDescent="0.2">
      <c r="E872" s="35"/>
    </row>
    <row r="873" spans="5:5" ht="15.75" customHeight="1" x14ac:dyDescent="0.2">
      <c r="E873" s="35"/>
    </row>
    <row r="874" spans="5:5" ht="15.75" customHeight="1" x14ac:dyDescent="0.2">
      <c r="E874" s="35"/>
    </row>
    <row r="875" spans="5:5" ht="15.75" customHeight="1" x14ac:dyDescent="0.2">
      <c r="E875" s="35"/>
    </row>
    <row r="876" spans="5:5" ht="15.75" customHeight="1" x14ac:dyDescent="0.2">
      <c r="E876" s="35"/>
    </row>
    <row r="877" spans="5:5" ht="15.75" customHeight="1" x14ac:dyDescent="0.2">
      <c r="E877" s="35"/>
    </row>
    <row r="878" spans="5:5" ht="15.75" customHeight="1" x14ac:dyDescent="0.2">
      <c r="E878" s="35"/>
    </row>
    <row r="879" spans="5:5" ht="15.75" customHeight="1" x14ac:dyDescent="0.2">
      <c r="E879" s="35"/>
    </row>
    <row r="880" spans="5:5" ht="15.75" customHeight="1" x14ac:dyDescent="0.2">
      <c r="E880" s="35"/>
    </row>
    <row r="881" spans="5:5" ht="15.75" customHeight="1" x14ac:dyDescent="0.2">
      <c r="E881" s="35"/>
    </row>
    <row r="882" spans="5:5" ht="15.75" customHeight="1" x14ac:dyDescent="0.2">
      <c r="E882" s="35"/>
    </row>
    <row r="883" spans="5:5" ht="15.75" customHeight="1" x14ac:dyDescent="0.2">
      <c r="E883" s="35"/>
    </row>
    <row r="884" spans="5:5" ht="15.75" customHeight="1" x14ac:dyDescent="0.2">
      <c r="E884" s="35"/>
    </row>
    <row r="885" spans="5:5" ht="15.75" customHeight="1" x14ac:dyDescent="0.2">
      <c r="E885" s="35"/>
    </row>
    <row r="886" spans="5:5" ht="15.75" customHeight="1" x14ac:dyDescent="0.2">
      <c r="E886" s="35"/>
    </row>
    <row r="887" spans="5:5" ht="15.75" customHeight="1" x14ac:dyDescent="0.2">
      <c r="E887" s="35"/>
    </row>
    <row r="888" spans="5:5" ht="15.75" customHeight="1" x14ac:dyDescent="0.2">
      <c r="E888" s="35"/>
    </row>
    <row r="889" spans="5:5" ht="15.75" customHeight="1" x14ac:dyDescent="0.2">
      <c r="E889" s="35"/>
    </row>
    <row r="890" spans="5:5" ht="15.75" customHeight="1" x14ac:dyDescent="0.2">
      <c r="E890" s="35"/>
    </row>
    <row r="891" spans="5:5" ht="15.75" customHeight="1" x14ac:dyDescent="0.2">
      <c r="E891" s="35"/>
    </row>
    <row r="892" spans="5:5" ht="15.75" customHeight="1" x14ac:dyDescent="0.2">
      <c r="E892" s="35"/>
    </row>
    <row r="893" spans="5:5" ht="15.75" customHeight="1" x14ac:dyDescent="0.2">
      <c r="E893" s="35"/>
    </row>
    <row r="894" spans="5:5" ht="15.75" customHeight="1" x14ac:dyDescent="0.2">
      <c r="E894" s="35"/>
    </row>
    <row r="895" spans="5:5" ht="15.75" customHeight="1" x14ac:dyDescent="0.2">
      <c r="E895" s="35"/>
    </row>
    <row r="896" spans="5:5" ht="15.75" customHeight="1" x14ac:dyDescent="0.2">
      <c r="E896" s="35"/>
    </row>
    <row r="897" spans="5:5" ht="15.75" customHeight="1" x14ac:dyDescent="0.2">
      <c r="E897" s="35"/>
    </row>
    <row r="898" spans="5:5" ht="15.75" customHeight="1" x14ac:dyDescent="0.2">
      <c r="E898" s="35"/>
    </row>
    <row r="899" spans="5:5" ht="15.75" customHeight="1" x14ac:dyDescent="0.2">
      <c r="E899" s="35"/>
    </row>
    <row r="900" spans="5:5" ht="15.75" customHeight="1" x14ac:dyDescent="0.2">
      <c r="E900" s="35"/>
    </row>
    <row r="901" spans="5:5" ht="15.75" customHeight="1" x14ac:dyDescent="0.2">
      <c r="E901" s="35"/>
    </row>
    <row r="902" spans="5:5" ht="15.75" customHeight="1" x14ac:dyDescent="0.2">
      <c r="E902" s="35"/>
    </row>
    <row r="903" spans="5:5" ht="15.75" customHeight="1" x14ac:dyDescent="0.2">
      <c r="E903" s="35"/>
    </row>
    <row r="904" spans="5:5" ht="15.75" customHeight="1" x14ac:dyDescent="0.2">
      <c r="E904" s="35"/>
    </row>
    <row r="905" spans="5:5" ht="15.75" customHeight="1" x14ac:dyDescent="0.2">
      <c r="E905" s="35"/>
    </row>
    <row r="906" spans="5:5" ht="15.75" customHeight="1" x14ac:dyDescent="0.2">
      <c r="E906" s="35"/>
    </row>
    <row r="907" spans="5:5" ht="15.75" customHeight="1" x14ac:dyDescent="0.2">
      <c r="E907" s="35"/>
    </row>
    <row r="908" spans="5:5" ht="15.75" customHeight="1" x14ac:dyDescent="0.2">
      <c r="E908" s="35"/>
    </row>
    <row r="909" spans="5:5" ht="15.75" customHeight="1" x14ac:dyDescent="0.2">
      <c r="E909" s="35"/>
    </row>
    <row r="910" spans="5:5" ht="15.75" customHeight="1" x14ac:dyDescent="0.2">
      <c r="E910" s="35"/>
    </row>
    <row r="911" spans="5:5" ht="15.75" customHeight="1" x14ac:dyDescent="0.2">
      <c r="E911" s="35"/>
    </row>
    <row r="912" spans="5:5" ht="15.75" customHeight="1" x14ac:dyDescent="0.2">
      <c r="E912" s="35"/>
    </row>
    <row r="913" spans="5:5" ht="15.75" customHeight="1" x14ac:dyDescent="0.2">
      <c r="E913" s="35"/>
    </row>
    <row r="914" spans="5:5" ht="15.75" customHeight="1" x14ac:dyDescent="0.2">
      <c r="E914" s="35"/>
    </row>
    <row r="915" spans="5:5" ht="15.75" customHeight="1" x14ac:dyDescent="0.2">
      <c r="E915" s="35"/>
    </row>
    <row r="916" spans="5:5" ht="15.75" customHeight="1" x14ac:dyDescent="0.2">
      <c r="E916" s="35"/>
    </row>
    <row r="917" spans="5:5" ht="15.75" customHeight="1" x14ac:dyDescent="0.2">
      <c r="E917" s="35"/>
    </row>
    <row r="918" spans="5:5" ht="15.75" customHeight="1" x14ac:dyDescent="0.2">
      <c r="E918" s="35"/>
    </row>
    <row r="919" spans="5:5" ht="15.75" customHeight="1" x14ac:dyDescent="0.2">
      <c r="E919" s="35"/>
    </row>
    <row r="920" spans="5:5" ht="15.75" customHeight="1" x14ac:dyDescent="0.2">
      <c r="E920" s="35"/>
    </row>
    <row r="921" spans="5:5" ht="15.75" customHeight="1" x14ac:dyDescent="0.2">
      <c r="E921" s="35"/>
    </row>
    <row r="922" spans="5:5" ht="15.75" customHeight="1" x14ac:dyDescent="0.2">
      <c r="E922" s="35"/>
    </row>
    <row r="923" spans="5:5" ht="15.75" customHeight="1" x14ac:dyDescent="0.2">
      <c r="E923" s="35"/>
    </row>
    <row r="924" spans="5:5" ht="15.75" customHeight="1" x14ac:dyDescent="0.2">
      <c r="E924" s="35"/>
    </row>
    <row r="925" spans="5:5" ht="15.75" customHeight="1" x14ac:dyDescent="0.2">
      <c r="E925" s="35"/>
    </row>
    <row r="926" spans="5:5" ht="15.75" customHeight="1" x14ac:dyDescent="0.2">
      <c r="E926" s="35"/>
    </row>
    <row r="927" spans="5:5" ht="15.75" customHeight="1" x14ac:dyDescent="0.2">
      <c r="E927" s="35"/>
    </row>
    <row r="928" spans="5:5" ht="15.75" customHeight="1" x14ac:dyDescent="0.2">
      <c r="E928" s="35"/>
    </row>
    <row r="929" spans="5:5" ht="15.75" customHeight="1" x14ac:dyDescent="0.2">
      <c r="E929" s="35"/>
    </row>
    <row r="930" spans="5:5" ht="15.75" customHeight="1" x14ac:dyDescent="0.2">
      <c r="E930" s="35"/>
    </row>
    <row r="931" spans="5:5" ht="15.75" customHeight="1" x14ac:dyDescent="0.2">
      <c r="E931" s="35"/>
    </row>
    <row r="932" spans="5:5" ht="15.75" customHeight="1" x14ac:dyDescent="0.2">
      <c r="E932" s="35"/>
    </row>
    <row r="933" spans="5:5" ht="15.75" customHeight="1" x14ac:dyDescent="0.2">
      <c r="E933" s="35"/>
    </row>
    <row r="934" spans="5:5" ht="15.75" customHeight="1" x14ac:dyDescent="0.2">
      <c r="E934" s="35"/>
    </row>
    <row r="935" spans="5:5" ht="15.75" customHeight="1" x14ac:dyDescent="0.2">
      <c r="E935" s="35"/>
    </row>
    <row r="936" spans="5:5" ht="15.75" customHeight="1" x14ac:dyDescent="0.2">
      <c r="E936" s="35"/>
    </row>
    <row r="937" spans="5:5" ht="15.75" customHeight="1" x14ac:dyDescent="0.2">
      <c r="E937" s="35"/>
    </row>
    <row r="938" spans="5:5" ht="15.75" customHeight="1" x14ac:dyDescent="0.2">
      <c r="E938" s="35"/>
    </row>
    <row r="939" spans="5:5" ht="15.75" customHeight="1" x14ac:dyDescent="0.2">
      <c r="E939" s="35"/>
    </row>
    <row r="940" spans="5:5" ht="15.75" customHeight="1" x14ac:dyDescent="0.2">
      <c r="E940" s="35"/>
    </row>
    <row r="941" spans="5:5" ht="15.75" customHeight="1" x14ac:dyDescent="0.2">
      <c r="E941" s="35"/>
    </row>
    <row r="942" spans="5:5" ht="15.75" customHeight="1" x14ac:dyDescent="0.2">
      <c r="E942" s="35"/>
    </row>
    <row r="943" spans="5:5" ht="15.75" customHeight="1" x14ac:dyDescent="0.2">
      <c r="E943" s="35"/>
    </row>
    <row r="944" spans="5:5" ht="15.75" customHeight="1" x14ac:dyDescent="0.2">
      <c r="E944" s="35"/>
    </row>
    <row r="945" spans="5:5" ht="15.75" customHeight="1" x14ac:dyDescent="0.2">
      <c r="E945" s="35"/>
    </row>
    <row r="946" spans="5:5" ht="15.75" customHeight="1" x14ac:dyDescent="0.2">
      <c r="E946" s="35"/>
    </row>
    <row r="947" spans="5:5" ht="15.75" customHeight="1" x14ac:dyDescent="0.2">
      <c r="E947" s="35"/>
    </row>
    <row r="948" spans="5:5" ht="15.75" customHeight="1" x14ac:dyDescent="0.2">
      <c r="E948" s="35"/>
    </row>
    <row r="949" spans="5:5" ht="15.75" customHeight="1" x14ac:dyDescent="0.2">
      <c r="E949" s="35"/>
    </row>
    <row r="950" spans="5:5" ht="15.75" customHeight="1" x14ac:dyDescent="0.2">
      <c r="E950" s="35"/>
    </row>
    <row r="951" spans="5:5" ht="15.75" customHeight="1" x14ac:dyDescent="0.2">
      <c r="E951" s="35"/>
    </row>
    <row r="952" spans="5:5" ht="15.75" customHeight="1" x14ac:dyDescent="0.2">
      <c r="E952" s="35"/>
    </row>
    <row r="953" spans="5:5" ht="15.75" customHeight="1" x14ac:dyDescent="0.2">
      <c r="E953" s="35"/>
    </row>
    <row r="954" spans="5:5" ht="15.75" customHeight="1" x14ac:dyDescent="0.2">
      <c r="E954" s="35"/>
    </row>
    <row r="955" spans="5:5" ht="15.75" customHeight="1" x14ac:dyDescent="0.2">
      <c r="E955" s="35"/>
    </row>
    <row r="956" spans="5:5" ht="15.75" customHeight="1" x14ac:dyDescent="0.2">
      <c r="E956" s="35"/>
    </row>
    <row r="957" spans="5:5" ht="15.75" customHeight="1" x14ac:dyDescent="0.2">
      <c r="E957" s="35"/>
    </row>
    <row r="958" spans="5:5" ht="15.75" customHeight="1" x14ac:dyDescent="0.2">
      <c r="E958" s="35"/>
    </row>
    <row r="959" spans="5:5" ht="15.75" customHeight="1" x14ac:dyDescent="0.2">
      <c r="E959" s="35"/>
    </row>
    <row r="960" spans="5:5" ht="15.75" customHeight="1" x14ac:dyDescent="0.2">
      <c r="E960" s="35"/>
    </row>
    <row r="961" spans="5:5" ht="15.75" customHeight="1" x14ac:dyDescent="0.2">
      <c r="E961" s="35"/>
    </row>
    <row r="962" spans="5:5" ht="15.75" customHeight="1" x14ac:dyDescent="0.2">
      <c r="E962" s="35"/>
    </row>
    <row r="963" spans="5:5" ht="15.75" customHeight="1" x14ac:dyDescent="0.2">
      <c r="E963" s="35"/>
    </row>
    <row r="964" spans="5:5" ht="15.75" customHeight="1" x14ac:dyDescent="0.2">
      <c r="E964" s="35"/>
    </row>
    <row r="965" spans="5:5" ht="15.75" customHeight="1" x14ac:dyDescent="0.2">
      <c r="E965" s="35"/>
    </row>
    <row r="966" spans="5:5" ht="15.75" customHeight="1" x14ac:dyDescent="0.2">
      <c r="E966" s="35"/>
    </row>
    <row r="967" spans="5:5" ht="15.75" customHeight="1" x14ac:dyDescent="0.2">
      <c r="E967" s="35"/>
    </row>
    <row r="968" spans="5:5" ht="15.75" customHeight="1" x14ac:dyDescent="0.2">
      <c r="E968" s="35"/>
    </row>
    <row r="969" spans="5:5" ht="15.75" customHeight="1" x14ac:dyDescent="0.2">
      <c r="E969" s="35"/>
    </row>
    <row r="970" spans="5:5" ht="15.75" customHeight="1" x14ac:dyDescent="0.2">
      <c r="E970" s="35"/>
    </row>
    <row r="971" spans="5:5" ht="15.75" customHeight="1" x14ac:dyDescent="0.2">
      <c r="E971" s="35"/>
    </row>
    <row r="972" spans="5:5" ht="15.75" customHeight="1" x14ac:dyDescent="0.2">
      <c r="E972" s="35"/>
    </row>
    <row r="973" spans="5:5" ht="15.75" customHeight="1" x14ac:dyDescent="0.2">
      <c r="E973" s="35"/>
    </row>
    <row r="974" spans="5:5" ht="15.75" customHeight="1" x14ac:dyDescent="0.2">
      <c r="E974" s="35"/>
    </row>
    <row r="975" spans="5:5" ht="15.75" customHeight="1" x14ac:dyDescent="0.2">
      <c r="E975" s="35"/>
    </row>
    <row r="976" spans="5:5" ht="15.75" customHeight="1" x14ac:dyDescent="0.2">
      <c r="E976" s="35"/>
    </row>
    <row r="977" spans="5:5" ht="15.75" customHeight="1" x14ac:dyDescent="0.2">
      <c r="E977" s="35"/>
    </row>
    <row r="978" spans="5:5" ht="15.75" customHeight="1" x14ac:dyDescent="0.2">
      <c r="E978" s="35"/>
    </row>
    <row r="979" spans="5:5" ht="15.75" customHeight="1" x14ac:dyDescent="0.2">
      <c r="E979" s="35"/>
    </row>
    <row r="980" spans="5:5" ht="15.75" customHeight="1" x14ac:dyDescent="0.2">
      <c r="E980" s="35"/>
    </row>
    <row r="981" spans="5:5" ht="15.75" customHeight="1" x14ac:dyDescent="0.2">
      <c r="E981" s="35"/>
    </row>
    <row r="982" spans="5:5" ht="15.75" customHeight="1" x14ac:dyDescent="0.2">
      <c r="E982" s="35"/>
    </row>
    <row r="983" spans="5:5" ht="15.75" customHeight="1" x14ac:dyDescent="0.2">
      <c r="E983" s="35"/>
    </row>
    <row r="984" spans="5:5" ht="15.75" customHeight="1" x14ac:dyDescent="0.2">
      <c r="E984" s="35"/>
    </row>
    <row r="985" spans="5:5" ht="15.75" customHeight="1" x14ac:dyDescent="0.2">
      <c r="E985" s="35"/>
    </row>
    <row r="986" spans="5:5" ht="15.75" customHeight="1" x14ac:dyDescent="0.2">
      <c r="E986" s="35"/>
    </row>
    <row r="987" spans="5:5" ht="15.75" customHeight="1" x14ac:dyDescent="0.2">
      <c r="E987" s="35"/>
    </row>
    <row r="988" spans="5:5" ht="15.75" customHeight="1" x14ac:dyDescent="0.2">
      <c r="E988" s="35"/>
    </row>
    <row r="989" spans="5:5" ht="15.75" customHeight="1" x14ac:dyDescent="0.2">
      <c r="E989" s="35"/>
    </row>
    <row r="990" spans="5:5" ht="15.75" customHeight="1" x14ac:dyDescent="0.2">
      <c r="E990" s="35"/>
    </row>
    <row r="991" spans="5:5" ht="15.75" customHeight="1" x14ac:dyDescent="0.2">
      <c r="E991" s="35"/>
    </row>
    <row r="992" spans="5:5" ht="15.75" customHeight="1" x14ac:dyDescent="0.2">
      <c r="E992" s="35"/>
    </row>
    <row r="993" spans="5:5" ht="15.75" customHeight="1" x14ac:dyDescent="0.2">
      <c r="E993" s="35"/>
    </row>
    <row r="994" spans="5:5" ht="15.75" customHeight="1" x14ac:dyDescent="0.2">
      <c r="E994" s="35"/>
    </row>
    <row r="995" spans="5:5" ht="15.75" customHeight="1" x14ac:dyDescent="0.2">
      <c r="E995" s="35"/>
    </row>
    <row r="996" spans="5:5" ht="15.75" customHeight="1" x14ac:dyDescent="0.2">
      <c r="E996" s="35"/>
    </row>
    <row r="997" spans="5:5" ht="15.75" customHeight="1" x14ac:dyDescent="0.2">
      <c r="E997" s="35"/>
    </row>
    <row r="998" spans="5:5" ht="15.75" customHeight="1" x14ac:dyDescent="0.2">
      <c r="E998" s="35"/>
    </row>
    <row r="999" spans="5:5" ht="15.75" customHeight="1" x14ac:dyDescent="0.2">
      <c r="E999" s="35"/>
    </row>
    <row r="1000" spans="5:5" ht="15.75" customHeight="1" x14ac:dyDescent="0.2">
      <c r="E1000" s="35"/>
    </row>
  </sheetData>
  <mergeCells count="4">
    <mergeCell ref="K65:L65"/>
    <mergeCell ref="N65:P65"/>
    <mergeCell ref="R65:S65"/>
    <mergeCell ref="K129:L129"/>
  </mergeCells>
  <conditionalFormatting sqref="K59:K60">
    <cfRule type="expression" dxfId="7" priority="2">
      <formula>K59&lt;&gt;0</formula>
    </cfRule>
  </conditionalFormatting>
  <conditionalFormatting sqref="K4:AI63 U64:AG64">
    <cfRule type="expression" dxfId="6" priority="1">
      <formula>K4&lt;&gt;0</formula>
    </cfRule>
  </conditionalFormatting>
  <conditionalFormatting sqref="R67:S126">
    <cfRule type="expression" dxfId="5" priority="7">
      <formula>ABS(R67)&gt;=10%</formula>
    </cfRule>
  </conditionalFormatting>
  <conditionalFormatting sqref="AB67:AC90">
    <cfRule type="cellIs" dxfId="4" priority="4" operator="greaterThan">
      <formula>0.001</formula>
    </cfRule>
    <cfRule type="cellIs" dxfId="3" priority="6" operator="lessThan">
      <formula>-0.001</formula>
    </cfRule>
  </conditionalFormatting>
  <conditionalFormatting sqref="AC70">
    <cfRule type="cellIs" dxfId="2" priority="5" operator="greaterThan">
      <formula>"1E(-3)"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3"/>
  <sheetViews>
    <sheetView topLeftCell="A25" workbookViewId="0">
      <selection activeCell="A10" sqref="A10"/>
    </sheetView>
  </sheetViews>
  <sheetFormatPr baseColWidth="10" defaultColWidth="14.5" defaultRowHeight="15" customHeight="1" x14ac:dyDescent="0.2"/>
  <cols>
    <col min="1" max="1" width="30.33203125" customWidth="1"/>
    <col min="2" max="2" width="70.1640625" customWidth="1"/>
    <col min="3" max="3" width="18.6640625" customWidth="1"/>
    <col min="4" max="4" width="17.6640625" customWidth="1"/>
    <col min="5" max="5" width="10.6640625" customWidth="1"/>
    <col min="6" max="6" width="63.83203125" customWidth="1"/>
    <col min="7" max="7" width="24.5" customWidth="1"/>
    <col min="8" max="8" width="25" customWidth="1"/>
    <col min="9" max="16" width="10.6640625" customWidth="1"/>
    <col min="17" max="17" width="66.33203125" customWidth="1"/>
    <col min="18" max="18" width="23.33203125" customWidth="1"/>
    <col min="19" max="26" width="10.6640625" customWidth="1"/>
  </cols>
  <sheetData>
    <row r="1" spans="1:18" x14ac:dyDescent="0.2">
      <c r="B1" s="114"/>
      <c r="C1" s="114"/>
      <c r="D1" s="114"/>
    </row>
    <row r="2" spans="1:18" ht="41" x14ac:dyDescent="0.3">
      <c r="B2" s="595" t="s">
        <v>133</v>
      </c>
      <c r="C2" s="596"/>
      <c r="D2" s="597"/>
      <c r="F2" s="595" t="s">
        <v>134</v>
      </c>
      <c r="G2" s="596"/>
      <c r="H2" s="597"/>
      <c r="J2" s="598" t="s">
        <v>135</v>
      </c>
      <c r="K2" s="532"/>
      <c r="L2" s="115"/>
      <c r="M2" s="116" t="s">
        <v>48</v>
      </c>
      <c r="N2" s="117" t="s">
        <v>136</v>
      </c>
    </row>
    <row r="3" spans="1:18" ht="24" x14ac:dyDescent="0.3">
      <c r="A3" s="500"/>
      <c r="B3" s="118" t="s">
        <v>137</v>
      </c>
      <c r="C3" s="119" t="s">
        <v>40</v>
      </c>
      <c r="D3" s="119" t="s">
        <v>2</v>
      </c>
      <c r="F3" s="118" t="s">
        <v>137</v>
      </c>
      <c r="G3" s="119" t="s">
        <v>40</v>
      </c>
      <c r="H3" s="119" t="s">
        <v>2</v>
      </c>
      <c r="J3" s="120" t="s">
        <v>61</v>
      </c>
      <c r="K3" s="120" t="s">
        <v>51</v>
      </c>
      <c r="L3" s="121"/>
      <c r="M3" s="122"/>
      <c r="N3" s="122"/>
      <c r="Q3" s="118" t="s">
        <v>137</v>
      </c>
      <c r="R3" s="119" t="s">
        <v>132</v>
      </c>
    </row>
    <row r="4" spans="1:18" ht="24" x14ac:dyDescent="0.3">
      <c r="A4" s="500">
        <v>0</v>
      </c>
      <c r="B4" s="118" t="s">
        <v>170</v>
      </c>
      <c r="C4" s="123">
        <f>Utilidad!A1</f>
        <v>388479</v>
      </c>
      <c r="D4" s="124">
        <f>IF(Utilidad!C1&gt;1,Utilidad!C1/100,Utilidad!C1)</f>
        <v>0.61250000000000004</v>
      </c>
      <c r="F4" s="118" t="s">
        <v>170</v>
      </c>
      <c r="G4" s="123">
        <f>Utilidad!B1</f>
        <v>388479</v>
      </c>
      <c r="H4" s="124">
        <f>IF(Utilidad!D1&gt;1,Utilidad!D1/100,Utilidad!D1)</f>
        <v>0.61631580448000001</v>
      </c>
      <c r="J4" s="125">
        <f t="shared" ref="J4:J33" si="0">+IF(C4&lt;&gt;0,(G4-C4)/C4,ABS(G4-C4))</f>
        <v>0</v>
      </c>
      <c r="K4" s="125">
        <f t="shared" ref="K4:K33" si="1">+IF(D4&lt;&gt;0,(H4-D4)/D4,0)</f>
        <v>6.2298848653060609E-3</v>
      </c>
      <c r="L4" s="126"/>
      <c r="M4" s="127">
        <f t="shared" ref="M4:M33" si="2">+IF(J4&lt;&gt;"",ABS(J4),0)</f>
        <v>0</v>
      </c>
      <c r="N4" s="127">
        <f t="shared" ref="N4:N33" si="3">+IF(J4&lt;&gt;"",ABS(K4),0)</f>
        <v>6.2298848653060609E-3</v>
      </c>
      <c r="Q4" s="118" t="s">
        <v>170</v>
      </c>
      <c r="R4" s="124">
        <f>Utilidad!E1</f>
        <v>9.2167453407737462E-3</v>
      </c>
    </row>
    <row r="5" spans="1:18" ht="24" x14ac:dyDescent="0.3">
      <c r="A5" s="500">
        <v>1</v>
      </c>
      <c r="B5" s="118" t="s">
        <v>171</v>
      </c>
      <c r="C5" s="123">
        <f>Utilidad!A2</f>
        <v>163082</v>
      </c>
      <c r="D5" s="124">
        <f>IF(Utilidad!C2&gt;1,Utilidad!C2/100,Utilidad!C2)</f>
        <v>0.63300000000000001</v>
      </c>
      <c r="F5" s="118" t="s">
        <v>171</v>
      </c>
      <c r="G5" s="123">
        <f>Utilidad!B2</f>
        <v>163082</v>
      </c>
      <c r="H5" s="124">
        <f>IF(Utilidad!D2&gt;1,Utilidad!D2/100,Utilidad!D2)</f>
        <v>0.63392359511000007</v>
      </c>
      <c r="J5" s="125">
        <f t="shared" si="0"/>
        <v>0</v>
      </c>
      <c r="K5" s="125">
        <f t="shared" si="1"/>
        <v>1.4590760031596586E-3</v>
      </c>
      <c r="L5" s="126"/>
      <c r="M5" s="127">
        <f t="shared" si="2"/>
        <v>0</v>
      </c>
      <c r="N5" s="127">
        <f t="shared" si="3"/>
        <v>1.4590760031596586E-3</v>
      </c>
      <c r="Q5" s="118" t="s">
        <v>171</v>
      </c>
      <c r="R5" s="124">
        <f>Utilidad!E2</f>
        <v>9.5300999999999997E-3</v>
      </c>
    </row>
    <row r="6" spans="1:18" ht="24" x14ac:dyDescent="0.3">
      <c r="A6" s="500">
        <v>2</v>
      </c>
      <c r="B6" s="118" t="s">
        <v>172</v>
      </c>
      <c r="C6" s="123">
        <f>Utilidad!A3</f>
        <v>202642</v>
      </c>
      <c r="D6" s="124">
        <f>IF(Utilidad!C3&gt;1,Utilidad!C3/100,Utilidad!C3)</f>
        <v>0.63700000000000001</v>
      </c>
      <c r="F6" s="118" t="s">
        <v>172</v>
      </c>
      <c r="G6" s="123">
        <f>Utilidad!B3</f>
        <v>202642</v>
      </c>
      <c r="H6" s="124">
        <f>IF(Utilidad!D3&gt;1,Utilidad!D3/100,Utilidad!D3)</f>
        <v>0.63386387507999997</v>
      </c>
      <c r="J6" s="125">
        <f t="shared" si="0"/>
        <v>0</v>
      </c>
      <c r="K6" s="125">
        <f t="shared" si="1"/>
        <v>-4.9232730298273755E-3</v>
      </c>
      <c r="L6" s="1"/>
      <c r="M6" s="127">
        <f t="shared" si="2"/>
        <v>0</v>
      </c>
      <c r="N6" s="127">
        <f t="shared" si="3"/>
        <v>4.9232730298273755E-3</v>
      </c>
      <c r="Q6" s="118" t="s">
        <v>172</v>
      </c>
      <c r="R6" s="124">
        <f>Utilidad!E3</f>
        <v>1.15E-2</v>
      </c>
    </row>
    <row r="7" spans="1:18" ht="24" x14ac:dyDescent="0.3">
      <c r="A7" s="500">
        <v>3</v>
      </c>
      <c r="B7" s="118" t="s">
        <v>173</v>
      </c>
      <c r="C7" s="123">
        <f>Utilidad!A4</f>
        <v>225397</v>
      </c>
      <c r="D7" s="124">
        <f>IF(Utilidad!C4&gt;1,Utilidad!C4/100,Utilidad!C4)</f>
        <v>0.59760000000000002</v>
      </c>
      <c r="F7" s="118" t="s">
        <v>173</v>
      </c>
      <c r="G7" s="123">
        <f>Utilidad!B4</f>
        <v>225397</v>
      </c>
      <c r="H7" s="124">
        <f>IF(Utilidad!D4&gt;1,Utilidad!D4/100,Utilidad!D4)</f>
        <v>0.603576</v>
      </c>
      <c r="J7" s="125">
        <f t="shared" si="0"/>
        <v>0</v>
      </c>
      <c r="K7" s="125">
        <f t="shared" si="1"/>
        <v>9.999999999999969E-3</v>
      </c>
      <c r="L7" s="1"/>
      <c r="M7" s="127">
        <f t="shared" si="2"/>
        <v>0</v>
      </c>
      <c r="N7" s="127">
        <f t="shared" si="3"/>
        <v>9.999999999999969E-3</v>
      </c>
      <c r="Q7" s="118" t="s">
        <v>173</v>
      </c>
      <c r="R7" s="124">
        <f>Utilidad!E4</f>
        <v>8.9899000000000003E-3</v>
      </c>
    </row>
    <row r="8" spans="1:18" ht="24" x14ac:dyDescent="0.3">
      <c r="A8" s="500">
        <v>4</v>
      </c>
      <c r="B8" s="118" t="s">
        <v>138</v>
      </c>
      <c r="C8" s="123">
        <f>Utilidad!A5</f>
        <v>228628</v>
      </c>
      <c r="D8" s="124">
        <f>IF(Utilidad!C5&gt;1,Utilidad!C5/100,Utilidad!C5)</f>
        <v>0.60289999999999999</v>
      </c>
      <c r="F8" s="118" t="s">
        <v>138</v>
      </c>
      <c r="G8" s="123">
        <f>Utilidad!B5</f>
        <v>228628</v>
      </c>
      <c r="H8" s="124">
        <f>IF(Utilidad!D5&gt;1,Utilidad!D5/100,Utilidad!D5)</f>
        <v>0.59687100000000004</v>
      </c>
      <c r="J8" s="125">
        <f t="shared" si="0"/>
        <v>0</v>
      </c>
      <c r="K8" s="125">
        <f t="shared" si="1"/>
        <v>-9.9999999999999187E-3</v>
      </c>
      <c r="L8" s="1"/>
      <c r="M8" s="127">
        <f t="shared" si="2"/>
        <v>0</v>
      </c>
      <c r="N8" s="127">
        <f t="shared" si="3"/>
        <v>9.9999999999999187E-3</v>
      </c>
      <c r="Q8" s="118" t="s">
        <v>138</v>
      </c>
      <c r="R8" s="124">
        <f>Utilidad!E5</f>
        <v>8.9899000000000003E-3</v>
      </c>
    </row>
    <row r="9" spans="1:18" ht="24" x14ac:dyDescent="0.3">
      <c r="A9" s="500">
        <v>5</v>
      </c>
      <c r="B9" s="118" t="s">
        <v>8</v>
      </c>
      <c r="C9" s="123">
        <f>Utilidad!A6</f>
        <v>-2903</v>
      </c>
      <c r="D9" s="124">
        <f>IF(Utilidad!C6&gt;1,Utilidad!C6/100,Utilidad!C6)</f>
        <v>0.60289999999999999</v>
      </c>
      <c r="F9" s="118" t="s">
        <v>8</v>
      </c>
      <c r="G9" s="123">
        <f>Utilidad!B6</f>
        <v>-4354.5</v>
      </c>
      <c r="H9" s="124">
        <f>IF(Utilidad!D6&gt;1,Utilidad!D6/100,Utilidad!D6)</f>
        <v>0.63304499999999997</v>
      </c>
      <c r="J9" s="125">
        <f t="shared" si="0"/>
        <v>0.5</v>
      </c>
      <c r="K9" s="125">
        <f t="shared" si="1"/>
        <v>4.9999999999999961E-2</v>
      </c>
      <c r="L9" s="1"/>
      <c r="M9" s="127">
        <f t="shared" si="2"/>
        <v>0.5</v>
      </c>
      <c r="N9" s="127">
        <f t="shared" si="3"/>
        <v>4.9999999999999961E-2</v>
      </c>
      <c r="Q9" s="118" t="s">
        <v>8</v>
      </c>
      <c r="R9" s="124">
        <f>Utilidad!E6</f>
        <v>8.6E-3</v>
      </c>
    </row>
    <row r="10" spans="1:18" ht="24" x14ac:dyDescent="0.3">
      <c r="A10" s="500">
        <v>6</v>
      </c>
      <c r="B10" s="118" t="s">
        <v>139</v>
      </c>
      <c r="C10" s="123">
        <f>Utilidad!A7</f>
        <v>231530</v>
      </c>
      <c r="D10" s="124">
        <f>IF(Utilidad!C7&gt;1,Utilidad!C7/100,Utilidad!C7)</f>
        <v>0.58820000000000006</v>
      </c>
      <c r="F10" s="118" t="s">
        <v>139</v>
      </c>
      <c r="G10" s="123">
        <f>Utilidad!B7</f>
        <v>229834.02368000001</v>
      </c>
      <c r="H10" s="124">
        <f>IF(Utilidad!D7&gt;1,Utilidad!D7/100,Utilidad!D7)</f>
        <v>0.60589335206999995</v>
      </c>
      <c r="J10" s="125">
        <f t="shared" si="0"/>
        <v>-7.3250823651362113E-3</v>
      </c>
      <c r="K10" s="125">
        <f t="shared" si="1"/>
        <v>3.0080503349200764E-2</v>
      </c>
      <c r="L10" s="1"/>
      <c r="M10" s="127">
        <f t="shared" si="2"/>
        <v>7.3250823651362113E-3</v>
      </c>
      <c r="N10" s="127">
        <f t="shared" si="3"/>
        <v>3.0080503349200764E-2</v>
      </c>
      <c r="Q10" s="118" t="s">
        <v>139</v>
      </c>
      <c r="R10" s="124">
        <f>Utilidad!E7</f>
        <v>7.6E-3</v>
      </c>
    </row>
    <row r="11" spans="1:18" ht="24" x14ac:dyDescent="0.3">
      <c r="A11" s="500">
        <v>7</v>
      </c>
      <c r="B11" s="314" t="s">
        <v>296</v>
      </c>
      <c r="C11" s="123">
        <f>Utilidad!A8</f>
        <v>-2106</v>
      </c>
      <c r="D11" s="124">
        <f>IF(Utilidad!C8&gt;1,Utilidad!C8/100,Utilidad!C8)</f>
        <v>0.68650000000000011</v>
      </c>
      <c r="E11" s="305"/>
      <c r="F11" s="314" t="s">
        <v>296</v>
      </c>
      <c r="G11" s="123">
        <f>Utilidad!B8</f>
        <v>-2106</v>
      </c>
      <c r="H11" s="124">
        <f>IF(Utilidad!D8&gt;1,Utilidad!D8/100,Utilidad!D8)</f>
        <v>0.68650000000000011</v>
      </c>
      <c r="I11" s="305"/>
      <c r="J11" s="316">
        <f t="shared" ref="J11" si="4">+IF(C11&lt;&gt;0,(G11-C11)/C11,ABS(G11-C11))</f>
        <v>0</v>
      </c>
      <c r="K11" s="316">
        <f t="shared" ref="K11" si="5">+IF(D11&lt;&gt;0,(H11-D11)/D11,0)</f>
        <v>0</v>
      </c>
      <c r="L11" s="307"/>
      <c r="M11" s="318">
        <f t="shared" ref="M11" si="6">+IF(J11&lt;&gt;"",ABS(J11),0)</f>
        <v>0</v>
      </c>
      <c r="N11" s="318">
        <f t="shared" ref="N11" si="7">+IF(J11&lt;&gt;"",ABS(K11),0)</f>
        <v>0</v>
      </c>
      <c r="O11" s="305"/>
      <c r="P11" s="305"/>
      <c r="Q11" s="304" t="s">
        <v>296</v>
      </c>
      <c r="R11" s="124">
        <f>Utilidad!E8</f>
        <v>0</v>
      </c>
    </row>
    <row r="12" spans="1:18" ht="24" x14ac:dyDescent="0.3">
      <c r="A12" s="500">
        <v>8</v>
      </c>
      <c r="B12" s="314" t="s">
        <v>295</v>
      </c>
      <c r="C12" s="123">
        <f>Utilidad!A9</f>
        <v>1021</v>
      </c>
      <c r="D12" s="124">
        <f>IF(Utilidad!C9&gt;1,Utilidad!C9/100,Utilidad!C9)</f>
        <v>0.11310000000000001</v>
      </c>
      <c r="E12" s="305"/>
      <c r="F12" s="314" t="s">
        <v>295</v>
      </c>
      <c r="G12" s="123">
        <f>Utilidad!B9</f>
        <v>969.95</v>
      </c>
      <c r="H12" s="124">
        <f>IF(Utilidad!D9&gt;1,Utilidad!D9/100,Utilidad!D9)</f>
        <v>0.111969</v>
      </c>
      <c r="I12" s="305"/>
      <c r="J12" s="316">
        <f>+IF(C12&lt;&gt;0,(G12-C12)/C12,ABS(G12-C12))</f>
        <v>-4.9999999999999954E-2</v>
      </c>
      <c r="K12" s="316">
        <f>+IF(D12&lt;&gt;0,(H12-D12)/D12,0)</f>
        <v>-1.0000000000000061E-2</v>
      </c>
      <c r="L12" s="307"/>
      <c r="M12" s="318">
        <f>+IF(J12&lt;&gt;"",ABS(J12),0)</f>
        <v>4.9999999999999954E-2</v>
      </c>
      <c r="N12" s="318">
        <f>+IF(J12&lt;&gt;"",ABS(K12),0)</f>
        <v>1.0000000000000061E-2</v>
      </c>
      <c r="O12" s="305"/>
      <c r="P12" s="305"/>
      <c r="Q12" s="304" t="s">
        <v>295</v>
      </c>
      <c r="R12" s="124">
        <f>Utilidad!E9</f>
        <v>0</v>
      </c>
    </row>
    <row r="13" spans="1:18" ht="24" x14ac:dyDescent="0.3">
      <c r="A13" s="500">
        <v>9</v>
      </c>
      <c r="B13" s="314" t="s">
        <v>297</v>
      </c>
      <c r="C13" s="123">
        <f>Utilidad!A10</f>
        <v>23778</v>
      </c>
      <c r="D13" s="124">
        <f>IF(Utilidad!C10&gt;1,Utilidad!C10/100,Utilidad!C10)</f>
        <v>0.11310000000000001</v>
      </c>
      <c r="E13" s="305"/>
      <c r="F13" s="314" t="s">
        <v>297</v>
      </c>
      <c r="G13" s="123">
        <f>Utilidad!B10</f>
        <v>21060.023684</v>
      </c>
      <c r="H13" s="124">
        <f>IF(Utilidad!D10&gt;1,Utilidad!D10/100,Utilidad!D10)</f>
        <v>0.107445</v>
      </c>
      <c r="I13" s="305"/>
      <c r="J13" s="316">
        <f>+IF(C13&lt;&gt;0,(G13-C13)/C13,ABS(G13-C13))</f>
        <v>-0.11430634687526285</v>
      </c>
      <c r="K13" s="316">
        <f>+IF(D13&lt;&gt;0,(H13-D13)/D13,0)</f>
        <v>-5.0000000000000058E-2</v>
      </c>
      <c r="L13" s="307"/>
      <c r="M13" s="318">
        <f>+IF(J13&lt;&gt;"",ABS(J13),0)</f>
        <v>0.11430634687526285</v>
      </c>
      <c r="N13" s="318">
        <f>+IF(J13&lt;&gt;"",ABS(K13),0)</f>
        <v>5.0000000000000058E-2</v>
      </c>
      <c r="O13" s="305"/>
      <c r="P13" s="305"/>
      <c r="Q13" s="304" t="s">
        <v>297</v>
      </c>
      <c r="R13" s="124">
        <f>Utilidad!E10</f>
        <v>0</v>
      </c>
    </row>
    <row r="14" spans="1:18" ht="24" x14ac:dyDescent="0.3">
      <c r="A14" s="500">
        <v>10</v>
      </c>
      <c r="B14" s="118" t="s">
        <v>273</v>
      </c>
      <c r="C14" s="123">
        <f>Utilidad!A11</f>
        <v>22756</v>
      </c>
      <c r="D14" s="124">
        <f>IF(Utilidad!C11&gt;1,Utilidad!C11/100,Utilidad!C11)</f>
        <v>0.11310000000000001</v>
      </c>
      <c r="F14" s="118" t="s">
        <v>273</v>
      </c>
      <c r="G14" s="123">
        <f>Utilidad!B11</f>
        <v>20480.400000000001</v>
      </c>
      <c r="H14" s="124">
        <f>IF(Utilidad!D11&gt;1,Utilidad!D11/100,Utilidad!D11)</f>
        <v>0.105183</v>
      </c>
      <c r="J14" s="125">
        <f t="shared" si="0"/>
        <v>-9.9999999999999936E-2</v>
      </c>
      <c r="K14" s="125">
        <f t="shared" si="1"/>
        <v>-7.0000000000000062E-2</v>
      </c>
      <c r="L14" s="1"/>
      <c r="M14" s="127">
        <f t="shared" si="2"/>
        <v>9.9999999999999936E-2</v>
      </c>
      <c r="N14" s="127">
        <f t="shared" si="3"/>
        <v>7.0000000000000062E-2</v>
      </c>
      <c r="Q14" s="118" t="s">
        <v>87</v>
      </c>
      <c r="R14" s="124">
        <f>Utilidad!E11</f>
        <v>0</v>
      </c>
    </row>
    <row r="15" spans="1:18" ht="24" x14ac:dyDescent="0.3">
      <c r="A15" s="500">
        <v>11</v>
      </c>
      <c r="B15" s="118" t="s">
        <v>140</v>
      </c>
      <c r="C15" s="123">
        <f>Utilidad!A12</f>
        <v>208774</v>
      </c>
      <c r="D15" s="124">
        <f>IF(Utilidad!C12&gt;1,Utilidad!C12/100,Utilidad!C12)</f>
        <v>0.68700000000000006</v>
      </c>
      <c r="F15" s="118" t="s">
        <v>140</v>
      </c>
      <c r="G15" s="123">
        <f>Utilidad!B12</f>
        <v>208774</v>
      </c>
      <c r="H15" s="124">
        <f>IF(Utilidad!D12&gt;1,Utilidad!D12/100,Utilidad!D12)</f>
        <v>0.66638999999999993</v>
      </c>
      <c r="J15" s="125">
        <f t="shared" si="0"/>
        <v>0</v>
      </c>
      <c r="K15" s="125">
        <f t="shared" si="1"/>
        <v>-3.0000000000000183E-2</v>
      </c>
      <c r="L15" s="1"/>
      <c r="M15" s="127">
        <f t="shared" si="2"/>
        <v>0</v>
      </c>
      <c r="N15" s="127">
        <f t="shared" si="3"/>
        <v>3.0000000000000183E-2</v>
      </c>
      <c r="Q15" s="118" t="s">
        <v>140</v>
      </c>
      <c r="R15" s="124">
        <f>Utilidad!E12</f>
        <v>9.9546339989804444E-3</v>
      </c>
    </row>
    <row r="16" spans="1:18" ht="24" x14ac:dyDescent="0.3">
      <c r="A16" s="500">
        <v>12</v>
      </c>
      <c r="B16" s="118" t="s">
        <v>141</v>
      </c>
      <c r="C16" s="123">
        <f>Utilidad!A13</f>
        <v>210880</v>
      </c>
      <c r="D16" s="124">
        <f>IF(Utilidad!C13&gt;1,Utilidad!C13/100,Utilidad!C13)</f>
        <v>0.68650000000000011</v>
      </c>
      <c r="F16" s="118" t="s">
        <v>141</v>
      </c>
      <c r="G16" s="123">
        <f>Utilidad!B13</f>
        <v>210880</v>
      </c>
      <c r="H16" s="124">
        <f>IF(Utilidad!D13&gt;1,Utilidad!D13/100,Utilidad!D13)</f>
        <v>0.67963499999999999</v>
      </c>
      <c r="J16" s="125">
        <f t="shared" si="0"/>
        <v>0</v>
      </c>
      <c r="K16" s="125">
        <f t="shared" si="1"/>
        <v>-1.0000000000000175E-2</v>
      </c>
      <c r="L16" s="1"/>
      <c r="M16" s="127">
        <f t="shared" si="2"/>
        <v>0</v>
      </c>
      <c r="N16" s="127">
        <f t="shared" si="3"/>
        <v>1.0000000000000175E-2</v>
      </c>
      <c r="Q16" s="118" t="s">
        <v>141</v>
      </c>
      <c r="R16" s="124">
        <f>Utilidad!E13</f>
        <v>8.3495571339466099E-2</v>
      </c>
    </row>
    <row r="17" spans="1:18" ht="24" x14ac:dyDescent="0.3">
      <c r="A17" s="500">
        <v>13</v>
      </c>
      <c r="B17" s="118" t="s">
        <v>197</v>
      </c>
      <c r="C17" s="123">
        <f>Utilidad!A14</f>
        <v>0</v>
      </c>
      <c r="D17" s="124">
        <f>IF(Utilidad!C14&gt;1,Utilidad!C14/100,Utilidad!C14)</f>
        <v>0.57999999999999996</v>
      </c>
      <c r="F17" s="118" t="s">
        <v>197</v>
      </c>
      <c r="G17" s="123">
        <f>Utilidad!B14</f>
        <v>0</v>
      </c>
      <c r="H17" s="124">
        <f>IF(Utilidad!D14&gt;1,Utilidad!D14/100,Utilidad!D14)</f>
        <v>0.57999999999999996</v>
      </c>
      <c r="J17" s="125">
        <f t="shared" si="0"/>
        <v>0</v>
      </c>
      <c r="K17" s="125">
        <f t="shared" si="1"/>
        <v>0</v>
      </c>
      <c r="L17" s="1"/>
      <c r="M17" s="127">
        <f t="shared" si="2"/>
        <v>0</v>
      </c>
      <c r="N17" s="127">
        <f t="shared" si="3"/>
        <v>0</v>
      </c>
      <c r="Q17" s="118" t="s">
        <v>197</v>
      </c>
      <c r="R17" s="124">
        <f>Utilidad!E14</f>
        <v>0</v>
      </c>
    </row>
    <row r="18" spans="1:18" ht="24" x14ac:dyDescent="0.3">
      <c r="A18" s="500">
        <v>14</v>
      </c>
      <c r="B18" s="118" t="s">
        <v>259</v>
      </c>
      <c r="C18" s="123">
        <f>Utilidad!A15</f>
        <v>192143</v>
      </c>
      <c r="D18" s="124">
        <f>IF(Utilidad!C15&gt;1,Utilidad!C15/100,Utilidad!C15)</f>
        <v>0.68650000000000011</v>
      </c>
      <c r="F18" s="118" t="s">
        <v>259</v>
      </c>
      <c r="G18" s="123">
        <f>Utilidad!B15</f>
        <v>192143</v>
      </c>
      <c r="H18" s="124">
        <f>IF(Utilidad!D15&gt;1,Utilidad!D15/100,Utilidad!D15)</f>
        <v>0.68650000000000011</v>
      </c>
      <c r="J18" s="125">
        <f t="shared" si="0"/>
        <v>0</v>
      </c>
      <c r="K18" s="125">
        <f t="shared" si="1"/>
        <v>0</v>
      </c>
      <c r="L18" s="1"/>
      <c r="M18" s="127">
        <f t="shared" si="2"/>
        <v>0</v>
      </c>
      <c r="N18" s="127">
        <f t="shared" si="3"/>
        <v>0</v>
      </c>
      <c r="Q18" s="118" t="s">
        <v>259</v>
      </c>
      <c r="R18" s="124">
        <f>Utilidad!E15</f>
        <v>8.3495571339466099E-2</v>
      </c>
    </row>
    <row r="19" spans="1:18" ht="24" x14ac:dyDescent="0.3">
      <c r="A19" s="500">
        <v>15</v>
      </c>
      <c r="B19" s="118" t="s">
        <v>174</v>
      </c>
      <c r="C19" s="123">
        <f>Utilidad!A16</f>
        <v>192143</v>
      </c>
      <c r="D19" s="124">
        <f>IF(Utilidad!C16&gt;1,Utilidad!C16/100,Utilidad!C16)</f>
        <v>0.68650000000000011</v>
      </c>
      <c r="F19" s="118" t="s">
        <v>174</v>
      </c>
      <c r="G19" s="123">
        <f>Utilidad!B16</f>
        <v>192143</v>
      </c>
      <c r="H19" s="124">
        <f>IF(Utilidad!D16&gt;1,Utilidad!D16/100,Utilidad!D16)</f>
        <v>0.68650000000000011</v>
      </c>
      <c r="J19" s="125">
        <f t="shared" si="0"/>
        <v>0</v>
      </c>
      <c r="K19" s="125">
        <f t="shared" si="1"/>
        <v>0</v>
      </c>
      <c r="L19" s="1"/>
      <c r="M19" s="127">
        <f t="shared" si="2"/>
        <v>0</v>
      </c>
      <c r="N19" s="127">
        <f t="shared" si="3"/>
        <v>0</v>
      </c>
      <c r="Q19" s="118" t="s">
        <v>174</v>
      </c>
      <c r="R19" s="124">
        <f>Utilidad!E16</f>
        <v>8.3495571339466099E-2</v>
      </c>
    </row>
    <row r="20" spans="1:18" ht="24" x14ac:dyDescent="0.3">
      <c r="A20" s="500">
        <v>16</v>
      </c>
      <c r="B20" s="118" t="s">
        <v>176</v>
      </c>
      <c r="C20" s="123">
        <f>Utilidad!A17</f>
        <v>0</v>
      </c>
      <c r="D20" s="124">
        <f>IF(Utilidad!C17&gt;1,Utilidad!C17/100,Utilidad!C17)</f>
        <v>0.68650000000000011</v>
      </c>
      <c r="F20" s="118" t="s">
        <v>176</v>
      </c>
      <c r="G20" s="123">
        <f>Utilidad!B17</f>
        <v>0</v>
      </c>
      <c r="H20" s="124">
        <f>IF(Utilidad!D17&gt;1,Utilidad!D17/100,Utilidad!D17)</f>
        <v>0.68650000000000011</v>
      </c>
      <c r="J20" s="125">
        <f t="shared" si="0"/>
        <v>0</v>
      </c>
      <c r="K20" s="125">
        <f t="shared" si="1"/>
        <v>0</v>
      </c>
      <c r="L20" s="1"/>
      <c r="M20" s="127">
        <f t="shared" si="2"/>
        <v>0</v>
      </c>
      <c r="N20" s="127">
        <f t="shared" si="3"/>
        <v>0</v>
      </c>
      <c r="Q20" s="118" t="s">
        <v>176</v>
      </c>
      <c r="R20" s="124">
        <f>Utilidad!E17</f>
        <v>8.3495571339466099E-2</v>
      </c>
    </row>
    <row r="21" spans="1:18" ht="24" x14ac:dyDescent="0.3">
      <c r="A21" s="500">
        <v>17</v>
      </c>
      <c r="B21" s="118" t="s">
        <v>142</v>
      </c>
      <c r="C21" s="123">
        <f>Utilidad!A18</f>
        <v>18736</v>
      </c>
      <c r="D21" s="124">
        <f>IF(Utilidad!C18&gt;1,Utilidad!C18/100,Utilidad!C18)</f>
        <v>0.68650000000000011</v>
      </c>
      <c r="F21" s="118" t="s">
        <v>142</v>
      </c>
      <c r="G21" s="123">
        <f>Utilidad!B18</f>
        <v>15836.380952</v>
      </c>
      <c r="H21" s="124">
        <f>IF(Utilidad!D18&gt;1,Utilidad!D18/100,Utilidad!D18)</f>
        <v>0.72082499999999994</v>
      </c>
      <c r="J21" s="125">
        <f t="shared" si="0"/>
        <v>-0.15476190478223742</v>
      </c>
      <c r="K21" s="125">
        <f t="shared" si="1"/>
        <v>4.9999999999999739E-2</v>
      </c>
      <c r="L21" s="1"/>
      <c r="M21" s="127">
        <f t="shared" si="2"/>
        <v>0.15476190478223742</v>
      </c>
      <c r="N21" s="127">
        <f t="shared" si="3"/>
        <v>4.9999999999999739E-2</v>
      </c>
      <c r="Q21" s="118" t="s">
        <v>142</v>
      </c>
      <c r="R21" s="124">
        <f>Utilidad!E18</f>
        <v>8.3495571339466099E-2</v>
      </c>
    </row>
    <row r="22" spans="1:18" ht="24" x14ac:dyDescent="0.3">
      <c r="A22" s="500">
        <v>18</v>
      </c>
      <c r="B22" s="118" t="s">
        <v>182</v>
      </c>
      <c r="C22" s="123">
        <f>Utilidad!A19</f>
        <v>103878</v>
      </c>
      <c r="D22" s="124">
        <f>IF(Utilidad!C19&gt;1,Utilidad!C19/100,Utilidad!C19)</f>
        <v>0.68680000000000008</v>
      </c>
      <c r="F22" s="118" t="s">
        <v>182</v>
      </c>
      <c r="G22" s="123">
        <f>Utilidad!B19</f>
        <v>103878</v>
      </c>
      <c r="H22" s="124">
        <f>IF(Utilidad!D19&gt;1,Utilidad!D19/100,Utilidad!D19)</f>
        <v>0.68680000000000008</v>
      </c>
      <c r="J22" s="125">
        <f t="shared" si="0"/>
        <v>0</v>
      </c>
      <c r="K22" s="125">
        <f t="shared" si="1"/>
        <v>0</v>
      </c>
      <c r="L22" s="1"/>
      <c r="M22" s="127">
        <f t="shared" si="2"/>
        <v>0</v>
      </c>
      <c r="N22" s="127">
        <f t="shared" si="3"/>
        <v>0</v>
      </c>
      <c r="Q22" s="118" t="s">
        <v>182</v>
      </c>
      <c r="R22" s="124">
        <f>Utilidad!E19</f>
        <v>7.8799999999999995E-2</v>
      </c>
    </row>
    <row r="23" spans="1:18" ht="24" x14ac:dyDescent="0.3">
      <c r="A23" s="500">
        <v>19</v>
      </c>
      <c r="B23" s="118" t="s">
        <v>187</v>
      </c>
      <c r="C23" s="123">
        <f>Utilidad!A20</f>
        <v>0</v>
      </c>
      <c r="D23" s="124">
        <f>IF(Utilidad!C20&gt;1,Utilidad!C20/100,Utilidad!C20)</f>
        <v>0</v>
      </c>
      <c r="F23" s="118" t="s">
        <v>187</v>
      </c>
      <c r="G23" s="123">
        <f>Utilidad!B20</f>
        <v>0</v>
      </c>
      <c r="H23" s="124">
        <f>IF(Utilidad!D20&gt;1,Utilidad!D20/100,Utilidad!D20)</f>
        <v>0</v>
      </c>
      <c r="J23" s="125">
        <f t="shared" si="0"/>
        <v>0</v>
      </c>
      <c r="K23" s="125">
        <f t="shared" si="1"/>
        <v>0</v>
      </c>
      <c r="L23" s="1"/>
      <c r="M23" s="127">
        <f t="shared" si="2"/>
        <v>0</v>
      </c>
      <c r="N23" s="127">
        <f t="shared" si="3"/>
        <v>0</v>
      </c>
      <c r="Q23" s="118" t="s">
        <v>187</v>
      </c>
      <c r="R23" s="124">
        <f>Utilidad!E20</f>
        <v>0</v>
      </c>
    </row>
    <row r="24" spans="1:18" ht="24" x14ac:dyDescent="0.3">
      <c r="A24" s="500">
        <v>20</v>
      </c>
      <c r="B24" s="118" t="s">
        <v>191</v>
      </c>
      <c r="C24" s="123">
        <f>Utilidad!A21</f>
        <v>0</v>
      </c>
      <c r="D24" s="124">
        <f>IF(Utilidad!C21&gt;1,Utilidad!C21/100,Utilidad!C21)</f>
        <v>0</v>
      </c>
      <c r="F24" s="118" t="s">
        <v>191</v>
      </c>
      <c r="G24" s="123">
        <f>Utilidad!B21</f>
        <v>0</v>
      </c>
      <c r="H24" s="124">
        <f>IF(Utilidad!D21&gt;1,Utilidad!D21/100,Utilidad!D21)</f>
        <v>0</v>
      </c>
      <c r="J24" s="125">
        <f t="shared" si="0"/>
        <v>0</v>
      </c>
      <c r="K24" s="125">
        <f t="shared" si="1"/>
        <v>0</v>
      </c>
      <c r="L24" s="1"/>
      <c r="M24" s="127">
        <f t="shared" si="2"/>
        <v>0</v>
      </c>
      <c r="N24" s="127">
        <f t="shared" si="3"/>
        <v>0</v>
      </c>
      <c r="Q24" s="118" t="s">
        <v>191</v>
      </c>
      <c r="R24" s="124">
        <f>Utilidad!E21</f>
        <v>1</v>
      </c>
    </row>
    <row r="25" spans="1:18" ht="24" x14ac:dyDescent="0.3">
      <c r="A25" s="500">
        <v>21</v>
      </c>
      <c r="B25" s="118" t="s">
        <v>143</v>
      </c>
      <c r="C25" s="123">
        <f>Utilidad!A22</f>
        <v>0</v>
      </c>
      <c r="D25" s="124">
        <f>IF(Utilidad!C22&gt;1,Utilidad!C22/100,Utilidad!C22)</f>
        <v>0</v>
      </c>
      <c r="F25" s="118" t="s">
        <v>143</v>
      </c>
      <c r="G25" s="123">
        <f>Utilidad!B22</f>
        <v>0</v>
      </c>
      <c r="H25" s="124">
        <f>IF(Utilidad!D22&gt;1,Utilidad!D22/100,Utilidad!D22)</f>
        <v>0</v>
      </c>
      <c r="J25" s="125">
        <f t="shared" si="0"/>
        <v>0</v>
      </c>
      <c r="K25" s="125">
        <f t="shared" si="1"/>
        <v>0</v>
      </c>
      <c r="L25" s="1"/>
      <c r="M25" s="127">
        <f t="shared" si="2"/>
        <v>0</v>
      </c>
      <c r="N25" s="127">
        <f t="shared" si="3"/>
        <v>0</v>
      </c>
      <c r="Q25" s="118" t="s">
        <v>143</v>
      </c>
      <c r="R25" s="124">
        <f>Utilidad!E22</f>
        <v>0</v>
      </c>
    </row>
    <row r="26" spans="1:18" ht="24" x14ac:dyDescent="0.3">
      <c r="A26" s="500">
        <v>22</v>
      </c>
      <c r="B26" s="118" t="s">
        <v>144</v>
      </c>
      <c r="C26" s="123">
        <f>Utilidad!A23</f>
        <v>0</v>
      </c>
      <c r="D26" s="124">
        <f>IF(Utilidad!C23&gt;1,Utilidad!C23/100,Utilidad!C23)</f>
        <v>0</v>
      </c>
      <c r="F26" s="118" t="s">
        <v>144</v>
      </c>
      <c r="G26" s="123">
        <f>Utilidad!B23</f>
        <v>0</v>
      </c>
      <c r="H26" s="124">
        <f>IF(Utilidad!D23&gt;1,Utilidad!D23/100,Utilidad!D23)</f>
        <v>0</v>
      </c>
      <c r="J26" s="125">
        <f t="shared" si="0"/>
        <v>0</v>
      </c>
      <c r="K26" s="125">
        <f t="shared" si="1"/>
        <v>0</v>
      </c>
      <c r="L26" s="1"/>
      <c r="M26" s="127">
        <f t="shared" si="2"/>
        <v>0</v>
      </c>
      <c r="N26" s="127">
        <f t="shared" si="3"/>
        <v>0</v>
      </c>
      <c r="Q26" s="118" t="s">
        <v>144</v>
      </c>
      <c r="R26" s="124">
        <f>Utilidad!E23</f>
        <v>0</v>
      </c>
    </row>
    <row r="27" spans="1:18" ht="24" x14ac:dyDescent="0.3">
      <c r="A27" s="500">
        <v>23</v>
      </c>
      <c r="B27" s="118" t="s">
        <v>145</v>
      </c>
      <c r="C27" s="123">
        <f>Utilidad!A24</f>
        <v>0</v>
      </c>
      <c r="D27" s="124">
        <f>IF(Utilidad!C24&gt;1,Utilidad!C24/100,Utilidad!C24)</f>
        <v>0</v>
      </c>
      <c r="F27" s="118" t="s">
        <v>145</v>
      </c>
      <c r="G27" s="123">
        <f>Utilidad!B24</f>
        <v>0</v>
      </c>
      <c r="H27" s="124">
        <f>IF(Utilidad!D24&gt;1,Utilidad!D24/100,Utilidad!D24)</f>
        <v>0</v>
      </c>
      <c r="J27" s="125">
        <f t="shared" si="0"/>
        <v>0</v>
      </c>
      <c r="K27" s="125">
        <f t="shared" si="1"/>
        <v>0</v>
      </c>
      <c r="L27" s="1"/>
      <c r="M27" s="127">
        <f t="shared" si="2"/>
        <v>0</v>
      </c>
      <c r="N27" s="127">
        <f t="shared" si="3"/>
        <v>0</v>
      </c>
      <c r="Q27" s="118" t="s">
        <v>145</v>
      </c>
      <c r="R27" s="124">
        <f>Utilidad!E24</f>
        <v>0</v>
      </c>
    </row>
    <row r="28" spans="1:18" ht="24" x14ac:dyDescent="0.3">
      <c r="A28" s="500">
        <v>24</v>
      </c>
      <c r="B28" s="118" t="s">
        <v>146</v>
      </c>
      <c r="C28" s="123">
        <f>Utilidad!A25</f>
        <v>0</v>
      </c>
      <c r="D28" s="124">
        <f>IF(Utilidad!C25&gt;1,Utilidad!C25/100,Utilidad!C25)</f>
        <v>0</v>
      </c>
      <c r="F28" s="118" t="s">
        <v>146</v>
      </c>
      <c r="G28" s="123">
        <f>Utilidad!B25</f>
        <v>0</v>
      </c>
      <c r="H28" s="124">
        <f>IF(Utilidad!D25&gt;1,Utilidad!D25/100,Utilidad!D25)</f>
        <v>0</v>
      </c>
      <c r="J28" s="125">
        <f t="shared" si="0"/>
        <v>0</v>
      </c>
      <c r="K28" s="125">
        <f t="shared" si="1"/>
        <v>0</v>
      </c>
      <c r="L28" s="1"/>
      <c r="M28" s="127">
        <f t="shared" si="2"/>
        <v>0</v>
      </c>
      <c r="N28" s="127">
        <f t="shared" si="3"/>
        <v>0</v>
      </c>
      <c r="Q28" s="118" t="s">
        <v>146</v>
      </c>
      <c r="R28" s="124">
        <f>Utilidad!E25</f>
        <v>0</v>
      </c>
    </row>
    <row r="29" spans="1:18" ht="24" x14ac:dyDescent="0.3">
      <c r="A29" s="500">
        <v>25</v>
      </c>
      <c r="B29" s="118" t="s">
        <v>147</v>
      </c>
      <c r="C29" s="123">
        <f>Utilidad!A26</f>
        <v>0</v>
      </c>
      <c r="D29" s="124">
        <f>IF(Utilidad!C26&gt;1,Utilidad!C26/100,Utilidad!C26)</f>
        <v>0</v>
      </c>
      <c r="F29" s="118" t="s">
        <v>147</v>
      </c>
      <c r="G29" s="123">
        <f>Utilidad!B26</f>
        <v>0</v>
      </c>
      <c r="H29" s="124">
        <f>IF(Utilidad!D26&gt;1,Utilidad!D26/100,Utilidad!D26)</f>
        <v>0</v>
      </c>
      <c r="J29" s="125">
        <f t="shared" si="0"/>
        <v>0</v>
      </c>
      <c r="K29" s="125">
        <f t="shared" si="1"/>
        <v>0</v>
      </c>
      <c r="L29" s="1"/>
      <c r="M29" s="127">
        <f t="shared" si="2"/>
        <v>0</v>
      </c>
      <c r="N29" s="127">
        <f t="shared" si="3"/>
        <v>0</v>
      </c>
      <c r="Q29" s="118" t="s">
        <v>147</v>
      </c>
      <c r="R29" s="124">
        <f>Utilidad!E26</f>
        <v>0</v>
      </c>
    </row>
    <row r="30" spans="1:18" ht="24" x14ac:dyDescent="0.3">
      <c r="A30" s="500">
        <v>26</v>
      </c>
      <c r="B30" s="118" t="s">
        <v>10</v>
      </c>
      <c r="C30" s="123">
        <f>Utilidad!A27</f>
        <v>-51216</v>
      </c>
      <c r="D30" s="124">
        <f>IF(Utilidad!C27&gt;1,Utilidad!C27/100,Utilidad!C27)</f>
        <v>0</v>
      </c>
      <c r="F30" s="118" t="s">
        <v>10</v>
      </c>
      <c r="G30" s="123">
        <f>Utilidad!B27</f>
        <v>-35851.199999999997</v>
      </c>
      <c r="H30" s="124">
        <f>IF(Utilidad!D27&gt;1,Utilidad!D27/100,Utilidad!D27)</f>
        <v>0</v>
      </c>
      <c r="J30" s="125">
        <f t="shared" si="0"/>
        <v>-0.30000000000000004</v>
      </c>
      <c r="K30" s="125">
        <f t="shared" si="1"/>
        <v>0</v>
      </c>
      <c r="L30" s="1"/>
      <c r="M30" s="127">
        <f t="shared" si="2"/>
        <v>0.30000000000000004</v>
      </c>
      <c r="N30" s="127">
        <f t="shared" si="3"/>
        <v>0</v>
      </c>
      <c r="Q30" s="118" t="s">
        <v>10</v>
      </c>
      <c r="R30" s="124">
        <f>Utilidad!E27</f>
        <v>5.0000000000000001E-3</v>
      </c>
    </row>
    <row r="31" spans="1:18" ht="24" x14ac:dyDescent="0.3">
      <c r="A31" s="500">
        <v>27</v>
      </c>
      <c r="B31" s="118" t="s">
        <v>200</v>
      </c>
      <c r="C31" s="123">
        <f>Utilidad!A28</f>
        <v>0</v>
      </c>
      <c r="D31" s="124">
        <f>IF(Utilidad!C28&gt;1,Utilidad!C28/100,Utilidad!C28)</f>
        <v>0</v>
      </c>
      <c r="F31" s="118" t="s">
        <v>200</v>
      </c>
      <c r="G31" s="123">
        <f>Utilidad!B28</f>
        <v>0</v>
      </c>
      <c r="H31" s="124">
        <f>IF(Utilidad!D28&gt;1,Utilidad!D28/100,Utilidad!D28)</f>
        <v>0</v>
      </c>
      <c r="J31" s="125">
        <f t="shared" si="0"/>
        <v>0</v>
      </c>
      <c r="K31" s="125">
        <f t="shared" si="1"/>
        <v>0</v>
      </c>
      <c r="L31" s="1"/>
      <c r="M31" s="127">
        <f t="shared" si="2"/>
        <v>0</v>
      </c>
      <c r="N31" s="127">
        <f t="shared" si="3"/>
        <v>0</v>
      </c>
      <c r="Q31" s="118" t="s">
        <v>200</v>
      </c>
      <c r="R31" s="124">
        <f>Utilidad!E28</f>
        <v>0</v>
      </c>
    </row>
    <row r="32" spans="1:18" ht="24" x14ac:dyDescent="0.3">
      <c r="A32" s="500">
        <v>28</v>
      </c>
      <c r="B32" s="304" t="s">
        <v>260</v>
      </c>
      <c r="C32" s="123">
        <f>Utilidad!A29</f>
        <v>0</v>
      </c>
      <c r="D32" s="124">
        <f>IF(Utilidad!C29&gt;1,Utilidad!C29/100,Utilidad!C29)</f>
        <v>0</v>
      </c>
      <c r="E32" s="305"/>
      <c r="F32" s="304" t="s">
        <v>260</v>
      </c>
      <c r="G32" s="123">
        <f>Utilidad!B29</f>
        <v>0</v>
      </c>
      <c r="H32" s="124">
        <f>IF(Utilidad!D29&gt;1,Utilidad!D29/100,Utilidad!D29)</f>
        <v>0</v>
      </c>
      <c r="I32" s="305"/>
      <c r="J32" s="306">
        <f t="shared" si="0"/>
        <v>0</v>
      </c>
      <c r="K32" s="306">
        <f t="shared" si="1"/>
        <v>0</v>
      </c>
      <c r="L32" s="307"/>
      <c r="M32" s="308">
        <f t="shared" si="2"/>
        <v>0</v>
      </c>
      <c r="N32" s="308">
        <f t="shared" si="3"/>
        <v>0</v>
      </c>
      <c r="O32" s="305"/>
      <c r="P32" s="305"/>
      <c r="Q32" s="304" t="s">
        <v>260</v>
      </c>
      <c r="R32" s="124">
        <f>Utilidad!E29</f>
        <v>0.01</v>
      </c>
    </row>
    <row r="33" spans="1:18" ht="24" x14ac:dyDescent="0.3">
      <c r="A33" s="500">
        <v>29</v>
      </c>
      <c r="B33" s="314" t="s">
        <v>261</v>
      </c>
      <c r="C33" s="123">
        <f>Utilidad!A30</f>
        <v>0</v>
      </c>
      <c r="D33" s="124">
        <f>IF(Utilidad!C30&gt;1,Utilidad!C30/100,Utilidad!C30)</f>
        <v>0.68650000000000011</v>
      </c>
      <c r="E33" s="315"/>
      <c r="F33" s="314" t="s">
        <v>261</v>
      </c>
      <c r="G33" s="123">
        <f>Utilidad!B30</f>
        <v>0</v>
      </c>
      <c r="H33" s="124">
        <f>IF(Utilidad!D30&gt;1,Utilidad!D30/100,Utilidad!D30)</f>
        <v>0.68650000000000011</v>
      </c>
      <c r="I33" s="315"/>
      <c r="J33" s="316">
        <f t="shared" si="0"/>
        <v>0</v>
      </c>
      <c r="K33" s="316">
        <f t="shared" si="1"/>
        <v>0</v>
      </c>
      <c r="L33" s="317"/>
      <c r="M33" s="318">
        <f t="shared" si="2"/>
        <v>0</v>
      </c>
      <c r="N33" s="318">
        <f t="shared" si="3"/>
        <v>0</v>
      </c>
      <c r="O33" s="315"/>
      <c r="P33" s="315"/>
      <c r="Q33" s="314" t="s">
        <v>261</v>
      </c>
      <c r="R33" s="124">
        <f>Utilidad!E30</f>
        <v>0.01</v>
      </c>
    </row>
    <row r="34" spans="1:18" ht="24" x14ac:dyDescent="0.3">
      <c r="A34" s="500">
        <v>30</v>
      </c>
      <c r="B34" s="304" t="s">
        <v>266</v>
      </c>
      <c r="C34" s="123">
        <f>Utilidad!A31</f>
        <v>989</v>
      </c>
      <c r="D34" s="124">
        <f>IF(Utilidad!C31&gt;1,Utilidad!C31/100,Utilidad!C31)</f>
        <v>0.59760000000000002</v>
      </c>
      <c r="E34" s="305"/>
      <c r="F34" s="304" t="s">
        <v>266</v>
      </c>
      <c r="G34" s="123">
        <f>Utilidad!B31</f>
        <v>692.3</v>
      </c>
      <c r="H34" s="124">
        <f>IF(Utilidad!D31&gt;1,Utilidad!D31/100,Utilidad!D31)</f>
        <v>0.56772</v>
      </c>
      <c r="I34" s="305"/>
      <c r="J34" s="316">
        <f t="shared" ref="J34" si="8">+IF(C34&lt;&gt;0,(G34-C34)/C34,ABS(G34-C34))</f>
        <v>-0.30000000000000004</v>
      </c>
      <c r="K34" s="316">
        <f t="shared" ref="K34" si="9">+IF(D34&lt;&gt;0,(H34-D34)/D34,0)</f>
        <v>-5.0000000000000031E-2</v>
      </c>
      <c r="L34" s="307"/>
      <c r="M34" s="318">
        <f t="shared" ref="M34" si="10">+IF(J34&lt;&gt;"",ABS(J34),0)</f>
        <v>0.30000000000000004</v>
      </c>
      <c r="N34" s="318">
        <f t="shared" ref="N34" si="11">+IF(J34&lt;&gt;"",ABS(K34),0)</f>
        <v>5.0000000000000031E-2</v>
      </c>
      <c r="O34" s="305"/>
      <c r="P34" s="305"/>
      <c r="Q34" s="118" t="s">
        <v>266</v>
      </c>
      <c r="R34" s="124">
        <f>Utilidad!E31</f>
        <v>9.6968121743781464E-3</v>
      </c>
    </row>
    <row r="35" spans="1:18" ht="24" x14ac:dyDescent="0.3">
      <c r="A35" s="500">
        <v>31</v>
      </c>
      <c r="B35" s="304" t="s">
        <v>9</v>
      </c>
      <c r="C35" s="123">
        <f>Utilidad!A32</f>
        <v>91681</v>
      </c>
      <c r="D35" s="124">
        <f>IF(Utilidad!C32&gt;1,Utilidad!C32/100,Utilidad!C32)</f>
        <v>0.68650000000000011</v>
      </c>
      <c r="E35" s="305"/>
      <c r="F35" s="304" t="s">
        <v>9</v>
      </c>
      <c r="G35" s="123">
        <f>Utilidad!B32</f>
        <v>88265</v>
      </c>
      <c r="H35" s="124">
        <f>IF(Utilidad!D32&gt;1,Utilidad!D32/100,Utilidad!D32)</f>
        <v>0.68614693367000001</v>
      </c>
      <c r="I35" s="305"/>
      <c r="J35" s="316">
        <f t="shared" ref="J35" si="12">+IF(C35&lt;&gt;0,(G35-C35)/C35,ABS(G35-C35))</f>
        <v>-3.7259628494453592E-2</v>
      </c>
      <c r="K35" s="316">
        <f t="shared" ref="K35" si="13">+IF(D35&lt;&gt;0,(H35-D35)/D35,0)</f>
        <v>-5.142990968683113E-4</v>
      </c>
      <c r="L35" s="307"/>
      <c r="M35" s="318">
        <f t="shared" ref="M35" si="14">+IF(J35&lt;&gt;"",ABS(J35),0)</f>
        <v>3.7259628494453592E-2</v>
      </c>
      <c r="N35" s="318">
        <f t="shared" ref="N35" si="15">+IF(J35&lt;&gt;"",ABS(K35),0)</f>
        <v>5.142990968683113E-4</v>
      </c>
      <c r="O35" s="305"/>
      <c r="P35" s="305"/>
      <c r="Q35" s="304" t="s">
        <v>9</v>
      </c>
      <c r="R35" s="124">
        <f>Utilidad!E32</f>
        <v>7.6449041795111791E-2</v>
      </c>
    </row>
    <row r="36" spans="1:18" ht="24" x14ac:dyDescent="0.3">
      <c r="A36" s="500">
        <v>32</v>
      </c>
      <c r="B36" s="304" t="s">
        <v>268</v>
      </c>
      <c r="C36" s="123">
        <f>Utilidad!A33</f>
        <v>-39912</v>
      </c>
      <c r="D36" s="124">
        <f>IF(Utilidad!C33&gt;1,Utilidad!C33/100,Utilidad!C33)</f>
        <v>0.63300000000000001</v>
      </c>
      <c r="E36" s="305"/>
      <c r="F36" s="304" t="s">
        <v>268</v>
      </c>
      <c r="G36" s="123">
        <f>Utilidad!B33</f>
        <v>-39560</v>
      </c>
      <c r="H36" s="124">
        <f>IF(Utilidad!D33&gt;1,Utilidad!D33/100,Utilidad!D33)</f>
        <v>0.63361768545999997</v>
      </c>
      <c r="I36" s="305"/>
      <c r="J36" s="316">
        <f t="shared" ref="J36" si="16">+IF(C36&lt;&gt;0,(G36-C36)/C36,ABS(G36-C36))</f>
        <v>-8.8194026859090002E-3</v>
      </c>
      <c r="K36" s="316">
        <f t="shared" ref="K36" si="17">+IF(D36&lt;&gt;0,(H36-D36)/D36,0)</f>
        <v>9.7580641390199283E-4</v>
      </c>
      <c r="L36" s="307"/>
      <c r="M36" s="318">
        <f t="shared" ref="M36" si="18">+IF(J36&lt;&gt;"",ABS(J36),0)</f>
        <v>8.8194026859090002E-3</v>
      </c>
      <c r="N36" s="318">
        <f t="shared" ref="N36" si="19">+IF(J36&lt;&gt;"",ABS(K36),0)</f>
        <v>9.7580641390199283E-4</v>
      </c>
      <c r="O36" s="305"/>
      <c r="P36" s="305"/>
      <c r="Q36" s="304" t="s">
        <v>268</v>
      </c>
      <c r="R36" s="124">
        <f>Utilidad!E33</f>
        <v>9.6713366074297497E-3</v>
      </c>
    </row>
    <row r="37" spans="1:18" ht="24" x14ac:dyDescent="0.3">
      <c r="A37" s="500">
        <v>33</v>
      </c>
      <c r="B37" s="304" t="s">
        <v>269</v>
      </c>
      <c r="C37" s="123">
        <f>Utilidad!A34</f>
        <v>-12583</v>
      </c>
      <c r="D37" s="124">
        <f>IF(Utilidad!C34&gt;1,Utilidad!C34/100,Utilidad!C34)</f>
        <v>0.65</v>
      </c>
      <c r="E37" s="305"/>
      <c r="F37" s="304" t="s">
        <v>269</v>
      </c>
      <c r="G37" s="123">
        <f>Utilidad!B34</f>
        <v>-16357.9</v>
      </c>
      <c r="H37" s="124">
        <f>IF(Utilidad!D34&gt;1,Utilidad!D34/100,Utilidad!D34)</f>
        <v>0.6825</v>
      </c>
      <c r="I37" s="305"/>
      <c r="J37" s="316">
        <f t="shared" ref="J37:J38" si="20">+IF(C37&lt;&gt;0,(G37-C37)/C37,ABS(G37-C37))</f>
        <v>0.3</v>
      </c>
      <c r="K37" s="316">
        <f t="shared" ref="K37:K38" si="21">+IF(D37&lt;&gt;0,(H37-D37)/D37,0)</f>
        <v>4.9999999999999954E-2</v>
      </c>
      <c r="L37" s="307"/>
      <c r="M37" s="318">
        <f t="shared" ref="M37:M38" si="22">+IF(J37&lt;&gt;"",ABS(J37),0)</f>
        <v>0.3</v>
      </c>
      <c r="N37" s="318">
        <f t="shared" ref="N37:N38" si="23">+IF(J37&lt;&gt;"",ABS(K37),0)</f>
        <v>4.9999999999999954E-2</v>
      </c>
      <c r="O37" s="305"/>
      <c r="P37" s="305"/>
      <c r="Q37" s="304" t="s">
        <v>269</v>
      </c>
      <c r="R37" s="124">
        <f>Utilidad!E34</f>
        <v>5.0000000000000001E-3</v>
      </c>
    </row>
    <row r="38" spans="1:18" ht="24" x14ac:dyDescent="0.3">
      <c r="A38" s="500">
        <v>34</v>
      </c>
      <c r="B38" s="304" t="s">
        <v>270</v>
      </c>
      <c r="C38" s="123">
        <f>Utilidad!A35</f>
        <v>65670</v>
      </c>
      <c r="D38" s="124">
        <f>IF(Utilidad!C35&gt;1,Utilidad!C35/100,Utilidad!C35)</f>
        <v>0.65</v>
      </c>
      <c r="E38" s="305"/>
      <c r="F38" s="304" t="s">
        <v>270</v>
      </c>
      <c r="G38" s="123">
        <f>Utilidad!B35</f>
        <v>65670</v>
      </c>
      <c r="H38" s="124">
        <f>IF(Utilidad!D35&gt;1,Utilidad!D35/100,Utilidad!D35)</f>
        <v>0.65</v>
      </c>
      <c r="I38" s="305"/>
      <c r="J38" s="316">
        <f t="shared" si="20"/>
        <v>0</v>
      </c>
      <c r="K38" s="316">
        <f t="shared" si="21"/>
        <v>0</v>
      </c>
      <c r="L38" s="307"/>
      <c r="M38" s="318">
        <f t="shared" si="22"/>
        <v>0</v>
      </c>
      <c r="N38" s="318">
        <f t="shared" si="23"/>
        <v>0</v>
      </c>
      <c r="O38" s="305"/>
      <c r="P38" s="305"/>
      <c r="Q38" s="304" t="s">
        <v>270</v>
      </c>
      <c r="R38" s="124">
        <f>Utilidad!E35</f>
        <v>5.0000000000000001E-3</v>
      </c>
    </row>
    <row r="39" spans="1:18" ht="24" x14ac:dyDescent="0.3">
      <c r="A39" s="500">
        <v>35</v>
      </c>
      <c r="B39" s="314" t="s">
        <v>64</v>
      </c>
      <c r="C39" s="123">
        <f>Utilidad!A36</f>
        <v>0</v>
      </c>
      <c r="D39" s="124">
        <f>IF(Utilidad!C36&gt;1,Utilidad!C36/100,Utilidad!C36)</f>
        <v>0.82989999999999997</v>
      </c>
      <c r="E39" s="305"/>
      <c r="F39" s="314" t="s">
        <v>64</v>
      </c>
      <c r="G39" s="123">
        <f>Utilidad!B36</f>
        <v>0</v>
      </c>
      <c r="H39" s="124">
        <f>IF(Utilidad!D36&gt;1,Utilidad!D36/100,Utilidad!D36)</f>
        <v>0.90836855508685654</v>
      </c>
      <c r="I39" s="305"/>
      <c r="J39" s="316">
        <f>+IF(C39&lt;&gt;0,(G39-C39)/C39,ABS(G39-C39))</f>
        <v>0</v>
      </c>
      <c r="K39" s="316">
        <f>+IF(D39&lt;&gt;0,(H39-D39)/D39,0)</f>
        <v>9.4551819600983938E-2</v>
      </c>
      <c r="L39" s="307"/>
      <c r="M39" s="318">
        <f>+IF(J39&lt;&gt;"",ABS(J39),0)</f>
        <v>0</v>
      </c>
      <c r="N39" s="318">
        <f>+IF(J39&lt;&gt;"",ABS(K39),0)</f>
        <v>9.4551819600983938E-2</v>
      </c>
      <c r="O39" s="305"/>
      <c r="P39" s="305"/>
      <c r="Q39" s="314" t="s">
        <v>64</v>
      </c>
      <c r="R39" s="124">
        <f>Utilidad!E36</f>
        <v>0.82988350961181212</v>
      </c>
    </row>
    <row r="40" spans="1:18" ht="24" x14ac:dyDescent="0.3">
      <c r="A40" s="500">
        <v>36</v>
      </c>
      <c r="B40" s="314" t="s">
        <v>65</v>
      </c>
      <c r="C40" s="123">
        <f>Utilidad!A37</f>
        <v>0</v>
      </c>
      <c r="D40" s="124">
        <f>IF(Utilidad!C37&gt;1,Utilidad!C37/100,Utilidad!C37)</f>
        <v>0.96870000000000001</v>
      </c>
      <c r="E40" s="305"/>
      <c r="F40" s="314" t="s">
        <v>65</v>
      </c>
      <c r="G40" s="123">
        <f>Utilidad!B37</f>
        <v>0</v>
      </c>
      <c r="H40" s="124">
        <f>IF(Utilidad!D37&gt;1,Utilidad!D37/100,Utilidad!D37)</f>
        <v>0.99906645180420417</v>
      </c>
      <c r="I40" s="305"/>
      <c r="J40" s="316">
        <f>+IF(C40&lt;&gt;0,(G40-C40)/C40,ABS(G40-C40))</f>
        <v>0</v>
      </c>
      <c r="K40" s="316">
        <f>+IF(D40&lt;&gt;0,(H40-D40)/D40,0)</f>
        <v>3.1347632707963417E-2</v>
      </c>
      <c r="L40" s="307"/>
      <c r="M40" s="318">
        <f>+IF(J40&lt;&gt;"",ABS(J40),0)</f>
        <v>0</v>
      </c>
      <c r="N40" s="318">
        <f>+IF(J40&lt;&gt;"",ABS(K40),0)</f>
        <v>3.1347632707963417E-2</v>
      </c>
      <c r="O40" s="305"/>
      <c r="P40" s="305"/>
      <c r="Q40" s="314" t="s">
        <v>65</v>
      </c>
      <c r="R40" s="124">
        <f>Utilidad!E37</f>
        <v>0.96866077601964029</v>
      </c>
    </row>
    <row r="41" spans="1:18" x14ac:dyDescent="0.2"/>
    <row r="42" spans="1:18" x14ac:dyDescent="0.2"/>
    <row r="43" spans="1:18" x14ac:dyDescent="0.2"/>
    <row r="44" spans="1:18" ht="24" x14ac:dyDescent="0.3">
      <c r="B44" s="309"/>
      <c r="C44" s="310"/>
      <c r="D44" s="311"/>
      <c r="E44" s="305"/>
      <c r="F44" s="309"/>
      <c r="G44" s="310"/>
      <c r="H44" s="311"/>
      <c r="I44" s="305"/>
      <c r="J44" s="312"/>
      <c r="K44" s="312"/>
      <c r="L44" s="307"/>
      <c r="M44" s="313"/>
      <c r="N44" s="313"/>
      <c r="O44" s="305"/>
      <c r="P44" s="305"/>
      <c r="R44" s="311"/>
    </row>
    <row r="45" spans="1:18" ht="15.75" customHeight="1" x14ac:dyDescent="0.3">
      <c r="B45" s="309"/>
      <c r="C45" s="310"/>
      <c r="D45" s="311"/>
      <c r="E45" s="305"/>
      <c r="F45" s="309"/>
      <c r="G45" s="310"/>
      <c r="H45" s="311"/>
      <c r="I45" s="305"/>
      <c r="J45" s="312"/>
      <c r="K45" s="312"/>
      <c r="L45" s="307"/>
      <c r="M45" s="313"/>
      <c r="N45" s="313"/>
      <c r="O45" s="305"/>
      <c r="P45" s="305"/>
      <c r="Q45" s="309"/>
      <c r="R45" s="311"/>
    </row>
    <row r="46" spans="1:18" ht="15.75" customHeight="1" x14ac:dyDescent="0.3">
      <c r="B46" s="309"/>
      <c r="C46" s="310"/>
      <c r="D46" s="311"/>
      <c r="E46" s="305"/>
      <c r="F46" s="309"/>
      <c r="G46" s="310"/>
      <c r="H46" s="311"/>
      <c r="I46" s="305"/>
      <c r="J46" s="312"/>
      <c r="K46" s="312"/>
      <c r="L46" s="307"/>
      <c r="M46" s="313"/>
      <c r="N46" s="313"/>
      <c r="O46" s="305"/>
      <c r="P46" s="305"/>
      <c r="Q46" s="309"/>
      <c r="R46" s="311"/>
    </row>
    <row r="47" spans="1:18" ht="15.75" customHeight="1" x14ac:dyDescent="0.3">
      <c r="B47" s="309"/>
      <c r="C47" s="310"/>
      <c r="D47" s="311"/>
      <c r="E47" s="305"/>
      <c r="F47" s="309"/>
      <c r="G47" s="310"/>
      <c r="H47" s="311"/>
      <c r="I47" s="305"/>
      <c r="J47" s="312"/>
      <c r="K47" s="312"/>
      <c r="L47" s="307"/>
      <c r="M47" s="313"/>
      <c r="N47" s="313"/>
      <c r="O47" s="305"/>
      <c r="P47" s="305"/>
      <c r="Q47" s="309"/>
      <c r="R47" s="311"/>
    </row>
    <row r="48" spans="1:18" ht="15.75" customHeight="1" x14ac:dyDescent="0.3">
      <c r="B48" s="309"/>
      <c r="C48" s="310"/>
      <c r="D48" s="311"/>
      <c r="E48" s="305"/>
      <c r="F48" s="309"/>
      <c r="G48" s="310"/>
      <c r="H48" s="311"/>
      <c r="I48" s="305"/>
      <c r="J48" s="312"/>
      <c r="K48" s="312"/>
      <c r="L48" s="307"/>
      <c r="M48" s="313"/>
      <c r="N48" s="313"/>
      <c r="O48" s="305"/>
      <c r="P48" s="305"/>
      <c r="Q48" s="309"/>
      <c r="R48" s="311"/>
    </row>
    <row r="49" spans="2:18" ht="15.75" customHeight="1" x14ac:dyDescent="0.3">
      <c r="B49" s="309"/>
      <c r="C49" s="310"/>
      <c r="D49" s="311"/>
      <c r="E49" s="305"/>
      <c r="F49" s="309"/>
      <c r="G49" s="310"/>
      <c r="H49" s="311"/>
      <c r="I49" s="305"/>
      <c r="J49" s="312"/>
      <c r="K49" s="312"/>
      <c r="L49" s="307"/>
      <c r="M49" s="313"/>
      <c r="N49" s="313"/>
      <c r="O49" s="305"/>
      <c r="P49" s="305"/>
      <c r="Q49" s="309"/>
      <c r="R49" s="311"/>
    </row>
    <row r="50" spans="2:18" ht="15.75" customHeight="1" x14ac:dyDescent="0.3">
      <c r="B50" s="309"/>
      <c r="C50" s="310"/>
      <c r="D50" s="311"/>
      <c r="E50" s="305"/>
      <c r="F50" s="309"/>
      <c r="G50" s="310"/>
      <c r="H50" s="311"/>
      <c r="I50" s="305"/>
      <c r="J50" s="312"/>
      <c r="K50" s="312"/>
      <c r="L50" s="307"/>
      <c r="M50" s="313"/>
      <c r="N50" s="313"/>
      <c r="O50" s="305"/>
      <c r="P50" s="305"/>
      <c r="Q50" s="309"/>
      <c r="R50" s="311"/>
    </row>
    <row r="51" spans="2:18" ht="15.75" customHeight="1" x14ac:dyDescent="0.3">
      <c r="B51" s="309"/>
      <c r="C51" s="310"/>
      <c r="D51" s="311"/>
      <c r="E51" s="305"/>
      <c r="F51" s="309"/>
      <c r="G51" s="310"/>
      <c r="H51" s="311"/>
      <c r="I51" s="305"/>
      <c r="J51" s="312"/>
      <c r="K51" s="312"/>
      <c r="L51" s="307"/>
      <c r="M51" s="313"/>
      <c r="N51" s="313"/>
      <c r="O51" s="305"/>
      <c r="P51" s="305"/>
      <c r="Q51" s="309"/>
      <c r="R51" s="311"/>
    </row>
    <row r="52" spans="2:18" ht="15.75" customHeight="1" x14ac:dyDescent="0.3">
      <c r="B52" s="309"/>
      <c r="C52" s="310"/>
      <c r="D52" s="311"/>
      <c r="E52" s="305"/>
      <c r="F52" s="309"/>
      <c r="G52" s="310"/>
      <c r="H52" s="311"/>
      <c r="I52" s="305"/>
      <c r="J52" s="312"/>
      <c r="K52" s="312"/>
      <c r="L52" s="307"/>
      <c r="M52" s="313"/>
      <c r="N52" s="313"/>
      <c r="O52" s="305"/>
      <c r="P52" s="305"/>
      <c r="Q52" s="309"/>
      <c r="R52" s="311"/>
    </row>
    <row r="53" spans="2:18" ht="15.75" customHeight="1" x14ac:dyDescent="0.3">
      <c r="B53" s="309"/>
      <c r="C53" s="310"/>
      <c r="D53" s="311"/>
      <c r="E53" s="305"/>
      <c r="F53" s="309"/>
      <c r="G53" s="310"/>
      <c r="H53" s="311"/>
      <c r="I53" s="305"/>
      <c r="J53" s="312"/>
      <c r="K53" s="312"/>
      <c r="L53" s="307"/>
      <c r="M53" s="313"/>
      <c r="N53" s="313"/>
      <c r="O53" s="305"/>
      <c r="P53" s="305"/>
      <c r="Q53" s="309"/>
      <c r="R53" s="311"/>
    </row>
    <row r="54" spans="2:18" ht="15.75" customHeight="1" x14ac:dyDescent="0.3">
      <c r="B54" s="309"/>
      <c r="C54" s="310"/>
      <c r="D54" s="311"/>
      <c r="E54" s="305"/>
      <c r="F54" s="309"/>
      <c r="G54" s="310"/>
      <c r="H54" s="311"/>
      <c r="I54" s="305"/>
      <c r="J54" s="312"/>
      <c r="K54" s="312"/>
      <c r="L54" s="307"/>
      <c r="M54" s="313"/>
      <c r="N54" s="313"/>
      <c r="O54" s="305"/>
      <c r="P54" s="305"/>
      <c r="Q54" s="309"/>
      <c r="R54" s="311"/>
    </row>
    <row r="55" spans="2:18" ht="15.75" customHeight="1" x14ac:dyDescent="0.3">
      <c r="B55" s="309"/>
      <c r="C55" s="310"/>
      <c r="D55" s="311"/>
      <c r="E55" s="305"/>
      <c r="F55" s="309"/>
      <c r="G55" s="310"/>
      <c r="H55" s="311"/>
      <c r="I55" s="305"/>
      <c r="J55" s="312"/>
      <c r="K55" s="312"/>
      <c r="L55" s="307"/>
      <c r="M55" s="313"/>
      <c r="N55" s="313"/>
      <c r="O55" s="305"/>
      <c r="P55" s="305"/>
      <c r="Q55" s="309"/>
      <c r="R55" s="311"/>
    </row>
    <row r="56" spans="2:18" ht="15.75" customHeight="1" x14ac:dyDescent="0.3">
      <c r="B56" s="309"/>
      <c r="C56" s="310"/>
      <c r="D56" s="311"/>
      <c r="E56" s="305"/>
      <c r="F56" s="309"/>
      <c r="G56" s="310"/>
      <c r="H56" s="311"/>
      <c r="I56" s="305"/>
      <c r="J56" s="312"/>
      <c r="K56" s="312"/>
      <c r="L56" s="307"/>
      <c r="M56" s="313"/>
      <c r="N56" s="313"/>
      <c r="O56" s="305"/>
      <c r="P56" s="305"/>
      <c r="Q56" s="309"/>
      <c r="R56" s="311"/>
    </row>
    <row r="57" spans="2:18" ht="15.75" customHeight="1" x14ac:dyDescent="0.3">
      <c r="B57" s="309"/>
      <c r="C57" s="310"/>
      <c r="D57" s="311"/>
      <c r="E57" s="305"/>
      <c r="F57" s="309"/>
      <c r="G57" s="310"/>
      <c r="H57" s="311"/>
      <c r="I57" s="305"/>
      <c r="J57" s="312"/>
      <c r="K57" s="312"/>
      <c r="L57" s="307"/>
      <c r="M57" s="313"/>
      <c r="N57" s="313"/>
      <c r="O57" s="305"/>
      <c r="P57" s="305"/>
      <c r="Q57" s="309"/>
      <c r="R57" s="311"/>
    </row>
    <row r="58" spans="2:18" ht="15.75" customHeight="1" x14ac:dyDescent="0.3">
      <c r="B58" s="309"/>
      <c r="C58" s="310"/>
      <c r="D58" s="311"/>
      <c r="E58" s="305"/>
      <c r="F58" s="309"/>
      <c r="G58" s="310"/>
      <c r="H58" s="311"/>
      <c r="I58" s="305"/>
      <c r="J58" s="312"/>
      <c r="K58" s="312"/>
      <c r="L58" s="307"/>
      <c r="M58" s="313"/>
      <c r="N58" s="313"/>
      <c r="O58" s="305"/>
      <c r="P58" s="305"/>
      <c r="Q58" s="309"/>
      <c r="R58" s="311"/>
    </row>
    <row r="59" spans="2:18" ht="15.75" customHeight="1" x14ac:dyDescent="0.3">
      <c r="B59" s="309"/>
      <c r="C59" s="310"/>
      <c r="D59" s="311"/>
      <c r="E59" s="305"/>
      <c r="F59" s="309"/>
      <c r="G59" s="310"/>
      <c r="H59" s="311"/>
      <c r="I59" s="305"/>
      <c r="J59" s="312"/>
      <c r="K59" s="312"/>
      <c r="L59" s="307"/>
      <c r="M59" s="313"/>
      <c r="N59" s="313"/>
      <c r="O59" s="305"/>
      <c r="P59" s="305"/>
      <c r="Q59" s="309"/>
      <c r="R59" s="311"/>
    </row>
    <row r="60" spans="2:18" ht="15.75" customHeight="1" x14ac:dyDescent="0.3">
      <c r="B60" s="309"/>
      <c r="C60" s="310"/>
      <c r="D60" s="311"/>
      <c r="E60" s="305"/>
      <c r="F60" s="309"/>
      <c r="G60" s="310"/>
      <c r="H60" s="311"/>
      <c r="I60" s="305"/>
      <c r="J60" s="312"/>
      <c r="K60" s="312"/>
      <c r="L60" s="307"/>
      <c r="M60" s="313"/>
      <c r="N60" s="313"/>
      <c r="O60" s="305"/>
      <c r="P60" s="305"/>
      <c r="Q60" s="309"/>
      <c r="R60" s="311"/>
    </row>
    <row r="61" spans="2:18" ht="15.75" customHeight="1" x14ac:dyDescent="0.3">
      <c r="B61" s="309"/>
      <c r="C61" s="310"/>
      <c r="D61" s="311"/>
      <c r="E61" s="305"/>
      <c r="F61" s="309"/>
      <c r="G61" s="310"/>
      <c r="H61" s="311"/>
      <c r="I61" s="305"/>
      <c r="J61" s="312"/>
      <c r="K61" s="312"/>
      <c r="L61" s="307"/>
      <c r="M61" s="313"/>
      <c r="N61" s="313"/>
      <c r="O61" s="305"/>
      <c r="P61" s="305"/>
      <c r="Q61" s="309"/>
      <c r="R61" s="311"/>
    </row>
    <row r="62" spans="2:18" ht="15.75" customHeight="1" x14ac:dyDescent="0.3">
      <c r="B62" s="309"/>
      <c r="C62" s="310"/>
      <c r="D62" s="311"/>
      <c r="E62" s="305"/>
      <c r="F62" s="309"/>
      <c r="G62" s="310"/>
      <c r="H62" s="311"/>
      <c r="I62" s="305"/>
      <c r="J62" s="312"/>
      <c r="K62" s="312"/>
      <c r="L62" s="307"/>
      <c r="M62" s="313"/>
      <c r="N62" s="313"/>
      <c r="O62" s="305"/>
      <c r="P62" s="305"/>
      <c r="Q62" s="309"/>
      <c r="R62" s="311"/>
    </row>
    <row r="63" spans="2:18" ht="15.75" customHeight="1" x14ac:dyDescent="0.3">
      <c r="B63" s="309"/>
      <c r="C63" s="310"/>
      <c r="D63" s="311"/>
      <c r="E63" s="305"/>
      <c r="F63" s="309"/>
      <c r="G63" s="310"/>
      <c r="H63" s="311"/>
      <c r="I63" s="305"/>
      <c r="J63" s="312"/>
      <c r="K63" s="312"/>
      <c r="L63" s="307"/>
      <c r="M63" s="313"/>
      <c r="N63" s="313"/>
      <c r="O63" s="305"/>
      <c r="P63" s="305"/>
      <c r="Q63" s="309"/>
      <c r="R63" s="311"/>
    </row>
    <row r="64" spans="2:18" ht="15.75" customHeight="1" x14ac:dyDescent="0.3">
      <c r="B64" s="309"/>
      <c r="C64" s="310"/>
      <c r="D64" s="311"/>
      <c r="E64" s="305"/>
      <c r="F64" s="309"/>
      <c r="G64" s="310"/>
      <c r="H64" s="311"/>
      <c r="I64" s="305"/>
      <c r="J64" s="312"/>
      <c r="K64" s="312"/>
      <c r="L64" s="307"/>
      <c r="M64" s="313"/>
      <c r="N64" s="313"/>
      <c r="O64" s="305"/>
      <c r="P64" s="305"/>
      <c r="Q64" s="309"/>
      <c r="R64" s="311"/>
    </row>
    <row r="65" spans="2:18" ht="15.75" customHeight="1" x14ac:dyDescent="0.3">
      <c r="B65" s="309"/>
      <c r="C65" s="310"/>
      <c r="D65" s="311"/>
      <c r="E65" s="305"/>
      <c r="F65" s="309"/>
      <c r="G65" s="310"/>
      <c r="H65" s="311"/>
      <c r="I65" s="305"/>
      <c r="J65" s="312"/>
      <c r="K65" s="312"/>
      <c r="L65" s="307"/>
      <c r="M65" s="313"/>
      <c r="N65" s="313"/>
      <c r="O65" s="305"/>
      <c r="P65" s="305"/>
      <c r="Q65" s="309"/>
      <c r="R65" s="311"/>
    </row>
    <row r="66" spans="2:18" ht="15.75" customHeight="1" x14ac:dyDescent="0.3">
      <c r="B66" s="309"/>
      <c r="C66" s="310"/>
      <c r="D66" s="311"/>
      <c r="E66" s="305"/>
      <c r="F66" s="309"/>
      <c r="G66" s="310"/>
      <c r="H66" s="311"/>
      <c r="I66" s="305"/>
      <c r="J66" s="312"/>
      <c r="K66" s="312"/>
      <c r="L66" s="307"/>
      <c r="M66" s="313"/>
      <c r="N66" s="313"/>
      <c r="O66" s="305"/>
      <c r="P66" s="305"/>
      <c r="Q66" s="309"/>
      <c r="R66" s="311"/>
    </row>
    <row r="67" spans="2:18" ht="15.75" customHeight="1" x14ac:dyDescent="0.2"/>
    <row r="68" spans="2:18" ht="15.75" customHeight="1" x14ac:dyDescent="0.2"/>
    <row r="69" spans="2:18" ht="15.75" customHeight="1" x14ac:dyDescent="0.2"/>
    <row r="70" spans="2:18" ht="15.75" customHeight="1" x14ac:dyDescent="0.2"/>
    <row r="71" spans="2:18" ht="15.75" customHeight="1" x14ac:dyDescent="0.2"/>
    <row r="72" spans="2:18" ht="15.75" customHeight="1" x14ac:dyDescent="0.2"/>
    <row r="73" spans="2:18" ht="15.75" customHeight="1" x14ac:dyDescent="0.2"/>
    <row r="74" spans="2:18" ht="15.75" customHeight="1" x14ac:dyDescent="0.2"/>
    <row r="75" spans="2:18" ht="15.75" customHeight="1" x14ac:dyDescent="0.2"/>
    <row r="76" spans="2:18" ht="15.75" customHeight="1" x14ac:dyDescent="0.2"/>
    <row r="77" spans="2:18" ht="15.75" customHeight="1" x14ac:dyDescent="0.2"/>
    <row r="78" spans="2:18" ht="15.75" customHeight="1" x14ac:dyDescent="0.2"/>
    <row r="79" spans="2:18" ht="15.75" customHeight="1" x14ac:dyDescent="0.2"/>
    <row r="80" spans="2:18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3">
    <mergeCell ref="B2:D2"/>
    <mergeCell ref="F2:H2"/>
    <mergeCell ref="J2:K2"/>
  </mergeCells>
  <conditionalFormatting sqref="J4:K40 J44:K66">
    <cfRule type="expression" dxfId="1" priority="1">
      <formula>ABS(J4)&gt;=10%</formula>
    </cfRule>
  </conditionalFormatting>
  <conditionalFormatting sqref="L4:L5">
    <cfRule type="expression" dxfId="0" priority="2">
      <formula>ABS(L4)&gt;=10%</formula>
    </cfRule>
  </conditionalFormatting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D6D24-F817-5D4F-9534-7907C685BA25}">
  <sheetPr>
    <tabColor rgb="FFA8D08D"/>
    <pageSetUpPr fitToPage="1"/>
  </sheetPr>
  <dimension ref="B1:AX984"/>
  <sheetViews>
    <sheetView showGridLines="0" tabSelected="1" topLeftCell="D7" zoomScale="125" zoomScaleNormal="70" workbookViewId="0">
      <selection activeCell="I26" sqref="I26"/>
    </sheetView>
  </sheetViews>
  <sheetFormatPr baseColWidth="10" defaultColWidth="14.5" defaultRowHeight="15" customHeight="1" x14ac:dyDescent="0.2"/>
  <cols>
    <col min="1" max="1" width="2.5" style="131" customWidth="1"/>
    <col min="2" max="2" width="10.5" style="131" customWidth="1"/>
    <col min="3" max="3" width="15" style="131" bestFit="1" customWidth="1"/>
    <col min="4" max="4" width="30.5" style="131" customWidth="1"/>
    <col min="5" max="5" width="17.1640625" style="131" customWidth="1"/>
    <col min="6" max="6" width="12.5" style="131" customWidth="1"/>
    <col min="7" max="7" width="15.5" style="131" customWidth="1"/>
    <col min="8" max="8" width="17.5" style="131" customWidth="1"/>
    <col min="9" max="9" width="14.5" style="131"/>
    <col min="10" max="10" width="17.5" style="131" customWidth="1"/>
    <col min="11" max="11" width="16.1640625" style="131" customWidth="1"/>
    <col min="12" max="12" width="10.5" style="131" customWidth="1"/>
    <col min="13" max="13" width="12.5" style="131" customWidth="1"/>
    <col min="14" max="14" width="13" style="131" customWidth="1"/>
    <col min="15" max="15" width="13.5" style="131" customWidth="1"/>
    <col min="16" max="16" width="10.5" style="131" customWidth="1"/>
    <col min="17" max="17" width="13.5" style="131" customWidth="1"/>
    <col min="18" max="18" width="15.1640625" style="131" customWidth="1"/>
    <col min="19" max="19" width="16.5" style="131" customWidth="1"/>
    <col min="20" max="20" width="11.5" style="131" customWidth="1"/>
    <col min="21" max="21" width="15" style="131" customWidth="1"/>
    <col min="22" max="22" width="18.5" style="131" customWidth="1"/>
    <col min="23" max="24" width="12" style="131" customWidth="1"/>
    <col min="25" max="28" width="10.5" style="131" customWidth="1"/>
    <col min="29" max="29" width="18.1640625" style="131" customWidth="1"/>
    <col min="30" max="30" width="14.5" style="131" customWidth="1"/>
    <col min="31" max="36" width="14.5" style="131"/>
    <col min="37" max="37" width="23.5" style="131" customWidth="1"/>
    <col min="38" max="41" width="14.5" style="131"/>
    <col min="42" max="42" width="27.5" style="131" customWidth="1"/>
    <col min="43" max="43" width="21.83203125" style="131" bestFit="1" customWidth="1"/>
    <col min="44" max="16384" width="14.5" style="131"/>
  </cols>
  <sheetData>
    <row r="1" spans="2:50" ht="15" customHeight="1" thickBot="1" x14ac:dyDescent="0.25"/>
    <row r="2" spans="2:50" x14ac:dyDescent="0.2">
      <c r="B2" s="128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30"/>
    </row>
    <row r="3" spans="2:50" x14ac:dyDescent="0.2">
      <c r="B3" s="132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4" t="s">
        <v>159</v>
      </c>
      <c r="V3" s="133"/>
      <c r="W3" s="135" t="s">
        <v>160</v>
      </c>
      <c r="X3" s="136">
        <f>+S15+V13+X13</f>
        <v>33411.24</v>
      </c>
      <c r="Y3" s="137"/>
      <c r="AU3" s="131">
        <f>+AU8*AU10/100</f>
        <v>0</v>
      </c>
      <c r="AV3" s="131">
        <f t="shared" ref="AV3:AX3" si="0">+AV8*AV10/100</f>
        <v>0</v>
      </c>
      <c r="AW3" s="131">
        <f t="shared" si="0"/>
        <v>0</v>
      </c>
      <c r="AX3" s="131">
        <f t="shared" si="0"/>
        <v>0</v>
      </c>
    </row>
    <row r="4" spans="2:50" ht="19" x14ac:dyDescent="0.25">
      <c r="B4" s="138" t="s">
        <v>161</v>
      </c>
      <c r="C4" s="139">
        <f ca="1">TODAY()</f>
        <v>45386</v>
      </c>
      <c r="D4" s="140"/>
      <c r="E4" s="133"/>
      <c r="H4" s="141">
        <f>+AF7</f>
        <v>163082</v>
      </c>
      <c r="I4" s="142" t="s">
        <v>162</v>
      </c>
      <c r="J4" s="142" t="s">
        <v>163</v>
      </c>
      <c r="N4" s="143">
        <f>+AF8</f>
        <v>202642</v>
      </c>
      <c r="O4" s="133"/>
      <c r="P4" s="133"/>
      <c r="Q4" s="133"/>
      <c r="R4" s="133"/>
      <c r="T4" s="133"/>
      <c r="V4" s="133"/>
      <c r="W4" s="135" t="s">
        <v>164</v>
      </c>
      <c r="X4" s="136">
        <f>+W28+W27+U27+U28+S27+S28</f>
        <v>0</v>
      </c>
      <c r="Y4" s="137"/>
      <c r="AD4" s="616" t="s">
        <v>262</v>
      </c>
      <c r="AE4" s="616"/>
      <c r="AF4" s="616"/>
      <c r="AG4" s="616"/>
      <c r="AH4" s="144"/>
      <c r="AI4" s="144"/>
      <c r="AK4"/>
      <c r="AL4" s="617" t="s">
        <v>290</v>
      </c>
      <c r="AM4" s="617"/>
      <c r="AN4" s="617"/>
      <c r="AO4" s="617"/>
      <c r="AP4" s="617"/>
      <c r="AQ4" s="447" t="s">
        <v>288</v>
      </c>
      <c r="AR4" s="447" t="s">
        <v>163</v>
      </c>
    </row>
    <row r="5" spans="2:50" ht="16" x14ac:dyDescent="0.2">
      <c r="B5" s="138"/>
      <c r="C5" s="140"/>
      <c r="D5" s="140"/>
      <c r="E5" s="133"/>
      <c r="H5" s="145">
        <f>+AG7</f>
        <v>0.63392359511000007</v>
      </c>
      <c r="I5" s="451">
        <f>+AQ7</f>
        <v>391990.57000326342</v>
      </c>
      <c r="J5" s="451">
        <f>+AR7</f>
        <v>391638.34421121585</v>
      </c>
      <c r="N5" s="146">
        <f>+AG8</f>
        <v>0.63386387507999997</v>
      </c>
      <c r="O5" s="133"/>
      <c r="P5" s="133"/>
      <c r="Q5" s="133"/>
      <c r="R5" s="133"/>
      <c r="T5" s="133"/>
      <c r="U5" s="133"/>
      <c r="V5" s="133"/>
      <c r="W5" s="133"/>
      <c r="X5" s="133"/>
      <c r="Y5" s="137"/>
      <c r="AA5" s="608" t="s">
        <v>165</v>
      </c>
      <c r="AB5" s="618"/>
      <c r="AC5" s="609"/>
      <c r="AD5" s="147" t="s">
        <v>264</v>
      </c>
      <c r="AE5" s="147" t="s">
        <v>166</v>
      </c>
      <c r="AF5" s="147" t="s">
        <v>263</v>
      </c>
      <c r="AG5" s="147" t="s">
        <v>167</v>
      </c>
      <c r="AH5" s="147" t="s">
        <v>168</v>
      </c>
      <c r="AI5" s="147" t="s">
        <v>265</v>
      </c>
      <c r="AK5"/>
      <c r="AL5" s="448" t="s">
        <v>291</v>
      </c>
      <c r="AM5" s="448" t="s">
        <v>292</v>
      </c>
      <c r="AN5" s="448" t="s">
        <v>293</v>
      </c>
      <c r="AO5" s="448" t="s">
        <v>294</v>
      </c>
      <c r="AP5" s="448" t="s">
        <v>289</v>
      </c>
      <c r="AQ5" s="448" t="s">
        <v>289</v>
      </c>
      <c r="AR5" s="448" t="s">
        <v>289</v>
      </c>
      <c r="AU5" s="619"/>
      <c r="AV5" s="619"/>
      <c r="AW5" s="619"/>
      <c r="AX5" s="619"/>
    </row>
    <row r="6" spans="2:50" ht="16" x14ac:dyDescent="0.2">
      <c r="B6" s="138"/>
      <c r="C6" s="140"/>
      <c r="D6" s="140"/>
      <c r="F6" s="148" t="s">
        <v>169</v>
      </c>
      <c r="H6" s="149">
        <f>+H4*H5</f>
        <v>103381.52773772903</v>
      </c>
      <c r="J6" s="150">
        <f>+J5-I5</f>
        <v>-352.22579204756767</v>
      </c>
      <c r="K6" s="133"/>
      <c r="N6" s="151">
        <f>+N4*N5</f>
        <v>128447.44337396136</v>
      </c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7"/>
      <c r="Z6" s="152">
        <f>+AD6-AD7-AD9</f>
        <v>-1.1859918595291674E-4</v>
      </c>
      <c r="AA6" s="620" t="s">
        <v>170</v>
      </c>
      <c r="AB6" s="621"/>
      <c r="AC6" s="622"/>
      <c r="AD6" s="156">
        <f>Flujos!C4/(1-AE6)</f>
        <v>392092.81966883357</v>
      </c>
      <c r="AE6" s="157">
        <f>Flujos!R4</f>
        <v>9.2167453407737462E-3</v>
      </c>
      <c r="AF6" s="158">
        <f>Flujos!G4</f>
        <v>388479</v>
      </c>
      <c r="AG6" s="319">
        <f>Flujos!H4</f>
        <v>0.61631580448000001</v>
      </c>
      <c r="AH6" s="160"/>
      <c r="AI6" s="160">
        <f t="shared" ref="AI6:AI28" si="1">+AF6/(1-AE6)</f>
        <v>392092.81966883357</v>
      </c>
      <c r="AK6" s="450" t="s">
        <v>92</v>
      </c>
      <c r="AL6" s="162">
        <f>'Datos Extra'!B38</f>
        <v>149936</v>
      </c>
      <c r="AM6" s="162">
        <f>'Datos Extra'!C38</f>
        <v>150934.60122179985</v>
      </c>
      <c r="AN6" s="162">
        <f>'Datos Extra'!D38</f>
        <v>998.60122179985046</v>
      </c>
      <c r="AO6" s="162">
        <f>'Datos Extra'!E38</f>
        <v>9.6968121743781464E-3</v>
      </c>
      <c r="AP6" s="162">
        <f>'Datos Extra'!F38</f>
        <v>1453.9012301775617</v>
      </c>
      <c r="AQ6" s="163">
        <f>+AL6*(1-AO6)+AF9-AF10</f>
        <v>145251.09876982245</v>
      </c>
      <c r="AR6" s="163">
        <f>+AM6*(1-AO6)</f>
        <v>149471.01674313738</v>
      </c>
      <c r="AS6" s="322"/>
      <c r="AU6" s="323"/>
      <c r="AV6" s="323"/>
      <c r="AW6" s="323"/>
      <c r="AX6" s="323"/>
    </row>
    <row r="7" spans="2:50" ht="16" x14ac:dyDescent="0.2">
      <c r="B7" s="132"/>
      <c r="C7" s="133"/>
      <c r="D7" s="133"/>
      <c r="F7" s="143">
        <f>+AF6</f>
        <v>388479</v>
      </c>
      <c r="G7" s="133"/>
      <c r="H7" s="133"/>
      <c r="I7" s="133"/>
      <c r="J7" s="133"/>
      <c r="K7" s="133"/>
      <c r="L7" s="141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 t="s">
        <v>148</v>
      </c>
      <c r="Y7" s="137"/>
      <c r="AA7" s="623" t="s">
        <v>171</v>
      </c>
      <c r="AB7" s="624"/>
      <c r="AC7" s="625"/>
      <c r="AD7" s="156">
        <f>Flujos!C5/(1-AE7)</f>
        <v>164651.1418469153</v>
      </c>
      <c r="AE7" s="157">
        <f>Flujos!R5</f>
        <v>9.5300999999999997E-3</v>
      </c>
      <c r="AF7" s="158">
        <f>Flujos!G5</f>
        <v>163082</v>
      </c>
      <c r="AG7" s="319">
        <f>Flujos!H5</f>
        <v>0.63392359511000007</v>
      </c>
      <c r="AH7" s="160"/>
      <c r="AI7" s="160">
        <f t="shared" si="1"/>
        <v>164651.1418469153</v>
      </c>
      <c r="AK7" s="450" t="s">
        <v>93</v>
      </c>
      <c r="AL7" s="162">
        <f>'Datos Extra'!B39</f>
        <v>435765</v>
      </c>
      <c r="AM7" s="162">
        <f>'Datos Extra'!C39</f>
        <v>395462.99999999988</v>
      </c>
      <c r="AN7" s="162">
        <f>'Datos Extra'!D39</f>
        <v>-40302.000000000116</v>
      </c>
      <c r="AO7" s="162">
        <f>'Datos Extra'!E39</f>
        <v>9.6713366074297497E-3</v>
      </c>
      <c r="AP7" s="162">
        <f>'Datos Extra'!F39</f>
        <v>149046.44449790861</v>
      </c>
      <c r="AQ7" s="163">
        <f>+(AL7*(1-AO7)+AF7-AF8)+AF35+AF40+AF46</f>
        <v>391990.57000326342</v>
      </c>
      <c r="AR7" s="163">
        <f>+AM7*(1-AO7)</f>
        <v>391638.34421121585</v>
      </c>
      <c r="AS7" s="322"/>
      <c r="AT7" s="324"/>
      <c r="AU7" s="325"/>
      <c r="AV7" s="325"/>
      <c r="AW7" s="325"/>
      <c r="AX7" s="325"/>
    </row>
    <row r="8" spans="2:50" ht="16" x14ac:dyDescent="0.2">
      <c r="B8" s="132"/>
      <c r="C8" s="133"/>
      <c r="D8" s="133"/>
      <c r="F8" s="146">
        <f>+AG6</f>
        <v>0.61631580448000001</v>
      </c>
      <c r="G8" s="133"/>
      <c r="H8" s="133"/>
      <c r="I8" s="133"/>
      <c r="J8" s="133"/>
      <c r="K8" s="133"/>
      <c r="L8" s="133"/>
      <c r="M8" s="133"/>
      <c r="N8" s="133"/>
      <c r="P8" s="133"/>
      <c r="Q8" s="133"/>
      <c r="R8" s="164">
        <f>+AF30</f>
        <v>0</v>
      </c>
      <c r="S8" s="133"/>
      <c r="U8" s="141">
        <f>+AF35</f>
        <v>0</v>
      </c>
      <c r="W8" s="141">
        <f>+AF41</f>
        <v>0</v>
      </c>
      <c r="X8" s="141"/>
      <c r="Y8" s="137"/>
      <c r="AA8" s="620" t="s">
        <v>172</v>
      </c>
      <c r="AB8" s="621"/>
      <c r="AC8" s="622"/>
      <c r="AD8" s="156">
        <f>Flujos!C6/(1-AE8)</f>
        <v>204999.49418310571</v>
      </c>
      <c r="AE8" s="157">
        <f>Flujos!R6</f>
        <v>1.15E-2</v>
      </c>
      <c r="AF8" s="158">
        <f>Flujos!G6</f>
        <v>202642</v>
      </c>
      <c r="AG8" s="319">
        <f>Flujos!H6</f>
        <v>0.63386387507999997</v>
      </c>
      <c r="AH8" s="160"/>
      <c r="AI8" s="160">
        <f t="shared" si="1"/>
        <v>204999.49418310571</v>
      </c>
      <c r="AK8" s="450" t="s">
        <v>282</v>
      </c>
      <c r="AL8" s="162">
        <f>'Datos Extra'!B40</f>
        <v>0</v>
      </c>
      <c r="AM8" s="162">
        <f>'Datos Extra'!C40</f>
        <v>-2927.9471969604492</v>
      </c>
      <c r="AN8" s="162">
        <f>'Datos Extra'!D40</f>
        <v>-2927.9471969604492</v>
      </c>
      <c r="AO8" s="162">
        <f>'Datos Extra'!E40</f>
        <v>8.6E-3</v>
      </c>
      <c r="AP8" s="162">
        <f>'Datos Extra'!F40</f>
        <v>8030.3399999999992</v>
      </c>
      <c r="AQ8" s="163"/>
      <c r="AR8" s="163"/>
      <c r="AS8" s="322"/>
      <c r="AT8" s="324"/>
      <c r="AU8" s="325"/>
      <c r="AV8" s="325"/>
      <c r="AW8" s="325"/>
      <c r="AX8" s="325"/>
    </row>
    <row r="9" spans="2:50" ht="16" x14ac:dyDescent="0.2">
      <c r="B9" s="132"/>
      <c r="C9" s="133"/>
      <c r="D9" s="133"/>
      <c r="F9" s="151">
        <f>+F7*F8</f>
        <v>239425.74740858591</v>
      </c>
      <c r="G9" s="133"/>
      <c r="H9" s="141">
        <f>+AF9</f>
        <v>225397</v>
      </c>
      <c r="I9" s="133"/>
      <c r="J9" s="133"/>
      <c r="K9" s="133"/>
      <c r="L9" s="133"/>
      <c r="M9" s="133"/>
      <c r="N9" s="133"/>
      <c r="P9" s="133"/>
      <c r="Q9" s="133"/>
      <c r="R9" s="165"/>
      <c r="S9" s="133"/>
      <c r="T9" s="133"/>
      <c r="U9" s="133"/>
      <c r="W9" s="133"/>
      <c r="X9" s="133"/>
      <c r="Y9" s="137"/>
      <c r="AA9" s="623" t="s">
        <v>173</v>
      </c>
      <c r="AB9" s="624"/>
      <c r="AC9" s="625"/>
      <c r="AD9" s="156">
        <f>Flujos!C7/(1-AE9)</f>
        <v>227441.67794051746</v>
      </c>
      <c r="AE9" s="157">
        <f>Flujos!R7</f>
        <v>8.9899000000000003E-3</v>
      </c>
      <c r="AF9" s="158">
        <f>Flujos!G7</f>
        <v>225397</v>
      </c>
      <c r="AG9" s="319">
        <f>Flujos!H7</f>
        <v>0.603576</v>
      </c>
      <c r="AH9" s="156"/>
      <c r="AI9" s="160">
        <f t="shared" si="1"/>
        <v>227441.67794051746</v>
      </c>
      <c r="AK9" s="450" t="s">
        <v>283</v>
      </c>
      <c r="AL9" s="162">
        <f>'Datos Extra'!B41</f>
        <v>0</v>
      </c>
      <c r="AM9" s="162">
        <f>'Datos Extra'!C41</f>
        <v>-1980</v>
      </c>
      <c r="AN9" s="162">
        <f>'Datos Extra'!D41</f>
        <v>-1980</v>
      </c>
      <c r="AO9" s="162">
        <f>'Datos Extra'!E41</f>
        <v>0</v>
      </c>
      <c r="AP9" s="162">
        <f>'Datos Extra'!F41</f>
        <v>2700</v>
      </c>
      <c r="AQ9" s="163"/>
      <c r="AR9" s="163"/>
      <c r="AS9" s="322"/>
      <c r="AT9" s="324"/>
      <c r="AU9" s="326"/>
      <c r="AV9" s="326"/>
      <c r="AW9" s="326"/>
      <c r="AX9" s="326"/>
    </row>
    <row r="10" spans="2:50" ht="16" x14ac:dyDescent="0.2">
      <c r="B10" s="132"/>
      <c r="C10" s="133"/>
      <c r="D10" s="133"/>
      <c r="E10" s="133"/>
      <c r="F10" s="133"/>
      <c r="G10" s="133"/>
      <c r="H10" s="145">
        <f>+AG9</f>
        <v>0.603576</v>
      </c>
      <c r="I10" s="133"/>
      <c r="J10" s="133"/>
      <c r="K10" s="133"/>
      <c r="L10" s="166">
        <f>+AF34</f>
        <v>0</v>
      </c>
      <c r="M10" s="166">
        <f>+AD39</f>
        <v>0</v>
      </c>
      <c r="N10" s="166">
        <f>+AD45</f>
        <v>0</v>
      </c>
      <c r="O10" s="133"/>
      <c r="P10" s="133"/>
      <c r="Q10" s="133"/>
      <c r="R10" s="167"/>
      <c r="S10" s="133"/>
      <c r="T10" s="133"/>
      <c r="U10" s="133"/>
      <c r="W10" s="133"/>
      <c r="X10" s="133"/>
      <c r="Y10" s="137"/>
      <c r="AA10" s="153" t="s">
        <v>138</v>
      </c>
      <c r="AB10" s="154"/>
      <c r="AC10" s="155"/>
      <c r="AD10" s="156">
        <f>Flujos!C8/(1-AE10)</f>
        <v>230701.98780012433</v>
      </c>
      <c r="AE10" s="157">
        <f>Flujos!R8</f>
        <v>8.9899000000000003E-3</v>
      </c>
      <c r="AF10" s="158">
        <f>Flujos!G8</f>
        <v>228628</v>
      </c>
      <c r="AG10" s="319">
        <f>Flujos!H8</f>
        <v>0.59687100000000004</v>
      </c>
      <c r="AH10" s="160"/>
      <c r="AI10" s="160">
        <f t="shared" si="1"/>
        <v>230701.98780012433</v>
      </c>
      <c r="AK10" s="450" t="s">
        <v>107</v>
      </c>
      <c r="AL10" s="162">
        <f>'Datos Extra'!B42</f>
        <v>48104</v>
      </c>
      <c r="AM10" s="162">
        <f>'Datos Extra'!C42</f>
        <v>147374.00000000003</v>
      </c>
      <c r="AN10" s="162">
        <f>'Datos Extra'!D42</f>
        <v>99270.000000000029</v>
      </c>
      <c r="AO10" s="162">
        <f>'Datos Extra'!E42</f>
        <v>7.6449041795111791E-2</v>
      </c>
      <c r="AP10" s="162">
        <f>'Datos Extra'!F42</f>
        <v>-350455.26435521792</v>
      </c>
      <c r="AQ10" s="163">
        <f>+AL10*(1-AO10)+AF16+AF17-AF19</f>
        <v>132691.49529348794</v>
      </c>
      <c r="AR10" s="163">
        <f t="shared" ref="AR10:AR15" si="2">+AM10*(1-AO10)</f>
        <v>136107.39891448722</v>
      </c>
      <c r="AS10" s="322"/>
      <c r="AT10" s="327"/>
      <c r="AU10" s="328"/>
      <c r="AV10" s="328"/>
      <c r="AW10" s="328"/>
      <c r="AX10" s="328"/>
    </row>
    <row r="11" spans="2:50" ht="16" x14ac:dyDescent="0.2">
      <c r="B11" s="132"/>
      <c r="C11" s="133"/>
      <c r="D11" s="133"/>
      <c r="E11" s="133"/>
      <c r="F11" s="133"/>
      <c r="G11" s="133"/>
      <c r="H11" s="149">
        <f>+H9*H10</f>
        <v>136044.21967200001</v>
      </c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W11" s="133"/>
      <c r="X11" s="133"/>
      <c r="Y11" s="137"/>
      <c r="AA11" s="153" t="s">
        <v>8</v>
      </c>
      <c r="AB11" s="154"/>
      <c r="AC11" s="155"/>
      <c r="AD11" s="156">
        <f>Flujos!C9/(1-AE11)</f>
        <v>-2928.1823683679645</v>
      </c>
      <c r="AE11" s="157">
        <f>Flujos!R9</f>
        <v>8.6E-3</v>
      </c>
      <c r="AF11" s="158">
        <f>Flujos!G9</f>
        <v>-4354.5</v>
      </c>
      <c r="AG11" s="319">
        <f>Flujos!H9</f>
        <v>0.63304499999999997</v>
      </c>
      <c r="AH11" s="156"/>
      <c r="AI11" s="160">
        <f t="shared" si="1"/>
        <v>-4392.2735525519465</v>
      </c>
      <c r="AK11" s="450" t="s">
        <v>284</v>
      </c>
      <c r="AL11" s="162">
        <f>'Datos Extra'!B43</f>
        <v>0</v>
      </c>
      <c r="AM11" s="162">
        <f>'Datos Extra'!C43</f>
        <v>0</v>
      </c>
      <c r="AN11" s="162">
        <f>'Datos Extra'!D43</f>
        <v>0</v>
      </c>
      <c r="AO11" s="162">
        <f>'Datos Extra'!E43</f>
        <v>0</v>
      </c>
      <c r="AP11" s="162">
        <f>'Datos Extra'!F43</f>
        <v>0</v>
      </c>
      <c r="AQ11" s="163"/>
      <c r="AR11" s="163">
        <f t="shared" si="2"/>
        <v>0</v>
      </c>
      <c r="AS11" s="322"/>
      <c r="AT11" s="327"/>
      <c r="AU11" s="326"/>
      <c r="AV11" s="326"/>
      <c r="AW11" s="326"/>
      <c r="AX11" s="326"/>
    </row>
    <row r="12" spans="2:50" ht="16" x14ac:dyDescent="0.2">
      <c r="B12" s="132"/>
      <c r="C12" s="133"/>
      <c r="D12" s="133"/>
      <c r="E12" s="133"/>
      <c r="F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68"/>
      <c r="T12" s="133"/>
      <c r="U12" s="133"/>
      <c r="W12" s="133"/>
      <c r="X12" s="133"/>
      <c r="Y12" s="137"/>
      <c r="AA12" s="153" t="s">
        <v>139</v>
      </c>
      <c r="AB12" s="154"/>
      <c r="AC12" s="155"/>
      <c r="AD12" s="156">
        <f>Flujos!C10/(1-AE12)</f>
        <v>233303.10358726321</v>
      </c>
      <c r="AE12" s="157">
        <f>Flujos!R10</f>
        <v>7.6E-3</v>
      </c>
      <c r="AF12" s="158">
        <f>Flujos!G10</f>
        <v>229834.02368000001</v>
      </c>
      <c r="AG12" s="319">
        <f>Flujos!H10</f>
        <v>0.60589335206999995</v>
      </c>
      <c r="AH12" s="156"/>
      <c r="AI12" s="160">
        <f t="shared" si="1"/>
        <v>231594.13913744461</v>
      </c>
      <c r="AK12" s="450" t="s">
        <v>109</v>
      </c>
      <c r="AL12" s="162">
        <f>'Datos Extra'!B44</f>
        <v>65746</v>
      </c>
      <c r="AM12" s="162">
        <f>'Datos Extra'!C44</f>
        <v>14273.091962099075</v>
      </c>
      <c r="AN12" s="162">
        <f>'Datos Extra'!D44</f>
        <v>-51472.908037900925</v>
      </c>
      <c r="AO12" s="162">
        <f>'Datos Extra'!E44</f>
        <v>5.0000000000000001E-3</v>
      </c>
      <c r="AP12" s="162">
        <f>'Datos Extra'!F44</f>
        <v>-275163.13804390526</v>
      </c>
      <c r="AQ12" s="163">
        <f>+AL12*(1-AO12)+P49-M52</f>
        <v>65417.27</v>
      </c>
      <c r="AR12" s="163">
        <f t="shared" si="2"/>
        <v>14201.72650228858</v>
      </c>
      <c r="AS12" s="322"/>
      <c r="AT12" s="327"/>
      <c r="AU12" s="329"/>
    </row>
    <row r="13" spans="2:50" x14ac:dyDescent="0.2">
      <c r="B13" s="132"/>
      <c r="C13" s="133"/>
      <c r="D13" s="133"/>
      <c r="E13" s="133"/>
      <c r="F13" s="133"/>
      <c r="H13" s="133"/>
      <c r="K13" s="133"/>
      <c r="M13" s="133"/>
      <c r="N13" s="133"/>
      <c r="O13" s="133"/>
      <c r="P13" s="133"/>
      <c r="Q13" s="133"/>
      <c r="R13" s="169">
        <v>0</v>
      </c>
      <c r="T13" s="133"/>
      <c r="V13" s="169">
        <f>+AF36</f>
        <v>24345</v>
      </c>
      <c r="W13" s="133"/>
      <c r="X13" s="169">
        <f>+AF42</f>
        <v>0</v>
      </c>
      <c r="Y13" s="137"/>
      <c r="AA13" s="153" t="s">
        <v>273</v>
      </c>
      <c r="AB13" s="154"/>
      <c r="AC13" s="155"/>
      <c r="AD13" s="156">
        <f>Flujos!C14/(1-AE13)</f>
        <v>22756</v>
      </c>
      <c r="AE13" s="157">
        <f>Flujos!R14</f>
        <v>0</v>
      </c>
      <c r="AF13" s="158">
        <f>Flujos!G14</f>
        <v>20480.400000000001</v>
      </c>
      <c r="AG13" s="319">
        <f>Flujos!H14</f>
        <v>0.105183</v>
      </c>
      <c r="AH13" s="160"/>
      <c r="AI13" s="160">
        <f t="shared" si="1"/>
        <v>20480.400000000001</v>
      </c>
      <c r="AK13" s="450" t="s">
        <v>285</v>
      </c>
      <c r="AL13" s="162">
        <f>'Datos Extra'!B45</f>
        <v>24742</v>
      </c>
      <c r="AM13" s="162">
        <f>'Datos Extra'!C45</f>
        <v>12095.744312286377</v>
      </c>
      <c r="AN13" s="162">
        <f>'Datos Extra'!D45</f>
        <v>-12646.255687713623</v>
      </c>
      <c r="AO13" s="162">
        <f>'Datos Extra'!E45</f>
        <v>5.0000000000000001E-3</v>
      </c>
      <c r="AP13" s="162">
        <f>'Datos Extra'!F45</f>
        <v>-364.17</v>
      </c>
      <c r="AQ13" s="163">
        <f>+AL13*(1-AO13)+AF25</f>
        <v>24618.29</v>
      </c>
      <c r="AR13" s="163">
        <f t="shared" si="2"/>
        <v>12035.265590724945</v>
      </c>
      <c r="AS13" s="322"/>
      <c r="AT13" s="327"/>
      <c r="AU13" s="327"/>
    </row>
    <row r="14" spans="2:50" x14ac:dyDescent="0.2">
      <c r="B14" s="132"/>
      <c r="C14" s="133"/>
      <c r="D14" s="133"/>
      <c r="E14" s="170"/>
      <c r="F14" s="142" t="s">
        <v>162</v>
      </c>
      <c r="G14" s="142" t="s">
        <v>163</v>
      </c>
      <c r="H14" s="133"/>
      <c r="K14" s="133"/>
      <c r="M14" s="133"/>
      <c r="N14" s="133"/>
      <c r="O14" s="133"/>
      <c r="P14" s="133"/>
      <c r="Q14" s="171"/>
      <c r="T14" s="133"/>
      <c r="U14" s="133"/>
      <c r="W14" s="133"/>
      <c r="Y14" s="137"/>
      <c r="AA14" s="153" t="s">
        <v>140</v>
      </c>
      <c r="AB14" s="154"/>
      <c r="AC14" s="155"/>
      <c r="AD14" s="156">
        <f>Flujos!C15/(1-AE14)</f>
        <v>210873.16517956916</v>
      </c>
      <c r="AE14" s="157">
        <f>Flujos!R15</f>
        <v>9.9546339989804444E-3</v>
      </c>
      <c r="AF14" s="158">
        <f>Flujos!G15</f>
        <v>208774</v>
      </c>
      <c r="AG14" s="319">
        <f>Flujos!H15</f>
        <v>0.66638999999999993</v>
      </c>
      <c r="AH14" s="156"/>
      <c r="AI14" s="160">
        <f t="shared" si="1"/>
        <v>210873.16517956916</v>
      </c>
      <c r="AK14" s="450" t="s">
        <v>286</v>
      </c>
      <c r="AL14" s="162">
        <f>'Datos Extra'!B46</f>
        <v>2203</v>
      </c>
      <c r="AM14" s="162">
        <f>'Datos Extra'!C46</f>
        <v>1837.2749805450439</v>
      </c>
      <c r="AN14" s="162">
        <f>'Datos Extra'!D46</f>
        <v>-365.72501945495605</v>
      </c>
      <c r="AO14" s="162">
        <f>'Datos Extra'!E46</f>
        <v>3.5000000000000003E-2</v>
      </c>
      <c r="AP14" s="162">
        <f>'Datos Extra'!F46</f>
        <v>2125.4149139356614</v>
      </c>
      <c r="AQ14" s="163">
        <f>+AL14*(1-AO14)-AF35</f>
        <v>2125.895</v>
      </c>
      <c r="AR14" s="163">
        <f t="shared" si="2"/>
        <v>1772.9703562259674</v>
      </c>
      <c r="AS14" s="322"/>
      <c r="AT14" s="327"/>
      <c r="AU14" s="619"/>
      <c r="AV14" s="619"/>
    </row>
    <row r="15" spans="2:50" ht="16" x14ac:dyDescent="0.2">
      <c r="B15" s="132"/>
      <c r="C15" s="133"/>
      <c r="D15" s="133"/>
      <c r="E15" s="172" t="s">
        <v>40</v>
      </c>
      <c r="F15" s="452">
        <f>+(AL6*(1-AO6))+H9-G20</f>
        <v>145251.09876982245</v>
      </c>
      <c r="G15" s="452">
        <f>+AR6</f>
        <v>149471.01674313738</v>
      </c>
      <c r="H15" s="133"/>
      <c r="I15" s="167"/>
      <c r="J15" s="133"/>
      <c r="P15" s="133"/>
      <c r="R15" s="173"/>
      <c r="S15" s="174">
        <f>+AF31</f>
        <v>9066.24</v>
      </c>
      <c r="T15" s="175"/>
      <c r="W15" s="133"/>
      <c r="X15" s="133"/>
      <c r="Y15" s="137"/>
      <c r="Z15" s="176">
        <f>+AD15-J29</f>
        <v>230091.6322992568</v>
      </c>
      <c r="AA15" s="153" t="s">
        <v>141</v>
      </c>
      <c r="AB15" s="154"/>
      <c r="AC15" s="155"/>
      <c r="AD15" s="156">
        <f>Flujos!C16/(1-AE15)</f>
        <v>230091.6322992568</v>
      </c>
      <c r="AE15" s="157">
        <f>Flujos!R16</f>
        <v>8.3495571339466099E-2</v>
      </c>
      <c r="AF15" s="158">
        <f>Flujos!G16</f>
        <v>210880</v>
      </c>
      <c r="AG15" s="319">
        <f>Flujos!H16</f>
        <v>0.67963499999999999</v>
      </c>
      <c r="AH15" s="156"/>
      <c r="AI15" s="160">
        <f t="shared" si="1"/>
        <v>230091.6322992568</v>
      </c>
      <c r="AK15" s="450" t="s">
        <v>287</v>
      </c>
      <c r="AL15" s="162">
        <f>'Datos Extra'!B47</f>
        <v>0</v>
      </c>
      <c r="AM15" s="162">
        <f>'Datos Extra'!C47</f>
        <v>0</v>
      </c>
      <c r="AN15" s="162">
        <f>'Datos Extra'!D47</f>
        <v>0</v>
      </c>
      <c r="AO15" s="162">
        <f>'Datos Extra'!E47</f>
        <v>0</v>
      </c>
      <c r="AP15" s="162">
        <f>'Datos Extra'!F47</f>
        <v>0</v>
      </c>
      <c r="AQ15" s="449"/>
      <c r="AR15" s="163">
        <f t="shared" si="2"/>
        <v>0</v>
      </c>
      <c r="AS15" s="322"/>
      <c r="AT15" s="327"/>
      <c r="AU15" s="323"/>
      <c r="AV15" s="323"/>
    </row>
    <row r="16" spans="2:50" x14ac:dyDescent="0.2">
      <c r="B16" s="132"/>
      <c r="C16" s="133"/>
      <c r="D16" s="133"/>
      <c r="G16" s="150">
        <f>+G15-F15</f>
        <v>4219.9179733149358</v>
      </c>
      <c r="H16" s="133"/>
      <c r="J16" s="133"/>
      <c r="P16" s="133"/>
      <c r="Q16" s="133"/>
      <c r="R16" s="133"/>
      <c r="S16" s="133"/>
      <c r="T16" s="133"/>
      <c r="U16" s="133"/>
      <c r="W16" s="133"/>
      <c r="X16" s="133"/>
      <c r="Y16" s="137"/>
      <c r="AA16" s="153" t="s">
        <v>174</v>
      </c>
      <c r="AB16" s="154"/>
      <c r="AC16" s="155"/>
      <c r="AD16" s="156">
        <f>Flujos!C19/(1-AE16)</f>
        <v>209647.65034558089</v>
      </c>
      <c r="AE16" s="159">
        <f>Flujos!R19</f>
        <v>8.3495571339466099E-2</v>
      </c>
      <c r="AF16" s="158">
        <f>Flujos!G19</f>
        <v>192143</v>
      </c>
      <c r="AG16" s="319">
        <f>Flujos!H19</f>
        <v>0.68650000000000011</v>
      </c>
      <c r="AH16" s="160"/>
      <c r="AI16" s="160">
        <f t="shared" si="1"/>
        <v>209647.65034558089</v>
      </c>
      <c r="AK16" s="331"/>
      <c r="AO16" s="449"/>
      <c r="AP16" s="163"/>
      <c r="AS16" s="322"/>
      <c r="AT16" s="324"/>
      <c r="AU16" s="325"/>
      <c r="AV16" s="325"/>
    </row>
    <row r="17" spans="2:50" ht="16" x14ac:dyDescent="0.2">
      <c r="B17" s="132"/>
      <c r="C17" s="133"/>
      <c r="D17" s="133"/>
      <c r="H17" s="133"/>
      <c r="J17" s="133"/>
      <c r="K17" s="133"/>
      <c r="M17" s="133"/>
      <c r="N17" s="133"/>
      <c r="O17" s="148" t="s">
        <v>175</v>
      </c>
      <c r="P17" s="133"/>
      <c r="Q17" s="133"/>
      <c r="R17" s="133"/>
      <c r="S17" s="133"/>
      <c r="T17" s="133"/>
      <c r="U17" s="164"/>
      <c r="W17" s="133"/>
      <c r="X17" s="133"/>
      <c r="Y17" s="137"/>
      <c r="AA17" s="153" t="s">
        <v>176</v>
      </c>
      <c r="AB17" s="154"/>
      <c r="AC17" s="155"/>
      <c r="AD17" s="156">
        <f>Flujos!C20/(1-AE17)</f>
        <v>0</v>
      </c>
      <c r="AE17" s="157">
        <f>Flujos!R20</f>
        <v>8.3495571339466099E-2</v>
      </c>
      <c r="AF17" s="158">
        <f>Flujos!G20</f>
        <v>0</v>
      </c>
      <c r="AG17" s="319">
        <f>Flujos!H20</f>
        <v>0.68650000000000011</v>
      </c>
      <c r="AH17" s="160"/>
      <c r="AI17" s="160">
        <f t="shared" si="1"/>
        <v>0</v>
      </c>
      <c r="AQ17" s="131">
        <f>+AQ10/(1-AO10)</f>
        <v>143675.33714804566</v>
      </c>
      <c r="AS17" s="322"/>
      <c r="AT17" s="324"/>
      <c r="AU17" s="325"/>
      <c r="AV17" s="325"/>
    </row>
    <row r="18" spans="2:50" ht="16" x14ac:dyDescent="0.2">
      <c r="B18" s="132"/>
      <c r="C18" s="133"/>
      <c r="D18" s="133"/>
      <c r="E18" s="133"/>
      <c r="F18" s="133"/>
      <c r="H18" s="133"/>
      <c r="I18" s="133"/>
      <c r="J18" s="133"/>
      <c r="K18" s="177"/>
      <c r="L18" s="178" t="s">
        <v>177</v>
      </c>
      <c r="M18" s="178" t="s">
        <v>178</v>
      </c>
      <c r="N18" s="133"/>
      <c r="O18" s="178" t="s">
        <v>179</v>
      </c>
      <c r="P18" s="133"/>
      <c r="Q18" s="133"/>
      <c r="R18" s="179"/>
      <c r="S18" s="133"/>
      <c r="T18" s="180">
        <f>-S19+S15</f>
        <v>9066.24</v>
      </c>
      <c r="U18" s="165"/>
      <c r="W18" s="133"/>
      <c r="X18" s="133"/>
      <c r="Y18" s="137"/>
      <c r="AA18" s="153" t="s">
        <v>142</v>
      </c>
      <c r="AB18" s="154"/>
      <c r="AC18" s="155"/>
      <c r="AD18" s="156">
        <f>Flujos!C19/(1-AE18)</f>
        <v>209647.65034558089</v>
      </c>
      <c r="AE18" s="157">
        <f>Flujos!R21</f>
        <v>8.3495571339466099E-2</v>
      </c>
      <c r="AF18" s="158">
        <f>Flujos!G21</f>
        <v>15836.380952</v>
      </c>
      <c r="AG18" s="319">
        <f>Flujos!H21</f>
        <v>0.72082499999999994</v>
      </c>
      <c r="AH18" s="156"/>
      <c r="AI18" s="160">
        <f t="shared" si="1"/>
        <v>17279.110124044662</v>
      </c>
      <c r="AK18" s="181" t="s">
        <v>180</v>
      </c>
      <c r="AM18" s="182"/>
      <c r="AN18" s="181" t="s">
        <v>180</v>
      </c>
      <c r="AO18" s="182"/>
      <c r="AQ18" s="183">
        <f>+AQ17-M72</f>
        <v>-3698.5268319251481</v>
      </c>
      <c r="AR18" s="183"/>
      <c r="AS18" s="322"/>
      <c r="AT18" s="324"/>
      <c r="AU18" s="326"/>
      <c r="AV18" s="326"/>
    </row>
    <row r="19" spans="2:50" ht="16" x14ac:dyDescent="0.2">
      <c r="B19" s="132"/>
      <c r="C19" s="133"/>
      <c r="D19" s="133"/>
      <c r="E19" s="133"/>
      <c r="F19" s="133"/>
      <c r="G19" s="133"/>
      <c r="H19" s="133"/>
      <c r="J19" s="133"/>
      <c r="K19" s="135" t="s">
        <v>181</v>
      </c>
      <c r="L19" s="184">
        <f>+I25+H37+K35+O35</f>
        <v>227728.02368000001</v>
      </c>
      <c r="M19" s="184">
        <f>+I27</f>
        <v>139254.90702721095</v>
      </c>
      <c r="N19" s="133"/>
      <c r="O19" s="185">
        <f>+(P49+R36+H46+H37)/I25</f>
        <v>0.82684450699340417</v>
      </c>
      <c r="Q19" s="133"/>
      <c r="R19" s="167"/>
      <c r="S19" s="186"/>
      <c r="T19" s="133"/>
      <c r="U19" s="167"/>
      <c r="W19" s="133"/>
      <c r="X19" s="133"/>
      <c r="Y19" s="137"/>
      <c r="AA19" s="153" t="s">
        <v>182</v>
      </c>
      <c r="AB19" s="154"/>
      <c r="AC19" s="155"/>
      <c r="AD19" s="156">
        <f>Flujos!C20/(1-AE19)</f>
        <v>0</v>
      </c>
      <c r="AE19" s="157">
        <f>Flujos!R22</f>
        <v>7.8799999999999995E-2</v>
      </c>
      <c r="AF19" s="158">
        <f>Flujos!G22</f>
        <v>103878</v>
      </c>
      <c r="AG19" s="319">
        <f>Flujos!H22</f>
        <v>0.68680000000000008</v>
      </c>
      <c r="AH19" s="160"/>
      <c r="AI19" s="160">
        <f t="shared" si="1"/>
        <v>112763.78636561007</v>
      </c>
      <c r="AK19" s="177" t="s">
        <v>183</v>
      </c>
      <c r="AL19" s="162">
        <v>812104</v>
      </c>
      <c r="AN19" s="131" t="s">
        <v>184</v>
      </c>
      <c r="AQ19" s="187">
        <f>+AL10-L72</f>
        <v>-2386</v>
      </c>
      <c r="AS19" s="322"/>
      <c r="AT19" s="327"/>
      <c r="AU19" s="328"/>
      <c r="AV19" s="328"/>
    </row>
    <row r="20" spans="2:50" ht="16" x14ac:dyDescent="0.2">
      <c r="B20" s="132"/>
      <c r="C20" s="133"/>
      <c r="D20" s="133"/>
      <c r="E20" s="133"/>
      <c r="F20" s="133"/>
      <c r="G20" s="164">
        <f>+AF10</f>
        <v>228628</v>
      </c>
      <c r="H20" s="133"/>
      <c r="J20" s="133"/>
      <c r="K20" s="135" t="s">
        <v>185</v>
      </c>
      <c r="L20" s="184">
        <f>+D28+H46+P41</f>
        <v>212623.4</v>
      </c>
      <c r="M20" s="184">
        <f>+D30+H48+P51+R38+R45</f>
        <v>134060.35941320003</v>
      </c>
      <c r="N20" s="133"/>
      <c r="O20" s="178" t="s">
        <v>186</v>
      </c>
      <c r="Q20" s="133"/>
      <c r="S20" s="188"/>
      <c r="T20" s="133"/>
      <c r="U20" s="133"/>
      <c r="W20" s="169">
        <f>+X13-W28</f>
        <v>0</v>
      </c>
      <c r="X20" s="169">
        <f>+W28+W27</f>
        <v>0</v>
      </c>
      <c r="Y20" s="137"/>
      <c r="AA20" s="153" t="s">
        <v>187</v>
      </c>
      <c r="AB20" s="154"/>
      <c r="AC20" s="155"/>
      <c r="AD20" s="156">
        <f>Flujos!C21/(1-AE20)</f>
        <v>18736</v>
      </c>
      <c r="AE20" s="157">
        <f>Flujos!R23</f>
        <v>0</v>
      </c>
      <c r="AF20" s="158">
        <f>Flujos!G23</f>
        <v>0</v>
      </c>
      <c r="AG20" s="319">
        <f>Flujos!H23</f>
        <v>0</v>
      </c>
      <c r="AH20" s="160"/>
      <c r="AI20" s="160">
        <f t="shared" si="1"/>
        <v>0</v>
      </c>
      <c r="AK20" s="177" t="s">
        <v>188</v>
      </c>
      <c r="AL20" s="162">
        <f>783793+13399</f>
        <v>797192</v>
      </c>
      <c r="AN20" s="131" t="s">
        <v>189</v>
      </c>
      <c r="AT20" s="327"/>
      <c r="AU20" s="326"/>
      <c r="AV20" s="326"/>
    </row>
    <row r="21" spans="2:50" ht="15.75" customHeight="1" x14ac:dyDescent="0.2">
      <c r="B21" s="132"/>
      <c r="C21" s="133"/>
      <c r="D21" s="133"/>
      <c r="E21" s="133"/>
      <c r="F21" s="133"/>
      <c r="G21" s="165">
        <f>+AG10</f>
        <v>0.59687100000000004</v>
      </c>
      <c r="H21" s="133"/>
      <c r="J21" s="133"/>
      <c r="K21" s="135" t="s">
        <v>190</v>
      </c>
      <c r="L21" s="184">
        <f>+L20-L19</f>
        <v>-15104.623680000019</v>
      </c>
      <c r="M21" s="184">
        <f>+M20-M19</f>
        <v>-5194.547614010924</v>
      </c>
      <c r="N21" s="133"/>
      <c r="O21" s="185">
        <f>+(P51+R38+H48+H38)/I27</f>
        <v>0.93684598471282265</v>
      </c>
      <c r="Q21" s="133"/>
      <c r="R21" s="133"/>
      <c r="S21" s="133"/>
      <c r="T21" s="133"/>
      <c r="U21" s="133"/>
      <c r="V21" s="169">
        <f>+V13</f>
        <v>24345</v>
      </c>
      <c r="W21" s="133"/>
      <c r="X21" s="133"/>
      <c r="Y21" s="137"/>
      <c r="AA21" s="153" t="s">
        <v>191</v>
      </c>
      <c r="AB21" s="154"/>
      <c r="AC21" s="155"/>
      <c r="AD21" s="156" t="e">
        <f>Flujos!C22/(1-AE21)</f>
        <v>#DIV/0!</v>
      </c>
      <c r="AE21" s="157">
        <f>Flujos!R24</f>
        <v>1</v>
      </c>
      <c r="AF21" s="158">
        <f>Flujos!G24</f>
        <v>0</v>
      </c>
      <c r="AG21" s="319">
        <f>Flujos!H24</f>
        <v>0</v>
      </c>
      <c r="AH21" s="156"/>
      <c r="AI21" s="160" t="e">
        <f t="shared" si="1"/>
        <v>#DIV/0!</v>
      </c>
      <c r="AK21" s="182" t="s">
        <v>192</v>
      </c>
      <c r="AL21" s="183">
        <f>+AL19-AL20</f>
        <v>14912</v>
      </c>
      <c r="AT21" s="327"/>
      <c r="AU21" s="329"/>
      <c r="AX21" s="330"/>
    </row>
    <row r="22" spans="2:50" ht="15.75" customHeight="1" x14ac:dyDescent="0.2">
      <c r="B22" s="132"/>
      <c r="C22" s="133"/>
      <c r="D22" s="133"/>
      <c r="E22" s="133"/>
      <c r="F22" s="133"/>
      <c r="G22" s="151">
        <f>+G20*G21</f>
        <v>136461.42298800001</v>
      </c>
      <c r="H22" s="133"/>
      <c r="I22" s="189">
        <f>Flujos!G9</f>
        <v>-4354.5</v>
      </c>
      <c r="J22" s="133"/>
      <c r="K22" s="135" t="s">
        <v>193</v>
      </c>
      <c r="L22" s="166">
        <f>AO40</f>
        <v>-2878</v>
      </c>
      <c r="M22" s="190"/>
      <c r="N22" s="133"/>
      <c r="O22" s="133"/>
      <c r="P22" s="133"/>
      <c r="Q22" s="133"/>
      <c r="S22" s="133"/>
      <c r="U22" s="133"/>
      <c r="W22" s="133"/>
      <c r="Y22" s="137"/>
      <c r="AA22" s="153" t="s">
        <v>143</v>
      </c>
      <c r="AB22" s="154"/>
      <c r="AC22" s="155"/>
      <c r="AD22" s="156">
        <f>Flujos!C23/(1-AE22)</f>
        <v>0</v>
      </c>
      <c r="AE22" s="157">
        <f>Flujos!R25</f>
        <v>0</v>
      </c>
      <c r="AF22" s="158">
        <f>Flujos!G25</f>
        <v>0</v>
      </c>
      <c r="AG22" s="319">
        <f>Flujos!H25</f>
        <v>0</v>
      </c>
      <c r="AH22" s="156"/>
      <c r="AI22" s="160">
        <f t="shared" si="1"/>
        <v>0</v>
      </c>
      <c r="AQ22" s="191"/>
    </row>
    <row r="23" spans="2:50" ht="15.75" customHeight="1" x14ac:dyDescent="0.2">
      <c r="B23" s="132"/>
      <c r="C23" s="133"/>
      <c r="D23" s="133"/>
      <c r="E23" s="133"/>
      <c r="F23" s="133"/>
      <c r="G23" s="133"/>
      <c r="H23" s="133"/>
      <c r="I23" s="192">
        <f>Flujos!G9*Flujos!H9</f>
        <v>-2756.5944525</v>
      </c>
      <c r="J23" s="133"/>
      <c r="K23" s="135" t="s">
        <v>194</v>
      </c>
      <c r="L23" s="193">
        <f>+L21-L22</f>
        <v>-12226.623680000019</v>
      </c>
      <c r="M23" s="190"/>
      <c r="N23" s="133"/>
      <c r="O23" s="133"/>
      <c r="P23" s="133"/>
      <c r="Q23" s="133"/>
      <c r="S23" s="133"/>
      <c r="T23" s="133"/>
      <c r="U23" s="133"/>
      <c r="W23" s="133"/>
      <c r="X23" s="133"/>
      <c r="Y23" s="137"/>
      <c r="AA23" s="153" t="s">
        <v>144</v>
      </c>
      <c r="AB23" s="154"/>
      <c r="AC23" s="155"/>
      <c r="AD23" s="156">
        <f>Flujos!C24/(1-AE23)</f>
        <v>0</v>
      </c>
      <c r="AE23" s="157">
        <f>Flujos!R26</f>
        <v>0</v>
      </c>
      <c r="AF23" s="158">
        <f>Flujos!G26</f>
        <v>0</v>
      </c>
      <c r="AG23" s="319">
        <f>Flujos!H26</f>
        <v>0</v>
      </c>
      <c r="AH23" s="156"/>
      <c r="AI23" s="160">
        <f t="shared" si="1"/>
        <v>0</v>
      </c>
      <c r="AK23" s="181" t="s">
        <v>195</v>
      </c>
      <c r="AQ23" s="191"/>
    </row>
    <row r="24" spans="2:50" ht="15.75" customHeight="1" x14ac:dyDescent="0.2">
      <c r="B24" s="132"/>
      <c r="C24" s="133"/>
      <c r="D24" s="133"/>
      <c r="E24" s="133"/>
      <c r="F24" s="194">
        <f>I25-D28-J29-I41</f>
        <v>-1526.3763199999812</v>
      </c>
      <c r="G24" s="194"/>
      <c r="H24" s="133"/>
      <c r="I24" s="133"/>
      <c r="J24" s="133"/>
      <c r="N24" s="133"/>
      <c r="O24" s="133"/>
      <c r="P24" s="133"/>
      <c r="Q24" s="133"/>
      <c r="S24" s="133"/>
      <c r="T24" s="133"/>
      <c r="U24" s="133"/>
      <c r="W24" s="133"/>
      <c r="X24" s="133"/>
      <c r="Y24" s="137"/>
      <c r="AA24" s="153" t="s">
        <v>145</v>
      </c>
      <c r="AB24" s="154"/>
      <c r="AC24" s="155"/>
      <c r="AD24" s="156">
        <f>Flujos!C25/(1-AE24)</f>
        <v>0</v>
      </c>
      <c r="AE24" s="157">
        <f>Flujos!R27</f>
        <v>0</v>
      </c>
      <c r="AF24" s="158">
        <f>Flujos!G27</f>
        <v>0</v>
      </c>
      <c r="AG24" s="319">
        <f>Flujos!H27</f>
        <v>0</v>
      </c>
      <c r="AH24" s="156"/>
      <c r="AI24" s="160">
        <f t="shared" si="1"/>
        <v>0</v>
      </c>
      <c r="AK24" s="177" t="s">
        <v>183</v>
      </c>
      <c r="AL24" s="162">
        <v>612276</v>
      </c>
      <c r="AN24" s="191">
        <f>+AI15-AI16-AI17</f>
        <v>20443.981953675917</v>
      </c>
      <c r="AP24" s="187">
        <f>+AL24+I73</f>
        <v>612276</v>
      </c>
      <c r="AQ24" s="191"/>
    </row>
    <row r="25" spans="2:50" ht="15.75" customHeight="1" x14ac:dyDescent="0.2">
      <c r="B25" s="132"/>
      <c r="C25" s="133"/>
      <c r="D25" s="133"/>
      <c r="E25" s="133"/>
      <c r="F25" s="133"/>
      <c r="G25" s="194"/>
      <c r="H25" s="133"/>
      <c r="I25" s="141">
        <f>Flujos!G10</f>
        <v>229834.02368000001</v>
      </c>
      <c r="J25" s="194"/>
      <c r="R25" s="133"/>
      <c r="S25" s="133"/>
      <c r="T25" s="133"/>
      <c r="U25" s="133"/>
      <c r="W25" s="133"/>
      <c r="X25" s="133"/>
      <c r="Y25" s="137"/>
      <c r="AA25" s="332" t="s">
        <v>146</v>
      </c>
      <c r="AB25" s="333"/>
      <c r="AC25" s="334"/>
      <c r="AD25" s="156">
        <f>Flujos!C28/(1-AE25)</f>
        <v>0</v>
      </c>
      <c r="AE25" s="157">
        <f>Flujos!R28</f>
        <v>0</v>
      </c>
      <c r="AF25" s="158">
        <f>Flujos!G28</f>
        <v>0</v>
      </c>
      <c r="AG25" s="319">
        <f>Flujos!H28</f>
        <v>0</v>
      </c>
      <c r="AH25" s="160"/>
      <c r="AI25" s="160">
        <f t="shared" si="1"/>
        <v>0</v>
      </c>
      <c r="AK25" s="177" t="s">
        <v>188</v>
      </c>
      <c r="AL25" s="162">
        <f>587148</f>
        <v>587148</v>
      </c>
      <c r="AP25" s="187">
        <f>+AL25+I76</f>
        <v>587148</v>
      </c>
      <c r="AQ25" s="195"/>
    </row>
    <row r="26" spans="2:50" ht="15.75" customHeight="1" x14ac:dyDescent="0.2">
      <c r="B26" s="132"/>
      <c r="C26" s="133"/>
      <c r="D26" s="133"/>
      <c r="E26" s="133"/>
      <c r="F26" s="133"/>
      <c r="G26" s="133"/>
      <c r="H26" s="133"/>
      <c r="I26" s="145">
        <f>Flujos!H10</f>
        <v>0.60589335206999995</v>
      </c>
      <c r="J26" s="133"/>
      <c r="R26" s="133"/>
      <c r="S26" s="133"/>
      <c r="T26" s="194"/>
      <c r="U26" s="133"/>
      <c r="W26" s="133"/>
      <c r="X26" s="133"/>
      <c r="Y26" s="137"/>
      <c r="AA26" s="332" t="s">
        <v>147</v>
      </c>
      <c r="AB26" s="333"/>
      <c r="AC26" s="334"/>
      <c r="AD26" s="156">
        <f>Flujos!C29/(1-AE26)</f>
        <v>0</v>
      </c>
      <c r="AE26" s="157">
        <f>Flujos!R29</f>
        <v>0</v>
      </c>
      <c r="AF26" s="158">
        <f>Flujos!G29</f>
        <v>0</v>
      </c>
      <c r="AG26" s="319">
        <f>Flujos!H29</f>
        <v>0</v>
      </c>
      <c r="AH26" s="160"/>
      <c r="AI26" s="160">
        <f t="shared" si="1"/>
        <v>0</v>
      </c>
      <c r="AK26" s="182" t="s">
        <v>192</v>
      </c>
      <c r="AL26" s="183">
        <f>+AL24-AL25</f>
        <v>25128</v>
      </c>
    </row>
    <row r="27" spans="2:50" ht="15.75" customHeight="1" x14ac:dyDescent="0.2">
      <c r="B27" s="132"/>
      <c r="C27" s="133"/>
      <c r="D27" s="133"/>
      <c r="E27" s="143"/>
      <c r="G27" s="133"/>
      <c r="H27" s="196"/>
      <c r="I27" s="149">
        <f>I25*I26</f>
        <v>139254.90702721095</v>
      </c>
      <c r="J27" s="133"/>
      <c r="K27" s="133"/>
      <c r="L27" s="133"/>
      <c r="M27" s="133"/>
      <c r="O27" s="133"/>
      <c r="P27" s="133"/>
      <c r="Q27" s="133"/>
      <c r="R27" s="181" t="s">
        <v>196</v>
      </c>
      <c r="S27" s="173">
        <f>+AF34</f>
        <v>0</v>
      </c>
      <c r="T27" s="133"/>
      <c r="U27" s="197">
        <f>+AF40</f>
        <v>0</v>
      </c>
      <c r="W27" s="197">
        <f>+AF45</f>
        <v>0</v>
      </c>
      <c r="X27" s="133"/>
      <c r="Y27" s="137"/>
      <c r="AA27" s="153" t="s">
        <v>10</v>
      </c>
      <c r="AB27" s="154"/>
      <c r="AC27" s="155"/>
      <c r="AD27" s="156">
        <f>Flujos!C30/(1-AE27)</f>
        <v>-51473.366834170854</v>
      </c>
      <c r="AE27" s="157">
        <f>Flujos!R30</f>
        <v>5.0000000000000001E-3</v>
      </c>
      <c r="AF27" s="158">
        <f>Flujos!G30</f>
        <v>-35851.199999999997</v>
      </c>
      <c r="AG27" s="319">
        <f>Flujos!H30</f>
        <v>0</v>
      </c>
      <c r="AH27" s="156"/>
      <c r="AI27" s="160">
        <f t="shared" si="1"/>
        <v>-36031.356783919597</v>
      </c>
      <c r="AN27" s="131">
        <v>474948</v>
      </c>
    </row>
    <row r="28" spans="2:50" ht="15.75" customHeight="1" thickBot="1" x14ac:dyDescent="0.25">
      <c r="B28" s="132"/>
      <c r="C28" s="133"/>
      <c r="D28" s="143">
        <f>+AF13</f>
        <v>20480.400000000001</v>
      </c>
      <c r="E28" s="146"/>
      <c r="F28" s="143">
        <f>Flujos!G13</f>
        <v>21060.023684</v>
      </c>
      <c r="G28" s="133"/>
      <c r="H28" s="196"/>
      <c r="I28" s="133"/>
      <c r="J28" s="148" t="s">
        <v>197</v>
      </c>
      <c r="K28" s="198" t="s">
        <v>198</v>
      </c>
      <c r="L28" s="133"/>
      <c r="M28" s="133"/>
      <c r="N28" s="133"/>
      <c r="O28" s="133"/>
      <c r="P28" s="133"/>
      <c r="Q28" s="133"/>
      <c r="R28" s="181" t="s">
        <v>199</v>
      </c>
      <c r="S28" s="175">
        <f>+AF33</f>
        <v>0</v>
      </c>
      <c r="T28" s="133"/>
      <c r="U28" s="134"/>
      <c r="W28" s="199">
        <f>+AF44</f>
        <v>0</v>
      </c>
      <c r="X28" s="194"/>
      <c r="Y28" s="137"/>
      <c r="AA28" s="200" t="s">
        <v>200</v>
      </c>
      <c r="AB28" s="201"/>
      <c r="AC28" s="202"/>
      <c r="AD28" s="156">
        <f>Flujos!C31/(1-AE28)</f>
        <v>0</v>
      </c>
      <c r="AE28" s="157">
        <f>Flujos!R31</f>
        <v>0</v>
      </c>
      <c r="AF28" s="158">
        <f>Flujos!G31</f>
        <v>0</v>
      </c>
      <c r="AG28" s="319">
        <f>Flujos!H31</f>
        <v>0</v>
      </c>
      <c r="AH28" s="203"/>
      <c r="AI28" s="203">
        <f t="shared" si="1"/>
        <v>0</v>
      </c>
      <c r="AK28" s="181" t="s">
        <v>107</v>
      </c>
      <c r="AN28" s="131">
        <v>3826</v>
      </c>
    </row>
    <row r="29" spans="2:50" ht="15.75" customHeight="1" thickBot="1" x14ac:dyDescent="0.25">
      <c r="B29" s="132"/>
      <c r="C29" s="133"/>
      <c r="D29" s="146">
        <f>+AG13</f>
        <v>0.105183</v>
      </c>
      <c r="E29" s="151"/>
      <c r="F29" s="146">
        <f>Flujos!H13</f>
        <v>0.107445</v>
      </c>
      <c r="G29" s="133"/>
      <c r="H29" s="133"/>
      <c r="J29" s="204">
        <f>Flujos!G17</f>
        <v>0</v>
      </c>
      <c r="K29" s="205">
        <f>+I25-D28-H46-P41+K35+O35+H37+L22</f>
        <v>12226.623680000019</v>
      </c>
      <c r="M29" s="206"/>
      <c r="N29" s="187"/>
      <c r="O29" s="194"/>
      <c r="P29" s="133"/>
      <c r="Q29" s="133"/>
      <c r="R29" s="133"/>
      <c r="S29" s="133"/>
      <c r="T29" s="133"/>
      <c r="U29" s="133"/>
      <c r="W29" s="133"/>
      <c r="X29" s="133"/>
      <c r="Y29" s="137"/>
      <c r="AA29" s="626" t="s">
        <v>159</v>
      </c>
      <c r="AB29" s="627"/>
      <c r="AC29" s="627"/>
      <c r="AD29" s="627"/>
      <c r="AE29" s="627"/>
      <c r="AF29" s="627"/>
      <c r="AG29" s="627"/>
      <c r="AH29" s="627"/>
      <c r="AI29" s="207"/>
      <c r="AK29" s="177" t="s">
        <v>183</v>
      </c>
      <c r="AL29" s="162">
        <v>191229</v>
      </c>
      <c r="AN29" s="131">
        <v>264630</v>
      </c>
    </row>
    <row r="30" spans="2:50" ht="15.75" customHeight="1" x14ac:dyDescent="0.2">
      <c r="B30" s="132"/>
      <c r="C30" s="133"/>
      <c r="D30" s="151">
        <f>+D28*D29</f>
        <v>2154.1899132000003</v>
      </c>
      <c r="E30" s="133"/>
      <c r="F30" s="151">
        <f>F28*F29</f>
        <v>2262.7942447273799</v>
      </c>
      <c r="G30" s="133"/>
      <c r="H30" s="133"/>
      <c r="J30" s="208">
        <f>Flujos!H17</f>
        <v>0.57999999999999996</v>
      </c>
      <c r="M30" s="209"/>
      <c r="N30" s="209"/>
      <c r="U30" s="133"/>
      <c r="W30" s="133"/>
      <c r="X30" s="133"/>
      <c r="Y30" s="137"/>
      <c r="AA30" s="210" t="s">
        <v>201</v>
      </c>
      <c r="AB30" s="211"/>
      <c r="AC30" s="212"/>
      <c r="AD30" s="213">
        <f>'Datos Extra'!B22</f>
        <v>0</v>
      </c>
      <c r="AE30" s="428">
        <f>'Datos Extra'!C22</f>
        <v>0.04</v>
      </c>
      <c r="AF30" s="213">
        <f>'Datos Extra'!D22</f>
        <v>0</v>
      </c>
      <c r="AG30" s="428">
        <f>'Datos Extra'!E22</f>
        <v>0.57999999999999996</v>
      </c>
      <c r="AH30" s="213">
        <f>'Datos Extra'!F22</f>
        <v>0</v>
      </c>
      <c r="AI30" s="213">
        <f>'Datos Extra'!G22</f>
        <v>0</v>
      </c>
      <c r="AK30" s="177" t="s">
        <v>188</v>
      </c>
      <c r="AL30" s="162">
        <v>198173</v>
      </c>
      <c r="AN30" s="131">
        <v>8225</v>
      </c>
    </row>
    <row r="31" spans="2:50" ht="15.75" customHeight="1" x14ac:dyDescent="0.2">
      <c r="B31" s="132"/>
      <c r="C31" s="133"/>
      <c r="D31" s="133"/>
      <c r="E31" s="274"/>
      <c r="G31" s="133"/>
      <c r="H31" s="133"/>
      <c r="J31" s="214">
        <f>+J29*J30</f>
        <v>0</v>
      </c>
      <c r="W31" s="133"/>
      <c r="Y31" s="137"/>
      <c r="AA31" s="153" t="s">
        <v>202</v>
      </c>
      <c r="AB31" s="154"/>
      <c r="AC31" s="155"/>
      <c r="AD31" s="213">
        <f>'Datos Extra'!B23</f>
        <v>9444</v>
      </c>
      <c r="AE31" s="428">
        <f>'Datos Extra'!C23</f>
        <v>0.04</v>
      </c>
      <c r="AF31" s="213">
        <f>'Datos Extra'!D23</f>
        <v>9066.24</v>
      </c>
      <c r="AG31" s="428">
        <f>'Datos Extra'!E23</f>
        <v>0.57999999999999996</v>
      </c>
      <c r="AH31" s="213">
        <f>'Datos Extra'!F23</f>
        <v>0</v>
      </c>
      <c r="AI31" s="213">
        <f>'Datos Extra'!G23</f>
        <v>0</v>
      </c>
      <c r="AK31" s="182" t="s">
        <v>192</v>
      </c>
      <c r="AL31" s="183">
        <f>+AL29-AL30</f>
        <v>-6944</v>
      </c>
    </row>
    <row r="32" spans="2:50" ht="15.75" customHeight="1" x14ac:dyDescent="0.2">
      <c r="B32" s="132"/>
      <c r="C32" s="133"/>
      <c r="D32" s="133"/>
      <c r="E32" s="133"/>
      <c r="G32" s="133"/>
      <c r="H32" s="133"/>
      <c r="I32" s="133"/>
      <c r="J32" s="133"/>
      <c r="V32" s="133"/>
      <c r="W32" s="133"/>
      <c r="X32" s="133"/>
      <c r="Y32" s="137"/>
      <c r="AA32" s="153" t="s">
        <v>203</v>
      </c>
      <c r="AB32" s="154"/>
      <c r="AC32" s="155"/>
      <c r="AD32" s="213">
        <f>'Datos Extra'!B24</f>
        <v>2203</v>
      </c>
      <c r="AE32" s="428">
        <f>'Datos Extra'!C24</f>
        <v>2.8000000000000001E-2</v>
      </c>
      <c r="AF32" s="213">
        <f>'Datos Extra'!D24</f>
        <v>2141.3159999999998</v>
      </c>
      <c r="AG32" s="428">
        <f>'Datos Extra'!E24</f>
        <v>0.62560000000000004</v>
      </c>
      <c r="AH32" s="213">
        <f>'Datos Extra'!F24</f>
        <v>0</v>
      </c>
      <c r="AI32" s="213">
        <f>'Datos Extra'!G24</f>
        <v>0</v>
      </c>
    </row>
    <row r="33" spans="2:43" ht="15.75" customHeight="1" x14ac:dyDescent="0.2">
      <c r="B33" s="132"/>
      <c r="C33" s="133"/>
      <c r="D33" s="133"/>
      <c r="E33" s="143">
        <f>Flujos!G12</f>
        <v>969.95</v>
      </c>
      <c r="G33" s="133"/>
      <c r="H33" s="133"/>
      <c r="I33" s="164">
        <f>Flujos!G15</f>
        <v>208774</v>
      </c>
      <c r="J33" s="194"/>
      <c r="Q33" s="187"/>
      <c r="T33" s="418"/>
      <c r="U33" s="418"/>
      <c r="Y33" s="137"/>
      <c r="AA33" s="153" t="s">
        <v>204</v>
      </c>
      <c r="AB33" s="154"/>
      <c r="AC33" s="155"/>
      <c r="AD33" s="213">
        <f>'Datos Extra'!B25</f>
        <v>0</v>
      </c>
      <c r="AE33" s="428">
        <f>'Datos Extra'!C25</f>
        <v>0</v>
      </c>
      <c r="AF33" s="213">
        <f>'Datos Extra'!D25</f>
        <v>0</v>
      </c>
      <c r="AG33" s="428">
        <f>'Datos Extra'!E25</f>
        <v>0</v>
      </c>
      <c r="AH33" s="213">
        <f>'Datos Extra'!F25</f>
        <v>0</v>
      </c>
      <c r="AI33" s="213">
        <f>'Datos Extra'!G25</f>
        <v>0</v>
      </c>
      <c r="AK33" s="181" t="s">
        <v>205</v>
      </c>
      <c r="AN33" s="215" t="s">
        <v>206</v>
      </c>
      <c r="AO33" s="215" t="s">
        <v>207</v>
      </c>
    </row>
    <row r="34" spans="2:43" ht="15.75" customHeight="1" x14ac:dyDescent="0.2">
      <c r="B34" s="132"/>
      <c r="C34" s="133"/>
      <c r="D34" s="133"/>
      <c r="E34" s="151">
        <f>Flujos!H12*Flujos!G12</f>
        <v>108.60433155</v>
      </c>
      <c r="F34" s="133"/>
      <c r="H34" s="133"/>
      <c r="I34" s="165">
        <f>Flujos!H15</f>
        <v>0.66638999999999993</v>
      </c>
      <c r="S34" s="172"/>
      <c r="T34" s="419"/>
      <c r="U34" s="419"/>
      <c r="V34" s="133"/>
      <c r="Y34" s="137"/>
      <c r="AA34" s="153" t="s">
        <v>208</v>
      </c>
      <c r="AB34" s="154"/>
      <c r="AC34" s="155"/>
      <c r="AD34" s="213">
        <f>'Datos Extra'!B26</f>
        <v>0</v>
      </c>
      <c r="AE34" s="428">
        <f>'Datos Extra'!C26</f>
        <v>2.6944684E-2</v>
      </c>
      <c r="AF34" s="213">
        <f>'Datos Extra'!D26</f>
        <v>0</v>
      </c>
      <c r="AG34" s="428">
        <f>'Datos Extra'!E26</f>
        <v>0.62503473099999995</v>
      </c>
      <c r="AH34" s="213">
        <f>'Datos Extra'!F26</f>
        <v>0</v>
      </c>
      <c r="AI34" s="213">
        <f>'Datos Extra'!G26</f>
        <v>0</v>
      </c>
      <c r="AK34" s="177" t="s">
        <v>183</v>
      </c>
      <c r="AL34" s="162">
        <v>278637</v>
      </c>
      <c r="AN34" s="215">
        <v>39050</v>
      </c>
      <c r="AO34" s="215">
        <v>253801</v>
      </c>
    </row>
    <row r="35" spans="2:43" ht="15.75" customHeight="1" x14ac:dyDescent="0.2">
      <c r="B35" s="132"/>
      <c r="C35" s="133"/>
      <c r="D35" s="142" t="s">
        <v>162</v>
      </c>
      <c r="E35" s="142" t="s">
        <v>163</v>
      </c>
      <c r="F35" s="133"/>
      <c r="H35" s="133"/>
      <c r="I35" s="167">
        <f>I33*I34</f>
        <v>139124.90586</v>
      </c>
      <c r="J35" s="181" t="s">
        <v>209</v>
      </c>
      <c r="K35" s="204">
        <f>+AF20</f>
        <v>0</v>
      </c>
      <c r="O35" s="141">
        <f>+AF23</f>
        <v>0</v>
      </c>
      <c r="V35" s="133"/>
      <c r="Y35" s="137"/>
      <c r="AA35" s="153" t="s">
        <v>210</v>
      </c>
      <c r="AB35" s="154"/>
      <c r="AC35" s="155"/>
      <c r="AD35" s="213">
        <f>'Datos Extra'!B27</f>
        <v>0</v>
      </c>
      <c r="AE35" s="428">
        <f>'Datos Extra'!C27</f>
        <v>0</v>
      </c>
      <c r="AF35" s="213">
        <f>'Datos Extra'!D27</f>
        <v>0</v>
      </c>
      <c r="AG35" s="428">
        <f>'Datos Extra'!E27</f>
        <v>0</v>
      </c>
      <c r="AH35" s="213">
        <f>'Datos Extra'!F27</f>
        <v>0</v>
      </c>
      <c r="AI35" s="213">
        <f>'Datos Extra'!G27</f>
        <v>0</v>
      </c>
      <c r="AK35" s="177" t="s">
        <v>188</v>
      </c>
      <c r="AL35" s="162">
        <v>272690</v>
      </c>
      <c r="AN35" s="215">
        <v>39050</v>
      </c>
      <c r="AO35" s="215">
        <v>254001</v>
      </c>
    </row>
    <row r="36" spans="2:43" ht="15.75" customHeight="1" x14ac:dyDescent="0.2">
      <c r="B36" s="132"/>
      <c r="C36" s="172" t="s">
        <v>40</v>
      </c>
      <c r="D36" s="451">
        <f>+AQ10</f>
        <v>132691.49529348794</v>
      </c>
      <c r="E36" s="451">
        <f>+AR10</f>
        <v>136107.39891448722</v>
      </c>
      <c r="F36" s="133"/>
      <c r="H36" s="133"/>
      <c r="I36" s="133"/>
      <c r="J36" s="216"/>
      <c r="R36" s="164">
        <f>+AF25</f>
        <v>0</v>
      </c>
      <c r="V36" s="133"/>
      <c r="W36" s="165"/>
      <c r="X36" s="165"/>
      <c r="Y36" s="137"/>
      <c r="AA36" s="153" t="s">
        <v>211</v>
      </c>
      <c r="AB36" s="154"/>
      <c r="AC36" s="155"/>
      <c r="AD36" s="213">
        <f>'Datos Extra'!B28</f>
        <v>24345</v>
      </c>
      <c r="AE36" s="428">
        <f>'Datos Extra'!C28</f>
        <v>0</v>
      </c>
      <c r="AF36" s="213">
        <f>'Datos Extra'!D28</f>
        <v>24345</v>
      </c>
      <c r="AG36" s="428">
        <f>'Datos Extra'!E28</f>
        <v>0.65</v>
      </c>
      <c r="AH36" s="213">
        <f>'Datos Extra'!F28</f>
        <v>0</v>
      </c>
      <c r="AI36" s="213">
        <f>'Datos Extra'!G28</f>
        <v>0</v>
      </c>
      <c r="AK36" s="182" t="s">
        <v>192</v>
      </c>
      <c r="AL36" s="183">
        <f>+AL34-AL35</f>
        <v>5947</v>
      </c>
    </row>
    <row r="37" spans="2:43" ht="15.75" customHeight="1" x14ac:dyDescent="0.2">
      <c r="B37" s="132"/>
      <c r="E37" s="150">
        <f>+E36-D36</f>
        <v>3415.9036209992773</v>
      </c>
      <c r="G37" s="216"/>
      <c r="H37" s="457">
        <f>Flujos!G11</f>
        <v>-2106</v>
      </c>
      <c r="I37" s="141"/>
      <c r="J37" s="216"/>
      <c r="Q37" s="216">
        <f>+M39+O35-P41</f>
        <v>0</v>
      </c>
      <c r="R37" s="165">
        <f>+AG25</f>
        <v>0</v>
      </c>
      <c r="V37" s="204">
        <f>Flujos!G38</f>
        <v>65670</v>
      </c>
      <c r="W37" s="167"/>
      <c r="X37" s="167"/>
      <c r="Y37" s="137"/>
      <c r="AA37" s="153" t="s">
        <v>212</v>
      </c>
      <c r="AB37" s="154"/>
      <c r="AC37" s="155"/>
      <c r="AD37" s="213">
        <f>'Datos Extra'!B29</f>
        <v>24345</v>
      </c>
      <c r="AE37" s="428">
        <f>'Datos Extra'!C29</f>
        <v>0</v>
      </c>
      <c r="AF37" s="213">
        <f>'Datos Extra'!D29</f>
        <v>24345</v>
      </c>
      <c r="AG37" s="428">
        <f>'Datos Extra'!E29</f>
        <v>0.65</v>
      </c>
      <c r="AH37" s="213">
        <f>'Datos Extra'!F29</f>
        <v>0</v>
      </c>
      <c r="AI37" s="213">
        <f>'Datos Extra'!G29</f>
        <v>0</v>
      </c>
    </row>
    <row r="38" spans="2:43" ht="15.75" customHeight="1" x14ac:dyDescent="0.2">
      <c r="B38" s="132"/>
      <c r="G38" s="216"/>
      <c r="H38" s="458">
        <f>Flujos!G11*Flujos!H11</f>
        <v>-1445.7690000000002</v>
      </c>
      <c r="I38" s="145"/>
      <c r="J38" s="133"/>
      <c r="Q38" s="216">
        <f>+M41-P43</f>
        <v>0</v>
      </c>
      <c r="R38" s="167">
        <f>+R36*R37</f>
        <v>0</v>
      </c>
      <c r="V38" s="227">
        <f>Flujos!H38</f>
        <v>0.65</v>
      </c>
      <c r="W38" s="133"/>
      <c r="X38" s="133"/>
      <c r="Y38" s="137"/>
      <c r="AA38" s="153" t="s">
        <v>213</v>
      </c>
      <c r="AB38" s="154"/>
      <c r="AC38" s="155"/>
      <c r="AD38" s="213">
        <f>'Datos Extra'!B30</f>
        <v>0</v>
      </c>
      <c r="AE38" s="428">
        <f>'Datos Extra'!C30</f>
        <v>0</v>
      </c>
      <c r="AF38" s="213">
        <f>'Datos Extra'!D30</f>
        <v>0</v>
      </c>
      <c r="AG38" s="428">
        <f>'Datos Extra'!E30</f>
        <v>0</v>
      </c>
      <c r="AH38" s="213">
        <f>'Datos Extra'!F30</f>
        <v>0</v>
      </c>
      <c r="AI38" s="213">
        <f>'Datos Extra'!G30</f>
        <v>0</v>
      </c>
    </row>
    <row r="39" spans="2:43" ht="15.75" customHeight="1" x14ac:dyDescent="0.2">
      <c r="B39" s="132"/>
      <c r="C39" s="133"/>
      <c r="D39" s="133"/>
      <c r="G39" s="133"/>
      <c r="H39" s="133"/>
      <c r="I39" s="149"/>
      <c r="J39" s="141">
        <f>+AF18</f>
        <v>15836.380952</v>
      </c>
      <c r="M39" s="141">
        <f>+AF21</f>
        <v>0</v>
      </c>
      <c r="V39" s="214">
        <f>V38*V37</f>
        <v>42685.5</v>
      </c>
      <c r="W39" s="133"/>
      <c r="X39" s="133"/>
      <c r="Y39" s="137"/>
      <c r="AA39" s="153" t="s">
        <v>214</v>
      </c>
      <c r="AB39" s="154"/>
      <c r="AC39" s="155"/>
      <c r="AD39" s="213">
        <f>'Datos Extra'!B31</f>
        <v>0</v>
      </c>
      <c r="AE39" s="428">
        <f>'Datos Extra'!C31</f>
        <v>0</v>
      </c>
      <c r="AF39" s="213">
        <f>'Datos Extra'!D31</f>
        <v>0</v>
      </c>
      <c r="AG39" s="428">
        <f>'Datos Extra'!E31</f>
        <v>0</v>
      </c>
      <c r="AH39" s="213">
        <f>'Datos Extra'!F31</f>
        <v>0</v>
      </c>
      <c r="AI39" s="213">
        <f>'Datos Extra'!G31</f>
        <v>0</v>
      </c>
      <c r="AK39" s="616" t="s">
        <v>215</v>
      </c>
      <c r="AL39" s="616"/>
      <c r="AM39" s="144" t="s">
        <v>183</v>
      </c>
      <c r="AN39" s="144" t="s">
        <v>216</v>
      </c>
      <c r="AP39" s="161" t="s">
        <v>217</v>
      </c>
      <c r="AQ39" s="161" t="s">
        <v>218</v>
      </c>
    </row>
    <row r="40" spans="2:43" ht="15.75" customHeight="1" x14ac:dyDescent="0.2">
      <c r="B40" s="132"/>
      <c r="C40" s="133"/>
      <c r="D40" s="133"/>
      <c r="F40" s="141">
        <f>+AF16</f>
        <v>192143</v>
      </c>
      <c r="G40" s="133"/>
      <c r="J40" s="145">
        <f>+AG18</f>
        <v>0.72082499999999994</v>
      </c>
      <c r="K40" s="196"/>
      <c r="M40" s="145">
        <f>+AG21</f>
        <v>0</v>
      </c>
      <c r="W40" s="133"/>
      <c r="X40" s="133"/>
      <c r="Y40" s="137"/>
      <c r="AA40" s="153" t="s">
        <v>219</v>
      </c>
      <c r="AB40" s="154"/>
      <c r="AC40" s="155"/>
      <c r="AD40" s="213">
        <f>'Datos Extra'!B32</f>
        <v>0</v>
      </c>
      <c r="AE40" s="428">
        <f>'Datos Extra'!C32</f>
        <v>0</v>
      </c>
      <c r="AF40" s="213">
        <f>'Datos Extra'!D32</f>
        <v>0</v>
      </c>
      <c r="AG40" s="428">
        <f>'Datos Extra'!E32</f>
        <v>0</v>
      </c>
      <c r="AH40" s="213">
        <f>'Datos Extra'!F32</f>
        <v>0</v>
      </c>
      <c r="AI40" s="213">
        <f>'Datos Extra'!G32</f>
        <v>0</v>
      </c>
      <c r="AK40" s="608" t="s">
        <v>107</v>
      </c>
      <c r="AL40" s="609"/>
      <c r="AM40" s="217">
        <f>+SUM(AM41:AM44)</f>
        <v>115642</v>
      </c>
      <c r="AN40" s="217">
        <f>+SUM(AN41:AN44)</f>
        <v>112764</v>
      </c>
      <c r="AO40" s="218">
        <f>+AN40-AM40</f>
        <v>-2878</v>
      </c>
      <c r="AP40" s="426">
        <f>IF(AN40=0,0,SUMPRODUCT(AN41:AN44,AP41:AP44)/AN40)</f>
        <v>68.849999999999994</v>
      </c>
      <c r="AQ40" s="426">
        <f>IF(AN40=0,0,SUMPRODUCT(AN41:AN44,AQ41:AQ44)/AN40)</f>
        <v>7.7</v>
      </c>
    </row>
    <row r="41" spans="2:43" ht="15.75" customHeight="1" x14ac:dyDescent="0.2">
      <c r="B41" s="132"/>
      <c r="C41" s="141">
        <f>+AF19</f>
        <v>103878</v>
      </c>
      <c r="E41" s="133"/>
      <c r="F41" s="145">
        <f>+AG16</f>
        <v>0.68650000000000011</v>
      </c>
      <c r="G41" s="133"/>
      <c r="I41" s="459">
        <f>+AF15</f>
        <v>210880</v>
      </c>
      <c r="J41" s="149">
        <f>+M41</f>
        <v>0</v>
      </c>
      <c r="K41" s="196"/>
      <c r="M41" s="149">
        <f>+M39*M40</f>
        <v>0</v>
      </c>
      <c r="P41" s="141">
        <f>+P49+R36+R43</f>
        <v>0</v>
      </c>
      <c r="U41" s="133"/>
      <c r="V41" s="133"/>
      <c r="W41" s="133"/>
      <c r="X41" s="133"/>
      <c r="Y41" s="137"/>
      <c r="AA41" s="153" t="s">
        <v>220</v>
      </c>
      <c r="AB41" s="154"/>
      <c r="AC41" s="155"/>
      <c r="AD41" s="213">
        <f>'Datos Extra'!B33</f>
        <v>0</v>
      </c>
      <c r="AE41" s="428">
        <f>'Datos Extra'!C33</f>
        <v>0</v>
      </c>
      <c r="AF41" s="213">
        <f>'Datos Extra'!D33</f>
        <v>0</v>
      </c>
      <c r="AG41" s="428">
        <f>'Datos Extra'!E33</f>
        <v>0</v>
      </c>
      <c r="AH41" s="213">
        <f>'Datos Extra'!F33</f>
        <v>0</v>
      </c>
      <c r="AI41" s="213">
        <f>'Datos Extra'!G33</f>
        <v>0</v>
      </c>
      <c r="AK41" s="606" t="s">
        <v>221</v>
      </c>
      <c r="AL41" s="607"/>
      <c r="AM41" s="220">
        <f>'Datos Extra'!C48</f>
        <v>115642</v>
      </c>
      <c r="AN41" s="220">
        <f>'Datos Extra'!D48</f>
        <v>112764</v>
      </c>
      <c r="AO41" s="221"/>
      <c r="AP41" s="427">
        <f>'Datos Extra'!F48</f>
        <v>68.849999999999994</v>
      </c>
      <c r="AQ41" s="427">
        <f>'Datos Extra'!G48</f>
        <v>7.7</v>
      </c>
    </row>
    <row r="42" spans="2:43" ht="15.75" customHeight="1" x14ac:dyDescent="0.2">
      <c r="B42" s="132"/>
      <c r="C42" s="145">
        <f>+AG19</f>
        <v>0.68680000000000008</v>
      </c>
      <c r="E42" s="133"/>
      <c r="F42" s="149">
        <f>+F40*F41</f>
        <v>131906.16950000002</v>
      </c>
      <c r="G42" s="133"/>
      <c r="I42" s="460">
        <f>+AG15</f>
        <v>0.67963499999999999</v>
      </c>
      <c r="J42" s="133"/>
      <c r="P42" s="145" t="e">
        <f>+M41/P41</f>
        <v>#DIV/0!</v>
      </c>
      <c r="U42" s="133"/>
      <c r="V42" s="133"/>
      <c r="W42" s="133"/>
      <c r="X42" s="133"/>
      <c r="Y42" s="137"/>
      <c r="AA42" s="153" t="s">
        <v>222</v>
      </c>
      <c r="AB42" s="154"/>
      <c r="AC42" s="155"/>
      <c r="AD42" s="213">
        <f>'Datos Extra'!B34</f>
        <v>0</v>
      </c>
      <c r="AE42" s="428">
        <f>'Datos Extra'!C34</f>
        <v>0</v>
      </c>
      <c r="AF42" s="213">
        <f>'Datos Extra'!D34</f>
        <v>0</v>
      </c>
      <c r="AG42" s="428">
        <f>'Datos Extra'!E34</f>
        <v>0</v>
      </c>
      <c r="AH42" s="213">
        <f>'Datos Extra'!F34</f>
        <v>0</v>
      </c>
      <c r="AI42" s="213">
        <f>'Datos Extra'!G34</f>
        <v>0</v>
      </c>
      <c r="AK42" s="606" t="s">
        <v>223</v>
      </c>
      <c r="AL42" s="607"/>
      <c r="AM42" s="220">
        <f>'Datos Extra'!C49</f>
        <v>0</v>
      </c>
      <c r="AN42" s="220">
        <f>'Datos Extra'!D49</f>
        <v>0</v>
      </c>
      <c r="AO42" s="221"/>
      <c r="AP42" s="427">
        <f>'Datos Extra'!F49</f>
        <v>68.77</v>
      </c>
      <c r="AQ42" s="427">
        <f>'Datos Extra'!G49</f>
        <v>7.74</v>
      </c>
    </row>
    <row r="43" spans="2:43" ht="15.75" customHeight="1" x14ac:dyDescent="0.2">
      <c r="B43" s="132"/>
      <c r="C43" s="149">
        <f>+C41*C42</f>
        <v>71343.410400000008</v>
      </c>
      <c r="E43" s="223"/>
      <c r="F43" s="133"/>
      <c r="G43" s="133"/>
      <c r="I43" s="461">
        <f>+I41*I42</f>
        <v>143321.42879999999</v>
      </c>
      <c r="J43" s="133"/>
      <c r="P43" s="149">
        <f>+R45+R38+P51</f>
        <v>0</v>
      </c>
      <c r="R43" s="164">
        <f>+AF41</f>
        <v>0</v>
      </c>
      <c r="U43" s="133"/>
      <c r="V43" s="133"/>
      <c r="W43" s="133"/>
      <c r="X43" s="133"/>
      <c r="Y43" s="137"/>
      <c r="AA43" s="153" t="s">
        <v>224</v>
      </c>
      <c r="AB43" s="154"/>
      <c r="AC43" s="155"/>
      <c r="AD43" s="213">
        <f>'Datos Extra'!B35</f>
        <v>0</v>
      </c>
      <c r="AE43" s="428">
        <f>'Datos Extra'!C35</f>
        <v>0</v>
      </c>
      <c r="AF43" s="213">
        <f>'Datos Extra'!D35</f>
        <v>0</v>
      </c>
      <c r="AG43" s="428">
        <f>'Datos Extra'!E35</f>
        <v>0</v>
      </c>
      <c r="AH43" s="213">
        <f>'Datos Extra'!F35</f>
        <v>0</v>
      </c>
      <c r="AI43" s="213">
        <f>'Datos Extra'!G35</f>
        <v>0</v>
      </c>
      <c r="AK43" s="606" t="s">
        <v>225</v>
      </c>
      <c r="AL43" s="607"/>
      <c r="AM43" s="220">
        <f>'Datos Extra'!C50</f>
        <v>0</v>
      </c>
      <c r="AN43" s="220">
        <f>'Datos Extra'!D50</f>
        <v>0</v>
      </c>
      <c r="AO43" s="221"/>
      <c r="AP43" s="427">
        <f>'Datos Extra'!F50</f>
        <v>69.150000000000006</v>
      </c>
      <c r="AQ43" s="427">
        <f>'Datos Extra'!G50</f>
        <v>7.37</v>
      </c>
    </row>
    <row r="44" spans="2:43" ht="15.75" customHeight="1" x14ac:dyDescent="0.2">
      <c r="B44" s="132"/>
      <c r="E44" s="149"/>
      <c r="G44" s="133"/>
      <c r="J44" s="187"/>
      <c r="R44" s="165">
        <f>+AG22</f>
        <v>0</v>
      </c>
      <c r="S44" s="131" t="s">
        <v>271</v>
      </c>
      <c r="U44" s="133"/>
      <c r="V44" s="133"/>
      <c r="W44" s="133"/>
      <c r="X44" s="133"/>
      <c r="Y44" s="137"/>
      <c r="AA44" s="153" t="s">
        <v>226</v>
      </c>
      <c r="AB44" s="154"/>
      <c r="AC44" s="155"/>
      <c r="AD44" s="213">
        <f>'Datos Extra'!B36</f>
        <v>0</v>
      </c>
      <c r="AE44" s="428">
        <f>'Datos Extra'!C36</f>
        <v>0</v>
      </c>
      <c r="AF44" s="213">
        <f>'Datos Extra'!D36</f>
        <v>0</v>
      </c>
      <c r="AG44" s="428">
        <f>'Datos Extra'!E36</f>
        <v>0</v>
      </c>
      <c r="AH44" s="213">
        <f>'Datos Extra'!F36</f>
        <v>0</v>
      </c>
      <c r="AI44" s="213">
        <f>'Datos Extra'!G36</f>
        <v>0</v>
      </c>
      <c r="AK44" s="606" t="s">
        <v>227</v>
      </c>
      <c r="AL44" s="607"/>
      <c r="AM44" s="220">
        <f>'Datos Extra'!C51</f>
        <v>0</v>
      </c>
      <c r="AN44" s="220">
        <f>'Datos Extra'!D51</f>
        <v>0</v>
      </c>
      <c r="AO44" s="221"/>
      <c r="AP44" s="427">
        <f>'Datos Extra'!F51</f>
        <v>69.150000000000006</v>
      </c>
      <c r="AQ44" s="427">
        <f>'Datos Extra'!G51</f>
        <v>7.37</v>
      </c>
    </row>
    <row r="45" spans="2:43" ht="15.75" customHeight="1" x14ac:dyDescent="0.2">
      <c r="B45" s="132"/>
      <c r="D45" s="133"/>
      <c r="E45" s="133"/>
      <c r="G45" s="141">
        <f>+AF17</f>
        <v>0</v>
      </c>
      <c r="I45" s="187"/>
      <c r="J45" s="224"/>
      <c r="M45" s="196"/>
      <c r="R45" s="167">
        <f>+R43*R44</f>
        <v>0</v>
      </c>
      <c r="U45" s="133"/>
      <c r="V45" s="133"/>
      <c r="Y45" s="137"/>
      <c r="AA45" s="153" t="s">
        <v>228</v>
      </c>
      <c r="AB45" s="154"/>
      <c r="AC45" s="155"/>
      <c r="AD45" s="213">
        <f>'Datos Extra'!B37</f>
        <v>0</v>
      </c>
      <c r="AE45" s="428">
        <f>'Datos Extra'!C37</f>
        <v>0</v>
      </c>
      <c r="AF45" s="213">
        <f>'Datos Extra'!D37</f>
        <v>0</v>
      </c>
      <c r="AG45" s="428">
        <f>'Datos Extra'!E37</f>
        <v>0</v>
      </c>
      <c r="AH45" s="213">
        <f>'Datos Extra'!F37</f>
        <v>0</v>
      </c>
      <c r="AI45" s="213">
        <f>'Datos Extra'!G37</f>
        <v>0</v>
      </c>
      <c r="AK45" s="608" t="s">
        <v>109</v>
      </c>
      <c r="AL45" s="609"/>
      <c r="AM45" s="217">
        <f>+SUM(AM46:AM49)</f>
        <v>0</v>
      </c>
      <c r="AN45" s="161">
        <f>+SUM(AN46:AN49)</f>
        <v>0</v>
      </c>
      <c r="AO45" s="218">
        <f>+AN45-AM45</f>
        <v>0</v>
      </c>
      <c r="AP45" s="425" t="e">
        <f>+SUMPRODUCT(AN46:AN49,AP46:AP49)/AN45</f>
        <v>#DIV/0!</v>
      </c>
      <c r="AQ45" s="425" t="e">
        <f>+SUMPRODUCT(AN46:AN49,AQ46:AQ49)/AN45</f>
        <v>#DIV/0!</v>
      </c>
    </row>
    <row r="46" spans="2:43" ht="15.75" customHeight="1" x14ac:dyDescent="0.2">
      <c r="B46" s="132"/>
      <c r="E46" s="133"/>
      <c r="G46" s="145">
        <f>+AG17</f>
        <v>0.68650000000000011</v>
      </c>
      <c r="H46" s="141">
        <f>+F40+G45</f>
        <v>192143</v>
      </c>
      <c r="I46" s="183"/>
      <c r="M46" s="196"/>
      <c r="U46" s="133"/>
      <c r="V46" s="133"/>
      <c r="Y46" s="137"/>
      <c r="AK46" s="606" t="s">
        <v>221</v>
      </c>
      <c r="AL46" s="607"/>
      <c r="AM46" s="423">
        <f>'Datos Extra'!C52</f>
        <v>0</v>
      </c>
      <c r="AN46" s="423">
        <f>'Datos Extra'!D52</f>
        <v>0</v>
      </c>
      <c r="AO46" s="221"/>
      <c r="AP46" s="425">
        <f>'Datos Extra'!F52</f>
        <v>65.34</v>
      </c>
      <c r="AQ46" s="425">
        <f>'Datos Extra'!G52</f>
        <v>1.1200000000000001</v>
      </c>
    </row>
    <row r="47" spans="2:43" ht="15.75" customHeight="1" x14ac:dyDescent="0.2">
      <c r="B47" s="132"/>
      <c r="E47" s="141">
        <f>+G45</f>
        <v>0</v>
      </c>
      <c r="G47" s="149">
        <f>+G45*G46</f>
        <v>0</v>
      </c>
      <c r="H47" s="145">
        <f>+H48/H46</f>
        <v>0.68650000000000011</v>
      </c>
      <c r="J47" s="194"/>
      <c r="K47" s="187"/>
      <c r="U47" s="133"/>
      <c r="V47" s="133"/>
      <c r="Y47" s="137"/>
      <c r="Z47" s="133" t="s">
        <v>148</v>
      </c>
      <c r="AC47" s="615" t="s">
        <v>229</v>
      </c>
      <c r="AD47" s="615"/>
      <c r="AE47" s="615"/>
      <c r="AF47" s="615"/>
      <c r="AK47" s="606" t="s">
        <v>223</v>
      </c>
      <c r="AL47" s="607"/>
      <c r="AM47" s="423">
        <f>'Datos Extra'!C53</f>
        <v>0</v>
      </c>
      <c r="AN47" s="423">
        <f>'Datos Extra'!D53</f>
        <v>0</v>
      </c>
      <c r="AO47" s="225"/>
      <c r="AP47" s="425">
        <f>'Datos Extra'!F53</f>
        <v>65.180000000000007</v>
      </c>
      <c r="AQ47" s="425">
        <f>'Datos Extra'!G53</f>
        <v>0.69</v>
      </c>
    </row>
    <row r="48" spans="2:43" ht="15.75" customHeight="1" x14ac:dyDescent="0.2">
      <c r="B48" s="132"/>
      <c r="C48" s="133"/>
      <c r="E48" s="145">
        <f>+G46</f>
        <v>0.68650000000000011</v>
      </c>
      <c r="F48" s="133"/>
      <c r="G48" s="133"/>
      <c r="H48" s="149">
        <f>+F42+G47</f>
        <v>131906.16950000002</v>
      </c>
      <c r="J48" s="194"/>
      <c r="U48" s="133"/>
      <c r="V48" s="133"/>
      <c r="W48" s="133"/>
      <c r="X48" s="133"/>
      <c r="Y48" s="137"/>
      <c r="AC48" s="144" t="s">
        <v>230</v>
      </c>
      <c r="AD48" s="144" t="s">
        <v>231</v>
      </c>
      <c r="AE48" s="144" t="s">
        <v>232</v>
      </c>
      <c r="AF48" s="144" t="s">
        <v>177</v>
      </c>
      <c r="AG48" s="144" t="s">
        <v>163</v>
      </c>
      <c r="AH48" s="144" t="s">
        <v>233</v>
      </c>
      <c r="AK48" s="606" t="s">
        <v>225</v>
      </c>
      <c r="AL48" s="607"/>
      <c r="AM48" s="423">
        <f>'Datos Extra'!C54</f>
        <v>0</v>
      </c>
      <c r="AN48" s="423">
        <f>'Datos Extra'!D54</f>
        <v>0</v>
      </c>
      <c r="AO48" s="225"/>
      <c r="AP48" s="425">
        <f>'Datos Extra'!F54</f>
        <v>65.55</v>
      </c>
      <c r="AQ48" s="425">
        <f>'Datos Extra'!G54</f>
        <v>0.71</v>
      </c>
    </row>
    <row r="49" spans="2:43" ht="15.75" customHeight="1" x14ac:dyDescent="0.2">
      <c r="B49" s="132"/>
      <c r="E49" s="149">
        <f>+E47*E48</f>
        <v>0</v>
      </c>
      <c r="F49" s="133"/>
      <c r="H49" s="133"/>
      <c r="P49" s="226">
        <f>+AF26</f>
        <v>0</v>
      </c>
      <c r="U49" s="133"/>
      <c r="V49" s="133"/>
      <c r="W49" s="133"/>
      <c r="X49" s="133"/>
      <c r="Y49" s="137"/>
      <c r="AA49" s="131" t="s">
        <v>234</v>
      </c>
      <c r="AC49" s="163">
        <v>36780</v>
      </c>
      <c r="AD49" s="163">
        <v>36848</v>
      </c>
      <c r="AE49" s="163">
        <f>+AD49-AC49</f>
        <v>68</v>
      </c>
      <c r="AF49" s="163">
        <f>+AE49*(1-AE31)</f>
        <v>65.28</v>
      </c>
      <c r="AG49" s="161"/>
      <c r="AH49" s="161"/>
      <c r="AK49" s="606" t="s">
        <v>227</v>
      </c>
      <c r="AL49" s="607"/>
      <c r="AM49" s="423">
        <f>'Datos Extra'!C55</f>
        <v>0</v>
      </c>
      <c r="AN49" s="423">
        <f>'Datos Extra'!D55</f>
        <v>0</v>
      </c>
      <c r="AO49" s="225"/>
      <c r="AP49" s="425">
        <f>'Datos Extra'!F55</f>
        <v>0</v>
      </c>
      <c r="AQ49" s="425">
        <f>'Datos Extra'!G55</f>
        <v>0</v>
      </c>
    </row>
    <row r="50" spans="2:43" ht="15.75" customHeight="1" x14ac:dyDescent="0.2">
      <c r="B50" s="132"/>
      <c r="E50" s="133"/>
      <c r="F50" s="133"/>
      <c r="G50" s="227"/>
      <c r="P50" s="228">
        <f>+AG26</f>
        <v>0</v>
      </c>
      <c r="U50" s="133"/>
      <c r="V50" s="133"/>
      <c r="W50" s="133"/>
      <c r="X50" s="133"/>
      <c r="Y50" s="137"/>
      <c r="AA50" s="131" t="s">
        <v>235</v>
      </c>
      <c r="AC50" s="163">
        <v>18126</v>
      </c>
      <c r="AD50" s="163">
        <v>21873</v>
      </c>
      <c r="AE50" s="163">
        <f>+AD50-AC50</f>
        <v>3747</v>
      </c>
      <c r="AF50" s="163">
        <f>+AE50*(1-AE35)</f>
        <v>3747</v>
      </c>
      <c r="AG50" s="229">
        <f>+AC50+AF41-AF42</f>
        <v>18126</v>
      </c>
      <c r="AH50" s="230">
        <f>17644+2400-1290</f>
        <v>18754</v>
      </c>
      <c r="AK50" s="608" t="s">
        <v>93</v>
      </c>
      <c r="AL50" s="609"/>
      <c r="AM50" s="217">
        <f>+SUM(AM51:AM54)</f>
        <v>198872</v>
      </c>
      <c r="AN50" s="161">
        <f>+SUM(AN51:AN54)</f>
        <v>204999</v>
      </c>
      <c r="AO50" s="231">
        <f>+AN50-AM50</f>
        <v>6127</v>
      </c>
      <c r="AP50" s="425">
        <f>+SUMPRODUCT(AN51:AN54,AP51:AP54)/AN50</f>
        <v>64.069999999999993</v>
      </c>
      <c r="AQ50" s="425">
        <f>+SUMPRODUCT(AN51:AN54,AQ51:AQ54)/AN50</f>
        <v>1.19</v>
      </c>
    </row>
    <row r="51" spans="2:43" ht="15.75" customHeight="1" x14ac:dyDescent="0.2">
      <c r="B51" s="132"/>
      <c r="F51" s="133"/>
      <c r="G51" s="214"/>
      <c r="I51" s="133"/>
      <c r="J51" s="133"/>
      <c r="P51" s="167">
        <f>+P49*P50</f>
        <v>0</v>
      </c>
      <c r="R51" s="133"/>
      <c r="S51" s="133"/>
      <c r="T51" s="133"/>
      <c r="U51" s="133"/>
      <c r="V51" s="133"/>
      <c r="W51" s="133"/>
      <c r="X51" s="133"/>
      <c r="Y51" s="137"/>
      <c r="AK51" s="606" t="s">
        <v>221</v>
      </c>
      <c r="AL51" s="607"/>
      <c r="AM51" s="424">
        <f>'Datos Extra'!C56</f>
        <v>62770</v>
      </c>
      <c r="AN51" s="424">
        <f>'Datos Extra'!D56</f>
        <v>65510</v>
      </c>
      <c r="AO51" s="225"/>
      <c r="AP51" s="425">
        <f>'Datos Extra'!F56</f>
        <v>64.069999999999993</v>
      </c>
      <c r="AQ51" s="425">
        <f>'Datos Extra'!G56</f>
        <v>1.19</v>
      </c>
    </row>
    <row r="52" spans="2:43" ht="15.75" customHeight="1" x14ac:dyDescent="0.2">
      <c r="B52" s="132"/>
      <c r="C52" s="133"/>
      <c r="D52" s="133"/>
      <c r="E52" s="133"/>
      <c r="I52" s="133"/>
      <c r="J52" s="133"/>
      <c r="M52" s="164">
        <f>+AF28</f>
        <v>0</v>
      </c>
      <c r="P52" s="167"/>
      <c r="R52" s="166">
        <f>+AF33</f>
        <v>0</v>
      </c>
      <c r="S52" s="166">
        <f>+AF38</f>
        <v>0</v>
      </c>
      <c r="T52" s="166">
        <f>+AF44</f>
        <v>0</v>
      </c>
      <c r="U52" s="194"/>
      <c r="V52" s="133"/>
      <c r="W52" s="133"/>
      <c r="X52" s="133"/>
      <c r="Y52" s="137"/>
      <c r="AD52" s="187"/>
      <c r="AK52" s="606" t="s">
        <v>223</v>
      </c>
      <c r="AL52" s="607"/>
      <c r="AM52" s="424">
        <f>'Datos Extra'!C57</f>
        <v>136102</v>
      </c>
      <c r="AN52" s="424">
        <f>'Datos Extra'!D57</f>
        <v>139489</v>
      </c>
      <c r="AO52" s="225"/>
      <c r="AP52" s="425">
        <f>'Datos Extra'!F57</f>
        <v>64.069999999999993</v>
      </c>
      <c r="AQ52" s="425">
        <f>'Datos Extra'!G57</f>
        <v>1.19</v>
      </c>
    </row>
    <row r="53" spans="2:43" ht="15.75" customHeight="1" x14ac:dyDescent="0.2">
      <c r="B53" s="132"/>
      <c r="C53" s="133"/>
      <c r="D53" s="133"/>
      <c r="E53" s="133"/>
      <c r="F53" s="223"/>
      <c r="H53" s="133"/>
      <c r="M53" s="165">
        <f>+AG28</f>
        <v>0</v>
      </c>
      <c r="R53" s="133"/>
      <c r="S53" s="133"/>
      <c r="T53" s="133"/>
      <c r="U53" s="133"/>
      <c r="V53" s="133"/>
      <c r="W53" s="133"/>
      <c r="X53" s="133"/>
      <c r="Y53" s="137"/>
      <c r="AG53" s="195"/>
      <c r="AK53" s="606" t="s">
        <v>225</v>
      </c>
      <c r="AL53" s="607"/>
      <c r="AM53" s="424">
        <f>'Datos Extra'!C58</f>
        <v>0</v>
      </c>
      <c r="AN53" s="424">
        <f>'Datos Extra'!D58</f>
        <v>0</v>
      </c>
      <c r="AO53" s="225"/>
      <c r="AP53" s="425">
        <f>'Datos Extra'!F58</f>
        <v>0</v>
      </c>
      <c r="AQ53" s="425">
        <f>'Datos Extra'!G58</f>
        <v>0</v>
      </c>
    </row>
    <row r="54" spans="2:43" ht="15.75" customHeight="1" x14ac:dyDescent="0.2">
      <c r="B54" s="132"/>
      <c r="C54" s="133"/>
      <c r="D54" s="133"/>
      <c r="E54" s="133"/>
      <c r="F54" s="133"/>
      <c r="H54" s="133"/>
      <c r="M54" s="167">
        <f>+M52*M53</f>
        <v>0</v>
      </c>
      <c r="R54" s="133"/>
      <c r="S54" s="133"/>
      <c r="T54" s="133"/>
      <c r="U54" s="133"/>
      <c r="V54" s="133"/>
      <c r="W54" s="133"/>
      <c r="X54" s="133"/>
      <c r="Y54" s="137"/>
      <c r="AG54" s="195"/>
      <c r="AK54" s="606" t="s">
        <v>227</v>
      </c>
      <c r="AL54" s="607"/>
      <c r="AM54" s="424">
        <f>'Datos Extra'!C59</f>
        <v>0</v>
      </c>
      <c r="AN54" s="424">
        <f>'Datos Extra'!D59</f>
        <v>0</v>
      </c>
      <c r="AO54" s="231"/>
      <c r="AP54" s="425">
        <f>'Datos Extra'!F59</f>
        <v>0</v>
      </c>
      <c r="AQ54" s="425">
        <f>'Datos Extra'!G59</f>
        <v>0</v>
      </c>
    </row>
    <row r="55" spans="2:43" ht="15.75" customHeight="1" x14ac:dyDescent="0.2">
      <c r="B55" s="132"/>
      <c r="C55" s="133"/>
      <c r="D55" s="133"/>
      <c r="H55" s="133"/>
      <c r="R55" s="232"/>
      <c r="U55" s="133"/>
      <c r="V55" s="133"/>
      <c r="W55" s="133"/>
      <c r="X55" s="133"/>
      <c r="Y55" s="137"/>
      <c r="AK55" s="608" t="s">
        <v>236</v>
      </c>
      <c r="AL55" s="609"/>
      <c r="AM55" s="161">
        <f>+SUM(AM56:AM57)</f>
        <v>67282</v>
      </c>
      <c r="AN55" s="161">
        <f>+SUM(AN56:AN57)</f>
        <v>66000</v>
      </c>
      <c r="AO55" s="231">
        <f>+AN55-AM55</f>
        <v>-1282</v>
      </c>
      <c r="AP55" s="425">
        <f>+SUMPRODUCT(AN56:AN57,AP56:AP57)/AN55</f>
        <v>0</v>
      </c>
      <c r="AQ55" s="425">
        <f>+SUMPRODUCT(AN56:AN57,AQ56:AQ57)/AN55</f>
        <v>0</v>
      </c>
    </row>
    <row r="56" spans="2:43" ht="15.75" customHeight="1" x14ac:dyDescent="0.2">
      <c r="B56" s="132"/>
      <c r="C56" s="133"/>
      <c r="D56" s="133"/>
      <c r="F56" s="165"/>
      <c r="G56" s="133"/>
      <c r="H56" s="133"/>
      <c r="I56" s="133"/>
      <c r="J56" s="133"/>
      <c r="L56" s="145"/>
      <c r="M56" s="133"/>
      <c r="O56" s="142" t="s">
        <v>162</v>
      </c>
      <c r="P56" s="142" t="s">
        <v>163</v>
      </c>
      <c r="R56" s="145"/>
      <c r="T56" s="133"/>
      <c r="U56" s="133"/>
      <c r="V56" s="133"/>
      <c r="W56" s="133"/>
      <c r="X56" s="133"/>
      <c r="Y56" s="137"/>
      <c r="AK56" s="606" t="s">
        <v>221</v>
      </c>
      <c r="AL56" s="607"/>
      <c r="AM56" s="222">
        <f>'Datos Extra'!C60</f>
        <v>67282</v>
      </c>
      <c r="AN56" s="222">
        <f>'Datos Extra'!D60</f>
        <v>66000</v>
      </c>
      <c r="AO56" s="225"/>
      <c r="AP56" s="425">
        <f>'Datos Extra'!F60</f>
        <v>0</v>
      </c>
      <c r="AQ56" s="425">
        <f>'Datos Extra'!G60</f>
        <v>0</v>
      </c>
    </row>
    <row r="57" spans="2:43" ht="15.75" customHeight="1" x14ac:dyDescent="0.2">
      <c r="B57" s="132"/>
      <c r="C57" s="133"/>
      <c r="F57" s="167"/>
      <c r="G57" s="133"/>
      <c r="H57" s="133"/>
      <c r="J57" s="133"/>
      <c r="K57" s="133"/>
      <c r="L57" s="149"/>
      <c r="M57" s="133"/>
      <c r="N57" s="172" t="s">
        <v>40</v>
      </c>
      <c r="O57" s="451">
        <f>+AQ12+R52+S52+T52</f>
        <v>65417.27</v>
      </c>
      <c r="P57" s="451">
        <f>+AR12</f>
        <v>14201.72650228858</v>
      </c>
      <c r="R57" s="149"/>
      <c r="S57" s="223"/>
      <c r="T57" s="133"/>
      <c r="U57" s="133"/>
      <c r="V57" s="133"/>
      <c r="W57" s="133"/>
      <c r="X57" s="133"/>
      <c r="Y57" s="137"/>
      <c r="AK57" s="606" t="s">
        <v>223</v>
      </c>
      <c r="AL57" s="607"/>
      <c r="AM57" s="222">
        <f>'Datos Extra'!C61</f>
        <v>0</v>
      </c>
      <c r="AN57" s="222">
        <f>'Datos Extra'!D61</f>
        <v>0</v>
      </c>
      <c r="AO57" s="225"/>
      <c r="AP57" s="425">
        <f>'Datos Extra'!F61</f>
        <v>0</v>
      </c>
      <c r="AQ57" s="425">
        <f>'Datos Extra'!G61</f>
        <v>0</v>
      </c>
    </row>
    <row r="58" spans="2:43" ht="15.75" customHeight="1" x14ac:dyDescent="0.2">
      <c r="B58" s="132"/>
      <c r="C58" s="133"/>
      <c r="D58" s="133"/>
      <c r="E58" s="133"/>
      <c r="F58" s="133"/>
      <c r="G58" s="133"/>
      <c r="H58" s="133"/>
      <c r="K58" s="133"/>
      <c r="L58" s="133"/>
      <c r="P58" s="150">
        <f>+P57-O57</f>
        <v>-51215.54349771142</v>
      </c>
      <c r="Q58" s="133"/>
      <c r="R58" s="133"/>
      <c r="S58" s="149"/>
      <c r="T58" s="133"/>
      <c r="U58" s="133"/>
      <c r="V58" s="133"/>
      <c r="W58" s="133"/>
      <c r="X58" s="133"/>
      <c r="Y58" s="137"/>
      <c r="AM58" s="195">
        <f>AM55+AM50+AM45+AM40</f>
        <v>381796</v>
      </c>
      <c r="AN58" s="195">
        <f>AN56+AN50+AN45+AN40-AN43</f>
        <v>383763</v>
      </c>
      <c r="AO58" s="231">
        <f>+AN58-AM58</f>
        <v>1967</v>
      </c>
      <c r="AP58" s="219"/>
      <c r="AQ58" s="219"/>
    </row>
    <row r="59" spans="2:43" ht="15.75" customHeight="1" x14ac:dyDescent="0.2">
      <c r="B59" s="132"/>
      <c r="C59" s="141"/>
      <c r="D59" s="133"/>
      <c r="E59" s="133"/>
      <c r="F59" s="133"/>
      <c r="G59" s="133"/>
      <c r="H59" s="133"/>
      <c r="L59" s="133"/>
      <c r="S59" s="133"/>
      <c r="T59" s="133"/>
      <c r="U59" s="133"/>
      <c r="V59" s="133"/>
      <c r="W59" s="133"/>
      <c r="X59" s="133"/>
      <c r="Y59" s="137"/>
    </row>
    <row r="60" spans="2:43" ht="15.75" customHeight="1" x14ac:dyDescent="0.2">
      <c r="B60" s="132"/>
      <c r="C60" s="145"/>
      <c r="D60" s="133"/>
      <c r="E60" s="141"/>
      <c r="F60" s="133"/>
      <c r="G60" s="133"/>
      <c r="H60" s="133"/>
      <c r="I60" s="133"/>
      <c r="L60" s="133"/>
      <c r="O60" s="133"/>
      <c r="Q60" s="133"/>
      <c r="R60" s="133"/>
      <c r="S60" s="133"/>
      <c r="T60" s="133"/>
      <c r="U60" s="133"/>
      <c r="V60" s="133"/>
      <c r="W60" s="133"/>
      <c r="X60" s="133"/>
      <c r="Y60" s="137"/>
    </row>
    <row r="61" spans="2:43" ht="15.75" customHeight="1" x14ac:dyDescent="0.2">
      <c r="B61" s="132"/>
      <c r="C61" s="133"/>
      <c r="D61" s="133"/>
      <c r="E61" s="133"/>
      <c r="F61" s="133"/>
      <c r="G61" s="133"/>
      <c r="H61" s="133"/>
      <c r="J61" s="133"/>
      <c r="K61" s="133"/>
      <c r="L61" s="133"/>
      <c r="M61" s="133"/>
      <c r="N61" s="133"/>
      <c r="Q61" s="133"/>
      <c r="R61" s="133"/>
      <c r="S61" s="133"/>
      <c r="T61" s="133"/>
      <c r="U61" s="133"/>
      <c r="V61" s="133"/>
      <c r="W61" s="133"/>
      <c r="X61" s="133"/>
      <c r="Y61" s="137"/>
    </row>
    <row r="62" spans="2:43" ht="15.75" customHeight="1" x14ac:dyDescent="0.2">
      <c r="B62" s="132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Q62" s="133"/>
      <c r="R62" s="133"/>
      <c r="S62" s="133"/>
      <c r="T62" s="133"/>
      <c r="U62" s="133"/>
      <c r="V62" s="133"/>
      <c r="W62" s="133"/>
      <c r="X62" s="133"/>
      <c r="Y62" s="137"/>
    </row>
    <row r="63" spans="2:43" ht="15.75" customHeight="1" x14ac:dyDescent="0.2">
      <c r="B63" s="132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Q63" s="133"/>
      <c r="R63" s="133"/>
      <c r="S63" s="133"/>
      <c r="T63" s="133"/>
      <c r="U63" s="133"/>
      <c r="V63" s="133"/>
      <c r="W63" s="133"/>
      <c r="X63" s="133"/>
      <c r="Y63" s="137"/>
    </row>
    <row r="64" spans="2:43" ht="15.75" customHeight="1" x14ac:dyDescent="0.2">
      <c r="B64" s="132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7"/>
    </row>
    <row r="65" spans="2:26" ht="15.75" customHeight="1" x14ac:dyDescent="0.2">
      <c r="B65" s="132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7"/>
    </row>
    <row r="66" spans="2:26" ht="15.75" customHeight="1" thickBot="1" x14ac:dyDescent="0.25">
      <c r="B66" s="233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5"/>
    </row>
    <row r="67" spans="2:26" ht="15.75" customHeight="1" x14ac:dyDescent="0.2">
      <c r="J67" s="187"/>
      <c r="K67" s="133"/>
      <c r="P67" s="133"/>
      <c r="Q67" s="133"/>
    </row>
    <row r="68" spans="2:26" ht="15.75" customHeight="1" thickBot="1" x14ac:dyDescent="0.25">
      <c r="E68" s="236"/>
      <c r="F68" s="133"/>
      <c r="G68" s="610" t="s">
        <v>237</v>
      </c>
      <c r="H68" s="611"/>
      <c r="I68" s="612"/>
      <c r="J68" s="194"/>
      <c r="K68" s="133"/>
      <c r="L68" s="133"/>
      <c r="M68" s="194"/>
      <c r="N68" s="194"/>
      <c r="O68" s="133"/>
      <c r="P68" s="133"/>
      <c r="R68" s="133"/>
      <c r="S68" s="133"/>
      <c r="T68" s="133"/>
      <c r="U68" s="133"/>
      <c r="V68" s="133"/>
      <c r="W68" s="133"/>
      <c r="X68" s="133"/>
      <c r="Y68" s="133"/>
    </row>
    <row r="69" spans="2:26" ht="36.5" customHeight="1" x14ac:dyDescent="0.2">
      <c r="B69" s="237" t="s">
        <v>238</v>
      </c>
      <c r="C69" s="613" t="s">
        <v>68</v>
      </c>
      <c r="D69" s="614"/>
      <c r="E69" s="238" t="s">
        <v>149</v>
      </c>
      <c r="F69" s="238" t="s">
        <v>150</v>
      </c>
      <c r="G69" s="238" t="s">
        <v>239</v>
      </c>
      <c r="H69" s="455" t="s">
        <v>275</v>
      </c>
      <c r="I69" s="237" t="s">
        <v>240</v>
      </c>
      <c r="J69" s="239" t="s">
        <v>151</v>
      </c>
      <c r="K69" s="240" t="s">
        <v>152</v>
      </c>
      <c r="L69" s="241" t="s">
        <v>153</v>
      </c>
      <c r="M69" s="238" t="s">
        <v>154</v>
      </c>
      <c r="N69" s="238" t="s">
        <v>241</v>
      </c>
      <c r="O69" s="238" t="s">
        <v>242</v>
      </c>
      <c r="P69" s="237" t="s">
        <v>155</v>
      </c>
      <c r="Q69" s="242" t="s">
        <v>156</v>
      </c>
      <c r="R69" s="133"/>
      <c r="S69" s="133"/>
      <c r="T69" s="133"/>
      <c r="U69" s="133"/>
      <c r="V69" s="133"/>
      <c r="W69" s="133"/>
      <c r="X69" s="133"/>
      <c r="Y69" s="133"/>
    </row>
    <row r="70" spans="2:26" ht="18" customHeight="1" x14ac:dyDescent="0.2">
      <c r="B70" s="243">
        <f>+AD26</f>
        <v>0</v>
      </c>
      <c r="C70" s="605" t="s">
        <v>157</v>
      </c>
      <c r="D70" s="514"/>
      <c r="E70" s="244">
        <f>+AI26</f>
        <v>0</v>
      </c>
      <c r="F70" s="245">
        <f>+AI28</f>
        <v>0</v>
      </c>
      <c r="G70" s="247"/>
      <c r="H70" s="456"/>
      <c r="I70" s="453"/>
      <c r="J70" s="248">
        <f>+E70+G70</f>
        <v>0</v>
      </c>
      <c r="K70" s="249">
        <f>+F70+I70</f>
        <v>0</v>
      </c>
      <c r="L70" s="250">
        <f>'Datos Extra'!B1</f>
        <v>66753</v>
      </c>
      <c r="M70" s="251">
        <f>+L70+J70-K70+H70</f>
        <v>66753</v>
      </c>
      <c r="N70" s="246">
        <f>'Datos Extra'!C44</f>
        <v>14273.091962099075</v>
      </c>
      <c r="O70" s="252">
        <f t="shared" ref="O70:O80" si="3">N70-M70</f>
        <v>-52479.908037900925</v>
      </c>
      <c r="P70" s="253">
        <v>97.84</v>
      </c>
      <c r="Q70" s="254">
        <f>+O70*P70</f>
        <v>-5134634.2024282264</v>
      </c>
      <c r="R70" s="133"/>
      <c r="S70" s="255"/>
      <c r="T70" s="133"/>
      <c r="U70" s="133"/>
      <c r="V70" s="133"/>
      <c r="W70" s="133"/>
      <c r="X70" s="133"/>
      <c r="Y70" s="133"/>
    </row>
    <row r="71" spans="2:26" ht="14.25" customHeight="1" x14ac:dyDescent="0.2">
      <c r="B71" s="243">
        <f>+AD25</f>
        <v>0</v>
      </c>
      <c r="C71" s="605" t="s">
        <v>88</v>
      </c>
      <c r="D71" s="514"/>
      <c r="E71" s="256">
        <f>+AI25</f>
        <v>0</v>
      </c>
      <c r="F71" s="256">
        <f>Flujos!G38/(1-Flujos!R38)</f>
        <v>66000</v>
      </c>
      <c r="G71" s="258"/>
      <c r="H71" s="456"/>
      <c r="I71" s="454"/>
      <c r="J71" s="248">
        <f>+E71+G71</f>
        <v>0</v>
      </c>
      <c r="K71" s="249">
        <f>+F71+I71</f>
        <v>66000</v>
      </c>
      <c r="L71" s="250">
        <f>'Datos Extra'!B2</f>
        <v>24736</v>
      </c>
      <c r="M71" s="251">
        <f>+L71+J71-K71+H71</f>
        <v>-41264</v>
      </c>
      <c r="N71" s="246">
        <f>'Datos Extra'!C45</f>
        <v>12095.744312286377</v>
      </c>
      <c r="O71" s="252">
        <f t="shared" si="3"/>
        <v>53359.744312286377</v>
      </c>
      <c r="P71" s="253">
        <v>33.365380000000002</v>
      </c>
      <c r="Q71" s="254">
        <f t="shared" ref="Q71:Q80" si="4">+O71*P71</f>
        <v>1780368.1456822737</v>
      </c>
      <c r="R71" s="133"/>
      <c r="S71" s="133"/>
      <c r="T71" s="133"/>
      <c r="U71" s="133"/>
      <c r="V71" s="133"/>
      <c r="W71" s="133"/>
      <c r="X71" s="133"/>
      <c r="Y71" s="133"/>
    </row>
    <row r="72" spans="2:26" ht="14.25" customHeight="1" x14ac:dyDescent="0.2">
      <c r="B72" s="243">
        <f>+AD16+AD17</f>
        <v>209647.65034558089</v>
      </c>
      <c r="C72" s="605" t="s">
        <v>89</v>
      </c>
      <c r="D72" s="514"/>
      <c r="E72" s="256">
        <f>+AI16+AI17</f>
        <v>209647.65034558089</v>
      </c>
      <c r="F72" s="245">
        <f>+AI19</f>
        <v>112763.78636561007</v>
      </c>
      <c r="G72" s="257"/>
      <c r="H72" s="245"/>
      <c r="I72" s="258"/>
      <c r="J72" s="248">
        <f>+E72+G72</f>
        <v>209647.65034558089</v>
      </c>
      <c r="K72" s="249">
        <f>+F72+I72</f>
        <v>112763.78636561007</v>
      </c>
      <c r="L72" s="250">
        <f>'Datos Extra'!B3</f>
        <v>50490</v>
      </c>
      <c r="M72" s="251">
        <f>+L72+J72-K72</f>
        <v>147373.8639799708</v>
      </c>
      <c r="N72" s="246">
        <f>'Datos Extra'!C42</f>
        <v>147374.00000000003</v>
      </c>
      <c r="O72" s="252">
        <f>N72-M72</f>
        <v>0.13602002922561951</v>
      </c>
      <c r="P72" s="253">
        <v>43.87</v>
      </c>
      <c r="Q72" s="254">
        <f t="shared" si="4"/>
        <v>5.9671986821279273</v>
      </c>
      <c r="R72" s="133"/>
      <c r="S72" s="133"/>
      <c r="T72" s="133"/>
      <c r="U72" s="133"/>
      <c r="V72" s="133"/>
      <c r="W72" s="133"/>
      <c r="X72" s="133"/>
      <c r="Y72" s="133"/>
    </row>
    <row r="73" spans="2:26" ht="14.25" customHeight="1" x14ac:dyDescent="0.2">
      <c r="B73" s="243">
        <f>+AD10</f>
        <v>230701.98780012433</v>
      </c>
      <c r="C73" s="605" t="s">
        <v>158</v>
      </c>
      <c r="D73" s="514"/>
      <c r="E73" s="256">
        <f>+AI10</f>
        <v>230701.98780012433</v>
      </c>
      <c r="F73" s="245">
        <v>0</v>
      </c>
      <c r="G73" s="257"/>
      <c r="H73" s="245"/>
      <c r="I73" s="260"/>
      <c r="J73" s="261"/>
      <c r="K73" s="262">
        <f>+E73+I73</f>
        <v>230701.98780012433</v>
      </c>
      <c r="L73" s="250">
        <f>'Datos Extra'!B4</f>
        <v>0</v>
      </c>
      <c r="M73" s="251"/>
      <c r="N73" s="263"/>
      <c r="O73" s="264"/>
      <c r="P73" s="265"/>
      <c r="Q73" s="266"/>
      <c r="R73" s="133"/>
      <c r="S73" s="255"/>
      <c r="T73" s="133"/>
      <c r="U73" s="133"/>
      <c r="V73" s="133"/>
      <c r="W73" s="133"/>
      <c r="X73" s="133"/>
      <c r="Y73" s="133"/>
    </row>
    <row r="74" spans="2:26" ht="14.25" customHeight="1" x14ac:dyDescent="0.2">
      <c r="B74" s="243"/>
      <c r="C74" s="605" t="s">
        <v>90</v>
      </c>
      <c r="D74" s="514"/>
      <c r="E74" s="256">
        <f>+AI15</f>
        <v>230091.6322992568</v>
      </c>
      <c r="F74" s="245"/>
      <c r="G74" s="257"/>
      <c r="H74" s="245"/>
      <c r="J74" s="261"/>
      <c r="K74" s="262">
        <f>+E74/E73*K73</f>
        <v>230091.6322992568</v>
      </c>
      <c r="L74" s="250">
        <f>'Datos Extra'!B5</f>
        <v>0</v>
      </c>
      <c r="M74" s="251"/>
      <c r="N74" s="263"/>
      <c r="O74" s="264"/>
      <c r="P74" s="265"/>
      <c r="Q74" s="266"/>
      <c r="R74" s="133"/>
      <c r="S74" s="133"/>
      <c r="T74" s="133"/>
      <c r="U74" s="133"/>
      <c r="V74" s="133"/>
      <c r="W74" s="133"/>
      <c r="X74" s="133"/>
      <c r="Y74" s="133"/>
    </row>
    <row r="75" spans="2:26" ht="14.25" customHeight="1" x14ac:dyDescent="0.2">
      <c r="B75" s="243"/>
      <c r="C75" s="605" t="s">
        <v>91</v>
      </c>
      <c r="D75" s="514"/>
      <c r="E75" s="256">
        <f>+AI13</f>
        <v>20480.400000000001</v>
      </c>
      <c r="F75" s="245"/>
      <c r="G75" s="257"/>
      <c r="H75" s="245"/>
      <c r="I75" s="258"/>
      <c r="J75" s="261"/>
      <c r="K75" s="262">
        <f>+E75+G75</f>
        <v>20480.400000000001</v>
      </c>
      <c r="L75" s="250">
        <f>'Datos Extra'!B6</f>
        <v>0</v>
      </c>
      <c r="M75" s="251"/>
      <c r="N75" s="263"/>
      <c r="O75" s="264"/>
      <c r="P75" s="265"/>
      <c r="Q75" s="266"/>
      <c r="S75" s="133"/>
      <c r="T75" s="194"/>
      <c r="U75" s="175"/>
      <c r="V75" s="175"/>
      <c r="W75" s="194"/>
      <c r="X75" s="194"/>
      <c r="Y75" s="267"/>
      <c r="Z75" s="183"/>
    </row>
    <row r="76" spans="2:26" ht="14.25" customHeight="1" x14ac:dyDescent="0.2">
      <c r="B76" s="243">
        <f>+AD9</f>
        <v>227441.67794051746</v>
      </c>
      <c r="C76" s="605" t="s">
        <v>92</v>
      </c>
      <c r="D76" s="514"/>
      <c r="E76" s="256">
        <f>+AI9</f>
        <v>227441.67794051746</v>
      </c>
      <c r="F76" s="245"/>
      <c r="G76" s="257"/>
      <c r="H76" s="245"/>
      <c r="I76" s="260">
        <f>I73</f>
        <v>0</v>
      </c>
      <c r="J76" s="248">
        <f>+E76+G76</f>
        <v>227441.67794051746</v>
      </c>
      <c r="K76" s="249">
        <f>+E73+I76</f>
        <v>230701.98780012433</v>
      </c>
      <c r="L76" s="250">
        <f>'Datos Extra'!B7</f>
        <v>150617</v>
      </c>
      <c r="M76" s="251">
        <f>+L76+J76-K76+H76</f>
        <v>147356.6901403931</v>
      </c>
      <c r="N76" s="246">
        <f>'Datos Extra'!C38</f>
        <v>150934.60122179985</v>
      </c>
      <c r="O76" s="252">
        <f t="shared" si="3"/>
        <v>3577.9110814067535</v>
      </c>
      <c r="P76" s="253">
        <v>20.14</v>
      </c>
      <c r="Q76" s="254">
        <f t="shared" si="4"/>
        <v>72059.129179532014</v>
      </c>
      <c r="R76" s="255"/>
      <c r="S76" s="133"/>
      <c r="T76" s="175"/>
      <c r="U76" s="175"/>
      <c r="V76" s="175"/>
      <c r="W76" s="194"/>
      <c r="X76" s="194"/>
      <c r="Y76" s="267"/>
      <c r="Z76" s="183"/>
    </row>
    <row r="77" spans="2:26" ht="14.25" customHeight="1" x14ac:dyDescent="0.2">
      <c r="B77" s="243">
        <f>+AD7</f>
        <v>164651.1418469153</v>
      </c>
      <c r="C77" s="605" t="s">
        <v>93</v>
      </c>
      <c r="D77" s="514"/>
      <c r="E77" s="256">
        <f>+AI7</f>
        <v>164651.1418469153</v>
      </c>
      <c r="F77" s="245">
        <f>+AI8</f>
        <v>204999.49418310571</v>
      </c>
      <c r="G77" s="257"/>
      <c r="H77" s="245">
        <v>0</v>
      </c>
      <c r="I77" s="258"/>
      <c r="J77" s="248">
        <f>+E77+G77</f>
        <v>164651.1418469153</v>
      </c>
      <c r="K77" s="249">
        <f>+F77+I77</f>
        <v>204999.49418310571</v>
      </c>
      <c r="L77" s="250">
        <f>'Datos Extra'!B8</f>
        <v>435811</v>
      </c>
      <c r="M77" s="251">
        <f>+L77+J77-K77+AD34+H77</f>
        <v>395462.64766380953</v>
      </c>
      <c r="N77" s="246">
        <f>'Datos Extra'!C39</f>
        <v>395462.99999999988</v>
      </c>
      <c r="O77" s="252">
        <f t="shared" si="3"/>
        <v>0.35233619034988806</v>
      </c>
      <c r="P77" s="253">
        <v>21.37</v>
      </c>
      <c r="Q77" s="254">
        <f t="shared" si="4"/>
        <v>7.5294243877771079</v>
      </c>
      <c r="R77" s="255"/>
      <c r="S77" s="133"/>
      <c r="T77" s="175"/>
      <c r="U77" s="133"/>
      <c r="V77" s="133"/>
      <c r="W77" s="133"/>
      <c r="X77" s="133"/>
      <c r="Y77" s="133"/>
      <c r="Z77" s="175"/>
    </row>
    <row r="78" spans="2:26" ht="14.25" customHeight="1" x14ac:dyDescent="0.2">
      <c r="B78" s="243">
        <f>+AD33</f>
        <v>0</v>
      </c>
      <c r="C78" s="605" t="s">
        <v>94</v>
      </c>
      <c r="D78" s="514"/>
      <c r="E78" s="256">
        <f>AD32</f>
        <v>2203</v>
      </c>
      <c r="F78" s="245">
        <v>0</v>
      </c>
      <c r="G78" s="257"/>
      <c r="H78" s="245">
        <v>0</v>
      </c>
      <c r="I78" s="258"/>
      <c r="J78" s="268">
        <f>+E78+G78</f>
        <v>2203</v>
      </c>
      <c r="K78" s="259">
        <f>+F78+I78</f>
        <v>0</v>
      </c>
      <c r="L78" s="250">
        <f>'Datos Extra'!B9</f>
        <v>2203</v>
      </c>
      <c r="M78" s="257">
        <f>J78+L78-K78+H78</f>
        <v>4406</v>
      </c>
      <c r="N78" s="246">
        <f>'Datos Extra'!C46</f>
        <v>1837.2749805450439</v>
      </c>
      <c r="O78" s="252">
        <f t="shared" si="3"/>
        <v>-2568.7250194549561</v>
      </c>
      <c r="P78" s="253">
        <v>8.5485399999999991</v>
      </c>
      <c r="Q78" s="254">
        <v>0</v>
      </c>
      <c r="R78" s="133"/>
      <c r="S78" s="133"/>
      <c r="T78" s="133"/>
      <c r="U78" s="133"/>
      <c r="V78" s="133"/>
      <c r="W78" s="133"/>
      <c r="X78" s="133"/>
      <c r="Y78" s="133"/>
    </row>
    <row r="79" spans="2:26" ht="14.25" customHeight="1" x14ac:dyDescent="0.2">
      <c r="B79" s="243"/>
      <c r="C79" s="605" t="s">
        <v>95</v>
      </c>
      <c r="D79" s="514"/>
      <c r="E79" s="256">
        <v>0</v>
      </c>
      <c r="F79" s="256">
        <v>0</v>
      </c>
      <c r="G79" s="257"/>
      <c r="H79" s="256"/>
      <c r="I79" s="258"/>
      <c r="J79" s="268">
        <f>+E79+G79</f>
        <v>0</v>
      </c>
      <c r="K79" s="259">
        <f>+F79+I79</f>
        <v>0</v>
      </c>
      <c r="L79" s="250">
        <f>'Datos Extra'!B10</f>
        <v>27</v>
      </c>
      <c r="M79" s="269">
        <f>+L79+E79-F79</f>
        <v>27</v>
      </c>
      <c r="N79" s="270">
        <v>0</v>
      </c>
      <c r="O79" s="252">
        <f t="shared" si="3"/>
        <v>-27</v>
      </c>
      <c r="P79" s="253">
        <v>40.32</v>
      </c>
      <c r="Q79" s="254">
        <f t="shared" si="4"/>
        <v>-1088.6400000000001</v>
      </c>
      <c r="R79" s="133"/>
      <c r="S79" s="133"/>
      <c r="T79" s="267"/>
      <c r="U79" s="255"/>
      <c r="V79" s="255"/>
      <c r="W79" s="267"/>
      <c r="X79" s="267"/>
      <c r="Y79" s="267"/>
    </row>
    <row r="80" spans="2:26" ht="14.25" customHeight="1" x14ac:dyDescent="0.2">
      <c r="B80" s="243"/>
      <c r="C80" s="605" t="s">
        <v>96</v>
      </c>
      <c r="D80" s="514"/>
      <c r="E80" s="256">
        <v>0</v>
      </c>
      <c r="F80" s="256">
        <v>0</v>
      </c>
      <c r="G80" s="257"/>
      <c r="H80" s="256"/>
      <c r="I80" s="258"/>
      <c r="J80" s="268">
        <f>+E80+G80</f>
        <v>0</v>
      </c>
      <c r="K80" s="259">
        <f>+F80+I80</f>
        <v>0</v>
      </c>
      <c r="L80" s="250">
        <f>'Datos Extra'!B11</f>
        <v>25122</v>
      </c>
      <c r="M80" s="269">
        <f>+L80+E80-F80</f>
        <v>25122</v>
      </c>
      <c r="N80" s="270">
        <v>0</v>
      </c>
      <c r="O80" s="252">
        <f t="shared" si="3"/>
        <v>-25122</v>
      </c>
      <c r="P80" s="253">
        <v>29.61</v>
      </c>
      <c r="Q80" s="254">
        <f t="shared" si="4"/>
        <v>-743862.42</v>
      </c>
      <c r="R80" s="133"/>
      <c r="S80" s="133"/>
      <c r="T80" s="133"/>
      <c r="U80" s="133"/>
      <c r="V80" s="133"/>
      <c r="W80" s="133"/>
      <c r="X80" s="133"/>
      <c r="Y80" s="133"/>
    </row>
    <row r="81" spans="3:26" ht="15.75" customHeight="1" thickBot="1" x14ac:dyDescent="0.25">
      <c r="C81" s="271"/>
      <c r="D81" s="271"/>
      <c r="E81" s="252">
        <f>+E70+E71+E72+E77+E78</f>
        <v>376501.79219249618</v>
      </c>
      <c r="F81" s="252">
        <f>+F70+F71+F72+F77+F78</f>
        <v>383763.28054871579</v>
      </c>
      <c r="G81" s="194"/>
      <c r="I81" s="194"/>
      <c r="J81" s="272">
        <f>+J70+J71+J72+J77+J78</f>
        <v>376501.79219249618</v>
      </c>
      <c r="K81" s="273">
        <f>+K70+K71+K72+K77+K78</f>
        <v>383763.28054871579</v>
      </c>
      <c r="L81" s="274"/>
      <c r="M81" s="274"/>
      <c r="N81" s="274"/>
      <c r="O81" s="252">
        <f>SUM(O70:O80)</f>
        <v>-23259.489307443175</v>
      </c>
      <c r="P81" s="275"/>
      <c r="Q81" s="276">
        <f>SUM(Q70:Q80)</f>
        <v>-4027144.4909433508</v>
      </c>
      <c r="R81" s="133"/>
      <c r="S81" s="133"/>
      <c r="T81" s="133"/>
      <c r="U81" s="133"/>
      <c r="V81" s="133"/>
      <c r="W81" s="133"/>
      <c r="X81" s="133"/>
      <c r="Y81" s="133"/>
    </row>
    <row r="82" spans="3:26" ht="14.25" customHeight="1" x14ac:dyDescent="0.2">
      <c r="C82" s="274"/>
      <c r="D82" s="274"/>
      <c r="E82" s="194"/>
      <c r="F82" s="194"/>
      <c r="G82" s="194"/>
      <c r="I82" s="194"/>
      <c r="J82" s="194"/>
      <c r="K82" s="249">
        <f>+K81-K72</f>
        <v>270999.49418310571</v>
      </c>
      <c r="O82" s="252">
        <f>SUM(O70:O80)-O76</f>
        <v>-26837.400388849928</v>
      </c>
      <c r="P82" s="275"/>
      <c r="Q82" s="276">
        <f>SUM(Q70:Q80)-Q76</f>
        <v>-4099203.620122883</v>
      </c>
      <c r="R82" s="133"/>
      <c r="S82" s="133"/>
      <c r="T82" s="133"/>
      <c r="U82" s="133"/>
      <c r="V82" s="133"/>
      <c r="W82" s="133"/>
      <c r="X82" s="133"/>
      <c r="Y82" s="133"/>
    </row>
    <row r="83" spans="3:26" ht="15.75" customHeight="1" x14ac:dyDescent="0.2">
      <c r="E83" s="134"/>
      <c r="F83" s="236"/>
      <c r="G83" s="134"/>
      <c r="H83" s="134"/>
      <c r="I83" s="133"/>
      <c r="J83" s="194"/>
      <c r="K83" s="255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spans="3:26" ht="26" customHeight="1" x14ac:dyDescent="0.2">
      <c r="C84" s="602"/>
      <c r="D84" s="604"/>
      <c r="E84" s="277" t="s">
        <v>243</v>
      </c>
      <c r="F84" s="277" t="s">
        <v>179</v>
      </c>
      <c r="G84" s="277" t="s">
        <v>244</v>
      </c>
      <c r="H84" s="278" t="s">
        <v>245</v>
      </c>
      <c r="I84" s="194"/>
      <c r="J84" s="194"/>
      <c r="K84" s="194"/>
      <c r="L84" s="194"/>
      <c r="M84" s="194"/>
      <c r="N84" s="194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spans="3:26" ht="14.25" customHeight="1" x14ac:dyDescent="0.2">
      <c r="C85" s="602" t="s">
        <v>246</v>
      </c>
      <c r="D85" s="603"/>
      <c r="E85" s="603"/>
      <c r="F85" s="603"/>
      <c r="G85" s="603"/>
      <c r="H85" s="604"/>
      <c r="I85" s="194"/>
      <c r="J85" s="194"/>
      <c r="K85" s="194"/>
      <c r="L85" s="194"/>
      <c r="M85" s="194"/>
      <c r="N85" s="194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spans="3:26" ht="14.25" customHeight="1" x14ac:dyDescent="0.2">
      <c r="C86" s="599" t="s">
        <v>247</v>
      </c>
      <c r="D86" s="600"/>
      <c r="E86" s="162">
        <f>'Datos Extra'!B13</f>
        <v>841140</v>
      </c>
      <c r="F86" s="320">
        <f>'Datos Extra'!C13</f>
        <v>1</v>
      </c>
      <c r="G86" s="321">
        <f>'Datos Extra'!D13</f>
        <v>1.7937498607364257</v>
      </c>
      <c r="H86" s="281">
        <f>+E86*G86</f>
        <v>1508794.757859837</v>
      </c>
      <c r="I86" s="255"/>
      <c r="J86" s="255"/>
      <c r="K86" s="255"/>
      <c r="L86" s="255"/>
      <c r="M86" s="255"/>
      <c r="N86" s="255"/>
      <c r="O86" s="133"/>
      <c r="P86" s="133"/>
      <c r="Q86" s="133"/>
      <c r="R86" s="601"/>
      <c r="S86" s="534"/>
      <c r="T86" s="194"/>
      <c r="U86" s="194"/>
      <c r="V86" s="194"/>
    </row>
    <row r="87" spans="3:26" ht="14.25" customHeight="1" x14ac:dyDescent="0.2">
      <c r="C87" s="279" t="s">
        <v>248</v>
      </c>
      <c r="D87" s="280"/>
      <c r="E87" s="162">
        <f>'Datos Extra'!B14</f>
        <v>799464</v>
      </c>
      <c r="F87" s="320">
        <f>'Datos Extra'!C14</f>
        <v>0.85</v>
      </c>
      <c r="G87" s="321">
        <f>'Datos Extra'!D14</f>
        <v>0.93275003802393297</v>
      </c>
      <c r="H87" s="281">
        <f t="shared" ref="H87:H90" si="5">+E87*G87</f>
        <v>745700.07639876555</v>
      </c>
      <c r="I87" s="255"/>
      <c r="J87" s="255"/>
      <c r="K87" s="255"/>
      <c r="L87" s="282"/>
      <c r="M87" s="255"/>
      <c r="N87" s="255"/>
      <c r="O87" s="133"/>
      <c r="P87" s="133"/>
      <c r="Q87" s="133"/>
      <c r="R87" s="274"/>
      <c r="T87" s="194"/>
      <c r="U87" s="194"/>
      <c r="V87" s="194"/>
    </row>
    <row r="88" spans="3:26" ht="15.75" customHeight="1" x14ac:dyDescent="0.2">
      <c r="C88" s="599" t="s">
        <v>249</v>
      </c>
      <c r="D88" s="600"/>
      <c r="E88" s="162">
        <f>'Datos Extra'!B15</f>
        <v>309440</v>
      </c>
      <c r="F88" s="320">
        <f>'Datos Extra'!C15</f>
        <v>0.15</v>
      </c>
      <c r="G88" s="321">
        <f>'Datos Extra'!D15</f>
        <v>1.1554858656662388</v>
      </c>
      <c r="H88" s="281">
        <f t="shared" si="5"/>
        <v>357553.54627176095</v>
      </c>
      <c r="I88" s="255"/>
      <c r="J88" s="255"/>
      <c r="K88" s="255"/>
      <c r="L88" s="255"/>
      <c r="M88" s="255"/>
      <c r="N88" s="255"/>
      <c r="O88" s="133"/>
      <c r="P88" s="601"/>
      <c r="Q88" s="534"/>
      <c r="R88" s="194"/>
      <c r="S88" s="194"/>
      <c r="T88" s="194"/>
    </row>
    <row r="89" spans="3:26" ht="15.75" customHeight="1" x14ac:dyDescent="0.2">
      <c r="C89" s="599" t="s">
        <v>250</v>
      </c>
      <c r="D89" s="600"/>
      <c r="E89" s="162">
        <f>'Datos Extra'!B16</f>
        <v>719345</v>
      </c>
      <c r="F89" s="320">
        <f>'Datos Extra'!C16</f>
        <v>1</v>
      </c>
      <c r="G89" s="321">
        <f>'Datos Extra'!D16</f>
        <v>6.7708475606506466</v>
      </c>
      <c r="H89" s="281">
        <f t="shared" si="5"/>
        <v>4870575.3385162391</v>
      </c>
      <c r="I89" s="133"/>
      <c r="J89" s="133"/>
      <c r="K89" s="133"/>
      <c r="L89" s="133"/>
      <c r="M89" s="133"/>
      <c r="N89" s="194"/>
      <c r="O89" s="133"/>
      <c r="P89" s="601"/>
      <c r="Q89" s="534"/>
      <c r="R89" s="194"/>
      <c r="S89" s="194"/>
      <c r="T89" s="194"/>
    </row>
    <row r="90" spans="3:26" ht="14.25" customHeight="1" x14ac:dyDescent="0.2">
      <c r="C90" s="599" t="s">
        <v>251</v>
      </c>
      <c r="D90" s="600"/>
      <c r="E90" s="162">
        <f>'Datos Extra'!B17</f>
        <v>0</v>
      </c>
      <c r="F90" s="320">
        <f>'Datos Extra'!C17</f>
        <v>0</v>
      </c>
      <c r="G90" s="321">
        <f>'Datos Extra'!D17</f>
        <v>12.73464883638535</v>
      </c>
      <c r="H90" s="281">
        <f t="shared" si="5"/>
        <v>0</v>
      </c>
      <c r="I90" s="133"/>
      <c r="J90" s="133"/>
      <c r="K90" s="133"/>
      <c r="L90" s="133"/>
      <c r="M90" s="133"/>
      <c r="N90" s="194"/>
      <c r="O90" s="133"/>
      <c r="P90" s="601"/>
      <c r="Q90" s="534"/>
      <c r="R90" s="194"/>
      <c r="S90" s="194"/>
      <c r="T90" s="194"/>
    </row>
    <row r="91" spans="3:26" ht="14.25" customHeight="1" x14ac:dyDescent="0.2">
      <c r="G91" s="283">
        <f>SUM(G86:G90)</f>
        <v>23.387482161462593</v>
      </c>
      <c r="H91" s="136">
        <f>SUM(H86:H90)</f>
        <v>7482623.719046602</v>
      </c>
      <c r="I91" s="255"/>
      <c r="J91" s="255"/>
      <c r="K91" s="133"/>
      <c r="L91" s="133"/>
      <c r="M91" s="133"/>
      <c r="N91" s="194"/>
      <c r="O91" s="133"/>
      <c r="P91" s="601"/>
      <c r="Q91" s="534"/>
      <c r="R91" s="194"/>
      <c r="S91" s="194"/>
      <c r="T91" s="194"/>
    </row>
    <row r="92" spans="3:26" ht="14.25" customHeight="1" x14ac:dyDescent="0.2">
      <c r="C92" s="602" t="s">
        <v>252</v>
      </c>
      <c r="D92" s="603"/>
      <c r="E92" s="603"/>
      <c r="F92" s="603"/>
      <c r="G92" s="603"/>
      <c r="H92" s="604"/>
      <c r="I92" s="255"/>
      <c r="J92" s="255"/>
      <c r="K92" s="133"/>
      <c r="L92" s="194"/>
      <c r="M92" s="133"/>
      <c r="N92" s="194"/>
      <c r="O92" s="133"/>
      <c r="P92" s="601"/>
      <c r="Q92" s="534"/>
      <c r="R92" s="194"/>
      <c r="S92" s="194"/>
      <c r="T92" s="194"/>
    </row>
    <row r="93" spans="3:26" ht="14.25" customHeight="1" x14ac:dyDescent="0.2">
      <c r="C93" s="599" t="s">
        <v>253</v>
      </c>
      <c r="D93" s="600"/>
      <c r="E93" s="163">
        <f>+AF10/(1-AE10)</f>
        <v>230701.98780012433</v>
      </c>
      <c r="F93" s="284" t="e">
        <f>+#REF!</f>
        <v>#REF!</v>
      </c>
      <c r="G93" s="285">
        <f>'Datos Extra'!D18</f>
        <v>20.331616421326252</v>
      </c>
      <c r="H93" s="281">
        <f>+E93*G93</f>
        <v>4690544.3235896165</v>
      </c>
      <c r="I93" s="133"/>
      <c r="J93" s="133"/>
      <c r="K93" s="133"/>
      <c r="L93" s="194"/>
      <c r="M93" s="133"/>
      <c r="N93" s="133"/>
      <c r="O93" s="133"/>
      <c r="P93" s="601"/>
      <c r="Q93" s="534"/>
      <c r="R93" s="194"/>
      <c r="S93" s="194"/>
    </row>
    <row r="94" spans="3:26" ht="14.25" customHeight="1" x14ac:dyDescent="0.2">
      <c r="C94" s="599" t="s">
        <v>254</v>
      </c>
      <c r="D94" s="600"/>
      <c r="E94" s="163">
        <f>+AF18/(1-AE18)</f>
        <v>17279.110124044662</v>
      </c>
      <c r="F94" s="286">
        <f>+P49/J39</f>
        <v>0</v>
      </c>
      <c r="G94" s="285">
        <f>'Datos Extra'!D19</f>
        <v>8.225477491060424</v>
      </c>
      <c r="H94" s="281">
        <f t="shared" ref="H94:H96" si="6">+E94*G94</f>
        <v>142128.93139088366</v>
      </c>
      <c r="I94" s="133"/>
      <c r="J94" s="133"/>
      <c r="K94" s="133"/>
      <c r="L94" s="133"/>
      <c r="M94" s="133"/>
      <c r="N94" s="133"/>
      <c r="O94" s="133"/>
      <c r="P94" s="601"/>
      <c r="Q94" s="534"/>
      <c r="R94" s="194"/>
      <c r="S94" s="194"/>
    </row>
    <row r="95" spans="3:26" ht="14.25" customHeight="1" x14ac:dyDescent="0.2">
      <c r="C95" s="599" t="s">
        <v>255</v>
      </c>
      <c r="D95" s="600"/>
      <c r="E95" s="163">
        <f>+AF26/(1-AE26)+AF25/(1-AE25)+AF17/(1-AE17)+AF16/(1-AE16)</f>
        <v>209647.65034558089</v>
      </c>
      <c r="F95" s="284">
        <f>+O19</f>
        <v>0.82684450699340417</v>
      </c>
      <c r="G95" s="285">
        <f>'Datos Extra'!D20</f>
        <v>2.7579753151123789</v>
      </c>
      <c r="H95" s="281">
        <f t="shared" si="6"/>
        <v>578203.04452442331</v>
      </c>
      <c r="I95" s="133"/>
      <c r="J95" s="133"/>
      <c r="K95" s="133"/>
      <c r="L95" s="133"/>
      <c r="M95" s="133"/>
      <c r="N95" s="133"/>
      <c r="O95" s="133"/>
      <c r="P95" s="601"/>
      <c r="Q95" s="534"/>
      <c r="R95" s="194"/>
      <c r="S95" s="194"/>
    </row>
    <row r="96" spans="3:26" ht="14.25" customHeight="1" x14ac:dyDescent="0.2">
      <c r="C96" s="599" t="s">
        <v>256</v>
      </c>
      <c r="D96" s="600"/>
      <c r="E96" s="163">
        <f>+E95</f>
        <v>209647.65034558089</v>
      </c>
      <c r="F96" s="287">
        <v>1</v>
      </c>
      <c r="G96" s="285">
        <f>'Datos Extra'!D21</f>
        <v>2.7579753151123789</v>
      </c>
      <c r="H96" s="281">
        <f t="shared" si="6"/>
        <v>578203.04452442331</v>
      </c>
      <c r="I96" s="133"/>
      <c r="J96" s="133"/>
      <c r="K96" s="133"/>
      <c r="L96" s="133"/>
      <c r="M96" s="133"/>
      <c r="N96" s="133"/>
      <c r="O96" s="133"/>
      <c r="P96" s="601"/>
      <c r="Q96" s="534"/>
      <c r="R96" s="194"/>
      <c r="S96" s="194"/>
    </row>
    <row r="97" spans="5:18" ht="14.25" customHeight="1" x14ac:dyDescent="0.2">
      <c r="E97" s="133"/>
      <c r="F97" s="236"/>
      <c r="G97" s="283">
        <f>SUM(G93:G96)</f>
        <v>34.073044542611434</v>
      </c>
      <c r="H97" s="136">
        <f>SUM(H93:H96)</f>
        <v>5989079.3440293465</v>
      </c>
      <c r="I97" s="133"/>
      <c r="J97" s="133"/>
      <c r="K97" s="133"/>
      <c r="L97" s="133"/>
      <c r="M97" s="133"/>
      <c r="N97" s="133"/>
      <c r="O97" s="133"/>
      <c r="P97" s="133"/>
      <c r="Q97" s="133"/>
      <c r="R97" s="194"/>
    </row>
    <row r="98" spans="5:18" ht="14.25" customHeight="1" x14ac:dyDescent="0.2">
      <c r="E98" s="133"/>
      <c r="F98" s="236"/>
      <c r="G98" s="182" t="s">
        <v>257</v>
      </c>
      <c r="H98" s="136">
        <f>+H91+H97</f>
        <v>13471703.063075949</v>
      </c>
      <c r="J98" s="133"/>
      <c r="K98" s="133"/>
      <c r="L98" s="133"/>
      <c r="M98" s="133"/>
      <c r="N98" s="133"/>
      <c r="O98" s="133"/>
      <c r="P98" s="133"/>
      <c r="Q98" s="133"/>
      <c r="R98" s="194"/>
    </row>
    <row r="99" spans="5:18" ht="14.25" customHeight="1" x14ac:dyDescent="0.2">
      <c r="E99" s="133"/>
      <c r="F99" s="236"/>
      <c r="G99" s="288" t="s">
        <v>258</v>
      </c>
      <c r="H99" s="289">
        <f>+H98/E96</f>
        <v>64.25878392087553</v>
      </c>
      <c r="I99" s="290"/>
      <c r="J99" s="133"/>
      <c r="K99" s="133"/>
      <c r="L99" s="133"/>
      <c r="M99" s="133"/>
      <c r="N99" s="133"/>
      <c r="O99" s="133"/>
      <c r="P99" s="133"/>
      <c r="Q99" s="133"/>
      <c r="R99" s="194"/>
    </row>
    <row r="100" spans="5:18" ht="14.25" customHeight="1" x14ac:dyDescent="0.2">
      <c r="E100" s="133"/>
      <c r="F100" s="236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94"/>
    </row>
    <row r="101" spans="5:18" ht="14.25" customHeight="1" x14ac:dyDescent="0.2">
      <c r="E101" s="133"/>
      <c r="F101" s="236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94"/>
    </row>
    <row r="102" spans="5:18" ht="14.25" customHeight="1" x14ac:dyDescent="0.2">
      <c r="E102" s="133"/>
      <c r="F102" s="236"/>
      <c r="G102" s="133"/>
      <c r="R102" s="194"/>
    </row>
    <row r="103" spans="5:18" ht="15.75" customHeight="1" x14ac:dyDescent="0.2">
      <c r="E103" s="133"/>
      <c r="F103" s="236"/>
      <c r="G103" s="133"/>
    </row>
    <row r="104" spans="5:18" ht="15.75" customHeight="1" x14ac:dyDescent="0.2">
      <c r="E104" s="133"/>
      <c r="F104" s="236"/>
      <c r="G104" s="133"/>
    </row>
    <row r="105" spans="5:18" ht="15.75" customHeight="1" x14ac:dyDescent="0.2">
      <c r="E105" s="133"/>
      <c r="F105" s="236"/>
      <c r="G105" s="133"/>
    </row>
    <row r="106" spans="5:18" ht="15.75" customHeight="1" x14ac:dyDescent="0.2">
      <c r="F106" s="236"/>
      <c r="G106" s="133"/>
    </row>
    <row r="107" spans="5:18" ht="15.75" customHeight="1" x14ac:dyDescent="0.2">
      <c r="F107" s="236"/>
      <c r="G107" s="133"/>
    </row>
    <row r="108" spans="5:18" ht="15.75" customHeight="1" x14ac:dyDescent="0.2"/>
    <row r="109" spans="5:18" ht="15.75" customHeight="1" x14ac:dyDescent="0.2"/>
    <row r="110" spans="5:18" ht="15.75" customHeight="1" x14ac:dyDescent="0.2"/>
    <row r="111" spans="5:18" ht="15.75" customHeight="1" x14ac:dyDescent="0.2"/>
    <row r="112" spans="5:18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</sheetData>
  <mergeCells count="64">
    <mergeCell ref="AK40:AL40"/>
    <mergeCell ref="AD4:AG4"/>
    <mergeCell ref="AL4:AP4"/>
    <mergeCell ref="AA5:AC5"/>
    <mergeCell ref="AU5:AX5"/>
    <mergeCell ref="AA6:AC6"/>
    <mergeCell ref="AA7:AC7"/>
    <mergeCell ref="AA8:AC8"/>
    <mergeCell ref="AA9:AC9"/>
    <mergeCell ref="AU14:AV14"/>
    <mergeCell ref="AA29:AH29"/>
    <mergeCell ref="AK39:AL39"/>
    <mergeCell ref="AK51:AL51"/>
    <mergeCell ref="AK41:AL41"/>
    <mergeCell ref="AK42:AL42"/>
    <mergeCell ref="AK43:AL43"/>
    <mergeCell ref="AK44:AL44"/>
    <mergeCell ref="AK45:AL45"/>
    <mergeCell ref="AK46:AL46"/>
    <mergeCell ref="AC47:AF47"/>
    <mergeCell ref="AK47:AL47"/>
    <mergeCell ref="AK48:AL48"/>
    <mergeCell ref="AK49:AL49"/>
    <mergeCell ref="AK50:AL50"/>
    <mergeCell ref="C73:D73"/>
    <mergeCell ref="AK52:AL52"/>
    <mergeCell ref="AK53:AL53"/>
    <mergeCell ref="AK54:AL54"/>
    <mergeCell ref="AK55:AL55"/>
    <mergeCell ref="AK56:AL56"/>
    <mergeCell ref="AK57:AL57"/>
    <mergeCell ref="G68:I68"/>
    <mergeCell ref="C69:D69"/>
    <mergeCell ref="C70:D70"/>
    <mergeCell ref="C71:D71"/>
    <mergeCell ref="C72:D72"/>
    <mergeCell ref="R86:S86"/>
    <mergeCell ref="C88:D88"/>
    <mergeCell ref="P88:Q88"/>
    <mergeCell ref="C74:D74"/>
    <mergeCell ref="C75:D75"/>
    <mergeCell ref="C76:D76"/>
    <mergeCell ref="C77:D77"/>
    <mergeCell ref="C78:D78"/>
    <mergeCell ref="C79:D79"/>
    <mergeCell ref="C92:H92"/>
    <mergeCell ref="P92:Q92"/>
    <mergeCell ref="C80:D80"/>
    <mergeCell ref="C84:D84"/>
    <mergeCell ref="C85:H85"/>
    <mergeCell ref="C86:D86"/>
    <mergeCell ref="C89:D89"/>
    <mergeCell ref="P89:Q89"/>
    <mergeCell ref="C90:D90"/>
    <mergeCell ref="P90:Q90"/>
    <mergeCell ref="P91:Q91"/>
    <mergeCell ref="C96:D96"/>
    <mergeCell ref="P96:Q96"/>
    <mergeCell ref="C93:D93"/>
    <mergeCell ref="P93:Q93"/>
    <mergeCell ref="C94:D94"/>
    <mergeCell ref="P94:Q94"/>
    <mergeCell ref="C95:D95"/>
    <mergeCell ref="P95:Q95"/>
  </mergeCells>
  <pageMargins left="0.7" right="0.7" top="0.75" bottom="0.75" header="0" footer="0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153</vt:i4>
      </vt:variant>
    </vt:vector>
  </HeadingPairs>
  <TitlesOfParts>
    <vt:vector size="160" baseType="lpstr">
      <vt:lpstr>Resumen Planta Pellets</vt:lpstr>
      <vt:lpstr>Bal Los Colorados</vt:lpstr>
      <vt:lpstr>Diag Proc Los Colorados</vt:lpstr>
      <vt:lpstr>Datos Extra</vt:lpstr>
      <vt:lpstr>Utilidad</vt:lpstr>
      <vt:lpstr>Flujos</vt:lpstr>
      <vt:lpstr>Diagrama</vt:lpstr>
      <vt:lpstr>'Resumen Planta Pellets'!ECL_DelBal_por</vt:lpstr>
      <vt:lpstr>'Resumen Planta Pellets'!ECL_DelBal_tmf</vt:lpstr>
      <vt:lpstr>'Bal Los Colorados'!solver_adj</vt:lpstr>
      <vt:lpstr>'Resumen Planta Pellets'!solver_adj</vt:lpstr>
      <vt:lpstr>Utilidad!solver_adj</vt:lpstr>
      <vt:lpstr>'Bal Los Colorados'!solver_lhs1</vt:lpstr>
      <vt:lpstr>Utilidad!solver_lhs1</vt:lpstr>
      <vt:lpstr>'Bal Los Colorados'!solver_lhs10</vt:lpstr>
      <vt:lpstr>Utilidad!solver_lhs10</vt:lpstr>
      <vt:lpstr>'Bal Los Colorados'!solver_lhs11</vt:lpstr>
      <vt:lpstr>Utilidad!solver_lhs11</vt:lpstr>
      <vt:lpstr>'Bal Los Colorados'!solver_lhs12</vt:lpstr>
      <vt:lpstr>Utilidad!solver_lhs12</vt:lpstr>
      <vt:lpstr>'Bal Los Colorados'!solver_lhs13</vt:lpstr>
      <vt:lpstr>Utilidad!solver_lhs13</vt:lpstr>
      <vt:lpstr>'Bal Los Colorados'!solver_lhs14</vt:lpstr>
      <vt:lpstr>Utilidad!solver_lhs14</vt:lpstr>
      <vt:lpstr>'Bal Los Colorados'!solver_lhs15</vt:lpstr>
      <vt:lpstr>Utilidad!solver_lhs15</vt:lpstr>
      <vt:lpstr>'Bal Los Colorados'!solver_lhs16</vt:lpstr>
      <vt:lpstr>Utilidad!solver_lhs16</vt:lpstr>
      <vt:lpstr>'Bal Los Colorados'!solver_lhs17</vt:lpstr>
      <vt:lpstr>Utilidad!solver_lhs17</vt:lpstr>
      <vt:lpstr>'Bal Los Colorados'!solver_lhs18</vt:lpstr>
      <vt:lpstr>Utilidad!solver_lhs18</vt:lpstr>
      <vt:lpstr>'Bal Los Colorados'!solver_lhs19</vt:lpstr>
      <vt:lpstr>Utilidad!solver_lhs19</vt:lpstr>
      <vt:lpstr>'Bal Los Colorados'!solver_lhs2</vt:lpstr>
      <vt:lpstr>Utilidad!solver_lhs2</vt:lpstr>
      <vt:lpstr>'Bal Los Colorados'!solver_lhs20</vt:lpstr>
      <vt:lpstr>Utilidad!solver_lhs20</vt:lpstr>
      <vt:lpstr>'Bal Los Colorados'!solver_lhs21</vt:lpstr>
      <vt:lpstr>Utilidad!solver_lhs21</vt:lpstr>
      <vt:lpstr>'Bal Los Colorados'!solver_lhs22</vt:lpstr>
      <vt:lpstr>Utilidad!solver_lhs22</vt:lpstr>
      <vt:lpstr>'Bal Los Colorados'!solver_lhs23</vt:lpstr>
      <vt:lpstr>Utilidad!solver_lhs23</vt:lpstr>
      <vt:lpstr>'Bal Los Colorados'!solver_lhs24</vt:lpstr>
      <vt:lpstr>Utilidad!solver_lhs24</vt:lpstr>
      <vt:lpstr>'Bal Los Colorados'!solver_lhs25</vt:lpstr>
      <vt:lpstr>Utilidad!solver_lhs25</vt:lpstr>
      <vt:lpstr>'Bal Los Colorados'!solver_lhs26</vt:lpstr>
      <vt:lpstr>Utilidad!solver_lhs26</vt:lpstr>
      <vt:lpstr>'Bal Los Colorados'!solver_lhs27</vt:lpstr>
      <vt:lpstr>Utilidad!solver_lhs27</vt:lpstr>
      <vt:lpstr>'Bal Los Colorados'!solver_lhs28</vt:lpstr>
      <vt:lpstr>'Bal Los Colorados'!solver_lhs29</vt:lpstr>
      <vt:lpstr>'Bal Los Colorados'!solver_lhs3</vt:lpstr>
      <vt:lpstr>Utilidad!solver_lhs3</vt:lpstr>
      <vt:lpstr>'Bal Los Colorados'!solver_lhs30</vt:lpstr>
      <vt:lpstr>'Bal Los Colorados'!solver_lhs31</vt:lpstr>
      <vt:lpstr>'Bal Los Colorados'!solver_lhs32</vt:lpstr>
      <vt:lpstr>'Bal Los Colorados'!solver_lhs33</vt:lpstr>
      <vt:lpstr>'Bal Los Colorados'!solver_lhs34</vt:lpstr>
      <vt:lpstr>'Bal Los Colorados'!solver_lhs35</vt:lpstr>
      <vt:lpstr>'Bal Los Colorados'!solver_lhs36</vt:lpstr>
      <vt:lpstr>'Bal Los Colorados'!solver_lhs37</vt:lpstr>
      <vt:lpstr>'Bal Los Colorados'!solver_lhs38</vt:lpstr>
      <vt:lpstr>'Bal Los Colorados'!solver_lhs39</vt:lpstr>
      <vt:lpstr>'Bal Los Colorados'!solver_lhs4</vt:lpstr>
      <vt:lpstr>Utilidad!solver_lhs4</vt:lpstr>
      <vt:lpstr>'Bal Los Colorados'!solver_lhs40</vt:lpstr>
      <vt:lpstr>'Bal Los Colorados'!solver_lhs41</vt:lpstr>
      <vt:lpstr>'Bal Los Colorados'!solver_lhs5</vt:lpstr>
      <vt:lpstr>Utilidad!solver_lhs5</vt:lpstr>
      <vt:lpstr>'Bal Los Colorados'!solver_lhs6</vt:lpstr>
      <vt:lpstr>Utilidad!solver_lhs6</vt:lpstr>
      <vt:lpstr>Utilidad!solver_lhs66</vt:lpstr>
      <vt:lpstr>Utilidad!solver_lhs67</vt:lpstr>
      <vt:lpstr>Utilidad!solver_lhs68</vt:lpstr>
      <vt:lpstr>Utilidad!solver_lhs69</vt:lpstr>
      <vt:lpstr>'Bal Los Colorados'!solver_lhs7</vt:lpstr>
      <vt:lpstr>Utilidad!solver_lhs7</vt:lpstr>
      <vt:lpstr>Utilidad!solver_lhs70</vt:lpstr>
      <vt:lpstr>Utilidad!solver_lhs71</vt:lpstr>
      <vt:lpstr>Utilidad!solver_lhs72</vt:lpstr>
      <vt:lpstr>Utilidad!solver_lhs73</vt:lpstr>
      <vt:lpstr>Utilidad!solver_lhs74</vt:lpstr>
      <vt:lpstr>Utilidad!solver_lhs75</vt:lpstr>
      <vt:lpstr>Utilidad!solver_lhs76</vt:lpstr>
      <vt:lpstr>Utilidad!solver_lhs77</vt:lpstr>
      <vt:lpstr>Utilidad!solver_lhs78</vt:lpstr>
      <vt:lpstr>Utilidad!solver_lhs79</vt:lpstr>
      <vt:lpstr>'Bal Los Colorados'!solver_lhs8</vt:lpstr>
      <vt:lpstr>Utilidad!solver_lhs8</vt:lpstr>
      <vt:lpstr>Utilidad!solver_lhs80</vt:lpstr>
      <vt:lpstr>Utilidad!solver_lhs82</vt:lpstr>
      <vt:lpstr>'Bal Los Colorados'!solver_lhs9</vt:lpstr>
      <vt:lpstr>Utilidad!solver_lhs9</vt:lpstr>
      <vt:lpstr>'Bal Los Colorados'!solver_opt</vt:lpstr>
      <vt:lpstr>Diagrama!solver_opt</vt:lpstr>
      <vt:lpstr>'Resumen Planta Pellets'!solver_opt</vt:lpstr>
      <vt:lpstr>Utilidad!solver_opt</vt:lpstr>
      <vt:lpstr>Utilidad!solver_rhs1</vt:lpstr>
      <vt:lpstr>Utilidad!solver_rhs10</vt:lpstr>
      <vt:lpstr>Utilidad!solver_rhs11</vt:lpstr>
      <vt:lpstr>Utilidad!solver_rhs12</vt:lpstr>
      <vt:lpstr>Utilidad!solver_rhs13</vt:lpstr>
      <vt:lpstr>Utilidad!solver_rhs14</vt:lpstr>
      <vt:lpstr>Utilidad!solver_rhs15</vt:lpstr>
      <vt:lpstr>Utilidad!solver_rhs16</vt:lpstr>
      <vt:lpstr>Utilidad!solver_rhs17</vt:lpstr>
      <vt:lpstr>Utilidad!solver_rhs18</vt:lpstr>
      <vt:lpstr>Utilidad!solver_rhs19</vt:lpstr>
      <vt:lpstr>Utilidad!solver_rhs2</vt:lpstr>
      <vt:lpstr>Utilidad!solver_rhs20</vt:lpstr>
      <vt:lpstr>Utilidad!solver_rhs21</vt:lpstr>
      <vt:lpstr>Utilidad!solver_rhs22</vt:lpstr>
      <vt:lpstr>'Bal Los Colorados'!solver_rhs23</vt:lpstr>
      <vt:lpstr>Utilidad!solver_rhs23</vt:lpstr>
      <vt:lpstr>'Bal Los Colorados'!solver_rhs24</vt:lpstr>
      <vt:lpstr>Utilidad!solver_rhs24</vt:lpstr>
      <vt:lpstr>'Bal Los Colorados'!solver_rhs25</vt:lpstr>
      <vt:lpstr>Utilidad!solver_rhs25</vt:lpstr>
      <vt:lpstr>'Bal Los Colorados'!solver_rhs26</vt:lpstr>
      <vt:lpstr>Utilidad!solver_rhs26</vt:lpstr>
      <vt:lpstr>'Bal Los Colorados'!solver_rhs27</vt:lpstr>
      <vt:lpstr>Utilidad!solver_rhs27</vt:lpstr>
      <vt:lpstr>'Bal Los Colorados'!solver_rhs28</vt:lpstr>
      <vt:lpstr>'Bal Los Colorados'!solver_rhs29</vt:lpstr>
      <vt:lpstr>Utilidad!solver_rhs3</vt:lpstr>
      <vt:lpstr>'Bal Los Colorados'!solver_rhs30</vt:lpstr>
      <vt:lpstr>'Bal Los Colorados'!solver_rhs31</vt:lpstr>
      <vt:lpstr>'Bal Los Colorados'!solver_rhs32</vt:lpstr>
      <vt:lpstr>'Bal Los Colorados'!solver_rhs33</vt:lpstr>
      <vt:lpstr>'Bal Los Colorados'!solver_rhs34</vt:lpstr>
      <vt:lpstr>'Bal Los Colorados'!solver_rhs35</vt:lpstr>
      <vt:lpstr>'Bal Los Colorados'!solver_rhs36</vt:lpstr>
      <vt:lpstr>'Bal Los Colorados'!solver_rhs37</vt:lpstr>
      <vt:lpstr>'Bal Los Colorados'!solver_rhs38</vt:lpstr>
      <vt:lpstr>'Bal Los Colorados'!solver_rhs39</vt:lpstr>
      <vt:lpstr>Utilidad!solver_rhs4</vt:lpstr>
      <vt:lpstr>Utilidad!solver_rhs5</vt:lpstr>
      <vt:lpstr>Utilidad!solver_rhs6</vt:lpstr>
      <vt:lpstr>Utilidad!solver_rhs66</vt:lpstr>
      <vt:lpstr>Utilidad!solver_rhs67</vt:lpstr>
      <vt:lpstr>Utilidad!solver_rhs68</vt:lpstr>
      <vt:lpstr>Utilidad!solver_rhs69</vt:lpstr>
      <vt:lpstr>Utilidad!solver_rhs7</vt:lpstr>
      <vt:lpstr>Utilidad!solver_rhs70</vt:lpstr>
      <vt:lpstr>Utilidad!solver_rhs71</vt:lpstr>
      <vt:lpstr>Utilidad!solver_rhs72</vt:lpstr>
      <vt:lpstr>Utilidad!solver_rhs73</vt:lpstr>
      <vt:lpstr>Utilidad!solver_rhs74</vt:lpstr>
      <vt:lpstr>Utilidad!solver_rhs75</vt:lpstr>
      <vt:lpstr>Utilidad!solver_rhs76</vt:lpstr>
      <vt:lpstr>Utilidad!solver_rhs77</vt:lpstr>
      <vt:lpstr>Utilidad!solver_rhs78</vt:lpstr>
      <vt:lpstr>Utilidad!solver_rhs79</vt:lpstr>
      <vt:lpstr>Utilidad!solver_rhs8</vt:lpstr>
      <vt:lpstr>Utilidad!solver_rhs80</vt:lpstr>
      <vt:lpstr>Utilidad!solver_rhs82</vt:lpstr>
      <vt:lpstr>Utilidad!solver_rhs9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Arru</dc:creator>
  <cp:lastModifiedBy>Fernando Nicolás Ureta Godoy</cp:lastModifiedBy>
  <dcterms:created xsi:type="dcterms:W3CDTF">2021-07-26T15:39:49Z</dcterms:created>
  <dcterms:modified xsi:type="dcterms:W3CDTF">2024-04-04T17:43:09Z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0x0101001480ABD05418EF4DAA93CCDBBEF197DD</vt:lpwstr>
  </property>
</Properties>
</file>