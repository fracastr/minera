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<sst xmlns="http://schemas.openxmlformats.org/spreadsheetml/2006/main" count="436" uniqueCount="205">
  <si>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</si>
  <si>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</si>
  <si>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</si>
  <si>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</si>
  <si>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</si>
  <si>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</si>
  <si>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</si>
  <si>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</si>
  <si>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</si>
  <si>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</si>
  <si>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</si>
  <si>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</si>
  <si>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</si>
  <si>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</si>
  <si>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</si>
  <si>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</si>
  <si>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</si>
  <si>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</si>
  <si>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</si>
  <si>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</si>
  <si>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</si>
  <si>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</si>
  <si>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</si>
  <si>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</si>
  <si>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</si>
  <si>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</si>
  <si>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</si>
  <si>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</si>
  <si>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</si>
  <si>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</si>
  <si>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</si>
  <si>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</si>
  <si>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</si>
  <si>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</si>
  <si>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</si>
  <si>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</si>
  <si>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</si>
  <si>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</si>
  <si>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</si>
  <si>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Santa Fe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</si>
  <si>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</si>
  <si>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</si>
  <si>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</si>
  <si>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</si>
  <si>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</si>
  <si>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</si>
  <si>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</si>
  <si>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</si>
  <si>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</si>
  <si>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</si>
  <si>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</si>
  <si>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</si>
  <si>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</si>
  <si>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</si>
  <si>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</si>
  <si>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</si>
  <si>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</si>
  <si>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</si>
  <si>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</si>
  <si>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</si>
  <si>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</si>
  <si>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</si>
  <si>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</si>
  <si>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</si>
  <si>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</si>
  <si>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</si>
  <si>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</si>
  <si>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</si>
  <si>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</si>
  <si>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</si>
  <si>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</si>
  <si>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</si>
  <si>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</si>
  <si>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</si>
  <si>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</si>
  <si>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</si>
  <si>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</si>
  <si>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</si>
  <si>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</si>
  <si>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</si>
  <si>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</si>
  <si>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</si>
  <si>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</si>
  <si>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</si>
  <si>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</si>
  <si>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</si>
  <si>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</si>
  <si>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</si>
  <si>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</si>
  <si>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</si>
  <si>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</si>
  <si>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</si>
  <si>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</si>
  <si>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</si>
  <si>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</si>
  <si>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</si>
  <si>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</si>
  <si>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</si>
  <si>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</si>
  <si>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</si>
  <si>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</si>
  <si>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</si>
  <si>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</si>
  <si>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</si>
  <si>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</si>
  <si>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</si>
  <si>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</si>
  <si>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</si>
  <si>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</si>
  <si>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</si>
  <si>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</si>
  <si>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</si>
  <si>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</si>
  <si>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</si>
  <si>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</si>
  <si>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</si>
  <si>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</si>
  <si>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</si>
  <si>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</si>
  <si>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</si>
  <si>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</si>
  <si>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</si>
  <si>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</si>
  <si>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</si>
  <si>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</si>
  <si>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</si>
  <si>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</si>
  <si>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</si>
  <si>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</si>
  <si>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</si>
  <si>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</si>
  <si>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</si>
  <si>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</si>
  <si>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</si>
  <si>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</si>
  <si>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</si>
  <si>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</si>
  <si>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</si>
  <si>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</si>
  <si>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</si>
  <si>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</si>
  <si>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</si>
  <si>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</si>
  <si>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</si>
  <si>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</si>
  <si>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</si>
  <si>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</si>
  <si>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</si>
  <si>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</si>
  <si>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</si>
  <si>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Embarque Preconcentrado ventas</t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</si>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</sst>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29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0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440280</xdr:colOff>
      <xdr:row>4</xdr:row>
      <xdr:rowOff>186840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4640" cy="510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223200</xdr:colOff>
      <xdr:row>9</xdr:row>
      <xdr:rowOff>106200</xdr:rowOff>
    </xdr:to>
    <xdr:sp>
      <xdr:nvSpPr>
        <xdr:cNvPr id="2" name="Rectángulo 2"/>
        <xdr:cNvSpPr/>
      </xdr:nvSpPr>
      <xdr:spPr>
        <a:xfrm>
          <a:off x="4093200" y="1426320"/>
          <a:ext cx="1050480" cy="39456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647280</xdr:colOff>
      <xdr:row>12</xdr:row>
      <xdr:rowOff>99720</xdr:rowOff>
    </xdr:to>
    <xdr:sp>
      <xdr:nvSpPr>
        <xdr:cNvPr id="3" name="Triángulo isósceles 3"/>
        <xdr:cNvSpPr/>
      </xdr:nvSpPr>
      <xdr:spPr>
        <a:xfrm>
          <a:off x="7032600" y="2008080"/>
          <a:ext cx="499320" cy="3776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378720</xdr:colOff>
      <xdr:row>11</xdr:row>
      <xdr:rowOff>68040</xdr:rowOff>
    </xdr:to>
    <xdr:sp>
      <xdr:nvSpPr>
        <xdr:cNvPr id="4" name="Rectángulo 4"/>
        <xdr:cNvSpPr/>
      </xdr:nvSpPr>
      <xdr:spPr>
        <a:xfrm>
          <a:off x="6328800" y="1703520"/>
          <a:ext cx="934560" cy="46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94680</xdr:colOff>
      <xdr:row>18</xdr:row>
      <xdr:rowOff>93600</xdr:rowOff>
    </xdr:to>
    <xdr:sp>
      <xdr:nvSpPr>
        <xdr:cNvPr id="5" name="Rectángulo 5"/>
        <xdr:cNvSpPr/>
      </xdr:nvSpPr>
      <xdr:spPr>
        <a:xfrm>
          <a:off x="10133280" y="3195720"/>
          <a:ext cx="1192680" cy="32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408960</xdr:colOff>
      <xdr:row>36</xdr:row>
      <xdr:rowOff>66240</xdr:rowOff>
    </xdr:to>
    <xdr:sp>
      <xdr:nvSpPr>
        <xdr:cNvPr id="6" name="Triángulo isósceles 8"/>
        <xdr:cNvSpPr/>
      </xdr:nvSpPr>
      <xdr:spPr>
        <a:xfrm>
          <a:off x="7525440" y="6415920"/>
          <a:ext cx="64512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75960</xdr:colOff>
      <xdr:row>45</xdr:row>
      <xdr:rowOff>23760</xdr:rowOff>
    </xdr:to>
    <xdr:sp>
      <xdr:nvSpPr>
        <xdr:cNvPr id="7" name="Rectángulo 9"/>
        <xdr:cNvSpPr/>
      </xdr:nvSpPr>
      <xdr:spPr>
        <a:xfrm>
          <a:off x="6535800" y="8088840"/>
          <a:ext cx="13017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717480</xdr:colOff>
      <xdr:row>54</xdr:row>
      <xdr:rowOff>136080</xdr:rowOff>
    </xdr:to>
    <xdr:sp>
      <xdr:nvSpPr>
        <xdr:cNvPr id="8" name="Rectángulo 10"/>
        <xdr:cNvSpPr/>
      </xdr:nvSpPr>
      <xdr:spPr>
        <a:xfrm>
          <a:off x="7239960" y="10028520"/>
          <a:ext cx="1239120" cy="39456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624960</xdr:colOff>
      <xdr:row>63</xdr:row>
      <xdr:rowOff>59400</xdr:rowOff>
    </xdr:to>
    <xdr:sp>
      <xdr:nvSpPr>
        <xdr:cNvPr id="9" name="Triángulo isósceles 11"/>
        <xdr:cNvSpPr/>
      </xdr:nvSpPr>
      <xdr:spPr>
        <a:xfrm>
          <a:off x="9572760" y="11553120"/>
          <a:ext cx="5760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698400</xdr:colOff>
      <xdr:row>63</xdr:row>
      <xdr:rowOff>5760</xdr:rowOff>
    </xdr:to>
    <xdr:sp>
      <xdr:nvSpPr>
        <xdr:cNvPr id="10" name="Rectángulo 12"/>
        <xdr:cNvSpPr/>
      </xdr:nvSpPr>
      <xdr:spPr>
        <a:xfrm>
          <a:off x="9934560" y="11643120"/>
          <a:ext cx="1047600" cy="364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654840</xdr:colOff>
      <xdr:row>70</xdr:row>
      <xdr:rowOff>68760</xdr:rowOff>
    </xdr:to>
    <xdr:sp>
      <xdr:nvSpPr>
        <xdr:cNvPr id="11" name="Triángulo isósceles 13"/>
        <xdr:cNvSpPr/>
      </xdr:nvSpPr>
      <xdr:spPr>
        <a:xfrm>
          <a:off x="9602640" y="12899160"/>
          <a:ext cx="576000" cy="504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461160</xdr:colOff>
      <xdr:row>68</xdr:row>
      <xdr:rowOff>93600</xdr:rowOff>
    </xdr:to>
    <xdr:sp>
      <xdr:nvSpPr>
        <xdr:cNvPr id="12" name="Rectángulo 14"/>
        <xdr:cNvSpPr/>
      </xdr:nvSpPr>
      <xdr:spPr>
        <a:xfrm>
          <a:off x="9697320" y="12543120"/>
          <a:ext cx="1047600" cy="504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490680</xdr:colOff>
      <xdr:row>63</xdr:row>
      <xdr:rowOff>29520</xdr:rowOff>
    </xdr:to>
    <xdr:sp>
      <xdr:nvSpPr>
        <xdr:cNvPr id="13" name="Rectángulo 15"/>
        <xdr:cNvSpPr/>
      </xdr:nvSpPr>
      <xdr:spPr>
        <a:xfrm>
          <a:off x="12092040" y="11523240"/>
          <a:ext cx="25110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110520</xdr:colOff>
      <xdr:row>67</xdr:row>
      <xdr:rowOff>1080</xdr:rowOff>
    </xdr:to>
    <xdr:sp>
      <xdr:nvSpPr>
        <xdr:cNvPr id="14" name="Rectángulo 16"/>
        <xdr:cNvSpPr/>
      </xdr:nvSpPr>
      <xdr:spPr>
        <a:xfrm>
          <a:off x="12144240" y="12256920"/>
          <a:ext cx="289332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490680</xdr:colOff>
      <xdr:row>70</xdr:row>
      <xdr:rowOff>150840</xdr:rowOff>
    </xdr:to>
    <xdr:sp>
      <xdr:nvSpPr>
        <xdr:cNvPr id="15" name="Rectángulo 17"/>
        <xdr:cNvSpPr/>
      </xdr:nvSpPr>
      <xdr:spPr>
        <a:xfrm>
          <a:off x="12092040" y="12977640"/>
          <a:ext cx="251100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5760</xdr:colOff>
      <xdr:row>82</xdr:row>
      <xdr:rowOff>105480</xdr:rowOff>
    </xdr:to>
    <xdr:sp>
      <xdr:nvSpPr>
        <xdr:cNvPr id="16" name="Triángulo isósceles 18"/>
        <xdr:cNvSpPr/>
      </xdr:nvSpPr>
      <xdr:spPr>
        <a:xfrm>
          <a:off x="9715680" y="15218280"/>
          <a:ext cx="57384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729360</xdr:colOff>
      <xdr:row>82</xdr:row>
      <xdr:rowOff>163080</xdr:rowOff>
    </xdr:to>
    <xdr:sp>
      <xdr:nvSpPr>
        <xdr:cNvPr id="17" name="Rectángulo 19"/>
        <xdr:cNvSpPr/>
      </xdr:nvSpPr>
      <xdr:spPr>
        <a:xfrm>
          <a:off x="10067400" y="15276240"/>
          <a:ext cx="94572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603360</xdr:colOff>
      <xdr:row>83</xdr:row>
      <xdr:rowOff>12960</xdr:rowOff>
    </xdr:to>
    <xdr:sp>
      <xdr:nvSpPr>
        <xdr:cNvPr id="18" name="Rectángulo 20"/>
        <xdr:cNvSpPr/>
      </xdr:nvSpPr>
      <xdr:spPr>
        <a:xfrm>
          <a:off x="12204720" y="15316560"/>
          <a:ext cx="25110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577440</xdr:colOff>
      <xdr:row>22</xdr:row>
      <xdr:rowOff>118080</xdr:rowOff>
    </xdr:to>
    <xdr:sp>
      <xdr:nvSpPr>
        <xdr:cNvPr id="19" name="Elipse 22"/>
        <xdr:cNvSpPr/>
      </xdr:nvSpPr>
      <xdr:spPr>
        <a:xfrm>
          <a:off x="5277960" y="4117680"/>
          <a:ext cx="219960" cy="19152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642960</xdr:colOff>
      <xdr:row>60</xdr:row>
      <xdr:rowOff>90720</xdr:rowOff>
    </xdr:to>
    <xdr:sp>
      <xdr:nvSpPr>
        <xdr:cNvPr id="21" name="Rectángulo 24"/>
        <xdr:cNvSpPr/>
      </xdr:nvSpPr>
      <xdr:spPr>
        <a:xfrm>
          <a:off x="2747520" y="11114640"/>
          <a:ext cx="1365840" cy="406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12600</xdr:colOff>
      <xdr:row>4</xdr:row>
      <xdr:rowOff>142560</xdr:rowOff>
    </xdr:to>
    <xdr:sp>
      <xdr:nvSpPr>
        <xdr:cNvPr id="22" name="Rectángulo 25"/>
        <xdr:cNvSpPr/>
      </xdr:nvSpPr>
      <xdr:spPr>
        <a:xfrm>
          <a:off x="2658960" y="666720"/>
          <a:ext cx="1514160" cy="23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682920</xdr:colOff>
      <xdr:row>14</xdr:row>
      <xdr:rowOff>99720</xdr:rowOff>
    </xdr:to>
    <xdr:sp>
      <xdr:nvSpPr>
        <xdr:cNvPr id="24" name="Triángulo isósceles 27"/>
        <xdr:cNvSpPr/>
      </xdr:nvSpPr>
      <xdr:spPr>
        <a:xfrm>
          <a:off x="2762640" y="2258640"/>
          <a:ext cx="5760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162000</xdr:colOff>
      <xdr:row>15</xdr:row>
      <xdr:rowOff>77040</xdr:rowOff>
    </xdr:to>
    <xdr:sp>
      <xdr:nvSpPr>
        <xdr:cNvPr id="25" name="Rectángulo 28"/>
        <xdr:cNvSpPr/>
      </xdr:nvSpPr>
      <xdr:spPr>
        <a:xfrm>
          <a:off x="2031480" y="2628360"/>
          <a:ext cx="786240" cy="30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669600</xdr:colOff>
      <xdr:row>12</xdr:row>
      <xdr:rowOff>176400</xdr:rowOff>
    </xdr:to>
    <xdr:sp>
      <xdr:nvSpPr>
        <xdr:cNvPr id="26" name="Rectángulo 29"/>
        <xdr:cNvSpPr/>
      </xdr:nvSpPr>
      <xdr:spPr>
        <a:xfrm>
          <a:off x="323280" y="2157120"/>
          <a:ext cx="55764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122040</xdr:colOff>
      <xdr:row>20</xdr:row>
      <xdr:rowOff>101880</xdr:rowOff>
    </xdr:to>
    <xdr:sp>
      <xdr:nvSpPr>
        <xdr:cNvPr id="29" name="Rectángulo 32"/>
        <xdr:cNvSpPr/>
      </xdr:nvSpPr>
      <xdr:spPr>
        <a:xfrm>
          <a:off x="1205280" y="3620160"/>
          <a:ext cx="1572480" cy="291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712800</xdr:colOff>
      <xdr:row>13</xdr:row>
      <xdr:rowOff>111240</xdr:rowOff>
    </xdr:to>
    <xdr:sp>
      <xdr:nvSpPr>
        <xdr:cNvPr id="33" name="Rectángulo 36"/>
        <xdr:cNvSpPr/>
      </xdr:nvSpPr>
      <xdr:spPr>
        <a:xfrm>
          <a:off x="4069080" y="2381040"/>
          <a:ext cx="804240" cy="206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238680</xdr:colOff>
      <xdr:row>26</xdr:row>
      <xdr:rowOff>32040</xdr:rowOff>
    </xdr:to>
    <xdr:sp>
      <xdr:nvSpPr>
        <xdr:cNvPr id="35" name="Triángulo isósceles 38"/>
        <xdr:cNvSpPr/>
      </xdr:nvSpPr>
      <xdr:spPr>
        <a:xfrm>
          <a:off x="3080520" y="4476600"/>
          <a:ext cx="62856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714600</xdr:colOff>
      <xdr:row>27</xdr:row>
      <xdr:rowOff>37080</xdr:rowOff>
    </xdr:to>
    <xdr:sp>
      <xdr:nvSpPr>
        <xdr:cNvPr id="36" name="Rectángulo 39"/>
        <xdr:cNvSpPr/>
      </xdr:nvSpPr>
      <xdr:spPr>
        <a:xfrm>
          <a:off x="2379960" y="4873680"/>
          <a:ext cx="990360" cy="307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214560</xdr:colOff>
      <xdr:row>24</xdr:row>
      <xdr:rowOff>177840</xdr:rowOff>
    </xdr:to>
    <xdr:sp>
      <xdr:nvSpPr>
        <xdr:cNvPr id="37" name="Rectángulo 40"/>
        <xdr:cNvSpPr/>
      </xdr:nvSpPr>
      <xdr:spPr>
        <a:xfrm>
          <a:off x="1979640" y="4444560"/>
          <a:ext cx="89064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142560</xdr:colOff>
      <xdr:row>24</xdr:row>
      <xdr:rowOff>128160</xdr:rowOff>
    </xdr:to>
    <xdr:sp>
      <xdr:nvSpPr>
        <xdr:cNvPr id="40" name="Rectángulo 43"/>
        <xdr:cNvSpPr/>
      </xdr:nvSpPr>
      <xdr:spPr>
        <a:xfrm>
          <a:off x="3537000" y="4389480"/>
          <a:ext cx="766080" cy="310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256320</xdr:colOff>
      <xdr:row>34</xdr:row>
      <xdr:rowOff>181800</xdr:rowOff>
    </xdr:to>
    <xdr:sp>
      <xdr:nvSpPr>
        <xdr:cNvPr id="41" name="Triángulo isósceles 44"/>
        <xdr:cNvSpPr/>
      </xdr:nvSpPr>
      <xdr:spPr>
        <a:xfrm>
          <a:off x="3098160" y="6150960"/>
          <a:ext cx="62856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669600</xdr:colOff>
      <xdr:row>37</xdr:row>
      <xdr:rowOff>17280</xdr:rowOff>
    </xdr:to>
    <xdr:sp>
      <xdr:nvSpPr>
        <xdr:cNvPr id="42" name="Rectángulo 45"/>
        <xdr:cNvSpPr/>
      </xdr:nvSpPr>
      <xdr:spPr>
        <a:xfrm>
          <a:off x="2337840" y="6646320"/>
          <a:ext cx="987480" cy="419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363600</xdr:colOff>
      <xdr:row>33</xdr:row>
      <xdr:rowOff>47160</xdr:rowOff>
    </xdr:to>
    <xdr:sp>
      <xdr:nvSpPr>
        <xdr:cNvPr id="45" name="Rectángulo 48"/>
        <xdr:cNvSpPr/>
      </xdr:nvSpPr>
      <xdr:spPr>
        <a:xfrm>
          <a:off x="3375000" y="5895000"/>
          <a:ext cx="1149120" cy="438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10080</xdr:colOff>
      <xdr:row>33</xdr:row>
      <xdr:rowOff>72720</xdr:rowOff>
    </xdr:to>
    <xdr:sp>
      <xdr:nvSpPr>
        <xdr:cNvPr id="46" name="Rectángulo 49"/>
        <xdr:cNvSpPr/>
      </xdr:nvSpPr>
      <xdr:spPr>
        <a:xfrm>
          <a:off x="2113560" y="6151320"/>
          <a:ext cx="552240" cy="208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264240</xdr:colOff>
      <xdr:row>44</xdr:row>
      <xdr:rowOff>23400</xdr:rowOff>
    </xdr:to>
    <xdr:sp>
      <xdr:nvSpPr>
        <xdr:cNvPr id="48" name="Triángulo isósceles 51"/>
        <xdr:cNvSpPr/>
      </xdr:nvSpPr>
      <xdr:spPr>
        <a:xfrm>
          <a:off x="3106080" y="7897680"/>
          <a:ext cx="62856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744480</xdr:colOff>
      <xdr:row>45</xdr:row>
      <xdr:rowOff>145440</xdr:rowOff>
    </xdr:to>
    <xdr:sp>
      <xdr:nvSpPr>
        <xdr:cNvPr id="49" name="Rectángulo 52"/>
        <xdr:cNvSpPr/>
      </xdr:nvSpPr>
      <xdr:spPr>
        <a:xfrm>
          <a:off x="2308680" y="8422560"/>
          <a:ext cx="1091520" cy="295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289080</xdr:colOff>
      <xdr:row>42</xdr:row>
      <xdr:rowOff>85320</xdr:rowOff>
    </xdr:to>
    <xdr:sp>
      <xdr:nvSpPr>
        <xdr:cNvPr id="51" name="Rectángulo 54"/>
        <xdr:cNvSpPr/>
      </xdr:nvSpPr>
      <xdr:spPr>
        <a:xfrm>
          <a:off x="3390480" y="7627320"/>
          <a:ext cx="1059120" cy="459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18360</xdr:colOff>
      <xdr:row>42</xdr:row>
      <xdr:rowOff>91080</xdr:rowOff>
    </xdr:to>
    <xdr:sp>
      <xdr:nvSpPr>
        <xdr:cNvPr id="52" name="Rectángulo 55"/>
        <xdr:cNvSpPr/>
      </xdr:nvSpPr>
      <xdr:spPr>
        <a:xfrm>
          <a:off x="2121840" y="7761600"/>
          <a:ext cx="552240" cy="330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213120</xdr:colOff>
      <xdr:row>54</xdr:row>
      <xdr:rowOff>43560</xdr:rowOff>
    </xdr:to>
    <xdr:sp>
      <xdr:nvSpPr>
        <xdr:cNvPr id="54" name="Triángulo isósceles 57"/>
        <xdr:cNvSpPr/>
      </xdr:nvSpPr>
      <xdr:spPr>
        <a:xfrm>
          <a:off x="3054960" y="9816480"/>
          <a:ext cx="628560" cy="5140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656280</xdr:colOff>
      <xdr:row>55</xdr:row>
      <xdr:rowOff>92880</xdr:rowOff>
    </xdr:to>
    <xdr:sp>
      <xdr:nvSpPr>
        <xdr:cNvPr id="55" name="Rectángulo 58"/>
        <xdr:cNvSpPr/>
      </xdr:nvSpPr>
      <xdr:spPr>
        <a:xfrm>
          <a:off x="2683800" y="10378800"/>
          <a:ext cx="1442880" cy="191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415800</xdr:colOff>
      <xdr:row>52</xdr:row>
      <xdr:rowOff>166320</xdr:rowOff>
    </xdr:to>
    <xdr:sp>
      <xdr:nvSpPr>
        <xdr:cNvPr id="57" name="Rectángulo 60"/>
        <xdr:cNvSpPr/>
      </xdr:nvSpPr>
      <xdr:spPr>
        <a:xfrm>
          <a:off x="3511440" y="9511560"/>
          <a:ext cx="1064880" cy="560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118440</xdr:colOff>
      <xdr:row>51</xdr:row>
      <xdr:rowOff>96840</xdr:rowOff>
    </xdr:to>
    <xdr:sp>
      <xdr:nvSpPr>
        <xdr:cNvPr id="58" name="Rectángulo 61"/>
        <xdr:cNvSpPr/>
      </xdr:nvSpPr>
      <xdr:spPr>
        <a:xfrm>
          <a:off x="1936080" y="9604080"/>
          <a:ext cx="838080" cy="208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727200</xdr:colOff>
      <xdr:row>18</xdr:row>
      <xdr:rowOff>93960</xdr:rowOff>
    </xdr:to>
    <xdr:grpSp>
      <xdr:nvGrpSpPr>
        <xdr:cNvPr id="63" name="Grupo 66"/>
        <xdr:cNvGrpSpPr/>
      </xdr:nvGrpSpPr>
      <xdr:grpSpPr>
        <a:xfrm>
          <a:off x="9675000" y="3014640"/>
          <a:ext cx="576000" cy="508320"/>
          <a:chOff x="9675000" y="3014640"/>
          <a:chExt cx="576000" cy="50832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6000" cy="50832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22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534600</xdr:colOff>
      <xdr:row>10</xdr:row>
      <xdr:rowOff>15840</xdr:rowOff>
    </xdr:to>
    <xdr:grpSp>
      <xdr:nvGrpSpPr>
        <xdr:cNvPr id="68" name="Grupo 67"/>
        <xdr:cNvGrpSpPr/>
      </xdr:nvGrpSpPr>
      <xdr:grpSpPr>
        <a:xfrm>
          <a:off x="10456200" y="1526400"/>
          <a:ext cx="1309680" cy="394560"/>
          <a:chOff x="10456200" y="1526400"/>
          <a:chExt cx="1309680" cy="39456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09680" cy="39456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600" cy="1177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932040</xdr:colOff>
      <xdr:row>11</xdr:row>
      <xdr:rowOff>65520</xdr:rowOff>
    </xdr:to>
    <xdr:sp>
      <xdr:nvSpPr>
        <xdr:cNvPr id="73" name="Rectángulo 70"/>
        <xdr:cNvSpPr/>
      </xdr:nvSpPr>
      <xdr:spPr>
        <a:xfrm>
          <a:off x="11943720" y="1746720"/>
          <a:ext cx="1034280" cy="414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795960</xdr:colOff>
      <xdr:row>7</xdr:row>
      <xdr:rowOff>171000</xdr:rowOff>
    </xdr:to>
    <xdr:sp>
      <xdr:nvSpPr>
        <xdr:cNvPr id="74" name="Rectángulo 71"/>
        <xdr:cNvSpPr/>
      </xdr:nvSpPr>
      <xdr:spPr>
        <a:xfrm>
          <a:off x="11890800" y="1023480"/>
          <a:ext cx="951120" cy="480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682920</xdr:colOff>
      <xdr:row>24</xdr:row>
      <xdr:rowOff>164520</xdr:rowOff>
    </xdr:to>
    <xdr:grpSp>
      <xdr:nvGrpSpPr>
        <xdr:cNvPr id="75" name="Grupo 72"/>
        <xdr:cNvGrpSpPr/>
      </xdr:nvGrpSpPr>
      <xdr:grpSpPr>
        <a:xfrm>
          <a:off x="7205400" y="4346280"/>
          <a:ext cx="1239120" cy="390240"/>
          <a:chOff x="7205400" y="4346280"/>
          <a:chExt cx="1239120" cy="39024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9120" cy="38916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600" cy="116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220320</xdr:colOff>
      <xdr:row>24</xdr:row>
      <xdr:rowOff>5760</xdr:rowOff>
    </xdr:to>
    <xdr:sp>
      <xdr:nvSpPr>
        <xdr:cNvPr id="80" name="Rectángulo 75"/>
        <xdr:cNvSpPr/>
      </xdr:nvSpPr>
      <xdr:spPr>
        <a:xfrm>
          <a:off x="9765000" y="4384440"/>
          <a:ext cx="739080" cy="193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149400</xdr:colOff>
      <xdr:row>25</xdr:row>
      <xdr:rowOff>132840</xdr:rowOff>
    </xdr:to>
    <xdr:sp>
      <xdr:nvSpPr>
        <xdr:cNvPr id="81" name="Rectángulo 76"/>
        <xdr:cNvSpPr/>
      </xdr:nvSpPr>
      <xdr:spPr>
        <a:xfrm>
          <a:off x="10794240" y="4584960"/>
          <a:ext cx="1401120" cy="31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258840</xdr:colOff>
      <xdr:row>6</xdr:row>
      <xdr:rowOff>154440</xdr:rowOff>
    </xdr:to>
    <xdr:sp>
      <xdr:nvSpPr>
        <xdr:cNvPr id="82" name="Rectángulo 77"/>
        <xdr:cNvSpPr/>
      </xdr:nvSpPr>
      <xdr:spPr>
        <a:xfrm>
          <a:off x="9444600" y="992520"/>
          <a:ext cx="109800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318240</xdr:colOff>
      <xdr:row>27</xdr:row>
      <xdr:rowOff>131040</xdr:rowOff>
    </xdr:to>
    <xdr:sp>
      <xdr:nvSpPr>
        <xdr:cNvPr id="83" name="Rectángulo 79"/>
        <xdr:cNvSpPr/>
      </xdr:nvSpPr>
      <xdr:spPr>
        <a:xfrm>
          <a:off x="5599800" y="4970160"/>
          <a:ext cx="160308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307440</xdr:colOff>
      <xdr:row>49</xdr:row>
      <xdr:rowOff>72360</xdr:rowOff>
    </xdr:to>
    <xdr:sp>
      <xdr:nvSpPr>
        <xdr:cNvPr id="88" name="Rectángulo 84"/>
        <xdr:cNvSpPr/>
      </xdr:nvSpPr>
      <xdr:spPr>
        <a:xfrm>
          <a:off x="6005160" y="8893080"/>
          <a:ext cx="118692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507600</xdr:colOff>
      <xdr:row>49</xdr:row>
      <xdr:rowOff>90360</xdr:rowOff>
    </xdr:to>
    <xdr:sp>
      <xdr:nvSpPr>
        <xdr:cNvPr id="89" name="Rectángulo 85"/>
        <xdr:cNvSpPr/>
      </xdr:nvSpPr>
      <xdr:spPr>
        <a:xfrm>
          <a:off x="8929080" y="8911080"/>
          <a:ext cx="110232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79920</xdr:colOff>
      <xdr:row>56</xdr:row>
      <xdr:rowOff>162000</xdr:rowOff>
    </xdr:to>
    <xdr:sp>
      <xdr:nvSpPr>
        <xdr:cNvPr id="91" name="Rectángulo 87"/>
        <xdr:cNvSpPr/>
      </xdr:nvSpPr>
      <xdr:spPr>
        <a:xfrm>
          <a:off x="8493840" y="10322280"/>
          <a:ext cx="110988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645840</xdr:colOff>
      <xdr:row>59</xdr:row>
      <xdr:rowOff>112680</xdr:rowOff>
    </xdr:to>
    <xdr:sp>
      <xdr:nvSpPr>
        <xdr:cNvPr id="94" name="Rectángulo 90"/>
        <xdr:cNvSpPr/>
      </xdr:nvSpPr>
      <xdr:spPr>
        <a:xfrm>
          <a:off x="7144920" y="10947960"/>
          <a:ext cx="1262520" cy="404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596880</xdr:colOff>
      <xdr:row>70</xdr:row>
      <xdr:rowOff>74520</xdr:rowOff>
    </xdr:to>
    <xdr:sp>
      <xdr:nvSpPr>
        <xdr:cNvPr id="95" name="Triángulo isósceles 91"/>
        <xdr:cNvSpPr/>
      </xdr:nvSpPr>
      <xdr:spPr>
        <a:xfrm>
          <a:off x="6905520" y="12901320"/>
          <a:ext cx="57600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577440</xdr:colOff>
      <xdr:row>68</xdr:row>
      <xdr:rowOff>54720</xdr:rowOff>
    </xdr:to>
    <xdr:sp>
      <xdr:nvSpPr>
        <xdr:cNvPr id="96" name="Rectángulo 92"/>
        <xdr:cNvSpPr/>
      </xdr:nvSpPr>
      <xdr:spPr>
        <a:xfrm>
          <a:off x="6275160" y="12501000"/>
          <a:ext cx="118692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752040</xdr:colOff>
      <xdr:row>69</xdr:row>
      <xdr:rowOff>145440</xdr:rowOff>
    </xdr:to>
    <xdr:sp>
      <xdr:nvSpPr>
        <xdr:cNvPr id="101" name="Rectángulo 97"/>
        <xdr:cNvSpPr/>
      </xdr:nvSpPr>
      <xdr:spPr>
        <a:xfrm>
          <a:off x="3934800" y="12781800"/>
          <a:ext cx="977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751680</xdr:colOff>
      <xdr:row>73</xdr:row>
      <xdr:rowOff>172080</xdr:rowOff>
    </xdr:to>
    <xdr:sp>
      <xdr:nvSpPr>
        <xdr:cNvPr id="102" name="Rectángulo 98"/>
        <xdr:cNvSpPr/>
      </xdr:nvSpPr>
      <xdr:spPr>
        <a:xfrm>
          <a:off x="3934440" y="13570920"/>
          <a:ext cx="9777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30600</xdr:colOff>
      <xdr:row>76</xdr:row>
      <xdr:rowOff>183240</xdr:rowOff>
    </xdr:to>
    <xdr:sp>
      <xdr:nvSpPr>
        <xdr:cNvPr id="104" name="Rectángulo 100"/>
        <xdr:cNvSpPr/>
      </xdr:nvSpPr>
      <xdr:spPr>
        <a:xfrm>
          <a:off x="5558400" y="14147280"/>
          <a:ext cx="1356840" cy="514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714960</xdr:colOff>
      <xdr:row>79</xdr:row>
      <xdr:rowOff>172080</xdr:rowOff>
    </xdr:to>
    <xdr:sp>
      <xdr:nvSpPr>
        <xdr:cNvPr id="106" name="Rectángulo 102"/>
        <xdr:cNvSpPr/>
      </xdr:nvSpPr>
      <xdr:spPr>
        <a:xfrm>
          <a:off x="6545520" y="14851440"/>
          <a:ext cx="1054080" cy="37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711720</xdr:colOff>
      <xdr:row>84</xdr:row>
      <xdr:rowOff>41040</xdr:rowOff>
    </xdr:to>
    <xdr:sp>
      <xdr:nvSpPr>
        <xdr:cNvPr id="108" name="Rectángulo 104"/>
        <xdr:cNvSpPr/>
      </xdr:nvSpPr>
      <xdr:spPr>
        <a:xfrm>
          <a:off x="6343560" y="15667200"/>
          <a:ext cx="1252800" cy="375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16560</xdr:colOff>
      <xdr:row>87</xdr:row>
      <xdr:rowOff>169560</xdr:rowOff>
    </xdr:to>
    <xdr:sp>
      <xdr:nvSpPr>
        <xdr:cNvPr id="110" name="Rectángulo 106"/>
        <xdr:cNvSpPr/>
      </xdr:nvSpPr>
      <xdr:spPr>
        <a:xfrm>
          <a:off x="6410160" y="16366680"/>
          <a:ext cx="1368000" cy="376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32760</xdr:colOff>
      <xdr:row>76</xdr:row>
      <xdr:rowOff>64080</xdr:rowOff>
    </xdr:to>
    <xdr:sp>
      <xdr:nvSpPr>
        <xdr:cNvPr id="113" name="Rectángulo 17"/>
        <xdr:cNvSpPr/>
      </xdr:nvSpPr>
      <xdr:spPr>
        <a:xfrm>
          <a:off x="12515040" y="14033880"/>
          <a:ext cx="24447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927720</xdr:colOff>
      <xdr:row>77</xdr:row>
      <xdr:rowOff>180360</xdr:rowOff>
    </xdr:to>
    <xdr:sp>
      <xdr:nvSpPr>
        <xdr:cNvPr id="115" name="Rectángulo 102"/>
        <xdr:cNvSpPr/>
      </xdr:nvSpPr>
      <xdr:spPr>
        <a:xfrm>
          <a:off x="7634880" y="14465160"/>
          <a:ext cx="1054440" cy="383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false" showOutlineSymbols="true" defaultGridColor="true" view="normal" topLeftCell="A14" colorId="64" zoomScale="80" zoomScaleNormal="80" zoomScalePageLayoutView="100" workbookViewId="0">
      <selection pane="topLeft" activeCell="G11" activeCellId="0" sqref="G11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Extra'!D28)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+SUM(J21:J24)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6" width="24"/>
    <col collapsed="false" customWidth="true" hidden="false" outlineLevel="0" max="3" min="3" style="127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8" t="s">
        <v>45</v>
      </c>
      <c r="B1" s="129" t="n">
        <v>42771.7642067606</v>
      </c>
      <c r="C1" s="130" t="n">
        <v>0.297016214982546</v>
      </c>
      <c r="D1" s="131" t="n">
        <v>0.00329756078931775</v>
      </c>
    </row>
    <row r="2" customFormat="false" ht="22.05" hidden="false" customHeight="false" outlineLevel="0" collapsed="false">
      <c r="A2" s="128" t="s">
        <v>46</v>
      </c>
      <c r="B2" s="129" t="n">
        <v>18443.7340071012</v>
      </c>
      <c r="C2" s="130" t="n">
        <v>0.443385257607103</v>
      </c>
      <c r="D2" s="131" t="n">
        <v>0.0353904039421967</v>
      </c>
    </row>
    <row r="3" customFormat="false" ht="22.05" hidden="false" customHeight="false" outlineLevel="0" collapsed="false">
      <c r="A3" s="128" t="s">
        <v>50</v>
      </c>
      <c r="B3" s="129" t="n">
        <v>27.2735561007429</v>
      </c>
      <c r="C3" s="130" t="n">
        <v>0.6457015434965</v>
      </c>
      <c r="D3" s="131" t="n">
        <v>0.0908814633085687</v>
      </c>
    </row>
    <row r="4" customFormat="false" ht="22.05" hidden="false" customHeight="false" outlineLevel="0" collapsed="false">
      <c r="A4" s="128" t="s">
        <v>51</v>
      </c>
      <c r="B4" s="129" t="n">
        <v>0</v>
      </c>
      <c r="C4" s="130" t="n">
        <v>0</v>
      </c>
      <c r="D4" s="131" t="n">
        <v>0</v>
      </c>
    </row>
    <row r="5" customFormat="false" ht="22.05" hidden="false" customHeight="false" outlineLevel="0" collapsed="false">
      <c r="A5" s="128" t="s">
        <v>102</v>
      </c>
      <c r="B5" s="129" t="n">
        <v>103000.636528879</v>
      </c>
      <c r="C5" s="130" t="n">
        <v>0.646534362331</v>
      </c>
      <c r="D5" s="131" t="n">
        <v>0.0868543088723792</v>
      </c>
    </row>
    <row r="6" customFormat="false" ht="22.05" hidden="false" customHeight="false" outlineLevel="0" collapsed="false">
      <c r="A6" s="128" t="s">
        <v>103</v>
      </c>
      <c r="B6" s="129" t="n">
        <v>44282.0034194924</v>
      </c>
      <c r="C6" s="130" t="n">
        <v>0.634567521724109</v>
      </c>
      <c r="D6" s="131" t="n">
        <v>0.0103007780791007</v>
      </c>
    </row>
    <row r="7" customFormat="false" ht="22.05" hidden="false" customHeight="false" outlineLevel="0" collapsed="false">
      <c r="A7" s="128" t="s">
        <v>104</v>
      </c>
      <c r="B7" s="132" t="n">
        <v>447.344048308247</v>
      </c>
      <c r="C7" s="130" t="n">
        <v>0.634567521724109</v>
      </c>
      <c r="D7" s="130" t="n">
        <v>0.0103007780791007</v>
      </c>
    </row>
    <row r="8" customFormat="false" ht="22.05" hidden="false" customHeight="false" outlineLevel="0" collapsed="false">
      <c r="A8" s="128" t="s">
        <v>55</v>
      </c>
      <c r="B8" s="132" t="n">
        <v>44739.1544280445</v>
      </c>
      <c r="C8" s="130" t="n">
        <v>0.560701247601677</v>
      </c>
      <c r="D8" s="130" t="n">
        <v>0.0265642785844565</v>
      </c>
    </row>
    <row r="9" customFormat="false" ht="22.05" hidden="false" customHeight="false" outlineLevel="0" collapsed="false">
      <c r="A9" s="128" t="s">
        <v>105</v>
      </c>
      <c r="B9" s="129" t="n">
        <v>67297.4996785832</v>
      </c>
      <c r="C9" s="133" t="n">
        <v>0.6457015434965</v>
      </c>
      <c r="D9" s="130" t="n">
        <v>0.0908814633085687</v>
      </c>
    </row>
    <row r="10" customFormat="false" ht="22.05" hidden="false" customHeight="false" outlineLevel="0" collapsed="false">
      <c r="A10" s="128" t="s">
        <v>106</v>
      </c>
      <c r="B10" s="129" t="n">
        <v>0</v>
      </c>
      <c r="C10" s="133" t="n">
        <v>0</v>
      </c>
      <c r="D10" s="130" t="n">
        <v>0</v>
      </c>
    </row>
    <row r="11" customFormat="false" ht="22.05" hidden="false" customHeight="false" outlineLevel="0" collapsed="false">
      <c r="A11" s="128" t="s">
        <v>107</v>
      </c>
      <c r="B11" s="129" t="n">
        <v>0</v>
      </c>
      <c r="C11" s="133" t="n">
        <v>0</v>
      </c>
      <c r="D11" s="130" t="n">
        <v>0</v>
      </c>
    </row>
    <row r="12" customFormat="false" ht="22.05" hidden="false" customHeight="false" outlineLevel="0" collapsed="false">
      <c r="A12" s="128" t="s">
        <v>108</v>
      </c>
      <c r="B12" s="129" t="n">
        <v>5026.20372049881</v>
      </c>
      <c r="C12" s="133" t="n">
        <v>0.637061157842015</v>
      </c>
      <c r="D12" s="130" t="n">
        <v>0.00842122821785252</v>
      </c>
    </row>
    <row r="13" customFormat="false" ht="22.05" hidden="false" customHeight="false" outlineLevel="0" collapsed="false">
      <c r="A13" s="128" t="s">
        <v>40</v>
      </c>
      <c r="B13" s="132" t="n">
        <v>0</v>
      </c>
      <c r="C13" s="130" t="n">
        <v>0</v>
      </c>
      <c r="D13" s="130" t="n">
        <v>0</v>
      </c>
    </row>
    <row r="14" customFormat="false" ht="22.05" hidden="false" customHeight="false" outlineLevel="0" collapsed="false">
      <c r="A14" s="128" t="s">
        <v>41</v>
      </c>
      <c r="B14" s="132" t="n">
        <v>0</v>
      </c>
      <c r="C14" s="130" t="n">
        <v>0</v>
      </c>
      <c r="D14" s="130" t="n">
        <v>0</v>
      </c>
    </row>
    <row r="15" customFormat="false" ht="22.05" hidden="false" customHeight="false" outlineLevel="0" collapsed="false">
      <c r="A15" s="128" t="s">
        <v>109</v>
      </c>
      <c r="B15" s="132" t="n">
        <v>122150.389294902</v>
      </c>
      <c r="C15" s="130" t="n">
        <v>0.303910902116075</v>
      </c>
      <c r="D15" s="130" t="n">
        <v>0</v>
      </c>
    </row>
    <row r="16" customFormat="false" ht="22.05" hidden="false" customHeight="false" outlineLevel="0" collapsed="false">
      <c r="A16" s="134" t="s">
        <v>28</v>
      </c>
      <c r="B16" s="135" t="n">
        <v>0</v>
      </c>
      <c r="C16" s="136" t="n">
        <v>0.6457015434965</v>
      </c>
      <c r="D16" s="130" t="n">
        <v>0.0908814633085687</v>
      </c>
    </row>
    <row r="17" customFormat="false" ht="22.05" hidden="false" customHeight="false" outlineLevel="0" collapsed="false">
      <c r="A17" s="134" t="s">
        <v>41</v>
      </c>
      <c r="B17" s="137" t="n">
        <v>0</v>
      </c>
      <c r="C17" s="138" t="n">
        <v>0</v>
      </c>
      <c r="D17" s="135" t="n">
        <v>0</v>
      </c>
    </row>
    <row r="18" customFormat="false" ht="22.05" hidden="false" customHeight="false" outlineLevel="0" collapsed="false">
      <c r="A18" s="139" t="s">
        <v>109</v>
      </c>
      <c r="B18" s="137" t="n">
        <v>122150.389294902</v>
      </c>
      <c r="C18" s="137" t="n">
        <v>0.303910902116075</v>
      </c>
      <c r="D18" s="140" t="n">
        <v>0</v>
      </c>
    </row>
    <row r="19" customFormat="false" ht="22.05" hidden="false" customHeight="false" outlineLevel="0" collapsed="false">
      <c r="A19" s="139" t="s">
        <v>110</v>
      </c>
      <c r="B19" s="137" t="n">
        <v>0</v>
      </c>
      <c r="C19" s="137" t="n">
        <v>0</v>
      </c>
      <c r="D19" s="140" t="n">
        <v>0</v>
      </c>
    </row>
    <row r="20" customFormat="false" ht="22.05" hidden="false" customHeight="false" outlineLevel="0" collapsed="false">
      <c r="A20" s="139" t="s">
        <v>17</v>
      </c>
      <c r="B20" s="137" t="n">
        <v>3530.47586486667</v>
      </c>
      <c r="C20" s="137" t="n">
        <v>0.238767740156197</v>
      </c>
      <c r="D20" s="140" t="n">
        <v>0.00329756078931775</v>
      </c>
    </row>
    <row r="21" customFormat="false" ht="22.05" hidden="false" customHeight="false" outlineLevel="0" collapsed="false">
      <c r="A21" s="139" t="s">
        <v>19</v>
      </c>
      <c r="B21" s="137" t="n">
        <v>41596.0816080799</v>
      </c>
      <c r="C21" s="137" t="n">
        <v>0.452727832091303</v>
      </c>
      <c r="D21" s="140" t="n">
        <v>0.0224600639983852</v>
      </c>
    </row>
    <row r="22" customFormat="false" ht="22.05" hidden="false" customHeight="false" outlineLevel="0" collapsed="false">
      <c r="A22" s="139" t="s">
        <v>21</v>
      </c>
      <c r="B22" s="137" t="n">
        <v>0</v>
      </c>
      <c r="C22" s="137" t="n">
        <v>0</v>
      </c>
      <c r="D22" s="140" t="n">
        <v>0</v>
      </c>
    </row>
    <row r="23" customFormat="false" ht="22.05" hidden="false" customHeight="false" outlineLevel="0" collapsed="false">
      <c r="A23" s="139" t="s">
        <v>111</v>
      </c>
      <c r="B23" s="137" t="n">
        <v>4771.816</v>
      </c>
      <c r="C23" s="137" t="n">
        <v>0.6482</v>
      </c>
      <c r="D23" s="140" t="n">
        <v>0.0788</v>
      </c>
    </row>
    <row r="24" customFormat="false" ht="22.05" hidden="false" customHeight="false" outlineLevel="0" collapsed="false">
      <c r="A24" s="139" t="s">
        <v>112</v>
      </c>
      <c r="B24" s="137" t="n">
        <v>0</v>
      </c>
      <c r="C24" s="137" t="n">
        <v>0</v>
      </c>
      <c r="D24" s="140" t="n">
        <v>0</v>
      </c>
    </row>
    <row r="25" customFormat="false" ht="22.05" hidden="false" customHeight="false" outlineLevel="0" collapsed="false">
      <c r="A25" s="139" t="s">
        <v>113</v>
      </c>
      <c r="B25" s="137" t="n">
        <v>1632.13313151707</v>
      </c>
      <c r="C25" s="137" t="n">
        <v>0.583099731976602</v>
      </c>
      <c r="D25" s="140" t="n">
        <v>0.0054033324088515</v>
      </c>
    </row>
    <row r="26" customFormat="false" ht="22.05" hidden="false" customHeight="false" outlineLevel="0" collapsed="false">
      <c r="A26" s="139" t="s">
        <v>34</v>
      </c>
      <c r="B26" s="137" t="n">
        <v>0</v>
      </c>
      <c r="C26" s="137" t="n">
        <v>0</v>
      </c>
      <c r="D26" s="140" t="n">
        <v>0</v>
      </c>
    </row>
    <row r="27" customFormat="false" ht="22.05" hidden="false" customHeight="false" outlineLevel="0" collapsed="false">
      <c r="A27" s="139" t="s">
        <v>29</v>
      </c>
      <c r="B27" s="137" t="n">
        <v>44739.1544280445</v>
      </c>
      <c r="C27" s="137" t="n">
        <v>0.6457015434965</v>
      </c>
      <c r="D27" s="140" t="n">
        <v>0.0908814633085687</v>
      </c>
    </row>
    <row r="28" customFormat="false" ht="22.05" hidden="false" customHeight="false" outlineLevel="0" collapsed="false">
      <c r="A28" s="139" t="s">
        <v>105</v>
      </c>
      <c r="B28" s="137" t="n">
        <v>67297.4996785832</v>
      </c>
      <c r="C28" s="137" t="n">
        <v>0.6457015434965</v>
      </c>
      <c r="D28" s="140" t="n">
        <v>0.0908814633085687</v>
      </c>
    </row>
    <row r="29" customFormat="false" ht="22.05" hidden="false" customHeight="false" outlineLevel="0" collapsed="false">
      <c r="A29" s="139" t="s">
        <v>114</v>
      </c>
      <c r="B29" s="137" t="n">
        <v>0</v>
      </c>
      <c r="C29" s="137" t="n">
        <v>0</v>
      </c>
      <c r="D29" s="140" t="n">
        <v>0.0908814633085687</v>
      </c>
    </row>
    <row r="30" customFormat="false" ht="22.05" hidden="false" customHeight="false" outlineLevel="0" collapsed="false">
      <c r="A30" s="139" t="s">
        <v>31</v>
      </c>
      <c r="B30" s="137" t="n">
        <v>0</v>
      </c>
      <c r="C30" s="137" t="n">
        <v>0</v>
      </c>
      <c r="D30" s="140" t="n">
        <v>0</v>
      </c>
    </row>
    <row r="31" customFormat="false" ht="22.05" hidden="false" customHeight="false" outlineLevel="0" collapsed="false">
      <c r="A31" s="139" t="s">
        <v>33</v>
      </c>
      <c r="B31" s="137" t="n">
        <v>0</v>
      </c>
      <c r="C31" s="137" t="n">
        <v>0</v>
      </c>
      <c r="D31" s="140" t="n">
        <v>0</v>
      </c>
    </row>
    <row r="32" customFormat="false" ht="22.05" hidden="false" customHeight="false" outlineLevel="0" collapsed="false">
      <c r="A32" s="139" t="s">
        <v>115</v>
      </c>
      <c r="B32" s="137" t="n">
        <v>5068.89</v>
      </c>
      <c r="C32" s="137" t="n">
        <v>0.637061157842015</v>
      </c>
      <c r="D32" s="140" t="n">
        <v>0.00842122821785252</v>
      </c>
    </row>
    <row r="33" customFormat="false" ht="22.05" hidden="false" customHeight="false" outlineLevel="0" collapsed="false">
      <c r="A33" s="141" t="s">
        <v>40</v>
      </c>
      <c r="B33" s="137" t="n">
        <v>0</v>
      </c>
      <c r="C33" s="142" t="n">
        <v>0</v>
      </c>
      <c r="D33" s="140" t="n">
        <v>0</v>
      </c>
    </row>
    <row r="34" customFormat="false" ht="22.05" hidden="false" customHeight="false" outlineLevel="0" collapsed="false">
      <c r="A34" s="141" t="s">
        <v>41</v>
      </c>
      <c r="B34" s="137" t="n">
        <v>0</v>
      </c>
      <c r="C34" s="142" t="n">
        <v>0</v>
      </c>
      <c r="D34" s="140" t="n">
        <v>0</v>
      </c>
    </row>
    <row r="35" customFormat="false" ht="22.05" hidden="false" customHeight="false" outlineLevel="0" collapsed="false">
      <c r="A35" s="141" t="s">
        <v>18</v>
      </c>
      <c r="B35" s="137" t="n">
        <v>26963.3892949017</v>
      </c>
      <c r="C35" s="142" t="n">
        <v>0.12055134529148</v>
      </c>
      <c r="D35" s="140" t="n">
        <v>0</v>
      </c>
    </row>
    <row r="36" customFormat="false" ht="22.05" hidden="false" customHeight="false" outlineLevel="0" collapsed="false">
      <c r="A36" s="141" t="s">
        <v>20</v>
      </c>
      <c r="B36" s="137" t="n">
        <v>32912</v>
      </c>
      <c r="C36" s="142" t="n">
        <v>0.158896657977879</v>
      </c>
      <c r="D36" s="140" t="n">
        <v>0</v>
      </c>
      <c r="J36" s="143"/>
    </row>
    <row r="37" customFormat="false" ht="22.05" hidden="false" customHeight="false" outlineLevel="0" collapsed="false">
      <c r="A37" s="143" t="s">
        <v>22</v>
      </c>
      <c r="B37" s="137" t="n">
        <v>15308</v>
      </c>
      <c r="C37" s="142" t="n">
        <v>0.082754873268879</v>
      </c>
      <c r="D37" s="140" t="n">
        <v>0</v>
      </c>
    </row>
    <row r="38" customFormat="false" ht="22.05" hidden="false" customHeight="false" outlineLevel="0" collapsed="false">
      <c r="A38" s="143" t="s">
        <v>23</v>
      </c>
      <c r="B38" s="137" t="n">
        <v>46064</v>
      </c>
      <c r="C38" s="142" t="n">
        <v>0.09333</v>
      </c>
      <c r="D38" s="140" t="n">
        <v>0</v>
      </c>
    </row>
    <row r="39" customFormat="false" ht="22.05" hidden="false" customHeight="false" outlineLevel="0" collapsed="false">
      <c r="A39" s="143" t="s">
        <v>116</v>
      </c>
      <c r="B39" s="135" t="n">
        <v>5026.20372049881</v>
      </c>
      <c r="C39" s="140" t="n">
        <v>0.637061157842015</v>
      </c>
      <c r="D39" s="140" t="n">
        <v>0.00842122821785252</v>
      </c>
    </row>
    <row r="40" customFormat="false" ht="22.05" hidden="false" customHeight="false" outlineLevel="0" collapsed="false">
      <c r="A40" s="143" t="s">
        <v>117</v>
      </c>
      <c r="B40" s="135" t="n">
        <v>2106.4266687</v>
      </c>
      <c r="C40" s="140" t="n">
        <v>0.632073885606203</v>
      </c>
      <c r="D40" s="140" t="n">
        <v>0.0121803279403489</v>
      </c>
    </row>
    <row r="41" customFormat="false" ht="22.05" hidden="false" customHeight="false" outlineLevel="0" collapsed="false">
      <c r="A41" s="143" t="s">
        <v>118</v>
      </c>
      <c r="B41" s="144" t="n">
        <v>2054.77679255</v>
      </c>
      <c r="C41" s="130" t="n">
        <v>0.560701247601677</v>
      </c>
      <c r="D41" s="145" t="n">
        <v>0.0265642785844565</v>
      </c>
    </row>
    <row r="42" customFormat="false" ht="22.05" hidden="false" customHeight="false" outlineLevel="0" collapsed="false">
      <c r="A42" s="143" t="s">
        <v>119</v>
      </c>
      <c r="B42" s="135" t="n">
        <v>0</v>
      </c>
      <c r="C42" s="130" t="n">
        <v>0</v>
      </c>
      <c r="D42" s="145" t="n">
        <v>0</v>
      </c>
    </row>
    <row r="43" customFormat="false" ht="22.05" hidden="false" customHeight="false" outlineLevel="0" collapsed="false">
      <c r="A43" s="139" t="s">
        <v>120</v>
      </c>
      <c r="B43" s="135" t="n">
        <v>0</v>
      </c>
      <c r="C43" s="130" t="n">
        <v>0</v>
      </c>
      <c r="D43" s="145" t="n">
        <v>0</v>
      </c>
    </row>
    <row r="44" customFormat="false" ht="22.05" hidden="false" customHeight="false" outlineLevel="0" collapsed="false">
      <c r="A44" s="143" t="s">
        <v>121</v>
      </c>
      <c r="B44" s="135" t="n">
        <v>391.648416866667</v>
      </c>
      <c r="C44" s="130" t="n">
        <v>0.525252850899185</v>
      </c>
      <c r="D44" s="145" t="n">
        <v>0.0181297210522797</v>
      </c>
    </row>
    <row r="45" customFormat="false" ht="22.05" hidden="false" customHeight="false" outlineLevel="0" collapsed="false">
      <c r="A45" s="143" t="s">
        <v>122</v>
      </c>
      <c r="B45" s="135" t="n">
        <v>1001</v>
      </c>
      <c r="C45" s="130" t="n">
        <v>0.61</v>
      </c>
      <c r="D45" s="145" t="n">
        <v>0.02</v>
      </c>
    </row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59" colorId="64" zoomScale="80" zoomScaleNormal="80" zoomScalePageLayoutView="100" workbookViewId="0">
      <selection pane="topLeft" activeCell="G71" activeCellId="0" sqref="G7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6" t="s">
        <v>123</v>
      </c>
      <c r="C2" s="146"/>
      <c r="D2" s="146"/>
      <c r="F2" s="146" t="s">
        <v>124</v>
      </c>
      <c r="G2" s="146"/>
      <c r="H2" s="146"/>
      <c r="J2" s="147" t="s">
        <v>125</v>
      </c>
      <c r="K2" s="147"/>
      <c r="L2" s="148"/>
      <c r="M2" s="149" t="s">
        <v>126</v>
      </c>
      <c r="N2" s="150" t="s">
        <v>127</v>
      </c>
    </row>
    <row r="3" customFormat="false" ht="17.35" hidden="false" customHeight="false" outlineLevel="0" collapsed="false">
      <c r="B3" s="151" t="s">
        <v>128</v>
      </c>
      <c r="C3" s="151" t="s">
        <v>6</v>
      </c>
      <c r="D3" s="151" t="s">
        <v>129</v>
      </c>
      <c r="F3" s="151" t="s">
        <v>128</v>
      </c>
      <c r="G3" s="151" t="s">
        <v>6</v>
      </c>
      <c r="H3" s="151" t="s">
        <v>129</v>
      </c>
      <c r="J3" s="152" t="s">
        <v>130</v>
      </c>
      <c r="K3" s="152" t="s">
        <v>131</v>
      </c>
      <c r="L3" s="153"/>
      <c r="M3" s="154"/>
      <c r="N3" s="154"/>
    </row>
    <row r="4" customFormat="false" ht="17.35" hidden="false" customHeight="false" outlineLevel="0" collapsed="false">
      <c r="B4" s="151" t="s">
        <v>132</v>
      </c>
      <c r="C4" s="155" t="n">
        <f aca="false">Utilidad!A1</f>
        <v>122150</v>
      </c>
      <c r="D4" s="156" t="n">
        <f aca="false">IF(Utilidad!C1&gt;1,Utilidad!C1/100,Utilidad!C1)</f>
        <v>0.3039</v>
      </c>
      <c r="F4" s="157" t="s">
        <v>132</v>
      </c>
      <c r="G4" s="158" t="n">
        <f aca="false">Utilidad!B1</f>
        <v>122150</v>
      </c>
      <c r="H4" s="159" t="n">
        <f aca="false">IF(Utilidad!D1&gt;1,Utilidad!D1/100,Utilidad!D1)</f>
        <v>0.29498952501</v>
      </c>
      <c r="J4" s="160" t="n">
        <f aca="false">+IF(C4&lt;&gt;0,(G4-C4)/C4,ABS(G4-C4))</f>
        <v>0</v>
      </c>
      <c r="K4" s="160" t="n">
        <f aca="false">+IF(D4&lt;&gt;0,(H4-D4)/D4,0)</f>
        <v>-0.0293204178677196</v>
      </c>
      <c r="L4" s="161"/>
      <c r="M4" s="162" t="n">
        <f aca="false">+IF(J4&lt;&gt;"",ABS(J4),0)</f>
        <v>0</v>
      </c>
      <c r="N4" s="162" t="n">
        <f aca="false">+IF(J4&lt;&gt;"",ABS(K4),0)</f>
        <v>0.0293204178677196</v>
      </c>
    </row>
    <row r="5" customFormat="false" ht="17.35" hidden="false" customHeight="false" outlineLevel="0" collapsed="false">
      <c r="B5" s="151" t="s">
        <v>133</v>
      </c>
      <c r="C5" s="155" t="n">
        <f aca="false">Utilidad!A2</f>
        <v>0</v>
      </c>
      <c r="D5" s="156" t="n">
        <f aca="false">IF(Utilidad!C2&gt;1,Utilidad!C2/100,Utilidad!C2)</f>
        <v>0</v>
      </c>
      <c r="F5" s="157" t="s">
        <v>133</v>
      </c>
      <c r="G5" s="158" t="n">
        <f aca="false">Utilidad!B2</f>
        <v>0</v>
      </c>
      <c r="H5" s="159" t="n">
        <f aca="false">IF(Utilidad!D2&gt;1,Utilidad!D2/100,Utilidad!D2)</f>
        <v>0</v>
      </c>
      <c r="J5" s="160" t="n">
        <f aca="false">+IF(C5&lt;&gt;0,(G5-C5)/C5,ABS(G5-C5))</f>
        <v>0</v>
      </c>
      <c r="K5" s="160" t="n">
        <f aca="false">+IF(D5&lt;&gt;0,(H5-D5)/D5,0)</f>
        <v>0</v>
      </c>
      <c r="L5" s="161"/>
      <c r="M5" s="162" t="n">
        <f aca="false">+IF(J5&lt;&gt;"",ABS(J5),0)</f>
        <v>0</v>
      </c>
      <c r="N5" s="162" t="n">
        <f aca="false">+IF(J5&lt;&gt;"",ABS(K5),0)</f>
        <v>0</v>
      </c>
    </row>
    <row r="6" customFormat="false" ht="17.35" hidden="false" customHeight="false" outlineLevel="0" collapsed="false">
      <c r="B6" s="151" t="s">
        <v>134</v>
      </c>
      <c r="C6" s="155" t="n">
        <f aca="false">Utilidad!A3</f>
        <v>26963</v>
      </c>
      <c r="D6" s="156" t="n">
        <f aca="false">IF(Utilidad!C3&gt;1,Utilidad!C3/100,Utilidad!C3)</f>
        <v>0.1206</v>
      </c>
      <c r="F6" s="157" t="s">
        <v>134</v>
      </c>
      <c r="G6" s="158" t="n">
        <f aca="false">Utilidad!B3</f>
        <v>26963</v>
      </c>
      <c r="H6" s="159" t="n">
        <f aca="false">IF(Utilidad!D3&gt;1,Utilidad!D3/100,Utilidad!D3)</f>
        <v>0.1206</v>
      </c>
      <c r="J6" s="160" t="n">
        <f aca="false">+IF(C6&lt;&gt;0,(G6-C6)/C6,ABS(G6-C6))</f>
        <v>0</v>
      </c>
      <c r="K6" s="160" t="n">
        <f aca="false">+IF(D6&lt;&gt;0,(H6-D6)/D6,0)</f>
        <v>0</v>
      </c>
      <c r="M6" s="162" t="n">
        <f aca="false">+IF(J6&lt;&gt;"",ABS(J6),0)</f>
        <v>0</v>
      </c>
      <c r="N6" s="162" t="n">
        <f aca="false">+IF(J6&lt;&gt;"",ABS(K6),0)</f>
        <v>0</v>
      </c>
    </row>
    <row r="7" customFormat="false" ht="17.35" hidden="false" customHeight="false" outlineLevel="0" collapsed="false">
      <c r="B7" s="151" t="s">
        <v>135</v>
      </c>
      <c r="C7" s="155" t="n">
        <f aca="false">Utilidad!A4</f>
        <v>95187</v>
      </c>
      <c r="D7" s="156" t="n">
        <f aca="false">IF(Utilidad!C4&gt;1,Utilidad!C4/100,Utilidad!C4)</f>
        <v>0.3553</v>
      </c>
      <c r="F7" s="157" t="s">
        <v>135</v>
      </c>
      <c r="G7" s="158" t="n">
        <f aca="false">Utilidad!B4</f>
        <v>95187</v>
      </c>
      <c r="H7" s="159" t="n">
        <f aca="false">IF(Utilidad!D4&gt;1,Utilidad!D4/100,Utilidad!D4)</f>
        <v>0.34438770714</v>
      </c>
      <c r="J7" s="160" t="n">
        <f aca="false">+IF(C7&lt;&gt;0,(G7-C7)/C7,ABS(G7-C7))</f>
        <v>0</v>
      </c>
      <c r="K7" s="160" t="n">
        <f aca="false">+IF(D7&lt;&gt;0,(H7-D7)/D7,0)</f>
        <v>-0.0307128985645933</v>
      </c>
      <c r="M7" s="162" t="n">
        <f aca="false">+IF(J7&lt;&gt;"",ABS(J7),0)</f>
        <v>0</v>
      </c>
      <c r="N7" s="162" t="n">
        <f aca="false">+IF(J7&lt;&gt;"",ABS(K7),0)</f>
        <v>0.0307128985645933</v>
      </c>
    </row>
    <row r="8" customFormat="false" ht="17.35" hidden="false" customHeight="false" outlineLevel="0" collapsed="false">
      <c r="B8" s="151" t="s">
        <v>136</v>
      </c>
      <c r="C8" s="155" t="n">
        <f aca="false">Utilidad!A5</f>
        <v>3530</v>
      </c>
      <c r="D8" s="156" t="n">
        <f aca="false">IF(Utilidad!C5&gt;1,Utilidad!C5/100,Utilidad!C5)</f>
        <v>0.2388</v>
      </c>
      <c r="F8" s="157" t="s">
        <v>136</v>
      </c>
      <c r="G8" s="155" t="n">
        <f aca="false">Utilidad!B5</f>
        <v>3530</v>
      </c>
      <c r="H8" s="163" t="n">
        <f aca="false">IF(Utilidad!D5&gt;1,Utilidad!D5/100,Utilidad!D5)</f>
        <v>0.2388</v>
      </c>
      <c r="J8" s="160" t="n">
        <f aca="false">+IF(C8&lt;&gt;0,(G8-C8)/C8,ABS(G8-C8))</f>
        <v>0</v>
      </c>
      <c r="K8" s="160" t="n">
        <f aca="false">+IF(D8&lt;&gt;0,(H8-D8)/D8,0)</f>
        <v>0</v>
      </c>
      <c r="M8" s="162" t="n">
        <f aca="false">+IF(J8&lt;&gt;"",ABS(J8),0)</f>
        <v>0</v>
      </c>
      <c r="N8" s="162" t="n">
        <f aca="false">+IF(J8&lt;&gt;"",ABS(K8),0)</f>
        <v>0</v>
      </c>
    </row>
    <row r="9" customFormat="false" ht="17.35" hidden="false" customHeight="false" outlineLevel="0" collapsed="false">
      <c r="B9" s="151" t="s">
        <v>137</v>
      </c>
      <c r="C9" s="155" t="n">
        <f aca="false">Utilidad!A6</f>
        <v>-931</v>
      </c>
      <c r="D9" s="156" t="n">
        <f aca="false">IF(Utilidad!C6&gt;1,Utilidad!C6/100,Utilidad!C6)</f>
        <v>0.297</v>
      </c>
      <c r="F9" s="157" t="s">
        <v>137</v>
      </c>
      <c r="G9" s="155" t="n">
        <f aca="false">Utilidad!B6</f>
        <v>0</v>
      </c>
      <c r="H9" s="163" t="n">
        <f aca="false">IF(Utilidad!D6&gt;1,Utilidad!D6/100,Utilidad!D6)</f>
        <v>0.29700000004</v>
      </c>
      <c r="J9" s="160" t="n">
        <f aca="false">+IF(C9&lt;&gt;0,(G9-C9)/C9,ABS(G9-C9))</f>
        <v>-1</v>
      </c>
      <c r="K9" s="160" t="n">
        <f aca="false">+IF(D9&lt;&gt;0,(H9-D9)/D9,0)</f>
        <v>1.34680145823619E-010</v>
      </c>
      <c r="M9" s="162" t="n">
        <f aca="false">+IF(J9&lt;&gt;"",ABS(J9),0)</f>
        <v>1</v>
      </c>
      <c r="N9" s="162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1" t="s">
        <v>138</v>
      </c>
      <c r="C10" s="155" t="n">
        <f aca="false">Utilidad!A7</f>
        <v>98717</v>
      </c>
      <c r="D10" s="156" t="n">
        <f aca="false">IF(Utilidad!C7&gt;1,Utilidad!C7/100,Utilidad!C7)</f>
        <v>0.3391</v>
      </c>
      <c r="F10" s="151" t="s">
        <v>138</v>
      </c>
      <c r="G10" s="164" t="n">
        <f aca="false">Utilidad!B7</f>
        <v>98717</v>
      </c>
      <c r="H10" s="165" t="n">
        <f aca="false">IF(Utilidad!D7&gt;1,Utilidad!D7/100,Utilidad!D7)</f>
        <v>0.340612019</v>
      </c>
      <c r="J10" s="160" t="n">
        <f aca="false">+IF(C10&lt;&gt;0,(G10-C10)/C10,ABS(G10-C10))</f>
        <v>0</v>
      </c>
      <c r="K10" s="160" t="n">
        <f aca="false">+IF(D10&lt;&gt;0,(H10-D10)/D10,0)</f>
        <v>0.00445891772338552</v>
      </c>
      <c r="M10" s="162" t="n">
        <f aca="false">+IF(J10&lt;&gt;"",ABS(J10),0)</f>
        <v>0</v>
      </c>
      <c r="N10" s="162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1" t="s">
        <v>139</v>
      </c>
      <c r="C11" s="155" t="n">
        <f aca="false">Utilidad!A8</f>
        <v>0</v>
      </c>
      <c r="D11" s="156" t="n">
        <f aca="false">IF(Utilidad!C8&gt;1,Utilidad!C8/100,Utilidad!C8)</f>
        <v>0</v>
      </c>
      <c r="F11" s="151" t="s">
        <v>139</v>
      </c>
      <c r="G11" s="164" t="n">
        <f aca="false">Utilidad!B8</f>
        <v>0</v>
      </c>
      <c r="H11" s="165" t="n">
        <f aca="false">IF(Utilidad!D8&gt;1,Utilidad!D8/100,Utilidad!D8)</f>
        <v>0</v>
      </c>
      <c r="J11" s="160" t="n">
        <f aca="false">+IF(C11&lt;&gt;0,(G11-C11)/C11,ABS(G11-C11))</f>
        <v>0</v>
      </c>
      <c r="K11" s="160" t="n">
        <f aca="false">+IF(D11&lt;&gt;0,(H11-D11)/D11,0)</f>
        <v>0</v>
      </c>
      <c r="M11" s="162" t="n">
        <f aca="false">+IF(J11&lt;&gt;"",ABS(J11),0)</f>
        <v>0</v>
      </c>
      <c r="N11" s="162" t="n">
        <f aca="false">+IF(J11&lt;&gt;"",ABS(K11),0)</f>
        <v>0</v>
      </c>
    </row>
    <row r="12" customFormat="false" ht="17.35" hidden="false" customHeight="false" outlineLevel="0" collapsed="false">
      <c r="B12" s="151" t="s">
        <v>140</v>
      </c>
      <c r="C12" s="155" t="n">
        <f aca="false">Utilidad!A9</f>
        <v>32912</v>
      </c>
      <c r="D12" s="156" t="n">
        <f aca="false">IF(Utilidad!C9&gt;1,Utilidad!C9/100,Utilidad!C9)</f>
        <v>0.1589</v>
      </c>
      <c r="F12" s="151" t="s">
        <v>140</v>
      </c>
      <c r="G12" s="164" t="n">
        <f aca="false">Utilidad!B9</f>
        <v>21435.044983</v>
      </c>
      <c r="H12" s="165" t="n">
        <f aca="false">IF(Utilidad!D9&gt;1,Utilidad!D9/100,Utilidad!D9)</f>
        <v>0.15974666492</v>
      </c>
      <c r="J12" s="160" t="n">
        <f aca="false">+IF(C12&lt;&gt;0,(G12-C12)/C12,ABS(G12-C12))</f>
        <v>-0.348716426136364</v>
      </c>
      <c r="K12" s="160" t="n">
        <f aca="false">+IF(D12&lt;&gt;0,(H12-D12)/D12,0)</f>
        <v>0.00532828772813084</v>
      </c>
      <c r="M12" s="162" t="n">
        <f aca="false">+IF(J12&lt;&gt;"",ABS(J12),0)</f>
        <v>0.348716426136364</v>
      </c>
      <c r="N12" s="162" t="n">
        <f aca="false">+IF(J12&lt;&gt;"",ABS(K12),0)</f>
        <v>0.00532828772813084</v>
      </c>
    </row>
    <row r="13" customFormat="false" ht="17.35" hidden="false" customHeight="false" outlineLevel="0" collapsed="false">
      <c r="B13" s="151" t="s">
        <v>56</v>
      </c>
      <c r="C13" s="155" t="n">
        <f aca="false">Utilidad!A10</f>
        <v>15308</v>
      </c>
      <c r="D13" s="156" t="n">
        <f aca="false">IF(Utilidad!C10&gt;1,Utilidad!C10/100,Utilidad!C10)</f>
        <v>0.0828</v>
      </c>
      <c r="F13" s="157" t="s">
        <v>56</v>
      </c>
      <c r="G13" s="164" t="n">
        <f aca="false">Utilidad!B10</f>
        <v>12796.955017</v>
      </c>
      <c r="H13" s="165" t="n">
        <f aca="false">IF(Utilidad!D10&gt;1,Utilidad!D10/100,Utilidad!D10)</f>
        <v>0.082951951265</v>
      </c>
      <c r="J13" s="160" t="n">
        <f aca="false">+IF(C13&lt;&gt;0,(G13-C13)/C13,ABS(G13-C13))</f>
        <v>-0.16403481728508</v>
      </c>
      <c r="K13" s="160" t="n">
        <f aca="false">+IF(D13&lt;&gt;0,(H13-D13)/D13,0)</f>
        <v>0.00183516020531391</v>
      </c>
      <c r="M13" s="162" t="n">
        <f aca="false">+IF(J13&lt;&gt;"",ABS(J13),0)</f>
        <v>0.16403481728508</v>
      </c>
      <c r="N13" s="162" t="n">
        <f aca="false">+IF(J13&lt;&gt;"",ABS(K13),0)</f>
        <v>0.00183516020531391</v>
      </c>
    </row>
    <row r="14" customFormat="false" ht="17.35" hidden="false" customHeight="false" outlineLevel="0" collapsed="false">
      <c r="B14" s="151" t="s">
        <v>57</v>
      </c>
      <c r="C14" s="155" t="n">
        <f aca="false">Utilidad!A11</f>
        <v>41025</v>
      </c>
      <c r="D14" s="156" t="n">
        <f aca="false">IF(Utilidad!C11&gt;1,Utilidad!C11/100,Utilidad!C11)</f>
        <v>0.434</v>
      </c>
      <c r="F14" s="151" t="s">
        <v>57</v>
      </c>
      <c r="G14" s="164" t="n">
        <f aca="false">Utilidad!B11</f>
        <v>41025</v>
      </c>
      <c r="H14" s="165" t="n">
        <f aca="false">IF(Utilidad!D11&gt;1,Utilidad!D11/100,Utilidad!D11)</f>
        <v>0.42098</v>
      </c>
      <c r="J14" s="160" t="n">
        <f aca="false">+IF(C14&lt;&gt;0,(G14-C14)/C14,ABS(G14-C14))</f>
        <v>0</v>
      </c>
      <c r="K14" s="160" t="n">
        <f aca="false">+IF(D14&lt;&gt;0,(H14-D14)/D14,0)</f>
        <v>-0.0300000000000001</v>
      </c>
      <c r="M14" s="162" t="n">
        <f aca="false">+IF(J14&lt;&gt;"",ABS(J14),0)</f>
        <v>0</v>
      </c>
      <c r="N14" s="162" t="n">
        <f aca="false">+IF(J14&lt;&gt;"",ABS(K14),0)</f>
        <v>0.0300000000000001</v>
      </c>
    </row>
    <row r="15" customFormat="false" ht="17.35" hidden="false" customHeight="false" outlineLevel="0" collapsed="false">
      <c r="B15" s="151" t="s">
        <v>58</v>
      </c>
      <c r="C15" s="155" t="n">
        <f aca="false">Utilidad!A12</f>
        <v>23460</v>
      </c>
      <c r="D15" s="156" t="n">
        <f aca="false">IF(Utilidad!C12&gt;1,Utilidad!C12/100,Utilidad!C12)</f>
        <v>0.5181</v>
      </c>
      <c r="F15" s="157" t="s">
        <v>58</v>
      </c>
      <c r="G15" s="164" t="n">
        <f aca="false">Utilidad!B12</f>
        <v>23460</v>
      </c>
      <c r="H15" s="165" t="n">
        <f aca="false">IF(Utilidad!D12&gt;1,Utilidad!D12/100,Utilidad!D12)</f>
        <v>0.50587309641</v>
      </c>
      <c r="J15" s="160" t="n">
        <f aca="false">+IF(C15&lt;&gt;0,(G15-C15)/C15,ABS(G15-C15))</f>
        <v>0</v>
      </c>
      <c r="K15" s="160" t="n">
        <f aca="false">+IF(D15&lt;&gt;0,(H15-D15)/D15,0)</f>
        <v>-0.0235995050955414</v>
      </c>
      <c r="M15" s="162" t="n">
        <f aca="false">+IF(J15&lt;&gt;"",ABS(J15),0)</f>
        <v>0</v>
      </c>
      <c r="N15" s="162" t="n">
        <f aca="false">+IF(J15&lt;&gt;"",ABS(K15),0)</f>
        <v>0.0235995050955414</v>
      </c>
    </row>
    <row r="16" customFormat="false" ht="17.35" hidden="false" customHeight="false" outlineLevel="0" collapsed="false">
      <c r="B16" s="151" t="s">
        <v>59</v>
      </c>
      <c r="C16" s="155" t="n">
        <f aca="false">Utilidad!A13</f>
        <v>0</v>
      </c>
      <c r="D16" s="156" t="n">
        <f aca="false">IF(Utilidad!C13&gt;1,Utilidad!C13/100,Utilidad!C13)</f>
        <v>0</v>
      </c>
      <c r="F16" s="151" t="s">
        <v>59</v>
      </c>
      <c r="G16" s="166" t="n">
        <f aca="false">Utilidad!B13</f>
        <v>0</v>
      </c>
      <c r="H16" s="167" t="n">
        <f aca="false">IF(Utilidad!D13&gt;1,Utilidad!D13/100,Utilidad!D13)</f>
        <v>0</v>
      </c>
      <c r="I16" s="126" t="n">
        <f aca="false">(G14*H14+G15*H15)/(G14+G15)*100</f>
        <v>45.1864578456674</v>
      </c>
      <c r="J16" s="160" t="n">
        <f aca="false">+IF(C16&lt;&gt;0,(G16-C16)/C16,ABS(G16-C16))</f>
        <v>0</v>
      </c>
      <c r="K16" s="160" t="n">
        <f aca="false">+IF(D16&lt;&gt;0,(H16-D16)/D16,0)</f>
        <v>0</v>
      </c>
      <c r="M16" s="162" t="n">
        <f aca="false">+IF(J16&lt;&gt;"",ABS(J16),0)</f>
        <v>0</v>
      </c>
      <c r="N16" s="162" t="n">
        <f aca="false">+IF(J16&lt;&gt;"",ABS(K16),0)</f>
        <v>0</v>
      </c>
    </row>
    <row r="17" customFormat="false" ht="17.35" hidden="false" customHeight="false" outlineLevel="0" collapsed="false">
      <c r="B17" s="151" t="s">
        <v>60</v>
      </c>
      <c r="C17" s="155" t="n">
        <f aca="false">Utilidad!A14</f>
        <v>-1782</v>
      </c>
      <c r="D17" s="156" t="n">
        <f aca="false">IF(Utilidad!C14&gt;1,Utilidad!C14/100,Utilidad!C14)</f>
        <v>0.4434</v>
      </c>
      <c r="F17" s="151" t="s">
        <v>60</v>
      </c>
      <c r="G17" s="166" t="n">
        <f aca="false">Utilidad!B14</f>
        <v>-243</v>
      </c>
      <c r="H17" s="167" t="n">
        <f aca="false">IF(Utilidad!D14&gt;1,Utilidad!D14/100,Utilidad!D14)</f>
        <v>0.44318093088</v>
      </c>
      <c r="J17" s="160" t="n">
        <f aca="false">+IF(C17&lt;&gt;0,(G17-C17)/C17,ABS(G17-C17))</f>
        <v>-0.863636363636364</v>
      </c>
      <c r="K17" s="160" t="n">
        <f aca="false">+IF(D17&lt;&gt;0,(H17-D17)/D17,0)</f>
        <v>-0.000494066576454727</v>
      </c>
      <c r="M17" s="162" t="n">
        <f aca="false">+IF(J17&lt;&gt;"",ABS(J17),0)</f>
        <v>0.863636363636364</v>
      </c>
      <c r="N17" s="162" t="n">
        <f aca="false">+IF(J17&lt;&gt;"",ABS(K17),0)</f>
        <v>0.000494066576454727</v>
      </c>
    </row>
    <row r="18" customFormat="false" ht="17.35" hidden="false" customHeight="false" outlineLevel="0" collapsed="false">
      <c r="B18" s="151" t="s">
        <v>61</v>
      </c>
      <c r="C18" s="155" t="n">
        <f aca="false">Utilidad!A15</f>
        <v>83697</v>
      </c>
      <c r="D18" s="156" t="n">
        <f aca="false">IF(Utilidad!C15&gt;1,Utilidad!C15/100,Utilidad!C15)</f>
        <v>0.4219</v>
      </c>
      <c r="F18" s="157" t="s">
        <v>61</v>
      </c>
      <c r="G18" s="166" t="n">
        <f aca="false">Utilidad!B15</f>
        <v>83697</v>
      </c>
      <c r="H18" s="167" t="n">
        <f aca="false">IF(Utilidad!D15&gt;1,Utilidad!D15/100,Utilidad!D15)</f>
        <v>0.43797188987</v>
      </c>
      <c r="J18" s="160" t="n">
        <f aca="false">+IF(C18&lt;&gt;0,(G18-C18)/C18,ABS(G18-C18))</f>
        <v>0</v>
      </c>
      <c r="K18" s="160" t="n">
        <f aca="false">+IF(D18&lt;&gt;0,(H18-D18)/D18,0)</f>
        <v>0.0380940741170893</v>
      </c>
      <c r="M18" s="162" t="n">
        <f aca="false">+IF(J18&lt;&gt;"",ABS(J18),0)</f>
        <v>0</v>
      </c>
      <c r="N18" s="162" t="n">
        <f aca="false">+IF(J18&lt;&gt;"",ABS(K18),0)</f>
        <v>0.0380940741170893</v>
      </c>
    </row>
    <row r="19" customFormat="false" ht="17.35" hidden="false" customHeight="false" outlineLevel="0" collapsed="false">
      <c r="B19" s="151" t="s">
        <v>62</v>
      </c>
      <c r="C19" s="155" t="n">
        <f aca="false">Utilidad!A16</f>
        <v>46064</v>
      </c>
      <c r="D19" s="156" t="n">
        <f aca="false">IF(Utilidad!C16&gt;1,Utilidad!C16/100,Utilidad!C16)</f>
        <v>0.0933</v>
      </c>
      <c r="F19" s="157" t="s">
        <v>62</v>
      </c>
      <c r="G19" s="166" t="n">
        <f aca="false">Utilidad!B16</f>
        <v>39860</v>
      </c>
      <c r="H19" s="167" t="n">
        <f aca="false">IF(Utilidad!D16&gt;1,Utilidad!D16/100,Utilidad!D16)</f>
        <v>0.094516633742</v>
      </c>
      <c r="J19" s="160" t="n">
        <f aca="false">+IF(C19&lt;&gt;0,(G19-C19)/C19,ABS(G19-C19))</f>
        <v>-0.134682181312956</v>
      </c>
      <c r="K19" s="160" t="n">
        <f aca="false">+IF(D19&lt;&gt;0,(H19-D19)/D19,0)</f>
        <v>0.013040018670954</v>
      </c>
      <c r="M19" s="162" t="n">
        <f aca="false">+IF(J19&lt;&gt;"",ABS(J19),0)</f>
        <v>0.134682181312956</v>
      </c>
      <c r="N19" s="162" t="n">
        <f aca="false">+IF(J19&lt;&gt;"",ABS(K19),0)</f>
        <v>0.013040018670954</v>
      </c>
    </row>
    <row r="20" customFormat="false" ht="17.35" hidden="false" customHeight="false" outlineLevel="0" collapsed="false">
      <c r="B20" s="151" t="s">
        <v>65</v>
      </c>
      <c r="C20" s="155" t="n">
        <f aca="false">Utilidad!A17</f>
        <v>67297</v>
      </c>
      <c r="D20" s="156" t="n">
        <f aca="false">IF(Utilidad!C17&gt;1,Utilidad!C17/100,Utilidad!C17)</f>
        <v>0.6457</v>
      </c>
      <c r="F20" s="157" t="s">
        <v>65</v>
      </c>
      <c r="G20" s="166" t="n">
        <f aca="false">Utilidad!B17</f>
        <v>67297</v>
      </c>
      <c r="H20" s="167" t="n">
        <f aca="false">IF(Utilidad!D17&gt;1,Utilidad!D17/100,Utilidad!D17)</f>
        <v>0.665071</v>
      </c>
      <c r="J20" s="160" t="n">
        <f aca="false">+IF(C20&lt;&gt;0,(G20-C20)/C20,ABS(G20-C20))</f>
        <v>0</v>
      </c>
      <c r="K20" s="160" t="n">
        <f aca="false">+IF(D20&lt;&gt;0,(H20-D20)/D20,0)</f>
        <v>0.03</v>
      </c>
      <c r="M20" s="162" t="n">
        <f aca="false">+IF(J20&lt;&gt;"",ABS(J20),0)</f>
        <v>0</v>
      </c>
      <c r="N20" s="162" t="n">
        <f aca="false">+IF(J20&lt;&gt;"",ABS(K20),0)</f>
        <v>0.03</v>
      </c>
    </row>
    <row r="21" customFormat="false" ht="17.35" hidden="false" customHeight="false" outlineLevel="0" collapsed="false">
      <c r="B21" s="151" t="s">
        <v>66</v>
      </c>
      <c r="C21" s="155" t="n">
        <f aca="false">Utilidad!A18</f>
        <v>-5361</v>
      </c>
      <c r="D21" s="156" t="n">
        <f aca="false">IF(Utilidad!C18&gt;1,Utilidad!C18/100,Utilidad!C18)</f>
        <v>0.6457</v>
      </c>
      <c r="F21" s="151" t="s">
        <v>66</v>
      </c>
      <c r="G21" s="155" t="n">
        <f aca="false">Utilidad!B18</f>
        <v>-5362</v>
      </c>
      <c r="H21" s="163" t="n">
        <f aca="false">IF(Utilidad!D18&gt;1,Utilidad!D18/100,Utilidad!D18)</f>
        <v>0.64151825596</v>
      </c>
      <c r="J21" s="160" t="n">
        <f aca="false">+IF(C21&lt;&gt;0,(G21-C21)/C21,ABS(G21-C21))</f>
        <v>0.000186532363365044</v>
      </c>
      <c r="K21" s="160" t="n">
        <f aca="false">+IF(D21&lt;&gt;0,(H21-D21)/D21,0)</f>
        <v>-0.00647629555521147</v>
      </c>
      <c r="M21" s="162" t="n">
        <f aca="false">+IF(J21&lt;&gt;"",ABS(J21),0)</f>
        <v>0.000186532363365044</v>
      </c>
      <c r="N21" s="162" t="n">
        <f aca="false">+IF(J21&lt;&gt;"",ABS(K21),0)</f>
        <v>0.00647629555521147</v>
      </c>
    </row>
    <row r="22" customFormat="false" ht="17.35" hidden="false" customHeight="false" outlineLevel="0" collapsed="false">
      <c r="B22" s="151" t="s">
        <v>67</v>
      </c>
      <c r="C22" s="155" t="n">
        <f aca="false">Utilidad!A19</f>
        <v>0</v>
      </c>
      <c r="D22" s="156" t="n">
        <f aca="false">IF(Utilidad!C19&gt;1,Utilidad!C19/100,Utilidad!C19)</f>
        <v>0</v>
      </c>
      <c r="F22" s="151" t="s">
        <v>67</v>
      </c>
      <c r="G22" s="155" t="n">
        <f aca="false">Utilidad!B19</f>
        <v>0</v>
      </c>
      <c r="H22" s="163" t="n">
        <f aca="false">IF(Utilidad!D19&gt;1,Utilidad!D19/100,Utilidad!D19)</f>
        <v>0</v>
      </c>
      <c r="J22" s="160" t="n">
        <f aca="false">+IF(C22&lt;&gt;0,(G22-C22)/C22,ABS(G22-C22))</f>
        <v>0</v>
      </c>
      <c r="K22" s="160" t="n">
        <f aca="false">+IF(D22&lt;&gt;0,(H22-D22)/D22,0)</f>
        <v>0</v>
      </c>
      <c r="M22" s="162" t="n">
        <f aca="false">+IF(J22&lt;&gt;"",ABS(J22),0)</f>
        <v>0</v>
      </c>
      <c r="N22" s="162" t="n">
        <f aca="false">+IF(J22&lt;&gt;"",ABS(K22),0)</f>
        <v>0</v>
      </c>
    </row>
    <row r="23" customFormat="false" ht="17.35" hidden="false" customHeight="false" outlineLevel="0" collapsed="false">
      <c r="B23" s="151" t="s">
        <v>68</v>
      </c>
      <c r="C23" s="155" t="n">
        <f aca="false">Utilidad!A20</f>
        <v>72659</v>
      </c>
      <c r="D23" s="156" t="n">
        <f aca="false">IF(Utilidad!C20&gt;1,Utilidad!C20/100,Utilidad!C20)</f>
        <v>0.6457</v>
      </c>
      <c r="F23" s="151" t="s">
        <v>68</v>
      </c>
      <c r="G23" s="155" t="n">
        <f aca="false">Utilidad!B20</f>
        <v>72659</v>
      </c>
      <c r="H23" s="163" t="n">
        <f aca="false">IF(Utilidad!D20&gt;1,Utilidad!D20/100,Utilidad!D20)</f>
        <v>0.66333288341</v>
      </c>
      <c r="J23" s="160" t="n">
        <f aca="false">+IF(C23&lt;&gt;0,(G23-C23)/C23,ABS(G23-C23))</f>
        <v>0</v>
      </c>
      <c r="K23" s="160" t="n">
        <f aca="false">+IF(D23&lt;&gt;0,(H23-D23)/D23,0)</f>
        <v>0.0273081669660834</v>
      </c>
      <c r="M23" s="162" t="n">
        <f aca="false">+IF(J23&lt;&gt;"",ABS(J23),0)</f>
        <v>0</v>
      </c>
      <c r="N23" s="162" t="n">
        <f aca="false">+IF(J23&lt;&gt;"",ABS(K23),0)</f>
        <v>0.0273081669660834</v>
      </c>
    </row>
    <row r="24" customFormat="false" ht="17.35" hidden="false" customHeight="false" outlineLevel="0" collapsed="false">
      <c r="B24" s="151" t="s">
        <v>69</v>
      </c>
      <c r="C24" s="155" t="n">
        <f aca="false">Utilidad!A21</f>
        <v>1453</v>
      </c>
      <c r="D24" s="156" t="n">
        <f aca="false">IF(Utilidad!C21&gt;1,Utilidad!C21/100,Utilidad!C21)</f>
        <v>0.6457</v>
      </c>
      <c r="F24" s="151" t="s">
        <v>69</v>
      </c>
      <c r="G24" s="155" t="n">
        <f aca="false">Utilidad!B21</f>
        <v>1453</v>
      </c>
      <c r="H24" s="163" t="n">
        <f aca="false">IF(Utilidad!D21&gt;1,Utilidad!D21/100,Utilidad!D21)</f>
        <v>0.64646643925</v>
      </c>
      <c r="J24" s="160" t="n">
        <f aca="false">+IF(C24&lt;&gt;0,(G24-C24)/C24,ABS(G24-C24))</f>
        <v>0</v>
      </c>
      <c r="K24" s="160" t="n">
        <f aca="false">+IF(D24&lt;&gt;0,(H24-D24)/D24,0)</f>
        <v>0.00118698970109971</v>
      </c>
      <c r="M24" s="162" t="n">
        <f aca="false">+IF(J24&lt;&gt;"",ABS(J24),0)</f>
        <v>0</v>
      </c>
      <c r="N24" s="162" t="n">
        <f aca="false">+IF(J24&lt;&gt;"",ABS(K24),0)</f>
        <v>0.00118698970109971</v>
      </c>
    </row>
    <row r="25" customFormat="false" ht="17.35" hidden="false" customHeight="false" outlineLevel="0" collapsed="false">
      <c r="B25" s="151" t="s">
        <v>70</v>
      </c>
      <c r="C25" s="155" t="n">
        <f aca="false">Utilidad!A22</f>
        <v>71205</v>
      </c>
      <c r="D25" s="156" t="n">
        <f aca="false">IF(Utilidad!C22&gt;1,Utilidad!C22/100,Utilidad!C22)</f>
        <v>0.6457</v>
      </c>
      <c r="F25" s="151" t="s">
        <v>70</v>
      </c>
      <c r="G25" s="155" t="n">
        <f aca="false">Utilidad!B22</f>
        <v>71205</v>
      </c>
      <c r="H25" s="163" t="n">
        <f aca="false">IF(Utilidad!D22&gt;1,Utilidad!D22/100,Utilidad!D22)</f>
        <v>0.6636863737</v>
      </c>
      <c r="J25" s="160" t="n">
        <f aca="false">+IF(C25&lt;&gt;0,(G25-C25)/C25,ABS(G25-C25))</f>
        <v>0</v>
      </c>
      <c r="K25" s="160" t="n">
        <f aca="false">+IF(D25&lt;&gt;0,(H25-D25)/D25,0)</f>
        <v>0.0278556197924735</v>
      </c>
      <c r="M25" s="162" t="n">
        <f aca="false">+IF(J25&lt;&gt;"",ABS(J25),0)</f>
        <v>0</v>
      </c>
      <c r="N25" s="162" t="n">
        <f aca="false">+IF(J25&lt;&gt;"",ABS(K25),0)</f>
        <v>0.0278556197924735</v>
      </c>
    </row>
    <row r="26" customFormat="false" ht="17.35" hidden="false" customHeight="false" outlineLevel="0" collapsed="false">
      <c r="B26" s="151" t="s">
        <v>71</v>
      </c>
      <c r="C26" s="155" t="n">
        <f aca="false">Utilidad!A23</f>
        <v>66791</v>
      </c>
      <c r="D26" s="156" t="n">
        <f aca="false">IF(Utilidad!C23&gt;1,Utilidad!C23/100,Utilidad!C23)</f>
        <v>0.6465</v>
      </c>
      <c r="F26" s="151" t="s">
        <v>71</v>
      </c>
      <c r="G26" s="155" t="n">
        <f aca="false">Utilidad!B23</f>
        <v>66433</v>
      </c>
      <c r="H26" s="163" t="n">
        <f aca="false">IF(Utilidad!D23&gt;1,Utilidad!D23/100,Utilidad!D23)</f>
        <v>0.66479878734</v>
      </c>
      <c r="J26" s="160" t="n">
        <f aca="false">+IF(C26&lt;&gt;0,(G26-C26)/C26,ABS(G26-C26))</f>
        <v>-0.0053600035932985</v>
      </c>
      <c r="K26" s="160" t="n">
        <f aca="false">+IF(D26&lt;&gt;0,(H26-D26)/D26,0)</f>
        <v>0.0283043887703015</v>
      </c>
      <c r="M26" s="162" t="n">
        <f aca="false">+IF(J26&lt;&gt;"",ABS(J26),0)</f>
        <v>0.0053600035932985</v>
      </c>
      <c r="N26" s="162" t="n">
        <f aca="false">+IF(J26&lt;&gt;"",ABS(K26),0)</f>
        <v>0.0283043887703015</v>
      </c>
    </row>
    <row r="27" customFormat="false" ht="17.35" hidden="false" customHeight="false" outlineLevel="0" collapsed="false">
      <c r="B27" s="151" t="s">
        <v>72</v>
      </c>
      <c r="C27" s="155" t="n">
        <f aca="false">Utilidad!A24</f>
        <v>4772</v>
      </c>
      <c r="D27" s="156" t="n">
        <f aca="false">IF(Utilidad!C24&gt;1,Utilidad!C24/100,Utilidad!C24)</f>
        <v>0.6482</v>
      </c>
      <c r="F27" s="151" t="s">
        <v>72</v>
      </c>
      <c r="G27" s="155" t="n">
        <f aca="false">Utilidad!B24</f>
        <v>4772</v>
      </c>
      <c r="H27" s="163" t="n">
        <f aca="false">IF(Utilidad!D24&gt;1,Utilidad!D24/100,Utilidad!D24)</f>
        <v>0.6482</v>
      </c>
      <c r="J27" s="160" t="n">
        <f aca="false">+IF(C27&lt;&gt;0,(G27-C27)/C27,ABS(G27-C27))</f>
        <v>0</v>
      </c>
      <c r="K27" s="160" t="n">
        <f aca="false">+IF(D27&lt;&gt;0,(H27-D27)/D27,0)</f>
        <v>0</v>
      </c>
      <c r="M27" s="162" t="n">
        <f aca="false">+IF(J27&lt;&gt;"",ABS(J27),0)</f>
        <v>0</v>
      </c>
      <c r="N27" s="162" t="n">
        <f aca="false">+IF(J27&lt;&gt;"",ABS(K27),0)</f>
        <v>0</v>
      </c>
    </row>
    <row r="28" customFormat="false" ht="17.35" hidden="false" customHeight="false" outlineLevel="0" collapsed="false">
      <c r="B28" s="151" t="s">
        <v>73</v>
      </c>
      <c r="C28" s="155" t="n">
        <f aca="false">Utilidad!A25</f>
        <v>0</v>
      </c>
      <c r="D28" s="156" t="n">
        <f aca="false">IF(Utilidad!C25&gt;1,Utilidad!C25/100,Utilidad!C25)</f>
        <v>0</v>
      </c>
      <c r="F28" s="151" t="s">
        <v>73</v>
      </c>
      <c r="G28" s="155" t="n">
        <f aca="false">Utilidad!B25</f>
        <v>0</v>
      </c>
      <c r="H28" s="163" t="n">
        <f aca="false">IF(Utilidad!D25&gt;1,Utilidad!D25/100,Utilidad!D25)</f>
        <v>0</v>
      </c>
      <c r="J28" s="160" t="n">
        <f aca="false">+IF(C28&lt;&gt;0,(G28-C28)/C28,ABS(G28-C28))</f>
        <v>0</v>
      </c>
      <c r="K28" s="160" t="n">
        <f aca="false">+IF(D28&lt;&gt;0,(H28-D28)/D28,0)</f>
        <v>0</v>
      </c>
      <c r="M28" s="162" t="n">
        <f aca="false">+IF(J28&lt;&gt;"",ABS(J28),0)</f>
        <v>0</v>
      </c>
      <c r="N28" s="162" t="n">
        <f aca="false">+IF(J28&lt;&gt;"",ABS(K28),0)</f>
        <v>0</v>
      </c>
    </row>
    <row r="29" customFormat="false" ht="17.35" hidden="false" customHeight="false" outlineLevel="0" collapsed="false">
      <c r="B29" s="151" t="s">
        <v>74</v>
      </c>
      <c r="C29" s="155" t="n">
        <f aca="false">Utilidad!A26</f>
        <v>0</v>
      </c>
      <c r="D29" s="156" t="n">
        <f aca="false">IF(Utilidad!C26&gt;1,Utilidad!C26/100,Utilidad!C26)</f>
        <v>0</v>
      </c>
      <c r="F29" s="151" t="s">
        <v>74</v>
      </c>
      <c r="G29" s="155" t="n">
        <f aca="false">Utilidad!B26</f>
        <v>0</v>
      </c>
      <c r="H29" s="163" t="n">
        <f aca="false">IF(Utilidad!D26&gt;1,Utilidad!D26/100,Utilidad!D26)</f>
        <v>0</v>
      </c>
      <c r="J29" s="160" t="n">
        <f aca="false">+IF(C29&lt;&gt;0,(G29-C29)/C29,ABS(G29-C29))</f>
        <v>0</v>
      </c>
      <c r="K29" s="160" t="n">
        <f aca="false">+IF(D29&lt;&gt;0,(H29-D29)/D29,0)</f>
        <v>0</v>
      </c>
      <c r="M29" s="162" t="n">
        <f aca="false">+IF(J29&lt;&gt;"",ABS(J29),0)</f>
        <v>0</v>
      </c>
      <c r="N29" s="162" t="n">
        <f aca="false">+IF(J29&lt;&gt;"",ABS(K29),0)</f>
        <v>0</v>
      </c>
    </row>
    <row r="30" customFormat="false" ht="17.35" hidden="false" customHeight="false" outlineLevel="0" collapsed="false">
      <c r="B30" s="151" t="s">
        <v>75</v>
      </c>
      <c r="C30" s="155" t="n">
        <f aca="false">Utilidad!A27</f>
        <v>0</v>
      </c>
      <c r="D30" s="156" t="n">
        <f aca="false">IF(Utilidad!C27&gt;1,Utilidad!C27/100,Utilidad!C27)</f>
        <v>0</v>
      </c>
      <c r="F30" s="151" t="s">
        <v>75</v>
      </c>
      <c r="G30" s="155" t="n">
        <f aca="false">Utilidad!B27</f>
        <v>0</v>
      </c>
      <c r="H30" s="163" t="n">
        <f aca="false">IF(Utilidad!D27&gt;1,Utilidad!D27/100,Utilidad!D27)</f>
        <v>0</v>
      </c>
      <c r="J30" s="160" t="n">
        <f aca="false">+IF(C30&lt;&gt;0,(G30-C30)/C30,ABS(G30-C30))</f>
        <v>0</v>
      </c>
      <c r="K30" s="160" t="n">
        <f aca="false">+IF(D30&lt;&gt;0,(H30-D30)/D30,0)</f>
        <v>0</v>
      </c>
      <c r="M30" s="162" t="n">
        <f aca="false">+IF(J30&lt;&gt;"",ABS(J30),0)</f>
        <v>0</v>
      </c>
      <c r="N30" s="162" t="n">
        <f aca="false">+IF(J30&lt;&gt;"",ABS(K30),0)</f>
        <v>0</v>
      </c>
    </row>
    <row r="31" customFormat="false" ht="17.35" hidden="false" customHeight="false" outlineLevel="0" collapsed="false">
      <c r="B31" s="151" t="s">
        <v>76</v>
      </c>
      <c r="C31" s="155" t="n">
        <f aca="false">Utilidad!A28</f>
        <v>0</v>
      </c>
      <c r="D31" s="156" t="n">
        <f aca="false">IF(Utilidad!C28&gt;1,Utilidad!C28/100,Utilidad!C28)</f>
        <v>0</v>
      </c>
      <c r="F31" s="151" t="s">
        <v>76</v>
      </c>
      <c r="G31" s="155" t="n">
        <f aca="false">Utilidad!B28</f>
        <v>0</v>
      </c>
      <c r="H31" s="163" t="n">
        <f aca="false">IF(Utilidad!D28&gt;1,Utilidad!D28/100,Utilidad!D28)</f>
        <v>0</v>
      </c>
      <c r="J31" s="160" t="n">
        <f aca="false">+IF(C31&lt;&gt;0,(G31-C31)/C31,ABS(G31-C31))</f>
        <v>0</v>
      </c>
      <c r="K31" s="160" t="n">
        <f aca="false">+IF(D31&lt;&gt;0,(H31-D31)/D31,0)</f>
        <v>0</v>
      </c>
      <c r="M31" s="162" t="n">
        <f aca="false">+IF(J31&lt;&gt;"",ABS(J31),0)</f>
        <v>0</v>
      </c>
      <c r="N31" s="162" t="n">
        <f aca="false">+IF(J31&lt;&gt;"",ABS(K31),0)</f>
        <v>0</v>
      </c>
    </row>
    <row r="32" customFormat="false" ht="17.35" hidden="false" customHeight="false" outlineLevel="0" collapsed="false">
      <c r="B32" s="151" t="s">
        <v>77</v>
      </c>
      <c r="C32" s="155" t="n">
        <f aca="false">Utilidad!A29</f>
        <v>0</v>
      </c>
      <c r="D32" s="156" t="n">
        <f aca="false">IF(Utilidad!C29&gt;1,Utilidad!C29/100,Utilidad!C29)</f>
        <v>0</v>
      </c>
      <c r="F32" s="151" t="s">
        <v>77</v>
      </c>
      <c r="G32" s="155" t="n">
        <f aca="false">Utilidad!B29</f>
        <v>0</v>
      </c>
      <c r="H32" s="163" t="n">
        <f aca="false">IF(Utilidad!D29&gt;1,Utilidad!D29/100,Utilidad!D29)</f>
        <v>0</v>
      </c>
      <c r="J32" s="160" t="n">
        <f aca="false">+IF(C32&lt;&gt;0,(G32-C32)/C32,ABS(G32-C32))</f>
        <v>0</v>
      </c>
      <c r="K32" s="160" t="n">
        <f aca="false">+IF(D32&lt;&gt;0,(H32-D32)/D32,0)</f>
        <v>0</v>
      </c>
      <c r="M32" s="162" t="n">
        <f aca="false">+IF(J32&lt;&gt;"",ABS(J32),0)</f>
        <v>0</v>
      </c>
      <c r="N32" s="162" t="n">
        <f aca="false">+IF(J32&lt;&gt;"",ABS(K32),0)</f>
        <v>0</v>
      </c>
    </row>
    <row r="33" customFormat="false" ht="17.35" hidden="false" customHeight="false" outlineLevel="0" collapsed="false">
      <c r="B33" s="151" t="s">
        <v>78</v>
      </c>
      <c r="C33" s="155" t="n">
        <f aca="false">Utilidad!A30</f>
        <v>0</v>
      </c>
      <c r="D33" s="156" t="n">
        <f aca="false">IF(Utilidad!C30&gt;1,Utilidad!C30/100,Utilidad!C30)</f>
        <v>0</v>
      </c>
      <c r="F33" s="151" t="s">
        <v>78</v>
      </c>
      <c r="G33" s="155" t="n">
        <f aca="false">Utilidad!B30</f>
        <v>0</v>
      </c>
      <c r="H33" s="163" t="n">
        <f aca="false">IF(Utilidad!D30&gt;1,Utilidad!D30/100,Utilidad!D30)</f>
        <v>0</v>
      </c>
      <c r="J33" s="160" t="n">
        <f aca="false">+IF(C33&lt;&gt;0,(G33-C33)/C33,ABS(G33-C33))</f>
        <v>0</v>
      </c>
      <c r="K33" s="160" t="n">
        <f aca="false">+IF(D33&lt;&gt;0,(H33-D33)/D33,0)</f>
        <v>0</v>
      </c>
      <c r="M33" s="162" t="n">
        <f aca="false">+IF(J33&lt;&gt;"",ABS(J33),0)</f>
        <v>0</v>
      </c>
      <c r="N33" s="162" t="n">
        <f aca="false">+IF(J33&lt;&gt;"",ABS(K33),0)</f>
        <v>0</v>
      </c>
    </row>
    <row r="34" customFormat="false" ht="17.35" hidden="false" customHeight="false" outlineLevel="0" collapsed="false">
      <c r="B34" s="151" t="s">
        <v>79</v>
      </c>
      <c r="C34" s="155" t="n">
        <f aca="false">Utilidad!A31</f>
        <v>6294</v>
      </c>
      <c r="D34" s="156" t="n">
        <f aca="false">IF(Utilidad!C31&gt;1,Utilidad!C31/100,Utilidad!C31)</f>
        <v>0.6346</v>
      </c>
      <c r="F34" s="151" t="s">
        <v>79</v>
      </c>
      <c r="G34" s="155" t="n">
        <f aca="false">Utilidad!B31</f>
        <v>7132</v>
      </c>
      <c r="H34" s="163" t="n">
        <f aca="false">IF(Utilidad!D31&gt;1,Utilidad!D31/100,Utilidad!D31)</f>
        <v>0.6356235558</v>
      </c>
      <c r="J34" s="160" t="n">
        <f aca="false">+IF(C34&lt;&gt;0,(G34-C34)/C34,ABS(G34-C34))</f>
        <v>0.133142675564029</v>
      </c>
      <c r="K34" s="160" t="n">
        <f aca="false">+IF(D34&lt;&gt;0,(H34-D34)/D34,0)</f>
        <v>0.00161291490702808</v>
      </c>
      <c r="M34" s="162" t="n">
        <f aca="false">+IF(J34&lt;&gt;"",ABS(J34),0)</f>
        <v>0.133142675564029</v>
      </c>
      <c r="N34" s="162" t="n">
        <f aca="false">+IF(J34&lt;&gt;"",ABS(K34),0)</f>
        <v>0.00161291490702808</v>
      </c>
    </row>
    <row r="35" customFormat="false" ht="17.35" hidden="false" customHeight="false" outlineLevel="0" collapsed="false">
      <c r="B35" s="151" t="s">
        <v>80</v>
      </c>
      <c r="C35" s="155" t="n">
        <f aca="false">Utilidad!A32</f>
        <v>0</v>
      </c>
      <c r="D35" s="156" t="n">
        <f aca="false">IF(Utilidad!C32&gt;1,Utilidad!C32/100,Utilidad!C32)</f>
        <v>0</v>
      </c>
      <c r="F35" s="151" t="s">
        <v>80</v>
      </c>
      <c r="G35" s="155" t="n">
        <f aca="false">Utilidad!B32</f>
        <v>0</v>
      </c>
      <c r="H35" s="163" t="n">
        <f aca="false">IF(Utilidad!D32&gt;1,Utilidad!D32/100,Utilidad!D32)</f>
        <v>0</v>
      </c>
      <c r="J35" s="160" t="n">
        <f aca="false">+IF(C35&lt;&gt;0,(G35-C35)/C35,ABS(G35-C35))</f>
        <v>0</v>
      </c>
      <c r="K35" s="160" t="n">
        <f aca="false">+IF(D35&lt;&gt;0,(H35-D35)/D35,0)</f>
        <v>0</v>
      </c>
      <c r="M35" s="162" t="n">
        <f aca="false">+IF(J35&lt;&gt;"",ABS(J35),0)</f>
        <v>0</v>
      </c>
      <c r="N35" s="162" t="n">
        <f aca="false">+IF(J35&lt;&gt;"",ABS(K35),0)</f>
        <v>0</v>
      </c>
    </row>
    <row r="36" customFormat="false" ht="17.35" hidden="false" customHeight="false" outlineLevel="0" collapsed="false">
      <c r="B36" s="151" t="s">
        <v>81</v>
      </c>
      <c r="C36" s="155" t="n">
        <f aca="false">Utilidad!A33</f>
        <v>0</v>
      </c>
      <c r="D36" s="156" t="n">
        <f aca="false">IF(Utilidad!C33&gt;1,Utilidad!C33/100,Utilidad!C33)</f>
        <v>0</v>
      </c>
      <c r="F36" s="151" t="s">
        <v>81</v>
      </c>
      <c r="G36" s="155" t="n">
        <f aca="false">Utilidad!B33</f>
        <v>0</v>
      </c>
      <c r="H36" s="163" t="n">
        <f aca="false">IF(Utilidad!D33&gt;1,Utilidad!D33/100,Utilidad!D33)</f>
        <v>0</v>
      </c>
      <c r="J36" s="160" t="n">
        <f aca="false">+IF(C36&lt;&gt;0,(G36-C36)/C36,ABS(G36-C36))</f>
        <v>0</v>
      </c>
      <c r="K36" s="160" t="n">
        <f aca="false">+IF(D36&lt;&gt;0,(H36-D36)/D36,0)</f>
        <v>0</v>
      </c>
      <c r="M36" s="162" t="n">
        <f aca="false">+IF(J36&lt;&gt;"",ABS(J36),0)</f>
        <v>0</v>
      </c>
      <c r="N36" s="162" t="n">
        <f aca="false">+IF(J36&lt;&gt;"",ABS(K36),0)</f>
        <v>0</v>
      </c>
    </row>
    <row r="37" customFormat="false" ht="17.35" hidden="false" customHeight="false" outlineLevel="0" collapsed="false">
      <c r="B37" s="151" t="s">
        <v>82</v>
      </c>
      <c r="C37" s="155" t="n">
        <f aca="false">Utilidad!A34</f>
        <v>0</v>
      </c>
      <c r="D37" s="156" t="n">
        <f aca="false">IF(Utilidad!C34&gt;1,Utilidad!C34/100,Utilidad!C34)</f>
        <v>0</v>
      </c>
      <c r="F37" s="151" t="s">
        <v>82</v>
      </c>
      <c r="G37" s="155" t="n">
        <f aca="false">Utilidad!B34</f>
        <v>0</v>
      </c>
      <c r="H37" s="163" t="n">
        <f aca="false">IF(Utilidad!D34&gt;1,Utilidad!D34/100,Utilidad!D34)</f>
        <v>0</v>
      </c>
      <c r="J37" s="160" t="n">
        <f aca="false">+IF(C37&lt;&gt;0,(G37-C37)/C37,ABS(G37-C37))</f>
        <v>0</v>
      </c>
      <c r="K37" s="160" t="n">
        <f aca="false">+IF(D37&lt;&gt;0,(H37-D37)/D37,0)</f>
        <v>0</v>
      </c>
      <c r="M37" s="162" t="n">
        <f aca="false">+IF(J37&lt;&gt;"",ABS(J37),0)</f>
        <v>0</v>
      </c>
      <c r="N37" s="162" t="n">
        <f aca="false">+IF(J37&lt;&gt;"",ABS(K37),0)</f>
        <v>0</v>
      </c>
    </row>
    <row r="38" customFormat="false" ht="17.35" hidden="false" customHeight="false" outlineLevel="0" collapsed="false">
      <c r="B38" s="151" t="s">
        <v>83</v>
      </c>
      <c r="C38" s="155" t="n">
        <f aca="false">Utilidad!A35</f>
        <v>0</v>
      </c>
      <c r="D38" s="156" t="n">
        <f aca="false">IF(Utilidad!C35&gt;1,Utilidad!C35/100,Utilidad!C35)</f>
        <v>0</v>
      </c>
      <c r="F38" s="151" t="s">
        <v>83</v>
      </c>
      <c r="G38" s="155" t="n">
        <f aca="false">Utilidad!B35</f>
        <v>0</v>
      </c>
      <c r="H38" s="163" t="n">
        <f aca="false">IF(Utilidad!D35&gt;1,Utilidad!D35/100,Utilidad!D35)</f>
        <v>0</v>
      </c>
      <c r="J38" s="160" t="n">
        <f aca="false">+IF(C38&lt;&gt;0,(G38-C38)/C38,ABS(G38-C38))</f>
        <v>0</v>
      </c>
      <c r="K38" s="160" t="n">
        <f aca="false">+IF(D38&lt;&gt;0,(H38-D38)/D38,0)</f>
        <v>0</v>
      </c>
      <c r="M38" s="162" t="n">
        <f aca="false">+IF(J38&lt;&gt;"",ABS(J38),0)</f>
        <v>0</v>
      </c>
      <c r="N38" s="162" t="n">
        <f aca="false">+IF(J38&lt;&gt;"",ABS(K38),0)</f>
        <v>0</v>
      </c>
    </row>
    <row r="39" customFormat="false" ht="17.35" hidden="false" customHeight="false" outlineLevel="0" collapsed="false">
      <c r="B39" s="151" t="s">
        <v>84</v>
      </c>
      <c r="C39" s="155" t="n">
        <f aca="false">Utilidad!A36</f>
        <v>-1624</v>
      </c>
      <c r="D39" s="156" t="n">
        <f aca="false">IF(Utilidad!C36&gt;1,Utilidad!C36/100,Utilidad!C36)</f>
        <v>0.6346</v>
      </c>
      <c r="F39" s="151" t="s">
        <v>84</v>
      </c>
      <c r="G39" s="155" t="n">
        <f aca="false">Utilidad!B36</f>
        <v>-1632</v>
      </c>
      <c r="H39" s="163" t="n">
        <f aca="false">IF(Utilidad!D36&gt;1,Utilidad!D36/100,Utilidad!D36)</f>
        <v>0.5831</v>
      </c>
      <c r="J39" s="160" t="n">
        <f aca="false">+IF(C39&lt;&gt;0,(G39-C39)/C39,ABS(G39-C39))</f>
        <v>0.00492610837438424</v>
      </c>
      <c r="K39" s="160" t="n">
        <f aca="false">+IF(D39&lt;&gt;0,(H39-D39)/D39,0)</f>
        <v>-0.0811534825086669</v>
      </c>
      <c r="M39" s="162" t="n">
        <f aca="false">+IF(J39&lt;&gt;"",ABS(J39),0)</f>
        <v>0.00492610837438424</v>
      </c>
      <c r="N39" s="162" t="n">
        <f aca="false">+IF(J39&lt;&gt;"",ABS(K39),0)</f>
        <v>0.0811534825086669</v>
      </c>
    </row>
    <row r="40" customFormat="false" ht="17.35" hidden="false" customHeight="false" outlineLevel="0" collapsed="false">
      <c r="B40" s="151" t="s">
        <v>85</v>
      </c>
      <c r="C40" s="155" t="n">
        <f aca="false">Utilidad!A37</f>
        <v>1632</v>
      </c>
      <c r="D40" s="156" t="n">
        <f aca="false">IF(Utilidad!C37&gt;1,Utilidad!C37/100,Utilidad!C37)</f>
        <v>0.5831</v>
      </c>
      <c r="F40" s="151" t="s">
        <v>85</v>
      </c>
      <c r="G40" s="155" t="n">
        <f aca="false">Utilidad!B37</f>
        <v>1632</v>
      </c>
      <c r="H40" s="163" t="n">
        <f aca="false">IF(Utilidad!D37&gt;1,Utilidad!D37/100,Utilidad!D37)</f>
        <v>0.5831</v>
      </c>
      <c r="J40" s="160" t="n">
        <f aca="false">+IF(C40&lt;&gt;0,(G40-C40)/C40,ABS(G40-C40))</f>
        <v>0</v>
      </c>
      <c r="K40" s="160" t="n">
        <f aca="false">+IF(D40&lt;&gt;0,(H40-D40)/D40,0)</f>
        <v>0</v>
      </c>
      <c r="M40" s="162" t="n">
        <f aca="false">+IF(J40&lt;&gt;"",ABS(J40),0)</f>
        <v>0</v>
      </c>
      <c r="N40" s="162" t="n">
        <f aca="false">+IF(J40&lt;&gt;"",ABS(K40),0)</f>
        <v>0</v>
      </c>
    </row>
    <row r="41" customFormat="false" ht="17.35" hidden="false" customHeight="false" outlineLevel="0" collapsed="false">
      <c r="B41" s="151" t="s">
        <v>86</v>
      </c>
      <c r="C41" s="155" t="n">
        <f aca="false">Utilidad!A38</f>
        <v>0</v>
      </c>
      <c r="D41" s="156" t="n">
        <f aca="false">IF(Utilidad!C38&gt;1,Utilidad!C38/100,Utilidad!C38)</f>
        <v>0</v>
      </c>
      <c r="F41" s="151" t="s">
        <v>86</v>
      </c>
      <c r="G41" s="155" t="n">
        <f aca="false">Utilidad!B38</f>
        <v>0</v>
      </c>
      <c r="H41" s="163" t="n">
        <f aca="false">IF(Utilidad!D38&gt;1,Utilidad!D38/100,Utilidad!D38)</f>
        <v>0</v>
      </c>
      <c r="J41" s="160" t="n">
        <f aca="false">+IF(C41&lt;&gt;0,(G41-C41)/C41,ABS(G41-C41))</f>
        <v>0</v>
      </c>
      <c r="K41" s="160" t="n">
        <f aca="false">+IF(D41&lt;&gt;0,(H41-D41)/D41,0)</f>
        <v>0</v>
      </c>
      <c r="M41" s="162" t="n">
        <f aca="false">+IF(J41&lt;&gt;"",ABS(J41),0)</f>
        <v>0</v>
      </c>
      <c r="N41" s="162" t="n">
        <f aca="false">+IF(J41&lt;&gt;"",ABS(K41),0)</f>
        <v>0</v>
      </c>
    </row>
    <row r="42" customFormat="false" ht="17.35" hidden="false" customHeight="false" outlineLevel="0" collapsed="false">
      <c r="B42" s="151" t="s">
        <v>87</v>
      </c>
      <c r="C42" s="155" t="n">
        <f aca="false">Utilidad!A39</f>
        <v>0</v>
      </c>
      <c r="D42" s="156" t="n">
        <f aca="false">IF(Utilidad!C39&gt;1,Utilidad!C39/100,Utilidad!C39)</f>
        <v>0</v>
      </c>
      <c r="F42" s="151" t="s">
        <v>87</v>
      </c>
      <c r="G42" s="155" t="n">
        <f aca="false">Utilidad!B39</f>
        <v>0</v>
      </c>
      <c r="H42" s="163" t="n">
        <f aca="false">IF(Utilidad!D39&gt;1,Utilidad!D39/100,Utilidad!D39)</f>
        <v>0</v>
      </c>
      <c r="J42" s="160" t="n">
        <f aca="false">+IF(C42&lt;&gt;0,(G42-C42)/C42,ABS(G42-C42))</f>
        <v>0</v>
      </c>
      <c r="K42" s="160" t="n">
        <f aca="false">+IF(D42&lt;&gt;0,(H42-D42)/D42,0)</f>
        <v>0</v>
      </c>
      <c r="M42" s="162" t="n">
        <f aca="false">+IF(J42&lt;&gt;"",ABS(J42),0)</f>
        <v>0</v>
      </c>
      <c r="N42" s="162" t="n">
        <f aca="false">+IF(J42&lt;&gt;"",ABS(K42),0)</f>
        <v>0</v>
      </c>
    </row>
    <row r="43" customFormat="false" ht="17.35" hidden="false" customHeight="false" outlineLevel="0" collapsed="false">
      <c r="B43" s="151" t="s">
        <v>88</v>
      </c>
      <c r="C43" s="155" t="n">
        <f aca="false">Utilidad!A40</f>
        <v>0</v>
      </c>
      <c r="D43" s="156" t="n">
        <f aca="false">IF(Utilidad!C40&gt;1,Utilidad!C40/100,Utilidad!C40)</f>
        <v>0</v>
      </c>
      <c r="F43" s="151" t="s">
        <v>88</v>
      </c>
      <c r="G43" s="155" t="n">
        <f aca="false">Utilidad!B40</f>
        <v>0</v>
      </c>
      <c r="H43" s="163" t="n">
        <f aca="false">IF(Utilidad!D40&gt;1,Utilidad!D40/100,Utilidad!D40)</f>
        <v>0</v>
      </c>
      <c r="J43" s="160" t="n">
        <f aca="false">+IF(C43&lt;&gt;0,(G43-C43)/C43,ABS(G43-C43))</f>
        <v>0</v>
      </c>
      <c r="K43" s="160" t="n">
        <f aca="false">+IF(D43&lt;&gt;0,(H43-D43)/D43,0)</f>
        <v>0</v>
      </c>
      <c r="M43" s="162" t="n">
        <f aca="false">+IF(J43&lt;&gt;"",ABS(J43),0)</f>
        <v>0</v>
      </c>
      <c r="N43" s="162" t="n">
        <f aca="false">+IF(J43&lt;&gt;"",ABS(K43),0)</f>
        <v>0</v>
      </c>
    </row>
    <row r="44" customFormat="false" ht="17.35" hidden="false" customHeight="false" outlineLevel="0" collapsed="false">
      <c r="B44" s="151" t="s">
        <v>89</v>
      </c>
      <c r="C44" s="155" t="n">
        <f aca="false">Utilidad!A41</f>
        <v>0</v>
      </c>
      <c r="D44" s="156" t="n">
        <f aca="false">IF(Utilidad!C41&gt;1,Utilidad!C41/100,Utilidad!C41)</f>
        <v>0</v>
      </c>
      <c r="F44" s="151" t="s">
        <v>89</v>
      </c>
      <c r="G44" s="155" t="n">
        <f aca="false">Utilidad!B41</f>
        <v>0</v>
      </c>
      <c r="H44" s="163" t="n">
        <f aca="false">IF(Utilidad!D41&gt;1,Utilidad!D41/100,Utilidad!D41)</f>
        <v>0</v>
      </c>
      <c r="J44" s="160" t="n">
        <f aca="false">+IF(C44&lt;&gt;0,(G44-C44)/C44,ABS(G44-C44))</f>
        <v>0</v>
      </c>
      <c r="K44" s="160" t="n">
        <f aca="false">+IF(D44&lt;&gt;0,(H44-D44)/D44,0)</f>
        <v>0</v>
      </c>
      <c r="M44" s="162" t="n">
        <f aca="false">+IF(J44&lt;&gt;"",ABS(J44),0)</f>
        <v>0</v>
      </c>
      <c r="N44" s="162" t="n">
        <f aca="false">+IF(J44&lt;&gt;"",ABS(K44),0)</f>
        <v>0</v>
      </c>
    </row>
    <row r="45" customFormat="false" ht="17.35" hidden="false" customHeight="false" outlineLevel="0" collapsed="false">
      <c r="B45" s="151" t="s">
        <v>90</v>
      </c>
      <c r="C45" s="155" t="n">
        <f aca="false">Utilidad!A42</f>
        <v>0</v>
      </c>
      <c r="D45" s="156" t="n">
        <f aca="false">IF(Utilidad!C42&gt;1,Utilidad!C42/100,Utilidad!C42)</f>
        <v>0</v>
      </c>
      <c r="F45" s="151" t="s">
        <v>90</v>
      </c>
      <c r="G45" s="155" t="n">
        <f aca="false">Utilidad!B42</f>
        <v>0</v>
      </c>
      <c r="H45" s="163" t="n">
        <f aca="false">IF(Utilidad!D42&gt;1,Utilidad!D42/100,Utilidad!D42)</f>
        <v>0</v>
      </c>
      <c r="J45" s="160" t="n">
        <f aca="false">+IF(C45&lt;&gt;0,(G45-C45)/C45,ABS(G45-C45))</f>
        <v>0</v>
      </c>
      <c r="K45" s="160" t="n">
        <f aca="false">+IF(D45&lt;&gt;0,(H45-D45)/D45,0)</f>
        <v>0</v>
      </c>
      <c r="M45" s="162" t="n">
        <f aca="false">+IF(J45&lt;&gt;"",ABS(J45),0)</f>
        <v>0</v>
      </c>
      <c r="N45" s="162" t="n">
        <f aca="false">+IF(J45&lt;&gt;"",ABS(K45),0)</f>
        <v>0</v>
      </c>
    </row>
    <row r="46" customFormat="false" ht="17.35" hidden="false" customHeight="false" outlineLevel="0" collapsed="false">
      <c r="B46" s="151" t="s">
        <v>91</v>
      </c>
      <c r="C46" s="155" t="n">
        <f aca="false">Utilidad!A43</f>
        <v>0</v>
      </c>
      <c r="D46" s="156" t="n">
        <f aca="false">IF(Utilidad!C43&gt;1,Utilidad!C43/100,Utilidad!C43)</f>
        <v>0</v>
      </c>
      <c r="F46" s="151" t="s">
        <v>91</v>
      </c>
      <c r="G46" s="155" t="n">
        <f aca="false">Utilidad!B43</f>
        <v>0</v>
      </c>
      <c r="H46" s="163" t="n">
        <f aca="false">IF(Utilidad!D43&gt;1,Utilidad!D43/100,Utilidad!D43)</f>
        <v>0</v>
      </c>
      <c r="J46" s="160" t="n">
        <f aca="false">+IF(C46&lt;&gt;0,(G46-C46)/C46,ABS(G46-C46))</f>
        <v>0</v>
      </c>
      <c r="K46" s="160" t="n">
        <f aca="false">+IF(D46&lt;&gt;0,(H46-D46)/D46,0)</f>
        <v>0</v>
      </c>
      <c r="M46" s="162" t="n">
        <f aca="false">+IF(J46&lt;&gt;"",ABS(J46),0)</f>
        <v>0</v>
      </c>
      <c r="N46" s="162" t="n">
        <f aca="false">+IF(J46&lt;&gt;"",ABS(K46),0)</f>
        <v>0</v>
      </c>
    </row>
    <row r="47" customFormat="false" ht="17.35" hidden="false" customHeight="false" outlineLevel="0" collapsed="false">
      <c r="B47" s="151" t="s">
        <v>92</v>
      </c>
      <c r="C47" s="155" t="n">
        <f aca="false">Utilidad!A44</f>
        <v>0</v>
      </c>
      <c r="D47" s="156" t="n">
        <f aca="false">IF(Utilidad!C44&gt;1,Utilidad!C44/100,Utilidad!C44)</f>
        <v>0</v>
      </c>
      <c r="F47" s="151" t="s">
        <v>92</v>
      </c>
      <c r="G47" s="155" t="n">
        <f aca="false">Utilidad!B44</f>
        <v>0</v>
      </c>
      <c r="H47" s="163" t="n">
        <f aca="false">IF(Utilidad!D44&gt;1,Utilidad!D44/100,Utilidad!D44)</f>
        <v>0</v>
      </c>
      <c r="J47" s="160" t="n">
        <f aca="false">+IF(C47&lt;&gt;0,(G47-C47)/C47,ABS(G47-C47))</f>
        <v>0</v>
      </c>
      <c r="K47" s="160" t="n">
        <f aca="false">+IF(D47&lt;&gt;0,(H47-D47)/D47,0)</f>
        <v>0</v>
      </c>
      <c r="M47" s="162" t="n">
        <f aca="false">+IF(J47&lt;&gt;"",ABS(J47),0)</f>
        <v>0</v>
      </c>
      <c r="N47" s="162" t="n">
        <f aca="false">+IF(J47&lt;&gt;"",ABS(K47),0)</f>
        <v>0</v>
      </c>
    </row>
    <row r="48" customFormat="false" ht="17.35" hidden="false" customHeight="false" outlineLevel="0" collapsed="false">
      <c r="B48" s="151" t="s">
        <v>93</v>
      </c>
      <c r="C48" s="155" t="n">
        <f aca="false">Utilidad!A45</f>
        <v>0</v>
      </c>
      <c r="D48" s="156" t="n">
        <f aca="false">IF(Utilidad!C45&gt;1,Utilidad!C45/100,Utilidad!C45)</f>
        <v>0</v>
      </c>
      <c r="F48" s="151" t="s">
        <v>93</v>
      </c>
      <c r="G48" s="155" t="n">
        <f aca="false">Utilidad!B45</f>
        <v>0</v>
      </c>
      <c r="H48" s="163" t="n">
        <f aca="false">IF(Utilidad!D45&gt;1,Utilidad!D45/100,Utilidad!D45)</f>
        <v>0</v>
      </c>
      <c r="J48" s="160" t="n">
        <f aca="false">+IF(C48&lt;&gt;0,(G48-C48)/C48,ABS(G48-C48))</f>
        <v>0</v>
      </c>
      <c r="K48" s="160" t="n">
        <f aca="false">+IF(D48&lt;&gt;0,(H48-D48)/D48,0)</f>
        <v>0</v>
      </c>
      <c r="M48" s="162" t="n">
        <f aca="false">+IF(J48&lt;&gt;"",ABS(J48),0)</f>
        <v>0</v>
      </c>
      <c r="N48" s="162" t="n">
        <f aca="false">+IF(J48&lt;&gt;"",ABS(K48),0)</f>
        <v>0</v>
      </c>
    </row>
    <row r="49" customFormat="false" ht="17.35" hidden="false" customHeight="false" outlineLevel="0" collapsed="false">
      <c r="B49" s="151" t="s">
        <v>94</v>
      </c>
      <c r="C49" s="155" t="n">
        <f aca="false">Utilidad!A46</f>
        <v>0</v>
      </c>
      <c r="D49" s="156" t="n">
        <f aca="false">IF(Utilidad!C46&gt;1,Utilidad!C46/100,Utilidad!C46)</f>
        <v>0</v>
      </c>
      <c r="F49" s="151" t="s">
        <v>94</v>
      </c>
      <c r="G49" s="155" t="n">
        <f aca="false">Utilidad!B46</f>
        <v>0</v>
      </c>
      <c r="H49" s="163" t="n">
        <f aca="false">IF(Utilidad!D46&gt;1,Utilidad!D46/100,Utilidad!D46)</f>
        <v>0</v>
      </c>
      <c r="J49" s="160" t="n">
        <f aca="false">+IF(C49&lt;&gt;0,(G49-C49)/C49,ABS(G49-C49))</f>
        <v>0</v>
      </c>
      <c r="K49" s="160" t="n">
        <f aca="false">+IF(D49&lt;&gt;0,(H49-D49)/D49,0)</f>
        <v>0</v>
      </c>
      <c r="M49" s="162" t="n">
        <f aca="false">+IF(J49&lt;&gt;"",ABS(J49),0)</f>
        <v>0</v>
      </c>
      <c r="N49" s="162" t="n">
        <f aca="false">+IF(J49&lt;&gt;"",ABS(K49),0)</f>
        <v>0</v>
      </c>
    </row>
    <row r="50" customFormat="false" ht="17.35" hidden="false" customHeight="false" outlineLevel="0" collapsed="false">
      <c r="B50" s="151" t="s">
        <v>95</v>
      </c>
      <c r="C50" s="155" t="n">
        <f aca="false">Utilidad!A47</f>
        <v>0</v>
      </c>
      <c r="D50" s="156" t="n">
        <f aca="false">IF(Utilidad!C47&gt;1,Utilidad!C47/100,Utilidad!C47)</f>
        <v>0</v>
      </c>
      <c r="F50" s="151" t="s">
        <v>95</v>
      </c>
      <c r="G50" s="155" t="n">
        <f aca="false">Utilidad!B47</f>
        <v>0</v>
      </c>
      <c r="H50" s="163" t="n">
        <f aca="false">IF(Utilidad!D47&gt;1,Utilidad!D47/100,Utilidad!D47)</f>
        <v>0</v>
      </c>
      <c r="J50" s="160" t="n">
        <f aca="false">+IF(C50&lt;&gt;0,(G50-C50)/C50,ABS(G50-C50))</f>
        <v>0</v>
      </c>
      <c r="K50" s="160" t="n">
        <f aca="false">+IF(D50&lt;&gt;0,(H50-D50)/D50,0)</f>
        <v>0</v>
      </c>
      <c r="M50" s="162" t="n">
        <f aca="false">+IF(J50&lt;&gt;"",ABS(J50),0)</f>
        <v>0</v>
      </c>
      <c r="N50" s="162" t="n">
        <f aca="false">+IF(J50&lt;&gt;"",ABS(K50),0)</f>
        <v>0</v>
      </c>
    </row>
    <row r="51" customFormat="false" ht="17.35" hidden="false" customHeight="false" outlineLevel="0" collapsed="false">
      <c r="B51" s="151" t="s">
        <v>96</v>
      </c>
      <c r="C51" s="155" t="n">
        <f aca="false">Utilidad!A48</f>
        <v>0</v>
      </c>
      <c r="D51" s="156" t="n">
        <f aca="false">IF(Utilidad!C48&gt;1,Utilidad!C48/100,Utilidad!C48)</f>
        <v>0</v>
      </c>
      <c r="F51" s="151" t="s">
        <v>96</v>
      </c>
      <c r="G51" s="155" t="n">
        <f aca="false">Utilidad!B48</f>
        <v>0</v>
      </c>
      <c r="H51" s="163" t="n">
        <f aca="false">IF(Utilidad!D48&gt;1,Utilidad!D48/100,Utilidad!D48)</f>
        <v>0</v>
      </c>
      <c r="J51" s="160" t="n">
        <f aca="false">+IF(C51&lt;&gt;0,(G51-C51)/C51,ABS(G51-C51))</f>
        <v>0</v>
      </c>
      <c r="K51" s="160" t="n">
        <f aca="false">+IF(D51&lt;&gt;0,(H51-D51)/D51,0)</f>
        <v>0</v>
      </c>
      <c r="M51" s="162" t="n">
        <f aca="false">+IF(J51&lt;&gt;"",ABS(J51),0)</f>
        <v>0</v>
      </c>
      <c r="N51" s="162" t="n">
        <f aca="false">+IF(J51&lt;&gt;"",ABS(K51),0)</f>
        <v>0</v>
      </c>
    </row>
    <row r="52" customFormat="false" ht="17.35" hidden="false" customHeight="false" outlineLevel="0" collapsed="false">
      <c r="B52" s="151" t="s">
        <v>97</v>
      </c>
      <c r="C52" s="155" t="n">
        <f aca="false">Utilidad!A49</f>
        <v>0</v>
      </c>
      <c r="D52" s="156" t="n">
        <f aca="false">IF(Utilidad!C49&gt;1,Utilidad!C49/100,Utilidad!C49)</f>
        <v>0</v>
      </c>
      <c r="F52" s="151" t="s">
        <v>97</v>
      </c>
      <c r="G52" s="155" t="n">
        <f aca="false">Utilidad!B49</f>
        <v>0</v>
      </c>
      <c r="H52" s="163" t="n">
        <f aca="false">IF(Utilidad!D49&gt;1,Utilidad!D49/100,Utilidad!D49)</f>
        <v>0</v>
      </c>
      <c r="J52" s="160" t="n">
        <f aca="false">+IF(C52&lt;&gt;0,(G52-C52)/C52,ABS(G52-C52))</f>
        <v>0</v>
      </c>
      <c r="K52" s="160" t="n">
        <f aca="false">+IF(D52&lt;&gt;0,(H52-D52)/D52,0)</f>
        <v>0</v>
      </c>
      <c r="M52" s="162" t="n">
        <f aca="false">+IF(J52&lt;&gt;"",ABS(J52),0)</f>
        <v>0</v>
      </c>
      <c r="N52" s="162" t="n">
        <f aca="false">+IF(J52&lt;&gt;"",ABS(K52),0)</f>
        <v>0</v>
      </c>
    </row>
    <row r="53" customFormat="false" ht="17.35" hidden="false" customHeight="false" outlineLevel="0" collapsed="false">
      <c r="B53" s="151" t="s">
        <v>98</v>
      </c>
      <c r="C53" s="155" t="n">
        <f aca="false">Utilidad!A50</f>
        <v>0</v>
      </c>
      <c r="D53" s="156" t="n">
        <f aca="false">IF(Utilidad!C50&gt;1,Utilidad!C50/100,Utilidad!C50)</f>
        <v>0</v>
      </c>
      <c r="F53" s="151" t="s">
        <v>98</v>
      </c>
      <c r="G53" s="155" t="n">
        <f aca="false">Utilidad!B50</f>
        <v>0</v>
      </c>
      <c r="H53" s="163" t="n">
        <f aca="false">IF(Utilidad!D50&gt;1,Utilidad!D50/100,Utilidad!D50)</f>
        <v>0</v>
      </c>
      <c r="J53" s="160" t="n">
        <f aca="false">+IF(C53&lt;&gt;0,(G53-C53)/C53,ABS(G53-C53))</f>
        <v>0</v>
      </c>
      <c r="K53" s="160" t="n">
        <f aca="false">+IF(D53&lt;&gt;0,(H53-D53)/D53,0)</f>
        <v>0</v>
      </c>
      <c r="M53" s="162" t="n">
        <f aca="false">+IF(J53&lt;&gt;"",ABS(J53),0)</f>
        <v>0</v>
      </c>
      <c r="N53" s="162" t="n">
        <f aca="false">+IF(J53&lt;&gt;"",ABS(K53),0)</f>
        <v>0</v>
      </c>
    </row>
    <row r="54" customFormat="false" ht="17.35" hidden="false" customHeight="false" outlineLevel="0" collapsed="false">
      <c r="B54" s="151" t="s">
        <v>99</v>
      </c>
      <c r="C54" s="155" t="n">
        <f aca="false">Utilidad!A51</f>
        <v>0</v>
      </c>
      <c r="D54" s="156" t="n">
        <f aca="false">IF(Utilidad!C51&gt;1,Utilidad!C51/100,Utilidad!C51)</f>
        <v>0</v>
      </c>
      <c r="F54" s="151" t="s">
        <v>99</v>
      </c>
      <c r="G54" s="155" t="n">
        <f aca="false">Utilidad!B51</f>
        <v>0</v>
      </c>
      <c r="H54" s="163" t="n">
        <f aca="false">IF(Utilidad!D51&gt;1,Utilidad!D51/100,Utilidad!D51)</f>
        <v>0</v>
      </c>
      <c r="J54" s="160" t="n">
        <f aca="false">+IF(C54&lt;&gt;0,(G54-C54)/C54,ABS(G54-C54))</f>
        <v>0</v>
      </c>
      <c r="K54" s="160" t="n">
        <f aca="false">+IF(D54&lt;&gt;0,(H54-D54)/D54,0)</f>
        <v>0</v>
      </c>
      <c r="M54" s="162" t="n">
        <f aca="false">+IF(J54&lt;&gt;"",ABS(J54),0)</f>
        <v>0</v>
      </c>
      <c r="N54" s="162" t="n">
        <f aca="false">+IF(J54&lt;&gt;"",ABS(K54),0)</f>
        <v>0</v>
      </c>
    </row>
    <row r="55" customFormat="false" ht="17.35" hidden="false" customHeight="false" outlineLevel="0" collapsed="false">
      <c r="B55" s="151" t="s">
        <v>100</v>
      </c>
      <c r="C55" s="155" t="n">
        <f aca="false">Utilidad!A52</f>
        <v>41596</v>
      </c>
      <c r="D55" s="156" t="n">
        <f aca="false">IF(Utilidad!C52&gt;1,Utilidad!C52/100,Utilidad!C52)</f>
        <v>0.4527</v>
      </c>
      <c r="F55" s="151" t="s">
        <v>100</v>
      </c>
      <c r="G55" s="155" t="n">
        <f aca="false">Utilidad!B52</f>
        <v>41596</v>
      </c>
      <c r="H55" s="163" t="n">
        <f aca="false">IF(Utilidad!D52&gt;1,Utilidad!D52/100,Utilidad!D52)</f>
        <v>0.4527</v>
      </c>
      <c r="J55" s="160" t="n">
        <f aca="false">+IF(C55&lt;&gt;0,(G55-C55)/C55,ABS(G55-C55))</f>
        <v>0</v>
      </c>
      <c r="K55" s="160" t="n">
        <f aca="false">+IF(D55&lt;&gt;0,(H55-D55)/D55,0)</f>
        <v>0</v>
      </c>
      <c r="M55" s="162" t="n">
        <f aca="false">+IF(J55&lt;&gt;"",ABS(J55),0)</f>
        <v>0</v>
      </c>
      <c r="N55" s="162" t="n">
        <f aca="false">+IF(J55&lt;&gt;"",ABS(K55),0)</f>
        <v>0</v>
      </c>
    </row>
    <row r="56" customFormat="false" ht="17.35" hidden="false" customHeight="false" outlineLevel="0" collapsed="false">
      <c r="B56" s="151" t="s">
        <v>101</v>
      </c>
      <c r="C56" s="155" t="n">
        <f aca="false">Utilidad!A53</f>
        <v>41596</v>
      </c>
      <c r="D56" s="156" t="n">
        <f aca="false">IF(Utilidad!C53&gt;1,Utilidad!C53/100,Utilidad!C53)</f>
        <v>0.4527</v>
      </c>
      <c r="F56" s="151" t="s">
        <v>101</v>
      </c>
      <c r="G56" s="155" t="n">
        <f aca="false">Utilidad!B53</f>
        <v>41596</v>
      </c>
      <c r="H56" s="163" t="n">
        <f aca="false">IF(Utilidad!D53&gt;1,Utilidad!D53/100,Utilidad!D53)</f>
        <v>0.4527</v>
      </c>
      <c r="J56" s="160" t="n">
        <f aca="false">+IF(C56&lt;&gt;0,(G56-C56)/C56,ABS(G56-C56))</f>
        <v>0</v>
      </c>
      <c r="K56" s="160" t="n">
        <f aca="false">+IF(D56&lt;&gt;0,(H56-D56)/D56,0)</f>
        <v>0</v>
      </c>
      <c r="M56" s="162" t="n">
        <f aca="false">+IF(J56&lt;&gt;"",ABS(J56),0)</f>
        <v>0</v>
      </c>
      <c r="N56" s="162" t="n">
        <f aca="false">+IF(J56&lt;&gt;"",ABS(K56),0)</f>
        <v>0</v>
      </c>
    </row>
    <row r="57" customFormat="false" ht="17.35" hidden="false" customHeight="false" outlineLevel="0" collapsed="false">
      <c r="B57" s="151" t="s">
        <v>141</v>
      </c>
      <c r="C57" s="155" t="n">
        <f aca="false">Utilidad!A54</f>
        <v>5026</v>
      </c>
      <c r="D57" s="156" t="n">
        <f aca="false">IF(Utilidad!C54&gt;1,Utilidad!C54/100,Utilidad!C54)</f>
        <v>0.6371</v>
      </c>
      <c r="F57" s="151" t="s">
        <v>142</v>
      </c>
      <c r="G57" s="155" t="n">
        <f aca="false">Utilidad!B54</f>
        <v>5026</v>
      </c>
      <c r="H57" s="163" t="n">
        <f aca="false">IF(Utilidad!D54&gt;1,Utilidad!D54/100,Utilidad!D54)</f>
        <v>0.6371</v>
      </c>
      <c r="J57" s="160" t="n">
        <f aca="false">+IF(C57&lt;&gt;0,(G57-C57)/C57,ABS(G57-C57))</f>
        <v>0</v>
      </c>
      <c r="K57" s="160" t="n">
        <f aca="false">+IF(D57&lt;&gt;0,(H57-D57)/D57,0)</f>
        <v>0</v>
      </c>
      <c r="M57" s="162" t="n">
        <f aca="false">+IF(J57&lt;&gt;"",ABS(J57),0)</f>
        <v>0</v>
      </c>
      <c r="N57" s="162" t="n">
        <f aca="false">+IF(J57&lt;&gt;"",ABS(K57),0)</f>
        <v>0</v>
      </c>
    </row>
    <row r="58" customFormat="false" ht="17.35" hidden="false" customHeight="false" outlineLevel="0" collapsed="false">
      <c r="B58" s="151" t="s">
        <v>143</v>
      </c>
      <c r="C58" s="155" t="n">
        <f aca="false">Utilidad!A55</f>
        <v>0</v>
      </c>
      <c r="D58" s="156" t="n">
        <f aca="false">IF(Utilidad!C55&gt;1,Utilidad!C55/100,Utilidad!C55)</f>
        <v>0</v>
      </c>
      <c r="F58" s="151" t="s">
        <v>143</v>
      </c>
      <c r="G58" s="155" t="n">
        <f aca="false">Utilidad!B55</f>
        <v>0</v>
      </c>
      <c r="H58" s="163" t="n">
        <f aca="false">IF(Utilidad!D55&gt;1,Utilidad!D55/100,Utilidad!D55)</f>
        <v>0</v>
      </c>
      <c r="J58" s="160" t="n">
        <f aca="false">+IF(C58&lt;&gt;0,(G58-C58)/C58,ABS(G58-C58))</f>
        <v>0</v>
      </c>
      <c r="K58" s="160" t="n">
        <f aca="false">+IF(D58&lt;&gt;0,(H58-D58)/D58,0)</f>
        <v>0</v>
      </c>
      <c r="M58" s="162" t="n">
        <f aca="false">+IF(J58&lt;&gt;"",ABS(J58),0)</f>
        <v>0</v>
      </c>
      <c r="N58" s="162" t="n">
        <f aca="false">+IF(J58&lt;&gt;"",ABS(K58),0)</f>
        <v>0</v>
      </c>
    </row>
    <row r="59" customFormat="false" ht="17.35" hidden="false" customHeight="false" outlineLevel="0" collapsed="false">
      <c r="B59" s="151" t="s">
        <v>144</v>
      </c>
      <c r="C59" s="155" t="n">
        <f aca="false">Utilidad!A56</f>
        <v>0</v>
      </c>
      <c r="D59" s="156" t="n">
        <f aca="false">IF(Utilidad!C56&gt;1,Utilidad!C56/100,Utilidad!C56)</f>
        <v>0</v>
      </c>
      <c r="F59" s="151" t="s">
        <v>144</v>
      </c>
      <c r="G59" s="155" t="n">
        <f aca="false">Utilidad!B56</f>
        <v>0</v>
      </c>
      <c r="H59" s="163" t="n">
        <f aca="false">IF(Utilidad!D56&gt;1,Utilidad!D56/100,Utilidad!D56)</f>
        <v>0</v>
      </c>
      <c r="J59" s="160" t="n">
        <f aca="false">+IF(C59&lt;&gt;0,(G59-C59)/C59,ABS(G59-C59))</f>
        <v>0</v>
      </c>
      <c r="K59" s="160" t="n">
        <f aca="false">+IF(D59&lt;&gt;0,(H59-D59)/D59,0)</f>
        <v>0</v>
      </c>
      <c r="M59" s="162" t="n">
        <f aca="false">+IF(J59&lt;&gt;"",ABS(J59),0)</f>
        <v>0</v>
      </c>
      <c r="N59" s="162" t="n">
        <f aca="false">+IF(J59&lt;&gt;"",ABS(K59),0)</f>
        <v>0</v>
      </c>
    </row>
    <row r="60" customFormat="false" ht="17.35" hidden="false" customHeight="false" outlineLevel="0" collapsed="false">
      <c r="B60" s="151" t="s">
        <v>145</v>
      </c>
      <c r="C60" s="155" t="n">
        <f aca="false">Utilidad!A57</f>
        <v>2106</v>
      </c>
      <c r="D60" s="156" t="n">
        <f aca="false">IF(Utilidad!C57&gt;1,Utilidad!C57/100,Utilidad!C57)</f>
        <v>0.6321</v>
      </c>
      <c r="F60" s="151" t="s">
        <v>145</v>
      </c>
      <c r="G60" s="155" t="n">
        <f aca="false">Utilidad!B57</f>
        <v>2106</v>
      </c>
      <c r="H60" s="163" t="n">
        <f aca="false">IF(Utilidad!D57&gt;1,Utilidad!D57/100,Utilidad!D57)</f>
        <v>0.6321</v>
      </c>
      <c r="J60" s="160" t="n">
        <f aca="false">+IF(C60&lt;&gt;0,(G60-C60)/C60,ABS(G60-C60))</f>
        <v>0</v>
      </c>
      <c r="K60" s="160" t="n">
        <f aca="false">+IF(D60&lt;&gt;0,(H60-D60)/D60,0)</f>
        <v>0</v>
      </c>
      <c r="M60" s="162" t="n">
        <f aca="false">+IF(J60&lt;&gt;"",ABS(J60),0)</f>
        <v>0</v>
      </c>
      <c r="N60" s="162" t="n">
        <f aca="false">+IF(J60&lt;&gt;"",ABS(K60),0)</f>
        <v>0</v>
      </c>
    </row>
    <row r="61" customFormat="false" ht="17.35" hidden="false" customHeight="false" outlineLevel="0" collapsed="false">
      <c r="B61" s="151" t="s">
        <v>146</v>
      </c>
      <c r="C61" s="155" t="n">
        <f aca="false">Utilidad!A58</f>
        <v>0</v>
      </c>
      <c r="D61" s="156" t="n">
        <f aca="false">IF(Utilidad!C58&gt;1,Utilidad!C58/100,Utilidad!C58)</f>
        <v>0</v>
      </c>
      <c r="F61" s="151" t="s">
        <v>146</v>
      </c>
      <c r="G61" s="155" t="n">
        <f aca="false">Utilidad!B58</f>
        <v>0</v>
      </c>
      <c r="H61" s="163" t="n">
        <f aca="false">IF(Utilidad!D58&gt;1,Utilidad!D58/100,Utilidad!D58)</f>
        <v>0</v>
      </c>
      <c r="J61" s="160" t="n">
        <f aca="false">+IF(C61&lt;&gt;0,(G61-C61)/C61,ABS(G61-C61))</f>
        <v>0</v>
      </c>
      <c r="K61" s="160" t="n">
        <f aca="false">+IF(D61&lt;&gt;0,(H61-D61)/D61,0)</f>
        <v>0</v>
      </c>
      <c r="M61" s="162" t="n">
        <f aca="false">+IF(J61&lt;&gt;"",ABS(J61),0)</f>
        <v>0</v>
      </c>
      <c r="N61" s="162" t="n">
        <f aca="false">+IF(J61&lt;&gt;"",ABS(K61),0)</f>
        <v>0</v>
      </c>
    </row>
    <row r="62" customFormat="false" ht="17.35" hidden="false" customHeight="false" outlineLevel="0" collapsed="false">
      <c r="B62" s="151" t="s">
        <v>147</v>
      </c>
      <c r="C62" s="155" t="n">
        <f aca="false">Utilidad!A59</f>
        <v>0</v>
      </c>
      <c r="D62" s="156" t="n">
        <f aca="false">IF(Utilidad!C59&gt;1,Utilidad!C59/100,Utilidad!C59)</f>
        <v>0</v>
      </c>
      <c r="F62" s="151" t="s">
        <v>147</v>
      </c>
      <c r="G62" s="155" t="n">
        <f aca="false">Utilidad!B59</f>
        <v>0</v>
      </c>
      <c r="H62" s="163" t="n">
        <f aca="false">IF(Utilidad!D59&gt;1,Utilidad!D59/100,Utilidad!D59)</f>
        <v>0</v>
      </c>
      <c r="J62" s="160" t="n">
        <f aca="false">+IF(C62&lt;&gt;0,(G62-C62)/C62,ABS(G62-C62))</f>
        <v>0</v>
      </c>
      <c r="K62" s="160" t="n">
        <f aca="false">+IF(D62&lt;&gt;0,(H62-D62)/D62,0)</f>
        <v>0</v>
      </c>
      <c r="M62" s="162" t="n">
        <f aca="false">+IF(J62&lt;&gt;"",ABS(J62),0)</f>
        <v>0</v>
      </c>
      <c r="N62" s="162" t="n">
        <f aca="false">+IF(J62&lt;&gt;"",ABS(K62),0)</f>
        <v>0</v>
      </c>
    </row>
    <row r="63" customFormat="false" ht="17.35" hidden="false" customHeight="false" outlineLevel="0" collapsed="false">
      <c r="B63" s="151" t="s">
        <v>148</v>
      </c>
      <c r="C63" s="155" t="n">
        <f aca="false">Utilidad!A60</f>
        <v>0</v>
      </c>
      <c r="D63" s="156" t="n">
        <f aca="false">IF(Utilidad!C60&gt;1,Utilidad!C60/100,Utilidad!C60)</f>
        <v>0</v>
      </c>
      <c r="F63" s="151" t="s">
        <v>148</v>
      </c>
      <c r="G63" s="155" t="n">
        <f aca="false">Utilidad!B60</f>
        <v>0</v>
      </c>
      <c r="H63" s="163" t="n">
        <f aca="false">IF(Utilidad!D60&gt;1,Utilidad!D60/100,Utilidad!D60)</f>
        <v>0</v>
      </c>
      <c r="J63" s="160" t="n">
        <f aca="false">+IF(C63&lt;&gt;0,(G63-C63)/C63,ABS(G63-C63))</f>
        <v>0</v>
      </c>
      <c r="K63" s="160" t="n">
        <f aca="false">+IF(D63&lt;&gt;0,(H63-D63)/D63,0)</f>
        <v>0</v>
      </c>
      <c r="M63" s="162" t="n">
        <f aca="false">+IF(J63&lt;&gt;"",ABS(J63),0)</f>
        <v>0</v>
      </c>
      <c r="N63" s="162" t="n">
        <f aca="false">+IF(J63&lt;&gt;"",ABS(K63),0)</f>
        <v>0</v>
      </c>
    </row>
    <row r="64" customFormat="false" ht="17.35" hidden="false" customHeight="false" outlineLevel="0" collapsed="false">
      <c r="B64" s="151" t="s">
        <v>149</v>
      </c>
      <c r="C64" s="155" t="n">
        <f aca="false">Utilidad!A61</f>
        <v>0</v>
      </c>
      <c r="D64" s="156" t="n">
        <f aca="false">IF(Utilidad!C61&gt;1,Utilidad!C61/100,Utilidad!C61)</f>
        <v>0</v>
      </c>
      <c r="F64" s="151" t="s">
        <v>149</v>
      </c>
      <c r="G64" s="155" t="n">
        <f aca="false">Utilidad!B61</f>
        <v>0</v>
      </c>
      <c r="H64" s="163" t="n">
        <f aca="false">IF(Utilidad!D61&gt;1,Utilidad!D61/100,Utilidad!D61)</f>
        <v>0</v>
      </c>
      <c r="J64" s="160" t="n">
        <f aca="false">+IF(C64&lt;&gt;0,(G64-C64)/C64,ABS(G64-C64))</f>
        <v>0</v>
      </c>
      <c r="K64" s="160" t="n">
        <f aca="false">+IF(D64&lt;&gt;0,(H64-D64)/D64,0)</f>
        <v>0</v>
      </c>
      <c r="M64" s="162" t="n">
        <f aca="false">+IF(J64&lt;&gt;"",ABS(J64),0)</f>
        <v>0</v>
      </c>
      <c r="N64" s="162" t="n">
        <f aca="false">+IF(J64&lt;&gt;"",ABS(K64),0)</f>
        <v>0</v>
      </c>
    </row>
    <row r="65" customFormat="false" ht="17.35" hidden="false" customHeight="false" outlineLevel="0" collapsed="false">
      <c r="B65" s="151" t="s">
        <v>36</v>
      </c>
      <c r="C65" s="155" t="n">
        <f aca="false">Utilidad!A62</f>
        <v>2055</v>
      </c>
      <c r="D65" s="156" t="n">
        <f aca="false">IF(Utilidad!C62&gt;1,Utilidad!C62/100,Utilidad!C62)</f>
        <v>0.5607</v>
      </c>
      <c r="F65" s="151" t="s">
        <v>36</v>
      </c>
      <c r="G65" s="155" t="n">
        <f aca="false">Utilidad!B62</f>
        <v>2055</v>
      </c>
      <c r="H65" s="163" t="n">
        <f aca="false">IF(Utilidad!D62&gt;1,Utilidad!D62/100,Utilidad!D62)</f>
        <v>0.5607</v>
      </c>
      <c r="J65" s="160" t="n">
        <f aca="false">+IF(C65&lt;&gt;0,(G65-C65)/C65,ABS(G65-C65))</f>
        <v>0</v>
      </c>
      <c r="K65" s="160" t="n">
        <f aca="false">+IF(D65&lt;&gt;0,(H65-D65)/D65,0)</f>
        <v>0</v>
      </c>
      <c r="M65" s="162" t="n">
        <f aca="false">+IF(J65&lt;&gt;"",ABS(J65),0)</f>
        <v>0</v>
      </c>
      <c r="N65" s="162" t="n">
        <f aca="false">+IF(J65&lt;&gt;"",ABS(K65),0)</f>
        <v>0</v>
      </c>
    </row>
    <row r="66" customFormat="false" ht="17.35" hidden="false" customHeight="false" outlineLevel="0" collapsed="false">
      <c r="B66" s="151" t="s">
        <v>119</v>
      </c>
      <c r="C66" s="155" t="n">
        <f aca="false">Utilidad!A63</f>
        <v>0</v>
      </c>
      <c r="D66" s="156" t="n">
        <f aca="false">IF(Utilidad!C63&gt;1,Utilidad!C63/100,Utilidad!C63)</f>
        <v>0</v>
      </c>
      <c r="F66" s="151" t="s">
        <v>119</v>
      </c>
      <c r="G66" s="155" t="n">
        <f aca="false">Utilidad!B63</f>
        <v>0</v>
      </c>
      <c r="H66" s="163" t="n">
        <f aca="false">IF(Utilidad!D63&gt;1,Utilidad!D63/100,Utilidad!D63)</f>
        <v>0</v>
      </c>
      <c r="J66" s="160" t="n">
        <f aca="false">+IF(C66&lt;&gt;0,(G66-C66)/C66,ABS(G66-C66))</f>
        <v>0</v>
      </c>
      <c r="K66" s="160" t="n">
        <f aca="false">+IF(D66&lt;&gt;0,(H66-D66)/D66,0)</f>
        <v>0</v>
      </c>
      <c r="M66" s="162" t="n">
        <f aca="false">+IF(J66&lt;&gt;"",ABS(J66),0)</f>
        <v>0</v>
      </c>
      <c r="N66" s="162" t="n">
        <f aca="false">+IF(J66&lt;&gt;"",ABS(K66),0)</f>
        <v>0</v>
      </c>
    </row>
    <row r="67" customFormat="false" ht="17.35" hidden="false" customHeight="false" outlineLevel="0" collapsed="false">
      <c r="B67" s="151" t="s">
        <v>120</v>
      </c>
      <c r="C67" s="155" t="n">
        <f aca="false">Utilidad!A64</f>
        <v>0</v>
      </c>
      <c r="D67" s="156" t="n">
        <f aca="false">IF(Utilidad!C64&gt;1,Utilidad!C64/100,Utilidad!C64)</f>
        <v>0</v>
      </c>
      <c r="F67" s="151" t="s">
        <v>120</v>
      </c>
      <c r="G67" s="155" t="n">
        <f aca="false">Utilidad!B64</f>
        <v>0</v>
      </c>
      <c r="H67" s="163" t="n">
        <f aca="false">IF(Utilidad!D64&gt;1,Utilidad!D64/100,Utilidad!D64)</f>
        <v>0</v>
      </c>
      <c r="J67" s="160" t="n">
        <f aca="false">+IF(C67&lt;&gt;0,(G67-C67)/C67,ABS(G67-C67))</f>
        <v>0</v>
      </c>
      <c r="K67" s="160" t="n">
        <f aca="false">+IF(D67&lt;&gt;0,(H67-D67)/D67,0)</f>
        <v>0</v>
      </c>
      <c r="M67" s="162" t="n">
        <f aca="false">+IF(J67&lt;&gt;"",ABS(J67),0)</f>
        <v>0</v>
      </c>
      <c r="N67" s="162" t="n">
        <f aca="false">+IF(J67&lt;&gt;"",ABS(K67),0)</f>
        <v>0</v>
      </c>
    </row>
    <row r="68" customFormat="false" ht="17.35" hidden="false" customHeight="false" outlineLevel="0" collapsed="false">
      <c r="B68" s="151" t="s">
        <v>150</v>
      </c>
      <c r="C68" s="155" t="n">
        <f aca="false">Utilidad!A65</f>
        <v>0</v>
      </c>
      <c r="D68" s="156" t="n">
        <f aca="false">IF(Utilidad!C65&gt;1,Utilidad!C65/100,Utilidad!C65)</f>
        <v>0</v>
      </c>
      <c r="F68" s="151" t="s">
        <v>150</v>
      </c>
      <c r="G68" s="155" t="n">
        <f aca="false">Utilidad!B65</f>
        <v>0</v>
      </c>
      <c r="H68" s="163" t="n">
        <f aca="false">IF(Utilidad!D65&gt;1,Utilidad!D65/100,Utilidad!D65)</f>
        <v>0</v>
      </c>
      <c r="J68" s="160" t="n">
        <f aca="false">+IF(C68&lt;&gt;0,(G68-C68)/C68,ABS(G68-C68))</f>
        <v>0</v>
      </c>
      <c r="K68" s="160" t="n">
        <f aca="false">+IF(D68&lt;&gt;0,(H68-D68)/D68,0)</f>
        <v>0</v>
      </c>
      <c r="M68" s="162" t="n">
        <f aca="false">+IF(J68&lt;&gt;"",ABS(J68),0)</f>
        <v>0</v>
      </c>
      <c r="N68" s="162" t="n">
        <f aca="false">+IF(J68&lt;&gt;"",ABS(K68),0)</f>
        <v>0</v>
      </c>
    </row>
    <row r="69" customFormat="false" ht="17.35" hidden="false" customHeight="false" outlineLevel="0" collapsed="false">
      <c r="B69" s="151" t="s">
        <v>151</v>
      </c>
      <c r="C69" s="155" t="n">
        <f aca="false">Utilidad!A66</f>
        <v>2055</v>
      </c>
      <c r="D69" s="156" t="n">
        <f aca="false">IF(Utilidad!C66&gt;1,Utilidad!C66/100,Utilidad!C66)</f>
        <v>0.5607</v>
      </c>
      <c r="F69" s="151" t="s">
        <v>151</v>
      </c>
      <c r="G69" s="155" t="n">
        <f aca="false">Utilidad!B66</f>
        <v>2055</v>
      </c>
      <c r="H69" s="163" t="n">
        <f aca="false">IF(Utilidad!D66&gt;1,Utilidad!D66/100,Utilidad!D66)</f>
        <v>0.5607</v>
      </c>
      <c r="J69" s="160" t="n">
        <f aca="false">+IF(C69&lt;&gt;0,(G69-C69)/C69,ABS(G69-C69))</f>
        <v>0</v>
      </c>
      <c r="K69" s="160" t="n">
        <f aca="false">+IF(D69&lt;&gt;0,(H69-D69)/D69,0)</f>
        <v>0</v>
      </c>
      <c r="M69" s="162" t="n">
        <f aca="false">+IF(J69&lt;&gt;"",ABS(J69),0)</f>
        <v>0</v>
      </c>
      <c r="N69" s="162" t="n">
        <f aca="false">+IF(J69&lt;&gt;"",ABS(K69),0)</f>
        <v>0</v>
      </c>
    </row>
    <row r="70" customFormat="false" ht="17.35" hidden="false" customHeight="false" outlineLevel="0" collapsed="false">
      <c r="B70" s="151" t="s">
        <v>121</v>
      </c>
      <c r="C70" s="155" t="n">
        <f aca="false">Utilidad!A67</f>
        <v>392</v>
      </c>
      <c r="D70" s="156" t="n">
        <f aca="false">IF(Utilidad!C67&gt;1,Utilidad!C67/100,Utilidad!C67)</f>
        <v>0.5253</v>
      </c>
      <c r="F70" s="151" t="s">
        <v>121</v>
      </c>
      <c r="G70" s="155" t="n">
        <f aca="false">Utilidad!B67</f>
        <v>392</v>
      </c>
      <c r="H70" s="163" t="n">
        <f aca="false">IF(Utilidad!D67&gt;1,Utilidad!D67/100,Utilidad!D67)</f>
        <v>0.5253</v>
      </c>
      <c r="J70" s="160" t="n">
        <f aca="false">+IF(C70&lt;&gt;0,(G70-C70)/C70,ABS(G70-C70))</f>
        <v>0</v>
      </c>
      <c r="K70" s="160" t="n">
        <f aca="false">+IF(D70&lt;&gt;0,(H70-D70)/D70,0)</f>
        <v>0</v>
      </c>
      <c r="M70" s="162" t="n">
        <f aca="false">+IF(J70&lt;&gt;"",ABS(J70),0)</f>
        <v>0</v>
      </c>
      <c r="N70" s="162" t="n">
        <f aca="false">+IF(J70&lt;&gt;"",ABS(K70),0)</f>
        <v>0</v>
      </c>
    </row>
    <row r="71" customFormat="false" ht="17.35" hidden="false" customHeight="false" outlineLevel="0" collapsed="false">
      <c r="B71" s="151" t="s">
        <v>122</v>
      </c>
      <c r="C71" s="155" t="n">
        <f aca="false">Utilidad!A68</f>
        <v>441</v>
      </c>
      <c r="D71" s="156" t="n">
        <f aca="false">IF(Utilidad!C68&gt;1,Utilidad!C68/100,Utilidad!C68)</f>
        <v>0.549</v>
      </c>
      <c r="F71" s="151" t="s">
        <v>122</v>
      </c>
      <c r="G71" s="155" t="n">
        <f aca="false">Utilidad!B68</f>
        <v>441</v>
      </c>
      <c r="H71" s="163" t="n">
        <f aca="false">IF(Utilidad!D68&gt;1,Utilidad!D68/100,Utilidad!D68)</f>
        <v>0.549</v>
      </c>
      <c r="J71" s="160" t="n">
        <f aca="false">+IF(C71&lt;&gt;0,(G71-C71)/C71,ABS(G71-C71))</f>
        <v>0</v>
      </c>
      <c r="K71" s="160" t="n">
        <f aca="false">+IF(D71&lt;&gt;0,(H71-D71)/D71,0)</f>
        <v>0</v>
      </c>
      <c r="M71" s="162" t="n">
        <f aca="false">+IF(J71&lt;&gt;"",ABS(J71),0)</f>
        <v>0</v>
      </c>
      <c r="N71" s="162" t="n">
        <f aca="false">+IF(J71&lt;&gt;"",ABS(K71),0)</f>
        <v>0</v>
      </c>
    </row>
    <row r="72" customFormat="false" ht="15" hidden="false" customHeight="true" outlineLevel="0" collapsed="false">
      <c r="B72" s="151" t="s">
        <v>152</v>
      </c>
      <c r="C72" s="155" t="n">
        <f aca="false">Utilidad!A69</f>
        <v>0</v>
      </c>
      <c r="D72" s="156" t="n">
        <f aca="false">IF(Utilidad!C69&gt;1,Utilidad!C69/100,Utilidad!C69)</f>
        <v>0</v>
      </c>
      <c r="F72" s="151" t="s">
        <v>152</v>
      </c>
      <c r="G72" s="155" t="n">
        <f aca="false">Utilidad!B69</f>
        <v>0</v>
      </c>
      <c r="H72" s="163" t="n">
        <f aca="false">IF(Utilidad!D69&gt;1,Utilidad!D69/100,Utilidad!D69)</f>
        <v>0</v>
      </c>
      <c r="J72" s="160" t="n">
        <f aca="false">+IF(C72&lt;&gt;0,(G72-C72)/C72,ABS(G72-C72))</f>
        <v>0</v>
      </c>
      <c r="K72" s="160" t="n">
        <f aca="false">+IF(D72&lt;&gt;0,(H72-D72)/D72,0)</f>
        <v>0</v>
      </c>
      <c r="M72" s="162" t="n">
        <f aca="false">+IF(J72&lt;&gt;"",ABS(J72),0)</f>
        <v>0</v>
      </c>
      <c r="N72" s="162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">
    <cfRule type="expression" priority="2" aboveAverage="0" equalAverage="0" bottom="0" percent="0" rank="0" text="" dxfId="4">
      <formula>ABS(J4)&gt;=10%</formula>
    </cfRule>
  </conditionalFormatting>
  <conditionalFormatting sqref="J71:K72">
    <cfRule type="expression" priority="3" aboveAverage="0" equalAverage="0" bottom="0" percent="0" rank="0" text="" dxfId="4">
      <formula>ABS(J71)&gt;=10%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true" showOutlineSymbols="true" defaultGridColor="true" view="normal" topLeftCell="E125" colorId="64" zoomScale="80" zoomScaleNormal="80" zoomScalePageLayoutView="100" workbookViewId="0">
      <selection pane="topLeft" activeCell="J144" activeCellId="0" sqref="J144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8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70"/>
    </row>
    <row r="3" customFormat="false" ht="15" hidden="false" customHeight="false" outlineLevel="0" collapsed="false">
      <c r="B3" s="171"/>
      <c r="S3" s="172"/>
    </row>
    <row r="4" customFormat="false" ht="15" hidden="false" customHeight="false" outlineLevel="0" collapsed="false">
      <c r="B4" s="171"/>
      <c r="S4" s="172"/>
    </row>
    <row r="5" customFormat="false" ht="15" hidden="false" customHeight="false" outlineLevel="0" collapsed="false">
      <c r="B5" s="171"/>
      <c r="S5" s="172"/>
    </row>
    <row r="6" customFormat="false" ht="15" hidden="false" customHeight="false" outlineLevel="0" collapsed="false">
      <c r="B6" s="171"/>
      <c r="E6" s="173" t="n">
        <f aca="false">Flujos!G4</f>
        <v>122150</v>
      </c>
      <c r="S6" s="172"/>
    </row>
    <row r="7" customFormat="false" ht="15" hidden="false" customHeight="false" outlineLevel="0" collapsed="false">
      <c r="B7" s="171"/>
      <c r="E7" s="174" t="n">
        <f aca="false">Flujos!H4</f>
        <v>0.29498952501</v>
      </c>
      <c r="I7" s="173" t="n">
        <f aca="false">+Utilidad!J65</f>
        <v>0</v>
      </c>
      <c r="L7" s="175" t="n">
        <f aca="false">+Utilidad!J68</f>
        <v>0</v>
      </c>
      <c r="Q7" s="175" t="n">
        <f aca="false">Flujos!G12</f>
        <v>21435.044983</v>
      </c>
      <c r="S7" s="172"/>
    </row>
    <row r="8" customFormat="false" ht="15" hidden="false" customHeight="false" outlineLevel="0" collapsed="false">
      <c r="B8" s="171"/>
      <c r="E8" s="176" t="n">
        <f aca="false">E6*E7</f>
        <v>36032.9704799715</v>
      </c>
      <c r="I8" s="174" t="n">
        <f aca="false">+Utilidad!K65</f>
        <v>0</v>
      </c>
      <c r="L8" s="177" t="n">
        <f aca="false">+Utilidad!K68</f>
        <v>0</v>
      </c>
      <c r="Q8" s="177" t="n">
        <f aca="false">Flujos!H12</f>
        <v>0.15974666492</v>
      </c>
      <c r="S8" s="172"/>
    </row>
    <row r="9" customFormat="false" ht="15" hidden="false" customHeight="false" outlineLevel="0" collapsed="false">
      <c r="B9" s="171"/>
      <c r="I9" s="176" t="n">
        <f aca="false">+Utilidad!L65</f>
        <v>0</v>
      </c>
      <c r="L9" s="178" t="n">
        <f aca="false">+Utilidad!L68</f>
        <v>0</v>
      </c>
      <c r="Q9" s="178" t="n">
        <f aca="false">Q7*Q8</f>
        <v>3424.17694844443</v>
      </c>
      <c r="S9" s="172"/>
    </row>
    <row r="10" customFormat="false" ht="15" hidden="false" customHeight="false" outlineLevel="0" collapsed="false">
      <c r="B10" s="171"/>
      <c r="E10" s="173" t="n">
        <f aca="false">+Utilidad!J63</f>
        <v>0</v>
      </c>
      <c r="S10" s="172"/>
    </row>
    <row r="11" customFormat="false" ht="15" hidden="false" customHeight="false" outlineLevel="0" collapsed="false">
      <c r="B11" s="171"/>
      <c r="E11" s="174" t="n">
        <f aca="false">+Utilidad!K63</f>
        <v>0</v>
      </c>
      <c r="Q11" s="175" t="n">
        <f aca="false">+Utilidad!J71</f>
        <v>12796.955017</v>
      </c>
      <c r="S11" s="172"/>
    </row>
    <row r="12" customFormat="false" ht="15" hidden="false" customHeight="false" outlineLevel="0" collapsed="false">
      <c r="B12" s="171"/>
      <c r="C12" s="173" t="n">
        <f aca="false">+Utilidad!J101</f>
        <v>0</v>
      </c>
      <c r="E12" s="176" t="n">
        <f aca="false">+Utilidad!L63</f>
        <v>0</v>
      </c>
      <c r="Q12" s="177" t="n">
        <f aca="false">+Utilidad!K71</f>
        <v>0.082951951265</v>
      </c>
      <c r="S12" s="172"/>
    </row>
    <row r="13" customFormat="false" ht="15" hidden="false" customHeight="false" outlineLevel="0" collapsed="false">
      <c r="B13" s="171"/>
      <c r="C13" s="174" t="n">
        <f aca="false">+Utilidad!K101</f>
        <v>0</v>
      </c>
      <c r="H13" s="179" t="n">
        <f aca="false">+Utilidad!J66</f>
        <v>0</v>
      </c>
      <c r="N13" s="173" t="n">
        <f aca="false">+Utilidad!J72</f>
        <v>41025</v>
      </c>
      <c r="Q13" s="178" t="n">
        <f aca="false">+Utilidad!L71</f>
        <v>1061.53238891058</v>
      </c>
      <c r="S13" s="172"/>
    </row>
    <row r="14" customFormat="false" ht="15" hidden="false" customHeight="false" outlineLevel="0" collapsed="false">
      <c r="B14" s="171"/>
      <c r="C14" s="176" t="n">
        <f aca="false">+Utilidad!L101</f>
        <v>0</v>
      </c>
      <c r="H14" s="180" t="n">
        <f aca="false">+Utilidad!K66</f>
        <v>0</v>
      </c>
      <c r="J14" s="181" t="n">
        <f aca="false">+I7+H13-L14-L7</f>
        <v>0</v>
      </c>
      <c r="L14" s="175" t="n">
        <f aca="false">+Utilidad!J69</f>
        <v>0</v>
      </c>
      <c r="N14" s="174" t="n">
        <f aca="false">+Utilidad!K72</f>
        <v>0.42098</v>
      </c>
      <c r="S14" s="172"/>
    </row>
    <row r="15" customFormat="false" ht="15" hidden="false" customHeight="false" outlineLevel="0" collapsed="false">
      <c r="B15" s="171"/>
      <c r="G15" s="182" t="n">
        <f aca="false">Flujos!G6</f>
        <v>26963</v>
      </c>
      <c r="H15" s="183" t="n">
        <f aca="false">+Utilidad!L66</f>
        <v>0</v>
      </c>
      <c r="L15" s="177" t="n">
        <f aca="false">+Utilidad!K69</f>
        <v>0</v>
      </c>
      <c r="N15" s="176" t="n">
        <f aca="false">+Utilidad!L72</f>
        <v>17270.7045</v>
      </c>
      <c r="S15" s="172"/>
    </row>
    <row r="16" customFormat="false" ht="15" hidden="false" customHeight="false" outlineLevel="0" collapsed="false">
      <c r="B16" s="171"/>
      <c r="E16" s="184" t="n">
        <f aca="false">+C12-E10</f>
        <v>0</v>
      </c>
      <c r="G16" s="185" t="n">
        <f aca="false">Flujos!H6</f>
        <v>0.1206</v>
      </c>
      <c r="L16" s="178" t="n">
        <f aca="false">+Utilidad!L69</f>
        <v>0</v>
      </c>
      <c r="P16" s="126" t="s">
        <v>121</v>
      </c>
      <c r="S16" s="172"/>
    </row>
    <row r="17" customFormat="false" ht="15" hidden="false" customHeight="false" outlineLevel="0" collapsed="false">
      <c r="B17" s="171"/>
      <c r="G17" s="186" t="n">
        <f aca="false">G15*G16</f>
        <v>3251.7378</v>
      </c>
      <c r="P17" s="175" t="n">
        <f aca="false">Flujos!G70</f>
        <v>392</v>
      </c>
      <c r="S17" s="172"/>
    </row>
    <row r="18" customFormat="false" ht="15" hidden="false" customHeight="false" outlineLevel="0" collapsed="false">
      <c r="B18" s="171"/>
      <c r="K18" s="173" t="n">
        <f aca="false">Flujos!C56</f>
        <v>41596</v>
      </c>
      <c r="P18" s="177" t="n">
        <f aca="false">Flujos!H70</f>
        <v>0.5253</v>
      </c>
      <c r="S18" s="172"/>
    </row>
    <row r="19" customFormat="false" ht="15" hidden="false" customHeight="false" outlineLevel="0" collapsed="false">
      <c r="B19" s="171"/>
      <c r="K19" s="174" t="n">
        <f aca="false">Flujos!D56</f>
        <v>0.4527</v>
      </c>
      <c r="P19" s="178" t="n">
        <f aca="false">P17*P18</f>
        <v>205.9176</v>
      </c>
      <c r="S19" s="172"/>
    </row>
    <row r="20" customFormat="false" ht="15" hidden="false" customHeight="false" outlineLevel="0" collapsed="false">
      <c r="B20" s="171"/>
      <c r="K20" s="176" t="n">
        <f aca="false">K18*K19</f>
        <v>18830.5092</v>
      </c>
      <c r="L20" s="173" t="n">
        <f aca="false">+Utilidad!J76</f>
        <v>83697</v>
      </c>
      <c r="N20" s="181" t="n">
        <f aca="false">+L14+N13+K18-M22-L20</f>
        <v>-1076</v>
      </c>
      <c r="S20" s="172"/>
    </row>
    <row r="21" customFormat="false" ht="15" hidden="false" customHeight="false" outlineLevel="0" collapsed="false">
      <c r="B21" s="171"/>
      <c r="S21" s="172"/>
    </row>
    <row r="22" customFormat="false" ht="15" hidden="false" customHeight="false" outlineLevel="0" collapsed="false">
      <c r="B22" s="171"/>
      <c r="L22" s="174" t="n">
        <f aca="false">+Utilidad!K76</f>
        <v>0.43797188987</v>
      </c>
      <c r="M22" s="173" t="n">
        <f aca="false">+Utilidad!J74</f>
        <v>0</v>
      </c>
      <c r="O22" s="173" t="n">
        <f aca="false">+Utilidad!J73</f>
        <v>23460</v>
      </c>
      <c r="S22" s="172"/>
    </row>
    <row r="23" customFormat="false" ht="15" hidden="false" customHeight="false" outlineLevel="0" collapsed="false">
      <c r="B23" s="171"/>
      <c r="L23" s="176" t="n">
        <f aca="false">+Utilidad!L76</f>
        <v>36656.9332664494</v>
      </c>
      <c r="M23" s="174" t="n">
        <f aca="false">+Utilidad!K74</f>
        <v>0</v>
      </c>
      <c r="O23" s="174" t="n">
        <f aca="false">+Utilidad!K73</f>
        <v>0.50587309641</v>
      </c>
      <c r="S23" s="172"/>
    </row>
    <row r="24" customFormat="false" ht="15" hidden="false" customHeight="false" outlineLevel="0" collapsed="false">
      <c r="B24" s="171"/>
      <c r="M24" s="176" t="n">
        <f aca="false">+Utilidad!L74</f>
        <v>0</v>
      </c>
      <c r="O24" s="176" t="n">
        <f aca="false">+Utilidad!L73</f>
        <v>11867.7828417786</v>
      </c>
      <c r="Q24" s="126" t="e">
        <f aca="false">+(O22+N13)/(L7)</f>
        <v>#DIV/0!</v>
      </c>
      <c r="S24" s="172"/>
    </row>
    <row r="25" customFormat="false" ht="15" hidden="false" customHeight="false" outlineLevel="0" collapsed="false">
      <c r="B25" s="171"/>
      <c r="C25" s="187"/>
      <c r="G25" s="173" t="n">
        <f aca="false">+Utilidad!J105</f>
        <v>0</v>
      </c>
      <c r="S25" s="172"/>
    </row>
    <row r="26" customFormat="false" ht="15" hidden="false" customHeight="false" outlineLevel="0" collapsed="false">
      <c r="B26" s="171"/>
      <c r="C26" s="188" t="n">
        <f aca="false">+Utilidad!J103</f>
        <v>0</v>
      </c>
      <c r="G26" s="174" t="n">
        <f aca="false">+Utilidad!K105</f>
        <v>0</v>
      </c>
      <c r="S26" s="172"/>
    </row>
    <row r="27" customFormat="false" ht="15" hidden="false" customHeight="false" outlineLevel="0" collapsed="false">
      <c r="B27" s="171"/>
      <c r="C27" s="189" t="n">
        <f aca="false">+Utilidad!K103</f>
        <v>0</v>
      </c>
      <c r="G27" s="176" t="n">
        <f aca="false">+Utilidad!L105</f>
        <v>0</v>
      </c>
      <c r="Q27" s="126" t="n">
        <f aca="false">+(K28)/(L20+M22+O22)</f>
        <v>0.628022434371996</v>
      </c>
      <c r="S27" s="172"/>
    </row>
    <row r="28" customFormat="false" ht="15" hidden="false" customHeight="false" outlineLevel="0" collapsed="false">
      <c r="B28" s="171"/>
      <c r="C28" s="190" t="n">
        <f aca="false">+Utilidad!L103</f>
        <v>0</v>
      </c>
      <c r="K28" s="182" t="n">
        <f aca="false">+Utilidad!J78</f>
        <v>67297</v>
      </c>
      <c r="S28" s="172"/>
    </row>
    <row r="29" customFormat="false" ht="15" hidden="false" customHeight="false" outlineLevel="0" collapsed="false">
      <c r="B29" s="171"/>
      <c r="C29" s="187"/>
      <c r="F29" s="191" t="n">
        <f aca="false">+C26-G25</f>
        <v>0</v>
      </c>
      <c r="K29" s="185" t="n">
        <f aca="false">+Utilidad!K78</f>
        <v>0.665071</v>
      </c>
      <c r="M29" s="126" t="n">
        <f aca="false">K28/(L20+M22+O22)</f>
        <v>0.628022434371996</v>
      </c>
      <c r="O29" s="192" t="n">
        <f aca="false">O22+L20+M22</f>
        <v>107157</v>
      </c>
      <c r="S29" s="172"/>
    </row>
    <row r="30" customFormat="false" ht="15" hidden="false" customHeight="false" outlineLevel="0" collapsed="false">
      <c r="B30" s="171"/>
      <c r="C30" s="187"/>
      <c r="I30" s="182" t="n">
        <f aca="false">+Utilidad!J77</f>
        <v>39860</v>
      </c>
      <c r="K30" s="186" t="n">
        <f aca="false">+Utilidad!L78</f>
        <v>44757.283087</v>
      </c>
      <c r="O30" s="192" t="n">
        <f aca="false">O29-K28</f>
        <v>39860</v>
      </c>
      <c r="S30" s="172"/>
    </row>
    <row r="31" customFormat="false" ht="15" hidden="false" customHeight="false" outlineLevel="0" collapsed="false">
      <c r="B31" s="171"/>
      <c r="C31" s="187"/>
      <c r="I31" s="185" t="n">
        <f aca="false">+Utilidad!K77</f>
        <v>0.094516633742</v>
      </c>
      <c r="S31" s="172"/>
    </row>
    <row r="32" customFormat="false" ht="15" hidden="false" customHeight="false" outlineLevel="0" collapsed="false">
      <c r="B32" s="171"/>
      <c r="C32" s="187"/>
      <c r="I32" s="186" t="n">
        <f aca="false">I30*I31</f>
        <v>3767.43302095612</v>
      </c>
      <c r="S32" s="172"/>
    </row>
    <row r="33" customFormat="false" ht="15" hidden="false" customHeight="false" outlineLevel="0" collapsed="false">
      <c r="B33" s="171"/>
      <c r="C33" s="187"/>
      <c r="S33" s="172"/>
    </row>
    <row r="34" customFormat="false" ht="15" hidden="false" customHeight="false" outlineLevel="0" collapsed="false">
      <c r="B34" s="171"/>
      <c r="C34" s="187"/>
      <c r="G34" s="173" t="n">
        <f aca="false">+Utilidad!J108</f>
        <v>0</v>
      </c>
      <c r="L34" s="181"/>
      <c r="S34" s="172"/>
    </row>
    <row r="35" customFormat="false" ht="15" hidden="false" customHeight="false" outlineLevel="0" collapsed="false">
      <c r="B35" s="171"/>
      <c r="C35" s="188" t="n">
        <f aca="false">+Utilidad!J106</f>
        <v>0</v>
      </c>
      <c r="G35" s="174" t="n">
        <f aca="false">+Utilidad!K108</f>
        <v>0</v>
      </c>
      <c r="M35" s="192"/>
      <c r="N35" s="192"/>
      <c r="S35" s="172"/>
    </row>
    <row r="36" customFormat="false" ht="15" hidden="false" customHeight="false" outlineLevel="0" collapsed="false">
      <c r="B36" s="171"/>
      <c r="C36" s="189" t="n">
        <f aca="false">+Utilidad!K106</f>
        <v>0</v>
      </c>
      <c r="G36" s="176" t="n">
        <f aca="false">+Utilidad!L108</f>
        <v>0</v>
      </c>
      <c r="S36" s="172"/>
    </row>
    <row r="37" customFormat="false" ht="15" hidden="false" customHeight="false" outlineLevel="0" collapsed="false">
      <c r="B37" s="171"/>
      <c r="C37" s="190" t="n">
        <f aca="false">+Utilidad!L106</f>
        <v>0</v>
      </c>
      <c r="S37" s="172"/>
    </row>
    <row r="38" customFormat="false" ht="15" hidden="false" customHeight="false" outlineLevel="0" collapsed="false">
      <c r="B38" s="171"/>
      <c r="C38" s="187"/>
      <c r="F38" s="191" t="n">
        <f aca="false">+C35-G34</f>
        <v>0</v>
      </c>
      <c r="S38" s="172"/>
    </row>
    <row r="39" customFormat="false" ht="15" hidden="false" customHeight="false" outlineLevel="0" collapsed="false">
      <c r="B39" s="171"/>
      <c r="C39" s="187"/>
      <c r="K39" s="193" t="n">
        <f aca="false">K28-(I53+L53)</f>
        <v>-5361</v>
      </c>
      <c r="N39" s="192"/>
      <c r="S39" s="172"/>
    </row>
    <row r="40" customFormat="false" ht="15" hidden="false" customHeight="false" outlineLevel="0" collapsed="false">
      <c r="B40" s="171"/>
      <c r="C40" s="187"/>
      <c r="S40" s="172"/>
    </row>
    <row r="41" customFormat="false" ht="15" hidden="false" customHeight="false" outlineLevel="0" collapsed="false">
      <c r="B41" s="171"/>
      <c r="C41" s="187"/>
      <c r="S41" s="172"/>
    </row>
    <row r="42" customFormat="false" ht="15" hidden="false" customHeight="false" outlineLevel="0" collapsed="false">
      <c r="B42" s="171"/>
      <c r="C42" s="187"/>
      <c r="S42" s="172"/>
    </row>
    <row r="43" customFormat="false" ht="15" hidden="false" customHeight="false" outlineLevel="0" collapsed="false">
      <c r="B43" s="171"/>
      <c r="C43" s="187"/>
      <c r="S43" s="172"/>
    </row>
    <row r="44" customFormat="false" ht="15" hidden="false" customHeight="false" outlineLevel="0" collapsed="false">
      <c r="B44" s="171"/>
      <c r="C44" s="188" t="n">
        <f aca="false">+Utilidad!J109</f>
        <v>0</v>
      </c>
      <c r="G44" s="173" t="n">
        <f aca="false">+Utilidad!J111</f>
        <v>0</v>
      </c>
      <c r="S44" s="172"/>
    </row>
    <row r="45" customFormat="false" ht="15" hidden="false" customHeight="false" outlineLevel="0" collapsed="false">
      <c r="B45" s="171"/>
      <c r="C45" s="189" t="n">
        <f aca="false">+Utilidad!K109</f>
        <v>0</v>
      </c>
      <c r="G45" s="174" t="n">
        <f aca="false">+Utilidad!K111</f>
        <v>0</v>
      </c>
      <c r="S45" s="172"/>
    </row>
    <row r="46" customFormat="false" ht="15" hidden="false" customHeight="false" outlineLevel="0" collapsed="false">
      <c r="B46" s="171"/>
      <c r="C46" s="190" t="n">
        <f aca="false">+Utilidad!L109</f>
        <v>0</v>
      </c>
      <c r="G46" s="176" t="n">
        <f aca="false">+Utilidad!L111</f>
        <v>0</v>
      </c>
      <c r="S46" s="172"/>
    </row>
    <row r="47" customFormat="false" ht="15" hidden="false" customHeight="false" outlineLevel="0" collapsed="false">
      <c r="B47" s="171"/>
      <c r="C47" s="187"/>
      <c r="S47" s="172"/>
    </row>
    <row r="48" customFormat="false" ht="15" hidden="false" customHeight="false" outlineLevel="0" collapsed="false">
      <c r="B48" s="171"/>
      <c r="C48" s="187"/>
      <c r="F48" s="191" t="n">
        <f aca="false">+C44-G44</f>
        <v>0</v>
      </c>
      <c r="S48" s="172"/>
    </row>
    <row r="49" customFormat="false" ht="15" hidden="false" customHeight="false" outlineLevel="0" collapsed="false">
      <c r="B49" s="171"/>
      <c r="C49" s="187"/>
      <c r="S49" s="172"/>
    </row>
    <row r="50" customFormat="false" ht="15" hidden="false" customHeight="false" outlineLevel="0" collapsed="false">
      <c r="B50" s="171"/>
      <c r="C50" s="187"/>
      <c r="S50" s="172"/>
    </row>
    <row r="51" customFormat="false" ht="15" hidden="false" customHeight="false" outlineLevel="0" collapsed="false">
      <c r="B51" s="171"/>
      <c r="C51" s="187"/>
      <c r="S51" s="172"/>
    </row>
    <row r="52" customFormat="false" ht="15" hidden="false" customHeight="false" outlineLevel="0" collapsed="false">
      <c r="B52" s="171"/>
      <c r="C52" s="187"/>
      <c r="S52" s="172"/>
    </row>
    <row r="53" customFormat="false" ht="15" hidden="false" customHeight="false" outlineLevel="0" collapsed="false">
      <c r="B53" s="171"/>
      <c r="C53" s="187"/>
      <c r="I53" s="179" t="n">
        <f aca="false">+Utilidad!J82</f>
        <v>1453</v>
      </c>
      <c r="L53" s="179" t="n">
        <f aca="false">+Utilidad!J83</f>
        <v>71205</v>
      </c>
      <c r="S53" s="172"/>
    </row>
    <row r="54" customFormat="false" ht="15" hidden="false" customHeight="false" outlineLevel="0" collapsed="false">
      <c r="B54" s="171"/>
      <c r="C54" s="188" t="n">
        <f aca="false">+Utilidad!J112</f>
        <v>0</v>
      </c>
      <c r="I54" s="180" t="n">
        <f aca="false">+Utilidad!K82</f>
        <v>0.64646643925</v>
      </c>
      <c r="L54" s="180" t="n">
        <f aca="false">+Utilidad!K83</f>
        <v>0.6636863737</v>
      </c>
      <c r="S54" s="172"/>
    </row>
    <row r="55" customFormat="false" ht="15" hidden="false" customHeight="false" outlineLevel="0" collapsed="false">
      <c r="B55" s="171"/>
      <c r="C55" s="189" t="n">
        <f aca="false">+Utilidad!K112</f>
        <v>0</v>
      </c>
      <c r="I55" s="183" t="n">
        <f aca="false">+Utilidad!L82</f>
        <v>939.31573623025</v>
      </c>
      <c r="L55" s="183" t="n">
        <f aca="false">+Utilidad!L83</f>
        <v>47257.7882393085</v>
      </c>
      <c r="S55" s="172"/>
    </row>
    <row r="56" customFormat="false" ht="15" hidden="false" customHeight="false" outlineLevel="0" collapsed="false">
      <c r="B56" s="171"/>
      <c r="C56" s="190" t="n">
        <f aca="false">+Utilidad!L112</f>
        <v>0</v>
      </c>
      <c r="S56" s="172"/>
    </row>
    <row r="57" customFormat="false" ht="15" hidden="false" customHeight="false" outlineLevel="0" collapsed="false">
      <c r="B57" s="171"/>
      <c r="S57" s="172"/>
    </row>
    <row r="58" customFormat="false" ht="15" hidden="false" customHeight="false" outlineLevel="0" collapsed="false">
      <c r="B58" s="171"/>
      <c r="M58" s="175" t="n">
        <f aca="false">Flujos!G24</f>
        <v>1453</v>
      </c>
      <c r="N58" s="194" t="n">
        <f aca="false">+M58/(L53+I53)</f>
        <v>0.0199977979025021</v>
      </c>
      <c r="S58" s="172"/>
    </row>
    <row r="59" customFormat="false" ht="15" hidden="false" customHeight="false" outlineLevel="0" collapsed="false">
      <c r="B59" s="171"/>
      <c r="M59" s="177" t="n">
        <f aca="false">Flujos!H24</f>
        <v>0.64646643925</v>
      </c>
      <c r="S59" s="172"/>
    </row>
    <row r="60" customFormat="false" ht="15" hidden="false" customHeight="false" outlineLevel="0" collapsed="false">
      <c r="B60" s="171"/>
      <c r="M60" s="178" t="n">
        <f aca="false">M59*M58</f>
        <v>939.31573623025</v>
      </c>
      <c r="S60" s="172"/>
    </row>
    <row r="61" customFormat="false" ht="15" hidden="false" customHeight="false" outlineLevel="0" collapsed="false">
      <c r="B61" s="171"/>
      <c r="S61" s="172"/>
    </row>
    <row r="62" customFormat="false" ht="15" hidden="false" customHeight="false" outlineLevel="0" collapsed="false">
      <c r="B62" s="171"/>
      <c r="C62" s="173" t="n">
        <f aca="false">Flujos!C55</f>
        <v>41596</v>
      </c>
      <c r="S62" s="172"/>
    </row>
    <row r="63" customFormat="false" ht="15" hidden="false" customHeight="false" outlineLevel="0" collapsed="false">
      <c r="B63" s="171"/>
      <c r="C63" s="174" t="n">
        <f aca="false">Flujos!D55</f>
        <v>0.4527</v>
      </c>
      <c r="O63" s="179" t="n">
        <f aca="false">Flujos!G27</f>
        <v>4772</v>
      </c>
      <c r="S63" s="172"/>
    </row>
    <row r="64" customFormat="false" ht="15" hidden="false" customHeight="false" outlineLevel="0" collapsed="false">
      <c r="B64" s="171"/>
      <c r="C64" s="176" t="n">
        <f aca="false">C63*C62</f>
        <v>18830.5092</v>
      </c>
      <c r="O64" s="180" t="n">
        <f aca="false">Flujos!H27</f>
        <v>0.6482</v>
      </c>
      <c r="S64" s="172"/>
    </row>
    <row r="65" customFormat="false" ht="15" hidden="false" customHeight="false" outlineLevel="0" collapsed="false">
      <c r="B65" s="171"/>
      <c r="F65" s="179" t="n">
        <f aca="false">I112</f>
        <v>0</v>
      </c>
      <c r="G65" s="126" t="s">
        <v>153</v>
      </c>
      <c r="L65" s="175" t="n">
        <f aca="false">Flujos!G25</f>
        <v>71205</v>
      </c>
      <c r="O65" s="183" t="n">
        <f aca="false">O63*O64</f>
        <v>3093.2104</v>
      </c>
      <c r="S65" s="172"/>
    </row>
    <row r="66" customFormat="false" ht="15" hidden="false" customHeight="false" outlineLevel="0" collapsed="false">
      <c r="B66" s="171"/>
      <c r="F66" s="179" t="n">
        <f aca="false">I113</f>
        <v>2106</v>
      </c>
      <c r="G66" s="126" t="s">
        <v>154</v>
      </c>
      <c r="L66" s="177" t="n">
        <f aca="false">Flujos!H25</f>
        <v>0.6636863737</v>
      </c>
      <c r="S66" s="172"/>
    </row>
    <row r="67" customFormat="false" ht="15" hidden="false" customHeight="false" outlineLevel="0" collapsed="false">
      <c r="B67" s="171"/>
      <c r="F67" s="179" t="n">
        <f aca="false">I114</f>
        <v>0</v>
      </c>
      <c r="G67" s="126" t="s">
        <v>155</v>
      </c>
      <c r="L67" s="178" t="n">
        <f aca="false">L66*L65</f>
        <v>47257.7882393085</v>
      </c>
      <c r="N67" s="184" t="n">
        <f aca="false">Flujos!G26</f>
        <v>66433</v>
      </c>
      <c r="O67" s="179" t="n">
        <f aca="false">Flujos!G28</f>
        <v>0</v>
      </c>
      <c r="S67" s="172"/>
    </row>
    <row r="68" customFormat="false" ht="15" hidden="false" customHeight="false" outlineLevel="0" collapsed="false">
      <c r="B68" s="171"/>
      <c r="O68" s="180" t="n">
        <f aca="false">Flujos!H28</f>
        <v>0</v>
      </c>
      <c r="S68" s="172"/>
    </row>
    <row r="69" customFormat="false" ht="15" hidden="false" customHeight="false" outlineLevel="0" collapsed="false">
      <c r="B69" s="171"/>
      <c r="O69" s="183" t="n">
        <f aca="false">O67*O68</f>
        <v>0</v>
      </c>
      <c r="S69" s="172"/>
    </row>
    <row r="70" customFormat="false" ht="15" hidden="false" customHeight="false" outlineLevel="0" collapsed="false">
      <c r="B70" s="171"/>
      <c r="H70" s="179" t="n">
        <f aca="false">Flujos!G29</f>
        <v>0</v>
      </c>
      <c r="K70" s="179" t="n">
        <f aca="false">Flujos!G22</f>
        <v>0</v>
      </c>
      <c r="S70" s="172"/>
    </row>
    <row r="71" customFormat="false" ht="15" hidden="false" customHeight="false" outlineLevel="0" collapsed="false">
      <c r="B71" s="171"/>
      <c r="H71" s="180" t="n">
        <f aca="false">Flujos!H29</f>
        <v>0</v>
      </c>
      <c r="K71" s="180" t="n">
        <f aca="false">Flujos!H22</f>
        <v>0</v>
      </c>
      <c r="S71" s="172"/>
    </row>
    <row r="72" customFormat="false" ht="15" hidden="false" customHeight="false" outlineLevel="0" collapsed="false">
      <c r="B72" s="171"/>
      <c r="H72" s="183" t="n">
        <f aca="false">H70*H71</f>
        <v>0</v>
      </c>
      <c r="K72" s="183" t="n">
        <f aca="false">K70*K71</f>
        <v>0</v>
      </c>
      <c r="S72" s="172"/>
    </row>
    <row r="73" customFormat="false" ht="15" hidden="false" customHeight="false" outlineLevel="0" collapsed="false">
      <c r="B73" s="171"/>
      <c r="S73" s="172"/>
    </row>
    <row r="74" customFormat="false" ht="15" hidden="false" customHeight="false" outlineLevel="0" collapsed="false">
      <c r="B74" s="171"/>
      <c r="L74" s="179" t="n">
        <f aca="false">Flujos!G35</f>
        <v>0</v>
      </c>
      <c r="O74" s="179" t="n">
        <f aca="false">Flujos!G33</f>
        <v>0</v>
      </c>
      <c r="S74" s="172"/>
    </row>
    <row r="75" customFormat="false" ht="15" hidden="false" customHeight="false" outlineLevel="0" collapsed="false">
      <c r="B75" s="171"/>
      <c r="H75" s="179" t="n">
        <f aca="false">Flujos!G30</f>
        <v>0</v>
      </c>
      <c r="J75" s="184" t="n">
        <f aca="false">Flujos!G31</f>
        <v>0</v>
      </c>
      <c r="L75" s="180" t="n">
        <f aca="false">Flujos!H35</f>
        <v>0</v>
      </c>
      <c r="N75" s="184" t="n">
        <f aca="false">Flujos!G34</f>
        <v>7132</v>
      </c>
      <c r="O75" s="180" t="n">
        <f aca="false">Flujos!H33</f>
        <v>0</v>
      </c>
      <c r="S75" s="172"/>
    </row>
    <row r="76" customFormat="false" ht="15" hidden="false" customHeight="false" outlineLevel="0" collapsed="false">
      <c r="B76" s="171"/>
      <c r="H76" s="180" t="n">
        <f aca="false">Flujos!H30</f>
        <v>0</v>
      </c>
      <c r="L76" s="183" t="n">
        <f aca="false">L74*L75</f>
        <v>0</v>
      </c>
      <c r="O76" s="183" t="n">
        <f aca="false">O74*O75</f>
        <v>0</v>
      </c>
      <c r="S76" s="172"/>
    </row>
    <row r="77" customFormat="false" ht="15" hidden="false" customHeight="false" outlineLevel="0" collapsed="false">
      <c r="B77" s="171"/>
      <c r="H77" s="183" t="n">
        <f aca="false">H76*H75</f>
        <v>0</v>
      </c>
      <c r="S77" s="172"/>
    </row>
    <row r="78" customFormat="false" ht="15" hidden="false" customHeight="false" outlineLevel="0" collapsed="false">
      <c r="B78" s="171"/>
      <c r="L78" s="179" t="n">
        <f aca="false">Flujos!G36</f>
        <v>0</v>
      </c>
      <c r="S78" s="172"/>
    </row>
    <row r="79" customFormat="false" ht="15" hidden="false" customHeight="false" outlineLevel="0" collapsed="false">
      <c r="B79" s="171"/>
      <c r="L79" s="180" t="n">
        <f aca="false">Flujos!H36</f>
        <v>0</v>
      </c>
      <c r="Q79" s="179" t="n">
        <f aca="false">Flujos!G58</f>
        <v>0</v>
      </c>
      <c r="S79" s="172"/>
    </row>
    <row r="80" customFormat="false" ht="15" hidden="false" customHeight="false" outlineLevel="0" collapsed="false">
      <c r="B80" s="171"/>
      <c r="L80" s="183" t="n">
        <f aca="false">L79*L78</f>
        <v>0</v>
      </c>
      <c r="Q80" s="180" t="n">
        <f aca="false">Flujos!H58</f>
        <v>0</v>
      </c>
      <c r="S80" s="172"/>
    </row>
    <row r="81" customFormat="false" ht="15" hidden="false" customHeight="false" outlineLevel="0" collapsed="false">
      <c r="B81" s="171"/>
      <c r="Q81" s="183" t="n">
        <f aca="false">Q79*Q80</f>
        <v>0</v>
      </c>
      <c r="S81" s="172"/>
    </row>
    <row r="82" customFormat="false" ht="15" hidden="false" customHeight="false" outlineLevel="0" collapsed="false">
      <c r="B82" s="171"/>
      <c r="K82" s="179" t="n">
        <f aca="false">Flujos!G57</f>
        <v>5026</v>
      </c>
      <c r="S82" s="172"/>
    </row>
    <row r="83" customFormat="false" ht="15" hidden="false" customHeight="false" outlineLevel="0" collapsed="false">
      <c r="B83" s="171"/>
      <c r="K83" s="180" t="n">
        <f aca="false">Flujos!H57</f>
        <v>0.6371</v>
      </c>
      <c r="S83" s="172"/>
    </row>
    <row r="84" customFormat="false" ht="15" hidden="false" customHeight="false" outlineLevel="0" collapsed="false">
      <c r="B84" s="171"/>
      <c r="K84" s="183" t="n">
        <f aca="false">K82*K83</f>
        <v>3202.0646</v>
      </c>
      <c r="O84" s="179" t="n">
        <f aca="false">Flujos!G40</f>
        <v>1632</v>
      </c>
      <c r="S84" s="172"/>
    </row>
    <row r="85" customFormat="false" ht="15" hidden="false" customHeight="false" outlineLevel="0" collapsed="false">
      <c r="B85" s="171"/>
      <c r="H85" s="192" t="n">
        <f aca="false">5562+L74</f>
        <v>5562</v>
      </c>
      <c r="O85" s="180" t="n">
        <f aca="false">Flujos!H40</f>
        <v>0.5831</v>
      </c>
      <c r="S85" s="172"/>
    </row>
    <row r="86" customFormat="false" ht="15" hidden="false" customHeight="false" outlineLevel="0" collapsed="false">
      <c r="B86" s="171"/>
      <c r="K86" s="179" t="n">
        <f aca="false">+Utilidad!J98</f>
        <v>1632</v>
      </c>
      <c r="O86" s="183" t="n">
        <f aca="false">O84*O85</f>
        <v>951.6192</v>
      </c>
      <c r="S86" s="172"/>
    </row>
    <row r="87" customFormat="false" ht="15" hidden="false" customHeight="false" outlineLevel="0" collapsed="false">
      <c r="B87" s="171"/>
      <c r="K87" s="180" t="n">
        <f aca="false">+Utilidad!K98</f>
        <v>0.5831</v>
      </c>
      <c r="Q87" s="126" t="s">
        <v>147</v>
      </c>
      <c r="S87" s="172"/>
    </row>
    <row r="88" customFormat="false" ht="15" hidden="false" customHeight="false" outlineLevel="0" collapsed="false">
      <c r="B88" s="171"/>
      <c r="K88" s="183" t="n">
        <f aca="false">+Utilidad!L98</f>
        <v>951.6192</v>
      </c>
      <c r="N88" s="195" t="n">
        <f aca="false">+L90+K86-O84</f>
        <v>-1632</v>
      </c>
      <c r="S88" s="172"/>
    </row>
    <row r="89" customFormat="false" ht="15" hidden="false" customHeight="false" outlineLevel="0" collapsed="false">
      <c r="B89" s="171"/>
      <c r="S89" s="172"/>
    </row>
    <row r="90" customFormat="false" ht="15" hidden="false" customHeight="false" outlineLevel="0" collapsed="false">
      <c r="B90" s="171"/>
      <c r="L90" s="179" t="n">
        <f aca="false">+Utilidad!J97</f>
        <v>-1632</v>
      </c>
      <c r="R90" s="126" t="s">
        <v>148</v>
      </c>
      <c r="S90" s="172"/>
    </row>
    <row r="91" customFormat="false" ht="15" hidden="false" customHeight="false" outlineLevel="0" collapsed="false">
      <c r="B91" s="171"/>
      <c r="L91" s="180" t="n">
        <f aca="false">+Utilidad!K97</f>
        <v>0.5831</v>
      </c>
      <c r="S91" s="172"/>
    </row>
    <row r="92" customFormat="false" ht="15" hidden="false" customHeight="false" outlineLevel="0" collapsed="false">
      <c r="B92" s="171"/>
      <c r="L92" s="183" t="n">
        <f aca="false">+Utilidad!L97</f>
        <v>-951.6192</v>
      </c>
      <c r="S92" s="172"/>
    </row>
    <row r="93" customFormat="false" ht="15" hidden="false" customHeight="false" outlineLevel="0" collapsed="false">
      <c r="B93" s="171"/>
      <c r="P93" s="126" t="s">
        <v>149</v>
      </c>
      <c r="S93" s="172"/>
    </row>
    <row r="94" customFormat="false" ht="15" hidden="false" customHeight="false" outlineLevel="0" collapsed="false">
      <c r="B94" s="196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8"/>
      <c r="Q94" s="197"/>
      <c r="R94" s="197"/>
      <c r="S94" s="198"/>
    </row>
    <row r="95" customFormat="false" ht="15" hidden="false" customHeight="false" outlineLevel="0" collapsed="false">
      <c r="G95" s="199" t="s">
        <v>156</v>
      </c>
    </row>
    <row r="96" customFormat="false" ht="25.5" hidden="false" customHeight="true" outlineLevel="0" collapsed="false">
      <c r="G96" s="200" t="s">
        <v>10</v>
      </c>
      <c r="H96" s="200"/>
      <c r="I96" s="200"/>
      <c r="J96" s="201" t="s">
        <v>157</v>
      </c>
      <c r="K96" s="201"/>
      <c r="L96" s="201"/>
      <c r="M96" s="202" t="s">
        <v>47</v>
      </c>
      <c r="N96" s="202"/>
      <c r="O96" s="202"/>
      <c r="P96" s="202"/>
    </row>
    <row r="97" customFormat="false" ht="25.5" hidden="false" customHeight="true" outlineLevel="0" collapsed="false">
      <c r="G97" s="203" t="s">
        <v>158</v>
      </c>
      <c r="H97" s="203"/>
      <c r="I97" s="204" t="n">
        <f aca="false">+E6</f>
        <v>122150</v>
      </c>
      <c r="J97" s="205" t="s">
        <v>45</v>
      </c>
      <c r="K97" s="205"/>
      <c r="L97" s="206" t="n">
        <f aca="false">Flujos!G9</f>
        <v>0</v>
      </c>
      <c r="M97" s="207" t="s">
        <v>159</v>
      </c>
      <c r="N97" s="207"/>
      <c r="O97" s="207"/>
      <c r="P97" s="206" t="n">
        <f aca="false">+G15</f>
        <v>26963</v>
      </c>
    </row>
    <row r="98" customFormat="false" ht="25.5" hidden="false" customHeight="true" outlineLevel="0" collapsed="false">
      <c r="G98" s="203" t="s">
        <v>160</v>
      </c>
      <c r="H98" s="203"/>
      <c r="I98" s="204" t="n">
        <f aca="false">+C12</f>
        <v>0</v>
      </c>
      <c r="J98" s="207" t="s">
        <v>46</v>
      </c>
      <c r="K98" s="207"/>
      <c r="L98" s="206" t="n">
        <f aca="false">Flujos!G17</f>
        <v>-243</v>
      </c>
      <c r="M98" s="207" t="s">
        <v>140</v>
      </c>
      <c r="N98" s="207"/>
      <c r="O98" s="207"/>
      <c r="P98" s="206" t="n">
        <f aca="false">+Q7</f>
        <v>21435.044983</v>
      </c>
    </row>
    <row r="99" customFormat="false" ht="25.5" hidden="false" customHeight="true" outlineLevel="0" collapsed="false">
      <c r="G99" s="203" t="s">
        <v>161</v>
      </c>
      <c r="H99" s="203"/>
      <c r="I99" s="204" t="n">
        <f aca="false">+H13</f>
        <v>0</v>
      </c>
      <c r="J99" s="207" t="s">
        <v>162</v>
      </c>
      <c r="K99" s="207"/>
      <c r="L99" s="206" t="n">
        <v>0</v>
      </c>
      <c r="M99" s="207" t="s">
        <v>56</v>
      </c>
      <c r="N99" s="207"/>
      <c r="O99" s="207"/>
      <c r="P99" s="206" t="n">
        <f aca="false">+Q11</f>
        <v>12796.955017</v>
      </c>
    </row>
    <row r="100" customFormat="false" ht="25.5" hidden="false" customHeight="true" outlineLevel="0" collapsed="false">
      <c r="G100" s="208" t="s">
        <v>163</v>
      </c>
      <c r="H100" s="208"/>
      <c r="I100" s="204" t="n">
        <f aca="false">+C26</f>
        <v>0</v>
      </c>
      <c r="J100" s="207" t="s">
        <v>164</v>
      </c>
      <c r="K100" s="207"/>
      <c r="L100" s="206" t="n">
        <f aca="false">Flujos!G21</f>
        <v>-5362</v>
      </c>
      <c r="M100" s="207" t="s">
        <v>165</v>
      </c>
      <c r="N100" s="207"/>
      <c r="O100" s="207"/>
      <c r="P100" s="206" t="n">
        <f aca="false">+I30</f>
        <v>39860</v>
      </c>
    </row>
    <row r="101" customFormat="false" ht="25.5" hidden="false" customHeight="true" outlineLevel="0" collapsed="false">
      <c r="G101" s="208" t="s">
        <v>91</v>
      </c>
      <c r="H101" s="208"/>
      <c r="I101" s="204" t="n">
        <f aca="false">+C35</f>
        <v>0</v>
      </c>
      <c r="J101" s="207" t="s">
        <v>166</v>
      </c>
      <c r="K101" s="207"/>
      <c r="L101" s="206" t="n">
        <f aca="false">Flujos!G31</f>
        <v>0</v>
      </c>
      <c r="M101" s="207" t="s">
        <v>167</v>
      </c>
      <c r="N101" s="207"/>
      <c r="O101" s="207"/>
      <c r="P101" s="206" t="n">
        <f aca="false">+M58</f>
        <v>1453</v>
      </c>
    </row>
    <row r="102" customFormat="false" ht="25.5" hidden="false" customHeight="true" outlineLevel="0" collapsed="false">
      <c r="G102" s="208" t="s">
        <v>94</v>
      </c>
      <c r="H102" s="208"/>
      <c r="I102" s="204" t="n">
        <f aca="false">+C44</f>
        <v>0</v>
      </c>
      <c r="J102" s="207" t="s">
        <v>168</v>
      </c>
      <c r="K102" s="207"/>
      <c r="L102" s="206" t="n">
        <f aca="false">Flujos!G44</f>
        <v>0</v>
      </c>
      <c r="M102" s="207" t="s">
        <v>111</v>
      </c>
      <c r="N102" s="207"/>
      <c r="O102" s="207"/>
      <c r="P102" s="206" t="n">
        <f aca="false">+O63</f>
        <v>4772</v>
      </c>
    </row>
    <row r="103" customFormat="false" ht="25.5" hidden="false" customHeight="true" outlineLevel="0" collapsed="false">
      <c r="G103" s="208" t="s">
        <v>169</v>
      </c>
      <c r="H103" s="208"/>
      <c r="I103" s="204" t="n">
        <f aca="false">+C54</f>
        <v>0</v>
      </c>
      <c r="J103" s="207" t="s">
        <v>170</v>
      </c>
      <c r="K103" s="207"/>
      <c r="L103" s="206" t="n">
        <f aca="false">Flujos!G47</f>
        <v>0</v>
      </c>
      <c r="M103" s="207" t="s">
        <v>171</v>
      </c>
      <c r="N103" s="207"/>
      <c r="O103" s="207"/>
      <c r="P103" s="206" t="n">
        <f aca="false">+O67</f>
        <v>0</v>
      </c>
    </row>
    <row r="104" customFormat="false" ht="25.5" hidden="false" customHeight="true" outlineLevel="0" collapsed="false">
      <c r="G104" s="208" t="s">
        <v>172</v>
      </c>
      <c r="H104" s="208"/>
      <c r="I104" s="204" t="n">
        <f aca="false">+C62</f>
        <v>41596</v>
      </c>
      <c r="J104" s="207" t="s">
        <v>173</v>
      </c>
      <c r="K104" s="207"/>
      <c r="L104" s="206" t="n">
        <f aca="false">Flujos!G50</f>
        <v>0</v>
      </c>
      <c r="M104" s="207" t="s">
        <v>174</v>
      </c>
      <c r="N104" s="207"/>
      <c r="O104" s="207"/>
      <c r="P104" s="206" t="n">
        <f aca="false">+O74</f>
        <v>0</v>
      </c>
    </row>
    <row r="105" customFormat="false" ht="25.5" hidden="false" customHeight="true" outlineLevel="0" collapsed="false">
      <c r="G105" s="208" t="s">
        <v>175</v>
      </c>
      <c r="H105" s="208"/>
      <c r="I105" s="204" t="n">
        <f aca="false">+H70</f>
        <v>0</v>
      </c>
      <c r="J105" s="207" t="s">
        <v>176</v>
      </c>
      <c r="K105" s="207"/>
      <c r="L105" s="206" t="n">
        <f aca="false">Flujos!G53</f>
        <v>0</v>
      </c>
      <c r="M105" s="207" t="s">
        <v>113</v>
      </c>
      <c r="N105" s="207"/>
      <c r="O105" s="207"/>
      <c r="P105" s="206" t="n">
        <f aca="false">+O84</f>
        <v>1632</v>
      </c>
    </row>
    <row r="106" customFormat="false" ht="25.5" hidden="false" customHeight="true" outlineLevel="0" collapsed="false">
      <c r="G106" s="208" t="s">
        <v>177</v>
      </c>
      <c r="H106" s="208"/>
      <c r="I106" s="204" t="n">
        <f aca="false">+H75</f>
        <v>0</v>
      </c>
      <c r="J106" s="207" t="s">
        <v>178</v>
      </c>
      <c r="K106" s="207"/>
      <c r="L106" s="206" t="n">
        <f aca="false">Flujos!G42</f>
        <v>0</v>
      </c>
      <c r="M106" s="207" t="s">
        <v>143</v>
      </c>
      <c r="N106" s="207"/>
      <c r="O106" s="207"/>
      <c r="P106" s="206" t="n">
        <f aca="false">Q79</f>
        <v>0</v>
      </c>
    </row>
    <row r="107" customFormat="false" ht="25.5" hidden="false" customHeight="true" outlineLevel="0" collapsed="false">
      <c r="G107" s="209" t="s">
        <v>179</v>
      </c>
      <c r="H107" s="210"/>
      <c r="I107" s="204" t="n">
        <f aca="false">+L74</f>
        <v>0</v>
      </c>
      <c r="J107" s="207" t="s">
        <v>180</v>
      </c>
      <c r="K107" s="207"/>
      <c r="L107" s="206" t="n">
        <f aca="false">Flujos!G26</f>
        <v>66433</v>
      </c>
      <c r="M107" s="207" t="s">
        <v>181</v>
      </c>
      <c r="N107" s="207"/>
      <c r="O107" s="207"/>
      <c r="P107" s="206"/>
    </row>
    <row r="108" customFormat="false" ht="25.5" hidden="false" customHeight="true" outlineLevel="0" collapsed="false">
      <c r="G108" s="209" t="s">
        <v>182</v>
      </c>
      <c r="H108" s="210"/>
      <c r="I108" s="204" t="n">
        <f aca="false">+L78</f>
        <v>0</v>
      </c>
      <c r="J108" s="207" t="s">
        <v>183</v>
      </c>
      <c r="K108" s="207"/>
      <c r="L108" s="206" t="n">
        <f aca="false">Flujos!G34</f>
        <v>7132</v>
      </c>
      <c r="M108" s="211"/>
      <c r="N108" s="211"/>
      <c r="O108" s="211"/>
      <c r="P108" s="206"/>
    </row>
    <row r="109" customFormat="false" ht="25.5" hidden="false" customHeight="true" outlineLevel="0" collapsed="false">
      <c r="G109" s="209" t="s">
        <v>184</v>
      </c>
      <c r="H109" s="210"/>
      <c r="I109" s="204" t="n">
        <f aca="false">+K86</f>
        <v>1632</v>
      </c>
      <c r="J109" s="207" t="s">
        <v>185</v>
      </c>
      <c r="K109" s="207"/>
      <c r="L109" s="206" t="n">
        <f aca="false">Flujos!G39</f>
        <v>-1632</v>
      </c>
      <c r="M109" s="211"/>
      <c r="N109" s="211"/>
      <c r="O109" s="211"/>
      <c r="P109" s="206"/>
    </row>
    <row r="110" customFormat="false" ht="25.5" hidden="false" customHeight="true" outlineLevel="0" collapsed="false">
      <c r="G110" s="208" t="s">
        <v>186</v>
      </c>
      <c r="H110" s="208"/>
      <c r="I110" s="204" t="n">
        <f aca="false">+L90</f>
        <v>-1632</v>
      </c>
      <c r="J110" s="207" t="s">
        <v>187</v>
      </c>
      <c r="K110" s="207"/>
      <c r="L110" s="206" t="n">
        <f aca="false">Flujos!G69</f>
        <v>2055</v>
      </c>
      <c r="M110" s="207"/>
      <c r="N110" s="207"/>
      <c r="O110" s="207"/>
      <c r="P110" s="206"/>
    </row>
    <row r="111" customFormat="false" ht="25.5" hidden="false" customHeight="true" outlineLevel="0" collapsed="false">
      <c r="G111" s="208" t="s">
        <v>188</v>
      </c>
      <c r="H111" s="208"/>
      <c r="I111" s="204" t="n">
        <f aca="false">K82</f>
        <v>5026</v>
      </c>
      <c r="J111" s="207"/>
      <c r="K111" s="207"/>
      <c r="L111" s="206"/>
      <c r="M111" s="207"/>
      <c r="N111" s="207"/>
      <c r="O111" s="207"/>
      <c r="P111" s="206"/>
    </row>
    <row r="112" customFormat="false" ht="15" hidden="false" customHeight="false" outlineLevel="0" collapsed="false">
      <c r="G112" s="208" t="s">
        <v>189</v>
      </c>
      <c r="H112" s="208" t="s">
        <v>144</v>
      </c>
      <c r="I112" s="204" t="n">
        <f aca="false">Flujos!G59</f>
        <v>0</v>
      </c>
      <c r="J112" s="207"/>
      <c r="K112" s="207"/>
      <c r="L112" s="206"/>
      <c r="M112" s="207"/>
      <c r="N112" s="207"/>
      <c r="O112" s="207"/>
      <c r="P112" s="206"/>
    </row>
    <row r="113" customFormat="false" ht="15" hidden="false" customHeight="false" outlineLevel="0" collapsed="false">
      <c r="G113" s="208" t="s">
        <v>190</v>
      </c>
      <c r="H113" s="208" t="s">
        <v>145</v>
      </c>
      <c r="I113" s="204" t="n">
        <f aca="false">Flujos!G60</f>
        <v>2106</v>
      </c>
      <c r="J113" s="207"/>
      <c r="K113" s="207"/>
      <c r="L113" s="206"/>
      <c r="M113" s="207"/>
      <c r="N113" s="207"/>
      <c r="O113" s="207"/>
      <c r="P113" s="206"/>
    </row>
    <row r="114" customFormat="false" ht="15" hidden="false" customHeight="false" outlineLevel="0" collapsed="false">
      <c r="G114" s="208" t="s">
        <v>191</v>
      </c>
      <c r="H114" s="208" t="s">
        <v>146</v>
      </c>
      <c r="I114" s="204" t="n">
        <f aca="false">Flujos!G61</f>
        <v>0</v>
      </c>
      <c r="J114" s="207"/>
      <c r="K114" s="207"/>
      <c r="L114" s="206"/>
      <c r="M114" s="207"/>
      <c r="N114" s="207"/>
      <c r="O114" s="207"/>
      <c r="P114" s="206"/>
    </row>
    <row r="115" customFormat="false" ht="15" hidden="false" customHeight="false" outlineLevel="0" collapsed="false">
      <c r="G115" s="208" t="s">
        <v>192</v>
      </c>
      <c r="H115" s="208"/>
      <c r="I115" s="204" t="n">
        <f aca="false">Flujos!G62</f>
        <v>0</v>
      </c>
      <c r="J115" s="207"/>
      <c r="K115" s="207"/>
      <c r="L115" s="206"/>
      <c r="M115" s="207"/>
      <c r="N115" s="207"/>
      <c r="O115" s="207"/>
      <c r="P115" s="206"/>
    </row>
    <row r="116" customFormat="false" ht="15" hidden="false" customHeight="false" outlineLevel="0" collapsed="false">
      <c r="G116" s="208" t="s">
        <v>193</v>
      </c>
      <c r="H116" s="208"/>
      <c r="I116" s="204" t="n">
        <f aca="false">Flujos!G66</f>
        <v>0</v>
      </c>
      <c r="J116" s="207"/>
      <c r="K116" s="207"/>
      <c r="L116" s="206"/>
      <c r="M116" s="207"/>
      <c r="N116" s="207"/>
      <c r="O116" s="207"/>
      <c r="P116" s="206"/>
    </row>
    <row r="117" customFormat="false" ht="15" hidden="false" customHeight="false" outlineLevel="0" collapsed="false">
      <c r="G117" s="209" t="s">
        <v>194</v>
      </c>
      <c r="H117" s="210"/>
      <c r="I117" s="204" t="n">
        <f aca="false">Flujos!G67</f>
        <v>0</v>
      </c>
      <c r="J117" s="212"/>
      <c r="K117" s="212"/>
      <c r="L117" s="206"/>
      <c r="M117" s="207"/>
      <c r="N117" s="207"/>
      <c r="O117" s="207"/>
      <c r="P117" s="206"/>
    </row>
    <row r="118" customFormat="false" ht="15" hidden="false" customHeight="false" outlineLevel="0" collapsed="false">
      <c r="G118" s="209" t="s">
        <v>195</v>
      </c>
      <c r="H118" s="210"/>
      <c r="I118" s="204" t="n">
        <f aca="false">Flujos!G70</f>
        <v>392</v>
      </c>
      <c r="J118" s="212"/>
      <c r="K118" s="212"/>
      <c r="L118" s="206"/>
      <c r="M118" s="207"/>
      <c r="N118" s="207"/>
      <c r="O118" s="207"/>
      <c r="P118" s="206"/>
    </row>
    <row r="119" customFormat="false" ht="15" hidden="false" customHeight="false" outlineLevel="0" collapsed="false">
      <c r="G119" s="209" t="s">
        <v>196</v>
      </c>
      <c r="H119" s="210"/>
      <c r="I119" s="204" t="n">
        <f aca="false">Flujos!G72</f>
        <v>0</v>
      </c>
      <c r="J119" s="207"/>
      <c r="K119" s="207"/>
      <c r="L119" s="206"/>
      <c r="M119" s="207"/>
      <c r="N119" s="207"/>
      <c r="O119" s="207"/>
      <c r="P119" s="206"/>
    </row>
    <row r="120" customFormat="false" ht="27.75" hidden="false" customHeight="true" outlineLevel="0" collapsed="false">
      <c r="G120" s="0"/>
      <c r="H120" s="0"/>
      <c r="I120" s="0"/>
      <c r="J120" s="0"/>
      <c r="K120" s="0"/>
      <c r="M120" s="0"/>
      <c r="N120" s="0"/>
      <c r="P120" s="0"/>
    </row>
    <row r="121" customFormat="false" ht="27.75" hidden="false" customHeight="true" outlineLevel="0" collapsed="false">
      <c r="G121" s="213" t="s">
        <v>197</v>
      </c>
      <c r="H121" s="213"/>
      <c r="I121" s="214" t="n">
        <f aca="false">+SUM(I97:I119)</f>
        <v>171270</v>
      </c>
      <c r="J121" s="215" t="s">
        <v>198</v>
      </c>
      <c r="K121" s="215"/>
      <c r="L121" s="216" t="n">
        <f aca="false">+SUM(L97:L110)</f>
        <v>68383</v>
      </c>
      <c r="M121" s="215" t="s">
        <v>199</v>
      </c>
      <c r="N121" s="215"/>
      <c r="O121" s="215"/>
      <c r="P121" s="214" t="n">
        <f aca="false">+SUM(P97:P110)</f>
        <v>108912</v>
      </c>
    </row>
    <row r="122" customFormat="false" ht="27.75" hidden="false" customHeight="true" outlineLevel="0" collapsed="false"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</row>
    <row r="123" customFormat="false" ht="27.75" hidden="false" customHeight="true" outlineLevel="0" collapsed="false">
      <c r="G123" s="217"/>
      <c r="J123" s="217"/>
      <c r="K123" s="217"/>
      <c r="L123" s="218" t="s">
        <v>200</v>
      </c>
      <c r="M123" s="219"/>
      <c r="N123" s="220"/>
      <c r="O123" s="219"/>
      <c r="P123" s="221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99" t="s">
        <v>201</v>
      </c>
    </row>
    <row r="127" customFormat="false" ht="27.75" hidden="false" customHeight="true" outlineLevel="0" collapsed="false">
      <c r="G127" s="222" t="s">
        <v>10</v>
      </c>
      <c r="H127" s="222"/>
      <c r="I127" s="222"/>
      <c r="J127" s="223" t="s">
        <v>157</v>
      </c>
      <c r="K127" s="223"/>
      <c r="L127" s="223"/>
      <c r="M127" s="224" t="s">
        <v>47</v>
      </c>
      <c r="N127" s="224"/>
      <c r="O127" s="224"/>
      <c r="P127" s="224"/>
    </row>
    <row r="128" customFormat="false" ht="27.75" hidden="false" customHeight="true" outlineLevel="0" collapsed="false">
      <c r="G128" s="203" t="s">
        <v>158</v>
      </c>
      <c r="H128" s="203"/>
      <c r="I128" s="204" t="n">
        <f aca="false">+E8</f>
        <v>36032.9704799715</v>
      </c>
      <c r="J128" s="205" t="s">
        <v>45</v>
      </c>
      <c r="K128" s="205"/>
      <c r="L128" s="206" t="n">
        <f aca="false">Flujos!G9*Flujos!H9</f>
        <v>0</v>
      </c>
      <c r="M128" s="207" t="s">
        <v>159</v>
      </c>
      <c r="N128" s="207"/>
      <c r="O128" s="207"/>
      <c r="P128" s="206" t="n">
        <f aca="false">+G17</f>
        <v>3251.7378</v>
      </c>
    </row>
    <row r="129" customFormat="false" ht="27.75" hidden="false" customHeight="true" outlineLevel="0" collapsed="false">
      <c r="G129" s="225" t="s">
        <v>160</v>
      </c>
      <c r="H129" s="226"/>
      <c r="I129" s="204" t="n">
        <f aca="false">+C14</f>
        <v>0</v>
      </c>
      <c r="J129" s="207" t="s">
        <v>46</v>
      </c>
      <c r="K129" s="207"/>
      <c r="L129" s="206" t="n">
        <f aca="false">Flujos!G17*Flujos!H17</f>
        <v>-107.69296620384</v>
      </c>
      <c r="M129" s="207" t="s">
        <v>140</v>
      </c>
      <c r="N129" s="207"/>
      <c r="O129" s="207"/>
      <c r="P129" s="206" t="n">
        <f aca="false">+Q9</f>
        <v>3424.17694844443</v>
      </c>
    </row>
    <row r="130" customFormat="false" ht="27.75" hidden="false" customHeight="true" outlineLevel="0" collapsed="false">
      <c r="G130" s="225" t="s">
        <v>161</v>
      </c>
      <c r="H130" s="227"/>
      <c r="I130" s="204" t="n">
        <f aca="false">+H15</f>
        <v>0</v>
      </c>
      <c r="J130" s="207" t="s">
        <v>162</v>
      </c>
      <c r="K130" s="207"/>
      <c r="L130" s="206" t="n">
        <v>0</v>
      </c>
      <c r="M130" s="207" t="s">
        <v>56</v>
      </c>
      <c r="N130" s="207"/>
      <c r="O130" s="207"/>
      <c r="P130" s="206" t="n">
        <f aca="false">+Q13</f>
        <v>1061.53238891058</v>
      </c>
    </row>
    <row r="131" customFormat="false" ht="27.75" hidden="false" customHeight="true" outlineLevel="0" collapsed="false">
      <c r="G131" s="209" t="s">
        <v>163</v>
      </c>
      <c r="H131" s="210"/>
      <c r="I131" s="204" t="n">
        <f aca="false">+C28</f>
        <v>0</v>
      </c>
      <c r="J131" s="207" t="s">
        <v>164</v>
      </c>
      <c r="K131" s="207"/>
      <c r="L131" s="206" t="n">
        <f aca="false">Flujos!G21*Flujos!H21</f>
        <v>-3439.82088845752</v>
      </c>
      <c r="M131" s="207" t="s">
        <v>165</v>
      </c>
      <c r="N131" s="207"/>
      <c r="O131" s="207"/>
      <c r="P131" s="206" t="n">
        <f aca="false">+I32</f>
        <v>3767.43302095612</v>
      </c>
    </row>
    <row r="132" customFormat="false" ht="27.75" hidden="false" customHeight="true" outlineLevel="0" collapsed="false">
      <c r="G132" s="209" t="s">
        <v>91</v>
      </c>
      <c r="H132" s="210"/>
      <c r="I132" s="204" t="n">
        <f aca="false">+C37</f>
        <v>0</v>
      </c>
      <c r="J132" s="207" t="s">
        <v>166</v>
      </c>
      <c r="K132" s="207"/>
      <c r="L132" s="206" t="n">
        <f aca="false">Flujos!G31*Flujos!H31</f>
        <v>0</v>
      </c>
      <c r="M132" s="207" t="s">
        <v>167</v>
      </c>
      <c r="N132" s="207"/>
      <c r="O132" s="207"/>
      <c r="P132" s="206" t="n">
        <f aca="false">+M60</f>
        <v>939.31573623025</v>
      </c>
    </row>
    <row r="133" customFormat="false" ht="27.75" hidden="false" customHeight="true" outlineLevel="0" collapsed="false">
      <c r="G133" s="209" t="s">
        <v>94</v>
      </c>
      <c r="H133" s="210"/>
      <c r="I133" s="204" t="n">
        <f aca="false">+C46</f>
        <v>0</v>
      </c>
      <c r="J133" s="207" t="s">
        <v>168</v>
      </c>
      <c r="K133" s="207"/>
      <c r="L133" s="206" t="n">
        <f aca="false">Flujos!G44*Flujos!H44</f>
        <v>0</v>
      </c>
      <c r="M133" s="207" t="s">
        <v>111</v>
      </c>
      <c r="N133" s="207"/>
      <c r="O133" s="207"/>
      <c r="P133" s="206" t="n">
        <f aca="false">+O65</f>
        <v>3093.2104</v>
      </c>
    </row>
    <row r="134" customFormat="false" ht="22.5" hidden="false" customHeight="true" outlineLevel="0" collapsed="false">
      <c r="G134" s="209" t="s">
        <v>169</v>
      </c>
      <c r="H134" s="210"/>
      <c r="I134" s="204" t="n">
        <f aca="false">+C56</f>
        <v>0</v>
      </c>
      <c r="J134" s="207" t="s">
        <v>170</v>
      </c>
      <c r="K134" s="207"/>
      <c r="L134" s="206" t="n">
        <f aca="false">Flujos!G47*Flujos!H47</f>
        <v>0</v>
      </c>
      <c r="M134" s="207" t="s">
        <v>171</v>
      </c>
      <c r="N134" s="207"/>
      <c r="O134" s="207"/>
      <c r="P134" s="206" t="n">
        <f aca="false">+O69</f>
        <v>0</v>
      </c>
    </row>
    <row r="135" customFormat="false" ht="15" hidden="false" customHeight="false" outlineLevel="0" collapsed="false">
      <c r="G135" s="209" t="s">
        <v>172</v>
      </c>
      <c r="H135" s="210"/>
      <c r="I135" s="204" t="n">
        <f aca="false">C64</f>
        <v>18830.5092</v>
      </c>
      <c r="J135" s="207" t="s">
        <v>173</v>
      </c>
      <c r="K135" s="207"/>
      <c r="L135" s="206" t="n">
        <f aca="false">Flujos!G50*Flujos!H50</f>
        <v>0</v>
      </c>
      <c r="M135" s="207" t="s">
        <v>174</v>
      </c>
      <c r="N135" s="207"/>
      <c r="O135" s="207"/>
      <c r="P135" s="206" t="n">
        <f aca="false">+O76</f>
        <v>0</v>
      </c>
    </row>
    <row r="136" customFormat="false" ht="15" hidden="false" customHeight="false" outlineLevel="0" collapsed="false">
      <c r="G136" s="209" t="s">
        <v>175</v>
      </c>
      <c r="H136" s="210"/>
      <c r="I136" s="204" t="n">
        <f aca="false">+H72</f>
        <v>0</v>
      </c>
      <c r="J136" s="207" t="s">
        <v>176</v>
      </c>
      <c r="K136" s="207"/>
      <c r="L136" s="206" t="n">
        <f aca="false">Flujos!G53*Flujos!H53</f>
        <v>0</v>
      </c>
      <c r="M136" s="207" t="s">
        <v>113</v>
      </c>
      <c r="N136" s="207"/>
      <c r="O136" s="207"/>
      <c r="P136" s="206" t="n">
        <f aca="false">+O86</f>
        <v>951.6192</v>
      </c>
    </row>
    <row r="137" customFormat="false" ht="15" hidden="false" customHeight="false" outlineLevel="0" collapsed="false">
      <c r="G137" s="209" t="s">
        <v>177</v>
      </c>
      <c r="H137" s="210"/>
      <c r="I137" s="204" t="n">
        <f aca="false">+H77</f>
        <v>0</v>
      </c>
      <c r="J137" s="207" t="s">
        <v>178</v>
      </c>
      <c r="K137" s="207"/>
      <c r="L137" s="206" t="n">
        <f aca="false">Flujos!G42*Flujos!H42</f>
        <v>0</v>
      </c>
      <c r="M137" s="207" t="s">
        <v>143</v>
      </c>
      <c r="N137" s="207"/>
      <c r="O137" s="207"/>
      <c r="P137" s="206" t="n">
        <f aca="false">Q81</f>
        <v>0</v>
      </c>
    </row>
    <row r="138" customFormat="false" ht="15" hidden="false" customHeight="false" outlineLevel="0" collapsed="false">
      <c r="G138" s="209" t="s">
        <v>179</v>
      </c>
      <c r="H138" s="210"/>
      <c r="I138" s="204" t="n">
        <f aca="false">+L76</f>
        <v>0</v>
      </c>
      <c r="J138" s="207" t="s">
        <v>180</v>
      </c>
      <c r="K138" s="207"/>
      <c r="L138" s="206" t="n">
        <f aca="false">Flujos!G26*Flujos!H26</f>
        <v>44164.5778393582</v>
      </c>
      <c r="M138" s="207" t="s">
        <v>181</v>
      </c>
      <c r="N138" s="207"/>
      <c r="O138" s="207"/>
      <c r="P138" s="206" t="n">
        <f aca="false">Flujos!G68*Flujos!H68</f>
        <v>0</v>
      </c>
    </row>
    <row r="139" customFormat="false" ht="15" hidden="false" customHeight="false" outlineLevel="0" collapsed="false">
      <c r="G139" s="209" t="s">
        <v>182</v>
      </c>
      <c r="H139" s="210"/>
      <c r="I139" s="204" t="n">
        <f aca="false">+L80</f>
        <v>0</v>
      </c>
      <c r="J139" s="207" t="s">
        <v>183</v>
      </c>
      <c r="K139" s="207"/>
      <c r="L139" s="206" t="n">
        <f aca="false">Flujos!G34*Flujos!H34</f>
        <v>4533.2671999656</v>
      </c>
      <c r="M139" s="211"/>
      <c r="N139" s="211"/>
      <c r="O139" s="211"/>
      <c r="P139" s="206"/>
    </row>
    <row r="140" customFormat="false" ht="15" hidden="false" customHeight="false" outlineLevel="0" collapsed="false">
      <c r="G140" s="209" t="s">
        <v>184</v>
      </c>
      <c r="H140" s="210"/>
      <c r="I140" s="204" t="n">
        <f aca="false">+K88</f>
        <v>951.6192</v>
      </c>
      <c r="J140" s="207" t="s">
        <v>185</v>
      </c>
      <c r="K140" s="207"/>
      <c r="L140" s="206" t="n">
        <f aca="false">Flujos!G39*Flujos!H39</f>
        <v>-951.6192</v>
      </c>
      <c r="M140" s="228"/>
      <c r="N140" s="229"/>
      <c r="O140" s="230"/>
      <c r="P140" s="206"/>
    </row>
    <row r="141" customFormat="false" ht="15" hidden="false" customHeight="false" outlineLevel="0" collapsed="false">
      <c r="G141" s="209" t="s">
        <v>186</v>
      </c>
      <c r="H141" s="210"/>
      <c r="I141" s="204" t="n">
        <f aca="false">+L92</f>
        <v>-951.6192</v>
      </c>
      <c r="J141" s="207" t="s">
        <v>187</v>
      </c>
      <c r="K141" s="207"/>
      <c r="L141" s="206" t="n">
        <f aca="false">Flujos!G69*Flujos!H69</f>
        <v>1152.2385</v>
      </c>
      <c r="M141" s="207"/>
      <c r="N141" s="207"/>
      <c r="O141" s="207"/>
      <c r="P141" s="206"/>
    </row>
    <row r="142" customFormat="false" ht="15" hidden="false" customHeight="false" outlineLevel="0" collapsed="false">
      <c r="G142" s="208" t="s">
        <v>188</v>
      </c>
      <c r="H142" s="208"/>
      <c r="I142" s="204" t="n">
        <f aca="false">K84</f>
        <v>3202.0646</v>
      </c>
      <c r="M142" s="207"/>
      <c r="N142" s="207"/>
      <c r="O142" s="207"/>
      <c r="P142" s="206"/>
    </row>
    <row r="143" customFormat="false" ht="15" hidden="false" customHeight="false" outlineLevel="0" collapsed="false">
      <c r="G143" s="208" t="s">
        <v>202</v>
      </c>
      <c r="H143" s="208"/>
      <c r="I143" s="204" t="n">
        <f aca="false">Flujos!G59*Flujos!H59</f>
        <v>0</v>
      </c>
      <c r="J143" s="207"/>
      <c r="K143" s="207"/>
      <c r="L143" s="206"/>
      <c r="M143" s="231"/>
      <c r="N143" s="231"/>
      <c r="O143" s="231"/>
      <c r="P143" s="206"/>
    </row>
    <row r="144" customFormat="false" ht="15" hidden="false" customHeight="false" outlineLevel="0" collapsed="false">
      <c r="G144" s="208" t="s">
        <v>203</v>
      </c>
      <c r="H144" s="208"/>
      <c r="I144" s="204" t="n">
        <f aca="false">Flujos!G60*Flujos!H60</f>
        <v>1331.2026</v>
      </c>
      <c r="J144" s="207"/>
      <c r="K144" s="207"/>
      <c r="L144" s="206"/>
      <c r="M144" s="231"/>
      <c r="N144" s="231"/>
      <c r="O144" s="231"/>
      <c r="P144" s="206"/>
    </row>
    <row r="145" customFormat="false" ht="15" hidden="false" customHeight="false" outlineLevel="0" collapsed="false">
      <c r="G145" s="208" t="s">
        <v>204</v>
      </c>
      <c r="H145" s="208"/>
      <c r="I145" s="204" t="n">
        <f aca="false">Flujos!G61*Flujos!H61</f>
        <v>0</v>
      </c>
      <c r="J145" s="207"/>
      <c r="K145" s="207"/>
      <c r="L145" s="206"/>
      <c r="M145" s="231"/>
      <c r="N145" s="231"/>
      <c r="O145" s="231"/>
      <c r="P145" s="206"/>
    </row>
    <row r="146" customFormat="false" ht="15" hidden="false" customHeight="false" outlineLevel="0" collapsed="false">
      <c r="G146" s="208" t="s">
        <v>192</v>
      </c>
      <c r="H146" s="208"/>
      <c r="I146" s="204" t="n">
        <f aca="false">Flujos!G62*Flujos!H62</f>
        <v>0</v>
      </c>
      <c r="J146" s="207"/>
      <c r="K146" s="207"/>
      <c r="L146" s="206"/>
      <c r="M146" s="231"/>
      <c r="N146" s="231"/>
      <c r="O146" s="231"/>
      <c r="P146" s="206"/>
    </row>
    <row r="147" customFormat="false" ht="15" hidden="false" customHeight="false" outlineLevel="0" collapsed="false">
      <c r="G147" s="208" t="s">
        <v>193</v>
      </c>
      <c r="H147" s="208"/>
      <c r="I147" s="204" t="n">
        <f aca="false">Flujos!G66*Flujos!H66</f>
        <v>0</v>
      </c>
      <c r="J147" s="207"/>
      <c r="K147" s="207"/>
      <c r="L147" s="206"/>
      <c r="M147" s="207"/>
      <c r="N147" s="207"/>
      <c r="O147" s="207"/>
      <c r="P147" s="206"/>
    </row>
    <row r="148" customFormat="false" ht="15" hidden="false" customHeight="false" outlineLevel="0" collapsed="false">
      <c r="G148" s="209" t="s">
        <v>194</v>
      </c>
      <c r="H148" s="210"/>
      <c r="I148" s="204" t="n">
        <f aca="false">Flujos!G67*Flujos!H67</f>
        <v>0</v>
      </c>
      <c r="J148" s="207"/>
      <c r="K148" s="207"/>
      <c r="L148" s="206"/>
      <c r="M148" s="207"/>
      <c r="N148" s="207"/>
      <c r="O148" s="207"/>
      <c r="P148" s="206"/>
    </row>
    <row r="149" customFormat="false" ht="15" hidden="false" customHeight="false" outlineLevel="0" collapsed="false">
      <c r="G149" s="209" t="s">
        <v>195</v>
      </c>
      <c r="H149" s="210"/>
      <c r="I149" s="204" t="n">
        <f aca="false">Flujos!G70*Flujos!H70</f>
        <v>205.9176</v>
      </c>
      <c r="J149" s="207"/>
      <c r="K149" s="207"/>
      <c r="L149" s="206"/>
      <c r="M149" s="207"/>
      <c r="N149" s="207"/>
      <c r="O149" s="207"/>
      <c r="P149" s="206"/>
    </row>
    <row r="150" customFormat="false" ht="15" hidden="false" customHeight="false" outlineLevel="0" collapsed="false">
      <c r="G150" s="209" t="s">
        <v>195</v>
      </c>
      <c r="H150" s="210"/>
      <c r="I150" s="204" t="n">
        <f aca="false">Flujos!G72*Flujos!H72</f>
        <v>0</v>
      </c>
      <c r="J150" s="207"/>
      <c r="K150" s="207"/>
      <c r="L150" s="206"/>
      <c r="M150" s="207"/>
      <c r="N150" s="207"/>
      <c r="O150" s="207"/>
      <c r="P150" s="206"/>
    </row>
    <row r="151" customFormat="false" ht="17.35" hidden="false" customHeight="false" outlineLevel="0" collapsed="false">
      <c r="G151" s="213" t="s">
        <v>197</v>
      </c>
      <c r="H151" s="213"/>
      <c r="I151" s="214" t="n">
        <f aca="false">+SUM(I128:I150)</f>
        <v>59602.6644799715</v>
      </c>
      <c r="J151" s="215" t="s">
        <v>198</v>
      </c>
      <c r="K151" s="215"/>
      <c r="L151" s="216" t="n">
        <f aca="false">+SUM(L128:L141)</f>
        <v>45350.9504846625</v>
      </c>
      <c r="M151" s="215" t="s">
        <v>199</v>
      </c>
      <c r="N151" s="215"/>
      <c r="O151" s="215"/>
      <c r="P151" s="214" t="n">
        <f aca="false">+SUM(P128:P141)</f>
        <v>16489.0254945414</v>
      </c>
    </row>
    <row r="152" customFormat="false" ht="15" hidden="false" customHeight="false" outlineLevel="0" collapsed="false"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</row>
    <row r="153" customFormat="false" ht="17.35" hidden="false" customHeight="false" outlineLevel="0" collapsed="false">
      <c r="G153" s="217"/>
      <c r="J153" s="217"/>
      <c r="K153" s="217"/>
      <c r="L153" s="218" t="s">
        <v>200</v>
      </c>
      <c r="M153" s="219"/>
      <c r="N153" s="220"/>
      <c r="O153" s="219"/>
      <c r="P153" s="221" t="n">
        <f aca="false">+I151-L151-P151</f>
        <v>-2237.3114992324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540C97C-D484-42F0-B390-54156533137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CD44E68F-D072-45FB-B7E2-10D781FE48E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B2789339-9D20-4ED5-AD6A-134334DFC78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21F0D6A6-107E-449F-912A-2BB7C59EC64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63CDCCB5-AE7A-4F72-9A7E-3353F6D129D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DD8EFDBD-A890-4F93-A4C9-BB856DE2E1C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C350D5EB-CE57-4FD8-B87E-5EDC6B185DD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2B17E6C8-5E20-4D50-AAA3-5AED1E77691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3AF7197D-A68F-4649-A1BE-B6ABFD1D1FF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8DBEA9BE-2C42-466C-8A69-318DDB564CC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71A2E8B4-1FDA-41DF-91C6-538FCB4E6F3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4095FB1C-C0AC-4BA0-A617-C8DF665354D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4C60B51A-D08C-446B-8760-46A568BFCF6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6A727339-6FC8-4EFE-9E58-DE615E2034E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2026-06-11T10:15:48Z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