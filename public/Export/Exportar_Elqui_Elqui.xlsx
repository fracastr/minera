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D50079E1-18E7-E743-8053-895205BE371E}" xr6:coauthVersionLast="47" xr6:coauthVersionMax="47" xr10:uidLastSave="{00000000-0000-0000-0000-000000000000}"/>
  <bookViews>
    <workbookView xWindow="0" yWindow="660" windowWidth="27040" windowHeight="1688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2" i="4" l="1"/>
  <c r="I143" i="4"/>
  <c r="I144" i="4"/>
  <c r="I145" i="4"/>
  <c r="I146" i="4"/>
  <c r="I141" i="4"/>
  <c r="I147" i="4"/>
  <c r="P149" i="4" s="1"/>
  <c r="P147" i="4"/>
  <c r="L147" i="4"/>
  <c r="I118" i="4"/>
  <c r="I113" i="4"/>
  <c r="I114" i="4"/>
  <c r="I115" i="4"/>
  <c r="I116" i="4"/>
  <c r="I117" i="4"/>
  <c r="I112" i="4"/>
  <c r="M59" i="7"/>
  <c r="N59" i="7"/>
  <c r="M60" i="7"/>
  <c r="N60" i="7"/>
  <c r="M61" i="7"/>
  <c r="N61" i="7"/>
  <c r="M62" i="7"/>
  <c r="N62" i="7"/>
  <c r="M63" i="7"/>
  <c r="N63" i="7"/>
  <c r="M64" i="7"/>
  <c r="N64" i="7"/>
  <c r="J59" i="7"/>
  <c r="K59" i="7"/>
  <c r="J60" i="7"/>
  <c r="K60" i="7"/>
  <c r="J61" i="7"/>
  <c r="K61" i="7"/>
  <c r="J62" i="7"/>
  <c r="K62" i="7"/>
  <c r="J63" i="7"/>
  <c r="K63" i="7"/>
  <c r="J64" i="7"/>
  <c r="K64" i="7"/>
  <c r="G59" i="7"/>
  <c r="H59" i="7"/>
  <c r="G60" i="7"/>
  <c r="H60" i="7"/>
  <c r="G61" i="7"/>
  <c r="H61" i="7"/>
  <c r="G62" i="7"/>
  <c r="H62" i="7"/>
  <c r="G63" i="7"/>
  <c r="H63" i="7"/>
  <c r="G64" i="7"/>
  <c r="H64" i="7"/>
  <c r="C59" i="7"/>
  <c r="D59" i="7"/>
  <c r="C60" i="7"/>
  <c r="D60" i="7"/>
  <c r="C61" i="7"/>
  <c r="D61" i="7"/>
  <c r="C62" i="7"/>
  <c r="D62" i="7"/>
  <c r="C63" i="7"/>
  <c r="D63" i="7"/>
  <c r="C64" i="7"/>
  <c r="D64" i="7"/>
  <c r="O30" i="4"/>
  <c r="O29" i="4"/>
  <c r="Q10" i="7"/>
  <c r="Q9" i="7"/>
  <c r="N13" i="8" l="1"/>
  <c r="N14" i="8"/>
  <c r="N15" i="8"/>
  <c r="P13" i="8"/>
  <c r="P15" i="8"/>
  <c r="G13" i="8" l="1"/>
  <c r="I29" i="8"/>
  <c r="J29" i="8"/>
  <c r="N10" i="8" l="1"/>
  <c r="G34" i="8"/>
  <c r="H34" i="8" s="1"/>
  <c r="I33" i="8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N23" i="8"/>
  <c r="O23" i="8" s="1"/>
  <c r="N21" i="8"/>
  <c r="O21" i="8" s="1"/>
  <c r="N19" i="8"/>
  <c r="O19" i="8" s="1"/>
  <c r="H13" i="8"/>
  <c r="L134" i="4"/>
  <c r="L109" i="4"/>
  <c r="I109" i="4"/>
  <c r="L103" i="4"/>
  <c r="I103" i="4"/>
  <c r="P97" i="4"/>
  <c r="K82" i="4"/>
  <c r="Q81" i="4"/>
  <c r="P135" i="4" s="1"/>
  <c r="L74" i="4"/>
  <c r="O64" i="4"/>
  <c r="I53" i="4"/>
  <c r="G34" i="4"/>
  <c r="I32" i="4"/>
  <c r="P129" i="4" s="1"/>
  <c r="Q24" i="4"/>
  <c r="C12" i="4"/>
  <c r="I98" i="4" s="1"/>
  <c r="H58" i="7"/>
  <c r="Q80" i="4" s="1"/>
  <c r="G58" i="7"/>
  <c r="Q79" i="4" s="1"/>
  <c r="P106" i="4" s="1"/>
  <c r="D58" i="7"/>
  <c r="K58" i="7" s="1"/>
  <c r="C58" i="7"/>
  <c r="J58" i="7" s="1"/>
  <c r="M58" i="7" s="1"/>
  <c r="H57" i="7"/>
  <c r="P21" i="8" s="1"/>
  <c r="G57" i="7"/>
  <c r="D57" i="7"/>
  <c r="K57" i="7" s="1"/>
  <c r="C57" i="7"/>
  <c r="J57" i="7" s="1"/>
  <c r="M57" i="7" s="1"/>
  <c r="H56" i="7"/>
  <c r="G56" i="7"/>
  <c r="D56" i="7"/>
  <c r="K56" i="7" s="1"/>
  <c r="C56" i="7"/>
  <c r="H55" i="7"/>
  <c r="I13" i="8" s="1"/>
  <c r="J13" i="8" s="1"/>
  <c r="G55" i="7"/>
  <c r="D55" i="7"/>
  <c r="C63" i="4" s="1"/>
  <c r="C55" i="7"/>
  <c r="N54" i="7"/>
  <c r="H54" i="7"/>
  <c r="G54" i="7"/>
  <c r="D54" i="7"/>
  <c r="K54" i="7" s="1"/>
  <c r="C54" i="7"/>
  <c r="J54" i="7" s="1"/>
  <c r="M54" i="7" s="1"/>
  <c r="H53" i="7"/>
  <c r="G53" i="7"/>
  <c r="L105" i="4" s="1"/>
  <c r="D53" i="7"/>
  <c r="K53" i="7" s="1"/>
  <c r="N53" i="7" s="1"/>
  <c r="C53" i="7"/>
  <c r="J53" i="7" s="1"/>
  <c r="M53" i="7" s="1"/>
  <c r="H52" i="7"/>
  <c r="G52" i="7"/>
  <c r="D52" i="7"/>
  <c r="K52" i="7" s="1"/>
  <c r="C52" i="7"/>
  <c r="J52" i="7" s="1"/>
  <c r="M52" i="7" s="1"/>
  <c r="N51" i="7"/>
  <c r="H51" i="7"/>
  <c r="G51" i="7"/>
  <c r="D51" i="7"/>
  <c r="K51" i="7" s="1"/>
  <c r="C51" i="7"/>
  <c r="J51" i="7" s="1"/>
  <c r="M51" i="7" s="1"/>
  <c r="H50" i="7"/>
  <c r="G50" i="7"/>
  <c r="D50" i="7"/>
  <c r="K50" i="7" s="1"/>
  <c r="C50" i="7"/>
  <c r="J50" i="7" s="1"/>
  <c r="M50" i="7" s="1"/>
  <c r="H49" i="7"/>
  <c r="G49" i="7"/>
  <c r="D49" i="7"/>
  <c r="K49" i="7" s="1"/>
  <c r="C49" i="7"/>
  <c r="J49" i="7" s="1"/>
  <c r="M49" i="7" s="1"/>
  <c r="H48" i="7"/>
  <c r="G48" i="7"/>
  <c r="D48" i="7"/>
  <c r="K48" i="7" s="1"/>
  <c r="N48" i="7" s="1"/>
  <c r="C48" i="7"/>
  <c r="J48" i="7" s="1"/>
  <c r="M48" i="7" s="1"/>
  <c r="H47" i="7"/>
  <c r="G47" i="7"/>
  <c r="D47" i="7"/>
  <c r="K47" i="7" s="1"/>
  <c r="C47" i="7"/>
  <c r="J47" i="7" s="1"/>
  <c r="M47" i="7" s="1"/>
  <c r="N46" i="7"/>
  <c r="H46" i="7"/>
  <c r="G46" i="7"/>
  <c r="D46" i="7"/>
  <c r="K46" i="7" s="1"/>
  <c r="C46" i="7"/>
  <c r="J46" i="7" s="1"/>
  <c r="M46" i="7" s="1"/>
  <c r="H45" i="7"/>
  <c r="G45" i="7"/>
  <c r="D45" i="7"/>
  <c r="K45" i="7" s="1"/>
  <c r="N45" i="7" s="1"/>
  <c r="C45" i="7"/>
  <c r="J45" i="7" s="1"/>
  <c r="M45" i="7" s="1"/>
  <c r="H44" i="7"/>
  <c r="G44" i="7"/>
  <c r="L131" i="4" s="1"/>
  <c r="D44" i="7"/>
  <c r="K44" i="7" s="1"/>
  <c r="C44" i="7"/>
  <c r="J44" i="7" s="1"/>
  <c r="M44" i="7" s="1"/>
  <c r="N43" i="7"/>
  <c r="H43" i="7"/>
  <c r="G43" i="7"/>
  <c r="D43" i="7"/>
  <c r="K43" i="7" s="1"/>
  <c r="C43" i="7"/>
  <c r="J43" i="7" s="1"/>
  <c r="M43" i="7" s="1"/>
  <c r="H42" i="7"/>
  <c r="G42" i="7"/>
  <c r="L135" i="4" s="1"/>
  <c r="D42" i="7"/>
  <c r="K42" i="7" s="1"/>
  <c r="C42" i="7"/>
  <c r="J42" i="7" s="1"/>
  <c r="M42" i="7" s="1"/>
  <c r="H41" i="7"/>
  <c r="G41" i="7"/>
  <c r="D41" i="7"/>
  <c r="K41" i="7" s="1"/>
  <c r="C41" i="7"/>
  <c r="J41" i="7" s="1"/>
  <c r="M41" i="7" s="1"/>
  <c r="H40" i="7"/>
  <c r="G40" i="7"/>
  <c r="D40" i="7"/>
  <c r="K40" i="7" s="1"/>
  <c r="C40" i="7"/>
  <c r="H39" i="7"/>
  <c r="G39" i="7"/>
  <c r="D39" i="7"/>
  <c r="C39" i="7"/>
  <c r="J39" i="7" s="1"/>
  <c r="M39" i="7" s="1"/>
  <c r="N38" i="7"/>
  <c r="H38" i="7"/>
  <c r="P23" i="8" s="1"/>
  <c r="G38" i="7"/>
  <c r="D38" i="7"/>
  <c r="K38" i="7" s="1"/>
  <c r="C38" i="7"/>
  <c r="J38" i="7" s="1"/>
  <c r="M38" i="7" s="1"/>
  <c r="H37" i="7"/>
  <c r="P22" i="8" s="1"/>
  <c r="G37" i="7"/>
  <c r="N22" i="8" s="1"/>
  <c r="O22" i="8" s="1"/>
  <c r="D37" i="7"/>
  <c r="K37" i="7" s="1"/>
  <c r="C37" i="7"/>
  <c r="H36" i="7"/>
  <c r="G36" i="7"/>
  <c r="L78" i="4" s="1"/>
  <c r="I108" i="4" s="1"/>
  <c r="D36" i="7"/>
  <c r="C36" i="7"/>
  <c r="H35" i="7"/>
  <c r="G35" i="7"/>
  <c r="D35" i="7"/>
  <c r="C35" i="7"/>
  <c r="J35" i="7" s="1"/>
  <c r="M35" i="7" s="1"/>
  <c r="H34" i="7"/>
  <c r="G34" i="7"/>
  <c r="D34" i="7"/>
  <c r="K34" i="7" s="1"/>
  <c r="C34" i="7"/>
  <c r="J34" i="7" s="1"/>
  <c r="M34" i="7" s="1"/>
  <c r="H33" i="7"/>
  <c r="G33" i="7"/>
  <c r="G21" i="8" s="1"/>
  <c r="H21" i="8" s="1"/>
  <c r="D33" i="7"/>
  <c r="K33" i="7" s="1"/>
  <c r="C33" i="7"/>
  <c r="H32" i="7"/>
  <c r="G32" i="7"/>
  <c r="D32" i="7"/>
  <c r="K32" i="7" s="1"/>
  <c r="C32" i="7"/>
  <c r="H31" i="7"/>
  <c r="I14" i="8" s="1"/>
  <c r="G31" i="7"/>
  <c r="D31" i="7"/>
  <c r="K31" i="7" s="1"/>
  <c r="C31" i="7"/>
  <c r="J31" i="7" s="1"/>
  <c r="M31" i="7" s="1"/>
  <c r="N30" i="7"/>
  <c r="H30" i="7"/>
  <c r="H76" i="4" s="1"/>
  <c r="H77" i="4" s="1"/>
  <c r="I135" i="4" s="1"/>
  <c r="G30" i="7"/>
  <c r="H75" i="4" s="1"/>
  <c r="I106" i="4" s="1"/>
  <c r="D30" i="7"/>
  <c r="K30" i="7" s="1"/>
  <c r="C30" i="7"/>
  <c r="J30" i="7" s="1"/>
  <c r="M30" i="7" s="1"/>
  <c r="H29" i="7"/>
  <c r="H71" i="4" s="1"/>
  <c r="G29" i="7"/>
  <c r="H70" i="4" s="1"/>
  <c r="D29" i="7"/>
  <c r="K29" i="7" s="1"/>
  <c r="C29" i="7"/>
  <c r="K28" i="7"/>
  <c r="H28" i="7"/>
  <c r="O68" i="4" s="1"/>
  <c r="G28" i="7"/>
  <c r="O67" i="4" s="1"/>
  <c r="P103" i="4" s="1"/>
  <c r="D28" i="7"/>
  <c r="C28" i="7"/>
  <c r="J28" i="7" s="1"/>
  <c r="M28" i="7" s="1"/>
  <c r="H27" i="7"/>
  <c r="I20" i="8" s="1"/>
  <c r="G27" i="7"/>
  <c r="O63" i="4" s="1"/>
  <c r="D27" i="7"/>
  <c r="K27" i="7" s="1"/>
  <c r="C27" i="7"/>
  <c r="H26" i="7"/>
  <c r="K26" i="7" s="1"/>
  <c r="G26" i="7"/>
  <c r="D26" i="7"/>
  <c r="C26" i="7"/>
  <c r="J26" i="7" s="1"/>
  <c r="M26" i="7" s="1"/>
  <c r="H25" i="7"/>
  <c r="G25" i="7"/>
  <c r="D25" i="7"/>
  <c r="K25" i="7" s="1"/>
  <c r="C25" i="7"/>
  <c r="H24" i="7"/>
  <c r="M59" i="4" s="1"/>
  <c r="G24" i="7"/>
  <c r="M58" i="4" s="1"/>
  <c r="D24" i="7"/>
  <c r="C24" i="7"/>
  <c r="J24" i="7" s="1"/>
  <c r="M24" i="7" s="1"/>
  <c r="H23" i="7"/>
  <c r="G23" i="7"/>
  <c r="D23" i="7"/>
  <c r="K23" i="7" s="1"/>
  <c r="C23" i="7"/>
  <c r="K22" i="7"/>
  <c r="H22" i="7"/>
  <c r="K71" i="4" s="1"/>
  <c r="G22" i="7"/>
  <c r="K70" i="4" s="1"/>
  <c r="D22" i="7"/>
  <c r="C22" i="7"/>
  <c r="J22" i="7" s="1"/>
  <c r="M22" i="7" s="1"/>
  <c r="H21" i="7"/>
  <c r="G21" i="7"/>
  <c r="I30" i="8" s="1"/>
  <c r="D21" i="7"/>
  <c r="K21" i="7" s="1"/>
  <c r="C21" i="7"/>
  <c r="H20" i="7"/>
  <c r="P10" i="8" s="1"/>
  <c r="Q10" i="8" s="1"/>
  <c r="G20" i="7"/>
  <c r="O10" i="8" s="1"/>
  <c r="D20" i="7"/>
  <c r="C20" i="7"/>
  <c r="J20" i="7" s="1"/>
  <c r="M20" i="7" s="1"/>
  <c r="H19" i="7"/>
  <c r="G19" i="7"/>
  <c r="D19" i="7"/>
  <c r="K19" i="7" s="1"/>
  <c r="C19" i="7"/>
  <c r="H18" i="7"/>
  <c r="K18" i="7" s="1"/>
  <c r="G18" i="7"/>
  <c r="D18" i="7"/>
  <c r="C18" i="7"/>
  <c r="J18" i="7" s="1"/>
  <c r="M18" i="7" s="1"/>
  <c r="H17" i="7"/>
  <c r="K17" i="7" s="1"/>
  <c r="G17" i="7"/>
  <c r="D17" i="7"/>
  <c r="C17" i="7"/>
  <c r="H16" i="7"/>
  <c r="K16" i="7" s="1"/>
  <c r="G16" i="7"/>
  <c r="J16" i="7" s="1"/>
  <c r="D16" i="7"/>
  <c r="C16" i="7"/>
  <c r="H15" i="7"/>
  <c r="K15" i="7" s="1"/>
  <c r="G15" i="7"/>
  <c r="J15" i="7" s="1"/>
  <c r="D15" i="7"/>
  <c r="C15" i="7"/>
  <c r="H14" i="7"/>
  <c r="K14" i="7" s="1"/>
  <c r="G14" i="7"/>
  <c r="J14" i="7" s="1"/>
  <c r="D14" i="7"/>
  <c r="C14" i="7"/>
  <c r="H13" i="7"/>
  <c r="K13" i="7" s="1"/>
  <c r="G13" i="7"/>
  <c r="J13" i="7" s="1"/>
  <c r="D13" i="7"/>
  <c r="C13" i="7"/>
  <c r="H12" i="7"/>
  <c r="G12" i="7"/>
  <c r="O13" i="8" s="1"/>
  <c r="D12" i="7"/>
  <c r="C12" i="7"/>
  <c r="K11" i="7"/>
  <c r="H11" i="7"/>
  <c r="G11" i="7"/>
  <c r="J11" i="7" s="1"/>
  <c r="D11" i="7"/>
  <c r="C11" i="7"/>
  <c r="H10" i="7"/>
  <c r="K10" i="7" s="1"/>
  <c r="G10" i="7"/>
  <c r="J10" i="7" s="1"/>
  <c r="D10" i="7"/>
  <c r="C10" i="7"/>
  <c r="H9" i="7"/>
  <c r="K9" i="7" s="1"/>
  <c r="G9" i="7"/>
  <c r="I28" i="8" s="1"/>
  <c r="D9" i="7"/>
  <c r="C9" i="7"/>
  <c r="H8" i="7"/>
  <c r="I12" i="8" s="1"/>
  <c r="G8" i="7"/>
  <c r="G12" i="8" s="1"/>
  <c r="H12" i="8" s="1"/>
  <c r="D8" i="7"/>
  <c r="C8" i="7"/>
  <c r="H7" i="7"/>
  <c r="K7" i="7" s="1"/>
  <c r="G7" i="7"/>
  <c r="D7" i="7"/>
  <c r="C7" i="7"/>
  <c r="J7" i="7" s="1"/>
  <c r="H6" i="7"/>
  <c r="P12" i="8" s="1"/>
  <c r="G6" i="7"/>
  <c r="N12" i="8" s="1"/>
  <c r="D6" i="7"/>
  <c r="C6" i="7"/>
  <c r="J6" i="7" s="1"/>
  <c r="K5" i="7"/>
  <c r="H5" i="7"/>
  <c r="I11" i="8" s="1"/>
  <c r="G5" i="7"/>
  <c r="G11" i="8" s="1"/>
  <c r="H11" i="8" s="1"/>
  <c r="D5" i="7"/>
  <c r="C5" i="7"/>
  <c r="J5" i="7" s="1"/>
  <c r="H4" i="7"/>
  <c r="I10" i="8" s="1"/>
  <c r="G4" i="7"/>
  <c r="G10" i="8" s="1"/>
  <c r="D4" i="7"/>
  <c r="C4" i="7"/>
  <c r="J4" i="7" s="1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K112" i="1"/>
  <c r="C55" i="4" s="1"/>
  <c r="J112" i="1"/>
  <c r="C54" i="4" s="1"/>
  <c r="K111" i="1"/>
  <c r="G45" i="4" s="1"/>
  <c r="J111" i="1"/>
  <c r="G44" i="4" s="1"/>
  <c r="K110" i="1"/>
  <c r="J110" i="1"/>
  <c r="L110" i="1" s="1"/>
  <c r="L109" i="1"/>
  <c r="C46" i="4" s="1"/>
  <c r="I131" i="4" s="1"/>
  <c r="K109" i="1"/>
  <c r="C45" i="4" s="1"/>
  <c r="J109" i="1"/>
  <c r="C44" i="4" s="1"/>
  <c r="K108" i="1"/>
  <c r="G35" i="4" s="1"/>
  <c r="J108" i="1"/>
  <c r="K107" i="1"/>
  <c r="J107" i="1"/>
  <c r="L107" i="1" s="1"/>
  <c r="K106" i="1"/>
  <c r="C36" i="4" s="1"/>
  <c r="J106" i="1"/>
  <c r="C35" i="4" s="1"/>
  <c r="L105" i="1"/>
  <c r="G27" i="4" s="1"/>
  <c r="K105" i="1"/>
  <c r="G26" i="4" s="1"/>
  <c r="J105" i="1"/>
  <c r="G25" i="4" s="1"/>
  <c r="K104" i="1"/>
  <c r="L104" i="1" s="1"/>
  <c r="J104" i="1"/>
  <c r="K103" i="1"/>
  <c r="C27" i="4" s="1"/>
  <c r="J103" i="1"/>
  <c r="C26" i="4" s="1"/>
  <c r="K102" i="1"/>
  <c r="J102" i="1"/>
  <c r="L102" i="1" s="1"/>
  <c r="L101" i="1"/>
  <c r="C14" i="4" s="1"/>
  <c r="I127" i="4" s="1"/>
  <c r="K101" i="1"/>
  <c r="C13" i="4" s="1"/>
  <c r="J101" i="1"/>
  <c r="K100" i="1"/>
  <c r="L100" i="1" s="1"/>
  <c r="J100" i="1"/>
  <c r="K99" i="1"/>
  <c r="J99" i="1"/>
  <c r="L99" i="1" s="1"/>
  <c r="K98" i="1"/>
  <c r="K87" i="4" s="1"/>
  <c r="J98" i="1"/>
  <c r="K86" i="4" s="1"/>
  <c r="L97" i="1"/>
  <c r="L92" i="4" s="1"/>
  <c r="I139" i="4" s="1"/>
  <c r="K97" i="1"/>
  <c r="L91" i="4" s="1"/>
  <c r="J97" i="1"/>
  <c r="L90" i="4" s="1"/>
  <c r="K96" i="1"/>
  <c r="L96" i="1" s="1"/>
  <c r="J96" i="1"/>
  <c r="K95" i="1"/>
  <c r="J95" i="1"/>
  <c r="L95" i="1" s="1"/>
  <c r="K94" i="1"/>
  <c r="J94" i="1"/>
  <c r="L94" i="1" s="1"/>
  <c r="L93" i="1"/>
  <c r="K93" i="1"/>
  <c r="J93" i="1"/>
  <c r="K92" i="1"/>
  <c r="L92" i="1" s="1"/>
  <c r="J92" i="1"/>
  <c r="K91" i="1"/>
  <c r="J91" i="1"/>
  <c r="L91" i="1" s="1"/>
  <c r="K90" i="1"/>
  <c r="J90" i="1"/>
  <c r="L90" i="1" s="1"/>
  <c r="L89" i="1"/>
  <c r="K89" i="1"/>
  <c r="J89" i="1"/>
  <c r="K88" i="1"/>
  <c r="L88" i="1" s="1"/>
  <c r="J88" i="1"/>
  <c r="K87" i="1"/>
  <c r="J87" i="1"/>
  <c r="L87" i="1" s="1"/>
  <c r="K86" i="1"/>
  <c r="J86" i="1"/>
  <c r="L86" i="1" s="1"/>
  <c r="L85" i="1"/>
  <c r="K85" i="1"/>
  <c r="J85" i="1"/>
  <c r="K84" i="1"/>
  <c r="L84" i="1" s="1"/>
  <c r="J84" i="1"/>
  <c r="K83" i="1"/>
  <c r="L54" i="4" s="1"/>
  <c r="J83" i="1"/>
  <c r="L53" i="4" s="1"/>
  <c r="K82" i="1"/>
  <c r="I54" i="4" s="1"/>
  <c r="J82" i="1"/>
  <c r="L82" i="1" s="1"/>
  <c r="I55" i="4" s="1"/>
  <c r="L81" i="1"/>
  <c r="K81" i="1"/>
  <c r="J81" i="1"/>
  <c r="K80" i="1"/>
  <c r="L80" i="1" s="1"/>
  <c r="J80" i="1"/>
  <c r="K79" i="1"/>
  <c r="J79" i="1"/>
  <c r="L79" i="1" s="1"/>
  <c r="K78" i="1"/>
  <c r="K29" i="4" s="1"/>
  <c r="J78" i="1"/>
  <c r="K28" i="4" s="1"/>
  <c r="L77" i="1"/>
  <c r="K77" i="1"/>
  <c r="I31" i="4" s="1"/>
  <c r="J77" i="1"/>
  <c r="I30" i="4" s="1"/>
  <c r="P100" i="4" s="1"/>
  <c r="K76" i="1"/>
  <c r="L22" i="4" s="1"/>
  <c r="J76" i="1"/>
  <c r="L20" i="4" s="1"/>
  <c r="K75" i="1"/>
  <c r="J75" i="1"/>
  <c r="L75" i="1" s="1"/>
  <c r="K74" i="1"/>
  <c r="M23" i="4" s="1"/>
  <c r="J74" i="1"/>
  <c r="M22" i="4" s="1"/>
  <c r="L73" i="1"/>
  <c r="O24" i="4" s="1"/>
  <c r="K73" i="1"/>
  <c r="O23" i="4" s="1"/>
  <c r="J73" i="1"/>
  <c r="O22" i="4" s="1"/>
  <c r="K72" i="1"/>
  <c r="N14" i="4" s="1"/>
  <c r="J72" i="1"/>
  <c r="N13" i="4" s="1"/>
  <c r="K71" i="1"/>
  <c r="Q12" i="4" s="1"/>
  <c r="J71" i="1"/>
  <c r="Q11" i="4" s="1"/>
  <c r="P99" i="4" s="1"/>
  <c r="K70" i="1"/>
  <c r="Q8" i="4" s="1"/>
  <c r="J70" i="1"/>
  <c r="Q7" i="4" s="1"/>
  <c r="L69" i="1"/>
  <c r="L16" i="4" s="1"/>
  <c r="K69" i="1"/>
  <c r="L15" i="4" s="1"/>
  <c r="J69" i="1"/>
  <c r="L14" i="4" s="1"/>
  <c r="K68" i="1"/>
  <c r="L68" i="1" s="1"/>
  <c r="L9" i="4" s="1"/>
  <c r="J68" i="1"/>
  <c r="L7" i="4" s="1"/>
  <c r="K67" i="1"/>
  <c r="J67" i="1"/>
  <c r="L67" i="1" s="1"/>
  <c r="K66" i="1"/>
  <c r="H14" i="4" s="1"/>
  <c r="J66" i="1"/>
  <c r="H13" i="4" s="1"/>
  <c r="I99" i="4" s="1"/>
  <c r="L65" i="1"/>
  <c r="I9" i="4" s="1"/>
  <c r="K65" i="1"/>
  <c r="I8" i="4" s="1"/>
  <c r="J65" i="1"/>
  <c r="I7" i="4" s="1"/>
  <c r="J14" i="4" s="1"/>
  <c r="K64" i="1"/>
  <c r="L64" i="1" s="1"/>
  <c r="J64" i="1"/>
  <c r="G15" i="4" s="1"/>
  <c r="K63" i="1"/>
  <c r="E11" i="4" s="1"/>
  <c r="J63" i="1"/>
  <c r="E10" i="4" s="1"/>
  <c r="K62" i="1"/>
  <c r="E7" i="4" s="1"/>
  <c r="J62" i="1"/>
  <c r="L62" i="1" s="1"/>
  <c r="E8" i="4" s="1"/>
  <c r="I126" i="4" s="1"/>
  <c r="O12" i="8" l="1"/>
  <c r="O16" i="8" s="1"/>
  <c r="N10" i="7"/>
  <c r="M10" i="7"/>
  <c r="H10" i="8"/>
  <c r="N5" i="7"/>
  <c r="M5" i="7"/>
  <c r="N14" i="7"/>
  <c r="M14" i="7"/>
  <c r="N16" i="7"/>
  <c r="M16" i="7"/>
  <c r="F48" i="4"/>
  <c r="I102" i="4"/>
  <c r="P101" i="4"/>
  <c r="N58" i="4"/>
  <c r="N11" i="7"/>
  <c r="M11" i="7"/>
  <c r="Q27" i="4"/>
  <c r="M29" i="4"/>
  <c r="K39" i="4"/>
  <c r="M6" i="7"/>
  <c r="N7" i="7"/>
  <c r="M7" i="7"/>
  <c r="N4" i="7"/>
  <c r="M4" i="7"/>
  <c r="N13" i="7"/>
  <c r="M13" i="7"/>
  <c r="N15" i="7"/>
  <c r="M15" i="7"/>
  <c r="N42" i="7"/>
  <c r="N50" i="7"/>
  <c r="N58" i="7"/>
  <c r="E16" i="4"/>
  <c r="L76" i="1"/>
  <c r="L23" i="4" s="1"/>
  <c r="K24" i="7"/>
  <c r="N24" i="7" s="1"/>
  <c r="P102" i="4"/>
  <c r="G20" i="8" s="1"/>
  <c r="H20" i="8" s="1"/>
  <c r="O65" i="4"/>
  <c r="P131" i="4" s="1"/>
  <c r="L79" i="4"/>
  <c r="L80" i="4" s="1"/>
  <c r="I137" i="4" s="1"/>
  <c r="P20" i="8"/>
  <c r="N47" i="7"/>
  <c r="E6" i="4"/>
  <c r="I97" i="4" s="1"/>
  <c r="I111" i="4"/>
  <c r="K84" i="4"/>
  <c r="I140" i="4" s="1"/>
  <c r="L129" i="4"/>
  <c r="J30" i="8" s="1"/>
  <c r="N16" i="8"/>
  <c r="L63" i="1"/>
  <c r="E12" i="4" s="1"/>
  <c r="N20" i="4"/>
  <c r="L71" i="1"/>
  <c r="Q13" i="4" s="1"/>
  <c r="P128" i="4" s="1"/>
  <c r="L103" i="1"/>
  <c r="C28" i="4" s="1"/>
  <c r="I129" i="4" s="1"/>
  <c r="L111" i="1"/>
  <c r="G46" i="4" s="1"/>
  <c r="J17" i="7"/>
  <c r="Q15" i="8"/>
  <c r="N28" i="7"/>
  <c r="J32" i="7"/>
  <c r="I21" i="8"/>
  <c r="J21" i="8" s="1"/>
  <c r="O75" i="4"/>
  <c r="K35" i="7"/>
  <c r="N35" i="7" s="1"/>
  <c r="J40" i="7"/>
  <c r="N44" i="7"/>
  <c r="N52" i="7"/>
  <c r="J56" i="7"/>
  <c r="K18" i="4"/>
  <c r="Q21" i="8"/>
  <c r="L8" i="4"/>
  <c r="P14" i="8"/>
  <c r="Q14" i="8" s="1"/>
  <c r="I100" i="4"/>
  <c r="F29" i="4"/>
  <c r="M60" i="4"/>
  <c r="P130" i="4" s="1"/>
  <c r="N34" i="7"/>
  <c r="F38" i="4"/>
  <c r="I101" i="4"/>
  <c r="L108" i="1"/>
  <c r="G36" i="4" s="1"/>
  <c r="K20" i="7"/>
  <c r="N20" i="7" s="1"/>
  <c r="N31" i="7"/>
  <c r="G16" i="4"/>
  <c r="G17" i="4"/>
  <c r="P126" i="4" s="1"/>
  <c r="L66" i="1"/>
  <c r="H15" i="4" s="1"/>
  <c r="I128" i="4" s="1"/>
  <c r="L74" i="1"/>
  <c r="M24" i="4" s="1"/>
  <c r="L98" i="1"/>
  <c r="K88" i="4" s="1"/>
  <c r="I138" i="4" s="1"/>
  <c r="L106" i="1"/>
  <c r="C37" i="4" s="1"/>
  <c r="I130" i="4" s="1"/>
  <c r="J21" i="7"/>
  <c r="K72" i="4"/>
  <c r="J25" i="7"/>
  <c r="L136" i="4"/>
  <c r="J32" i="8" s="1"/>
  <c r="N67" i="4"/>
  <c r="L107" i="4"/>
  <c r="I32" i="8"/>
  <c r="J29" i="7"/>
  <c r="J37" i="7"/>
  <c r="Q23" i="8"/>
  <c r="N41" i="7"/>
  <c r="N49" i="7"/>
  <c r="N57" i="7"/>
  <c r="O69" i="4"/>
  <c r="P132" i="4" s="1"/>
  <c r="L75" i="4"/>
  <c r="L76" i="4" s="1"/>
  <c r="I136" i="4" s="1"/>
  <c r="P19" i="8"/>
  <c r="Q19" i="8" s="1"/>
  <c r="G22" i="8"/>
  <c r="H22" i="8" s="1"/>
  <c r="O84" i="4"/>
  <c r="H85" i="4"/>
  <c r="I107" i="4"/>
  <c r="L97" i="4"/>
  <c r="J12" i="8"/>
  <c r="L72" i="1"/>
  <c r="N15" i="4" s="1"/>
  <c r="J11" i="8"/>
  <c r="Q12" i="8"/>
  <c r="I105" i="4"/>
  <c r="H72" i="4"/>
  <c r="I134" i="4" s="1"/>
  <c r="I22" i="8"/>
  <c r="J22" i="8" s="1"/>
  <c r="O85" i="4"/>
  <c r="C62" i="4"/>
  <c r="J55" i="7"/>
  <c r="O74" i="4"/>
  <c r="L83" i="1"/>
  <c r="L55" i="4" s="1"/>
  <c r="I110" i="4"/>
  <c r="J8" i="7"/>
  <c r="J9" i="7"/>
  <c r="J12" i="7"/>
  <c r="N18" i="7"/>
  <c r="N22" i="7"/>
  <c r="P18" i="8"/>
  <c r="Q18" i="8" s="1"/>
  <c r="L66" i="4"/>
  <c r="L67" i="4" s="1"/>
  <c r="N26" i="7"/>
  <c r="L108" i="4"/>
  <c r="N75" i="4"/>
  <c r="J36" i="7"/>
  <c r="Q22" i="8"/>
  <c r="K39" i="7"/>
  <c r="N39" i="7" s="1"/>
  <c r="L133" i="4"/>
  <c r="L100" i="4"/>
  <c r="L137" i="4"/>
  <c r="J33" i="8" s="1"/>
  <c r="L127" i="4"/>
  <c r="L98" i="4"/>
  <c r="P98" i="4"/>
  <c r="Q9" i="4"/>
  <c r="P127" i="4" s="1"/>
  <c r="L112" i="1"/>
  <c r="C56" i="4" s="1"/>
  <c r="I132" i="4" s="1"/>
  <c r="J10" i="8"/>
  <c r="Q13" i="8"/>
  <c r="N18" i="8"/>
  <c r="L65" i="4"/>
  <c r="L70" i="1"/>
  <c r="L78" i="1"/>
  <c r="K30" i="4" s="1"/>
  <c r="K4" i="7"/>
  <c r="K6" i="7"/>
  <c r="N6" i="7" s="1"/>
  <c r="K8" i="7"/>
  <c r="K12" i="7"/>
  <c r="J19" i="7"/>
  <c r="J23" i="7"/>
  <c r="J27" i="7"/>
  <c r="I31" i="8"/>
  <c r="G14" i="8"/>
  <c r="H14" i="8" s="1"/>
  <c r="L130" i="4"/>
  <c r="J31" i="8" s="1"/>
  <c r="L101" i="4"/>
  <c r="J75" i="4"/>
  <c r="J33" i="7"/>
  <c r="K36" i="7"/>
  <c r="I34" i="8"/>
  <c r="I35" i="8" s="1"/>
  <c r="O30" i="8" s="1"/>
  <c r="L138" i="4"/>
  <c r="J34" i="8" s="1"/>
  <c r="L132" i="4"/>
  <c r="L126" i="4"/>
  <c r="N20" i="8"/>
  <c r="O20" i="8" s="1"/>
  <c r="K83" i="4"/>
  <c r="L106" i="4"/>
  <c r="L104" i="4"/>
  <c r="G23" i="8"/>
  <c r="K19" i="4"/>
  <c r="K55" i="7"/>
  <c r="L102" i="4"/>
  <c r="I23" i="8"/>
  <c r="N30" i="8" l="1"/>
  <c r="M27" i="7"/>
  <c r="N27" i="7"/>
  <c r="N12" i="7"/>
  <c r="M12" i="7"/>
  <c r="M17" i="7"/>
  <c r="N17" i="7"/>
  <c r="M33" i="7"/>
  <c r="N33" i="7"/>
  <c r="M19" i="7"/>
  <c r="N19" i="7"/>
  <c r="N9" i="7"/>
  <c r="M9" i="7"/>
  <c r="L118" i="4"/>
  <c r="G18" i="8"/>
  <c r="M30" i="8" s="1"/>
  <c r="P30" i="8" s="1"/>
  <c r="J23" i="8"/>
  <c r="H23" i="8"/>
  <c r="M55" i="7"/>
  <c r="N55" i="7"/>
  <c r="M29" i="7"/>
  <c r="N29" i="7"/>
  <c r="H24" i="8"/>
  <c r="G24" i="8"/>
  <c r="M23" i="7"/>
  <c r="N23" i="7"/>
  <c r="M36" i="7"/>
  <c r="N36" i="7"/>
  <c r="I104" i="4"/>
  <c r="C64" i="4"/>
  <c r="I133" i="4" s="1"/>
  <c r="N24" i="8"/>
  <c r="O18" i="8"/>
  <c r="O24" i="8" s="1"/>
  <c r="N8" i="7"/>
  <c r="M8" i="7"/>
  <c r="K20" i="4"/>
  <c r="M32" i="7"/>
  <c r="N32" i="7"/>
  <c r="H18" i="8"/>
  <c r="J28" i="8"/>
  <c r="J35" i="8" s="1"/>
  <c r="O31" i="8" s="1"/>
  <c r="P105" i="4"/>
  <c r="O86" i="4"/>
  <c r="P134" i="4" s="1"/>
  <c r="M25" i="7"/>
  <c r="N25" i="7"/>
  <c r="Q16" i="8"/>
  <c r="M56" i="7"/>
  <c r="N56" i="7"/>
  <c r="N88" i="4"/>
  <c r="J20" i="8"/>
  <c r="J24" i="8" s="1"/>
  <c r="Q20" i="8"/>
  <c r="Q24" i="8" s="1"/>
  <c r="P104" i="4"/>
  <c r="P118" i="4" s="1"/>
  <c r="O76" i="4"/>
  <c r="P133" i="4" s="1"/>
  <c r="M37" i="7"/>
  <c r="N37" i="7"/>
  <c r="M21" i="7"/>
  <c r="N21" i="7"/>
  <c r="M40" i="7"/>
  <c r="N40" i="7"/>
  <c r="J14" i="8"/>
  <c r="J18" i="8" s="1"/>
  <c r="M31" i="8" s="1"/>
  <c r="N31" i="8" l="1"/>
  <c r="P31" i="8" s="1"/>
  <c r="P120" i="4"/>
</calcChain>
</file>

<file path=xl/sharedStrings.xml><?xml version="1.0" encoding="utf-8"?>
<sst xmlns="http://schemas.openxmlformats.org/spreadsheetml/2006/main" count="402" uniqueCount="181">
  <si>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</si>
  <si>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</si>
  <si>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</si>
  <si>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</si>
  <si>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</si>
  <si>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</si>
  <si>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</si>
  <si>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</si>
  <si>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</si>
  <si>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</si>
  <si>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</si>
  <si>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</si>
  <si>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</si>
  <si>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</si>
  <si>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</si>
  <si>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</si>
  <si>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</si>
  <si>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</si>
  <si>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</si>
  <si>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</si>
  <si>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</si>
  <si>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</si>
  <si>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</si>
  <si>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</si>
  <si>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</si>
  <si>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</si>
  <si>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</si>
  <si>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</si>
  <si>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</si>
  <si>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</si>
  <si>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</si>
  <si>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</si>
  <si>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</si>
  <si>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</si>
  <si>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</si>
  <si>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</si>
  <si>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</si>
  <si>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</si>
  <si>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</si>
  <si>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</si>
  <si>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</si>
  <si>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</si>
  <si>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</si>
  <si>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</si>
  <si>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</si>
  <si>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</si>
  <si>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</si>
  <si>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</si>
  <si>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</si>
  <si>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</si>
  <si>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</si>
  <si>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</si>
  <si>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</si>
  <si>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</si>
  <si>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</si>
  <si>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</si>
  <si>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</si>
  <si>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</si>
  <si>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</si>
  <si>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</si>
  <si>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</si>
  <si>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</si>
  <si>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</si>
  <si>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</si>
  <si>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</si>
  <si>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</si>
  <si>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</si>
  <si>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</si>
  <si>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</si>
  <si>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</si>
  <si>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</si>
  <si>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</si>
  <si>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</si>
  <si>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</si>
  <si>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</si>
  <si>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</si>
  <si>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</si>
  <si>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</si>
  <si>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</si>
  <si>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</si>
  <si>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</si>
  <si>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</si>
  <si>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</si>
  <si>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</si>
  <si>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</si>
  <si>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</si>
  <si>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</si>
  <si>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</si>
  <si>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</si>
  <si>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</si>
  <si>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</si>
  <si>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</si>
  <si>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</si>
  <si>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</si>
  <si>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</si>
  <si>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</si>
  <si>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</si>
  <si>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</si>
  <si>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</si>
  <si>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</si>
  <si>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</si>
  <si>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</si>
  <si>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</si>
  <si>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</si>
  <si>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</si>
  <si>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</si>
  <si>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</si>
  <si>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</si>
  <si>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</si>
  <si>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</si>
  <si>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</si>
  <si>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</si>
  <si>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</si>
  <si>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</si>
  <si>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</si>
  <si>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</si>
  <si>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</si>
  <si>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</si>
  <si>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</si>
  <si>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</si>
  <si>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</si>
  <si>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</si>
  <si>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</si>
  <si>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</si>
  <si>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</si>
  <si>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</si>
  <si>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</si>
  <si>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</si>
  <si>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</si>
  <si>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</si>
  <si>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</si>
  <si>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</si>
  <si>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</si>
  <si>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</si>
  <si>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</si>
  <si>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</si>
  <si>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</si>
  <si>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</si>
  <si>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</si>
  <si>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</si>
  <si>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</si>
  <si>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</si>
  <si>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</si>
  <si>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</si>
  <si>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</si>
  <si>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</si>
  <si>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</si>
  <si>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</si>
  <si>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</si>
  <si>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</si>
  <si>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</si>
  <si>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</si>
  <si>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</si>
  <si>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</si>
  <si>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</si>
  <si>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</si>
  <si>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</si>
  <si>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</si>
  <si>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</si>
  <si>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</si>
  <si>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</si>
  <si>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Recep Infiernillo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</si>
  <si>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</si>
  <si>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</si>
  <si>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</si>
  <si>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</si>
  <si>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</si>
  <si>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</si>
  <si>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</si>
  <si>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</si>
  <si>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</si>
  <si>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</si>
  <si>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</si>
  <si>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</si>
  <si>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</si>
  <si>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</si>
  <si>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</si>
  <si>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</si>
  <si>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</si>
  <si>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</si>
  <si>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PLEITO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</si>
</sst>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7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99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9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9" fontId="17" fillId="0" borderId="1" xfId="2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5" fontId="18" fillId="3" borderId="38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9" fontId="17" fillId="0" borderId="1" xfId="2" applyFont="1" applyBorder="1" applyAlignment="1">
      <alignment horizontal="center"/>
    </xf>
    <xf numFmtId="3" fontId="17" fillId="3" borderId="1" xfId="3" applyNumberFormat="1" applyFont="1" applyFill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6" xfId="3" applyNumberFormat="1" applyFont="1" applyBorder="1"/>
    <xf numFmtId="169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0" fontId="24" fillId="0" borderId="0" xfId="0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/>
    </xf>
    <xf numFmtId="3" fontId="25" fillId="0" borderId="0" xfId="0" applyNumberFormat="1" applyFont="1"/>
    <xf numFmtId="10" fontId="25" fillId="0" borderId="0" xfId="0" applyNumberFormat="1" applyFont="1"/>
    <xf numFmtId="0" fontId="25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7" fillId="0" borderId="1" xfId="0" applyNumberFormat="1" applyFont="1" applyBorder="1" applyAlignment="1">
      <alignment horizontal="left" vertical="center"/>
    </xf>
    <xf numFmtId="1" fontId="27" fillId="0" borderId="1" xfId="0" applyNumberFormat="1" applyFont="1" applyBorder="1" applyAlignment="1">
      <alignment horizontal="right" vertical="center"/>
    </xf>
    <xf numFmtId="0" fontId="27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right" vertical="center"/>
    </xf>
    <xf numFmtId="0" fontId="27" fillId="0" borderId="1" xfId="0" applyFont="1" applyBorder="1" applyAlignment="1">
      <alignment horizontal="right"/>
    </xf>
    <xf numFmtId="0" fontId="27" fillId="0" borderId="1" xfId="3" applyFont="1" applyBorder="1" applyAlignment="1">
      <alignment horizontal="left"/>
    </xf>
    <xf numFmtId="0" fontId="27" fillId="0" borderId="1" xfId="3" applyFont="1" applyBorder="1" applyAlignment="1">
      <alignment horizontal="right"/>
    </xf>
    <xf numFmtId="1" fontId="27" fillId="0" borderId="1" xfId="0" applyNumberFormat="1" applyFont="1" applyBorder="1" applyAlignment="1">
      <alignment horizontal="left"/>
    </xf>
    <xf numFmtId="1" fontId="27" fillId="0" borderId="1" xfId="4" applyNumberFormat="1" applyFont="1" applyFill="1" applyBorder="1" applyAlignment="1">
      <alignment horizontal="right" vertical="center"/>
    </xf>
    <xf numFmtId="1" fontId="27" fillId="0" borderId="1" xfId="0" applyNumberFormat="1" applyFont="1" applyBorder="1" applyAlignment="1">
      <alignment horizontal="right"/>
    </xf>
    <xf numFmtId="1" fontId="27" fillId="0" borderId="1" xfId="3" applyNumberFormat="1" applyFont="1" applyBorder="1" applyAlignment="1">
      <alignment horizontal="right" vertical="center"/>
    </xf>
    <xf numFmtId="10" fontId="27" fillId="0" borderId="1" xfId="3" applyNumberFormat="1" applyFont="1" applyBorder="1" applyAlignment="1">
      <alignment horizontal="right" vertical="center"/>
    </xf>
    <xf numFmtId="0" fontId="27" fillId="0" borderId="1" xfId="0" applyFont="1" applyBorder="1" applyAlignment="1">
      <alignment horizontal="left"/>
    </xf>
    <xf numFmtId="10" fontId="27" fillId="0" borderId="1" xfId="0" applyNumberFormat="1" applyFont="1" applyBorder="1" applyAlignment="1">
      <alignment horizontal="right"/>
    </xf>
    <xf numFmtId="10" fontId="27" fillId="0" borderId="1" xfId="4" applyNumberFormat="1" applyFont="1" applyFill="1" applyBorder="1" applyAlignment="1">
      <alignment horizontal="right" vertical="center"/>
    </xf>
    <xf numFmtId="10" fontId="27" fillId="0" borderId="1" xfId="6" applyNumberFormat="1" applyFont="1" applyFill="1" applyBorder="1" applyAlignment="1">
      <alignment horizontal="right" vertical="center"/>
    </xf>
    <xf numFmtId="10" fontId="27" fillId="0" borderId="1" xfId="0" applyNumberFormat="1" applyFont="1" applyBorder="1" applyAlignment="1">
      <alignment horizontal="right" vertical="center"/>
    </xf>
    <xf numFmtId="0" fontId="29" fillId="0" borderId="0" xfId="0" applyFont="1"/>
    <xf numFmtId="10" fontId="29" fillId="0" borderId="0" xfId="0" applyNumberFormat="1" applyFont="1"/>
    <xf numFmtId="0" fontId="29" fillId="0" borderId="0" xfId="0" applyFont="1" applyAlignment="1">
      <alignment horizontal="center"/>
    </xf>
    <xf numFmtId="3" fontId="29" fillId="0" borderId="0" xfId="0" applyNumberFormat="1" applyFont="1"/>
    <xf numFmtId="3" fontId="30" fillId="0" borderId="0" xfId="0" applyNumberFormat="1" applyFont="1"/>
    <xf numFmtId="10" fontId="30" fillId="0" borderId="0" xfId="0" applyNumberFormat="1" applyFont="1"/>
    <xf numFmtId="0" fontId="30" fillId="0" borderId="0" xfId="0" applyFont="1"/>
    <xf numFmtId="164" fontId="29" fillId="0" borderId="0" xfId="0" applyNumberFormat="1" applyFont="1"/>
    <xf numFmtId="10" fontId="31" fillId="0" borderId="0" xfId="0" applyNumberFormat="1" applyFont="1"/>
    <xf numFmtId="0" fontId="28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7" fillId="2" borderId="1" xfId="3" applyNumberFormat="1" applyFont="1" applyFill="1" applyBorder="1" applyAlignment="1">
      <alignment horizontal="right" vertical="center"/>
    </xf>
    <xf numFmtId="9" fontId="17" fillId="3" borderId="1" xfId="2" applyFont="1" applyFill="1" applyBorder="1" applyAlignment="1">
      <alignment horizontal="center"/>
    </xf>
    <xf numFmtId="164" fontId="17" fillId="3" borderId="9" xfId="2" applyNumberFormat="1" applyFont="1" applyFill="1" applyBorder="1" applyAlignment="1">
      <alignment horizontal="center" vertical="center"/>
    </xf>
    <xf numFmtId="165" fontId="32" fillId="0" borderId="0" xfId="3" applyNumberFormat="1" applyFont="1"/>
    <xf numFmtId="0" fontId="32" fillId="0" borderId="0" xfId="3" applyFont="1"/>
    <xf numFmtId="3" fontId="32" fillId="0" borderId="0" xfId="3" applyNumberFormat="1" applyFont="1"/>
    <xf numFmtId="1" fontId="32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3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4" fillId="0" borderId="0" xfId="3" applyFont="1"/>
    <xf numFmtId="9" fontId="35" fillId="0" borderId="0" xfId="4" applyNumberFormat="1" applyFont="1" applyFill="1" applyBorder="1" applyAlignment="1">
      <alignment horizontal="center" vertical="center"/>
    </xf>
    <xf numFmtId="3" fontId="35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10" fontId="4" fillId="5" borderId="1" xfId="0" applyNumberFormat="1" applyFont="1" applyFill="1" applyBorder="1"/>
    <xf numFmtId="0" fontId="36" fillId="5" borderId="1" xfId="0" applyFont="1" applyFill="1" applyBorder="1"/>
    <xf numFmtId="10" fontId="36" fillId="5" borderId="1" xfId="0" applyNumberFormat="1" applyFont="1" applyFill="1" applyBorder="1"/>
    <xf numFmtId="0" fontId="4" fillId="5" borderId="1" xfId="0" applyFont="1" applyFill="1" applyBorder="1"/>
    <xf numFmtId="9" fontId="20" fillId="3" borderId="1" xfId="2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26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9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39" xfId="3" applyFont="1" applyFill="1" applyBorder="1" applyAlignment="1">
      <alignment horizontal="center" vertical="center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33" xfId="0" applyFont="1" applyBorder="1" applyAlignment="1">
      <alignment horizontal="left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 indent="1"/>
    </xf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E8E6E6"/>
      <color rgb="FFEB15C2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Infiernillo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77"/>
  <sheetViews>
    <sheetView zoomScaleNormal="100" workbookViewId="0">
      <pane xSplit="6" topLeftCell="G1" activePane="topRight" state="frozen"/>
      <selection activeCell="E54" sqref="E54"/>
      <selection pane="topRight" sqref="A1:F69"/>
    </sheetView>
  </sheetViews>
  <sheetFormatPr baseColWidth="10" defaultColWidth="11.5" defaultRowHeight="15" outlineLevelCol="1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>
      <c r="A1" s="134">
        <v>88507</v>
      </c>
      <c r="B1" s="134">
        <v>88507</v>
      </c>
      <c r="C1" s="138">
        <v>39.119999999999997</v>
      </c>
      <c r="D1" s="119">
        <v>38.135957855999997</v>
      </c>
      <c r="E1" s="118">
        <v>0.01</v>
      </c>
      <c r="F1" s="118"/>
      <c r="J1" s="134"/>
      <c r="K1" s="134"/>
      <c r="L1" s="134"/>
    </row>
    <row r="2" spans="1:46">
      <c r="A2" s="134">
        <v>0</v>
      </c>
      <c r="B2" s="134">
        <v>0</v>
      </c>
      <c r="C2" s="138">
        <v>0</v>
      </c>
      <c r="D2" s="119">
        <v>0</v>
      </c>
      <c r="E2" s="118">
        <v>2E-3</v>
      </c>
      <c r="F2" s="118"/>
      <c r="J2" s="134"/>
      <c r="K2" s="134"/>
      <c r="L2" s="134"/>
    </row>
    <row r="3" spans="1:46">
      <c r="A3" s="134">
        <v>22063</v>
      </c>
      <c r="B3" s="134">
        <v>22063</v>
      </c>
      <c r="C3" s="138">
        <v>18.059999999999999</v>
      </c>
      <c r="D3" s="119">
        <v>18.112284201000001</v>
      </c>
      <c r="E3" s="118">
        <v>0.01</v>
      </c>
      <c r="F3" s="118"/>
      <c r="J3" s="135"/>
      <c r="K3" s="135"/>
      <c r="L3" s="135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</row>
    <row r="4" spans="1:46">
      <c r="A4" s="134">
        <v>66444</v>
      </c>
      <c r="B4" s="134">
        <v>66444</v>
      </c>
      <c r="C4" s="138">
        <v>46.17</v>
      </c>
      <c r="D4" s="119">
        <v>44.7849</v>
      </c>
      <c r="E4" s="118">
        <v>0.01</v>
      </c>
      <c r="F4" s="118"/>
      <c r="J4" s="134"/>
      <c r="K4" s="134"/>
      <c r="L4" s="134"/>
    </row>
    <row r="5" spans="1:46">
      <c r="A5" s="134">
        <v>43180</v>
      </c>
      <c r="B5" s="134">
        <v>43180</v>
      </c>
      <c r="C5" s="138">
        <v>48.24</v>
      </c>
      <c r="D5" s="119">
        <v>48.24</v>
      </c>
      <c r="E5" s="118">
        <v>5.5270451317286735E-3</v>
      </c>
      <c r="F5" s="118"/>
      <c r="J5" s="134"/>
      <c r="K5" s="134"/>
      <c r="L5" s="134"/>
    </row>
    <row r="6" spans="1:46">
      <c r="A6" s="134">
        <v>-42218</v>
      </c>
      <c r="B6" s="134">
        <v>-41795</v>
      </c>
      <c r="C6" s="138">
        <v>48.24</v>
      </c>
      <c r="D6" s="119">
        <v>45.828000000000003</v>
      </c>
      <c r="E6" s="118">
        <v>8.2429505952969703E-3</v>
      </c>
      <c r="F6" s="118"/>
      <c r="J6" s="134"/>
      <c r="K6" s="134"/>
      <c r="L6" s="134"/>
    </row>
    <row r="7" spans="1:46">
      <c r="A7" s="134">
        <v>151419</v>
      </c>
      <c r="B7" s="134">
        <v>151419</v>
      </c>
      <c r="C7" s="138">
        <v>45.68</v>
      </c>
      <c r="D7" s="119">
        <v>46.058106021</v>
      </c>
      <c r="E7" s="118">
        <v>1.0993716565736344E-2</v>
      </c>
      <c r="F7" s="118"/>
      <c r="J7" s="134"/>
      <c r="K7" s="134"/>
      <c r="L7" s="134"/>
    </row>
    <row r="8" spans="1:46">
      <c r="A8" s="134">
        <v>0</v>
      </c>
      <c r="B8" s="134">
        <v>0</v>
      </c>
      <c r="C8" s="138">
        <v>0</v>
      </c>
      <c r="D8" s="119">
        <v>0</v>
      </c>
      <c r="E8" s="118">
        <v>0</v>
      </c>
      <c r="F8" s="118"/>
      <c r="J8" s="134"/>
      <c r="K8" s="134"/>
      <c r="L8" s="134"/>
    </row>
    <row r="9" spans="1:46">
      <c r="A9" s="134">
        <v>31344</v>
      </c>
      <c r="B9" s="134">
        <v>47016</v>
      </c>
      <c r="C9" s="138">
        <v>32.64</v>
      </c>
      <c r="D9" s="119">
        <v>34.271999999999998</v>
      </c>
      <c r="E9" s="118">
        <v>9.7942392473118298E-2</v>
      </c>
      <c r="F9" s="118"/>
      <c r="J9" s="134"/>
      <c r="K9" s="134"/>
      <c r="L9" s="134"/>
    </row>
    <row r="10" spans="1:46">
      <c r="A10" s="134">
        <v>9611</v>
      </c>
      <c r="B10" s="134">
        <v>10446.465614000001</v>
      </c>
      <c r="C10" s="138">
        <v>17.600000000000001</v>
      </c>
      <c r="D10" s="119">
        <v>18.48</v>
      </c>
      <c r="E10" s="118">
        <v>0</v>
      </c>
      <c r="F10" s="118"/>
      <c r="J10" s="134"/>
      <c r="K10" s="134"/>
      <c r="L10" s="134"/>
      <c r="AT10" s="2"/>
    </row>
    <row r="11" spans="1:46">
      <c r="A11" s="134">
        <v>56684</v>
      </c>
      <c r="B11" s="134">
        <v>56684</v>
      </c>
      <c r="C11" s="138">
        <v>52</v>
      </c>
      <c r="D11" s="119">
        <v>52.903037013999999</v>
      </c>
      <c r="E11" s="118">
        <v>6.1987555650731198E-2</v>
      </c>
      <c r="F11" s="118"/>
      <c r="J11" s="134"/>
      <c r="K11" s="134"/>
      <c r="L11" s="134"/>
    </row>
    <row r="12" spans="1:46">
      <c r="A12" s="134">
        <v>52614</v>
      </c>
      <c r="B12" s="134">
        <v>37272.534385999999</v>
      </c>
      <c r="C12" s="138">
        <v>57.6</v>
      </c>
      <c r="D12" s="119">
        <v>58.244860584999998</v>
      </c>
      <c r="E12" s="118">
        <v>2.2000000000000002E-2</v>
      </c>
      <c r="F12" s="118"/>
      <c r="J12" s="134"/>
      <c r="K12" s="134"/>
      <c r="L12" s="134"/>
    </row>
    <row r="13" spans="1:46">
      <c r="A13" s="134">
        <v>28383</v>
      </c>
      <c r="B13" s="134">
        <v>28383</v>
      </c>
      <c r="C13" s="138">
        <v>50.8</v>
      </c>
      <c r="D13" s="119">
        <v>50.750420986999998</v>
      </c>
      <c r="E13" s="118">
        <v>6.3612580645161274E-2</v>
      </c>
      <c r="F13" s="118"/>
      <c r="J13" s="134"/>
      <c r="K13" s="134"/>
      <c r="L13" s="134"/>
    </row>
    <row r="14" spans="1:46">
      <c r="A14" s="134">
        <v>4463</v>
      </c>
      <c r="B14" s="134">
        <v>791</v>
      </c>
      <c r="C14" s="138">
        <v>54.46</v>
      </c>
      <c r="D14" s="119">
        <v>58.868299696000001</v>
      </c>
      <c r="E14" s="118">
        <v>0.01</v>
      </c>
      <c r="F14" s="118"/>
      <c r="J14" s="134"/>
      <c r="K14" s="134"/>
      <c r="L14" s="134"/>
    </row>
    <row r="15" spans="1:46">
      <c r="A15" s="134">
        <v>104882</v>
      </c>
      <c r="B15" s="134">
        <v>104882</v>
      </c>
      <c r="C15" s="138">
        <v>54.46</v>
      </c>
      <c r="D15" s="119">
        <v>54.249821001000001</v>
      </c>
      <c r="E15" s="118">
        <v>2.2000000000000002E-2</v>
      </c>
      <c r="F15" s="118"/>
      <c r="J15" s="134"/>
      <c r="K15" s="134"/>
      <c r="L15" s="134"/>
    </row>
    <row r="16" spans="1:46">
      <c r="A16" s="134">
        <v>45670</v>
      </c>
      <c r="B16" s="134">
        <v>37746.534385999999</v>
      </c>
      <c r="C16" s="138">
        <v>8.18</v>
      </c>
      <c r="D16" s="119">
        <v>8.5890000000000004</v>
      </c>
      <c r="E16" s="118">
        <v>0</v>
      </c>
      <c r="F16" s="118"/>
      <c r="J16" s="134"/>
      <c r="K16" s="134"/>
      <c r="L16" s="134"/>
      <c r="M16" s="122"/>
    </row>
    <row r="17" spans="1:32">
      <c r="A17" s="134">
        <v>132791</v>
      </c>
      <c r="B17" s="134">
        <v>132791</v>
      </c>
      <c r="C17" s="138">
        <v>66.599999999999994</v>
      </c>
      <c r="D17" s="119">
        <v>67.602529614999995</v>
      </c>
      <c r="E17" s="118">
        <v>8.199999999999999E-2</v>
      </c>
      <c r="F17" s="118"/>
      <c r="J17" s="134"/>
      <c r="K17" s="134"/>
      <c r="L17" s="134"/>
      <c r="M17" s="122"/>
    </row>
    <row r="18" spans="1:32">
      <c r="A18" s="134">
        <v>2702</v>
      </c>
      <c r="B18" s="134">
        <v>3316</v>
      </c>
      <c r="C18" s="138">
        <v>66.599999999999994</v>
      </c>
      <c r="D18" s="119">
        <v>94.223152791000004</v>
      </c>
      <c r="E18" s="118">
        <v>8.4083959293394767E-2</v>
      </c>
      <c r="F18" s="118"/>
      <c r="J18" s="134"/>
      <c r="K18" s="134"/>
      <c r="L18" s="134"/>
      <c r="M18" s="122"/>
    </row>
    <row r="19" spans="1:32">
      <c r="A19" s="134">
        <v>0</v>
      </c>
      <c r="B19" s="134">
        <v>0</v>
      </c>
      <c r="C19" s="138">
        <v>0</v>
      </c>
      <c r="D19" s="119">
        <v>0</v>
      </c>
      <c r="E19" s="118">
        <v>0</v>
      </c>
      <c r="F19" s="118"/>
      <c r="J19" s="134"/>
      <c r="K19" s="134"/>
      <c r="L19" s="134"/>
      <c r="M19" s="122"/>
    </row>
    <row r="20" spans="1:32">
      <c r="A20" s="134">
        <v>129475</v>
      </c>
      <c r="B20" s="134">
        <v>129475</v>
      </c>
      <c r="C20" s="138">
        <v>66.59</v>
      </c>
      <c r="D20" s="119">
        <v>66.920745592000003</v>
      </c>
      <c r="E20" s="118">
        <v>8.6167918586789544E-2</v>
      </c>
      <c r="F20" s="118"/>
      <c r="J20" s="134"/>
      <c r="K20" s="134"/>
      <c r="L20" s="134"/>
      <c r="M20" s="122"/>
    </row>
    <row r="21" spans="1:32">
      <c r="A21" s="134">
        <v>0</v>
      </c>
      <c r="B21" s="134">
        <v>0</v>
      </c>
      <c r="C21" s="138">
        <v>66.59</v>
      </c>
      <c r="D21" s="119">
        <v>66.59</v>
      </c>
      <c r="E21" s="118">
        <v>8.6167918586789544E-2</v>
      </c>
      <c r="F21" s="118"/>
      <c r="J21" s="134"/>
      <c r="K21" s="134"/>
      <c r="L21" s="134"/>
      <c r="M21" s="122"/>
    </row>
    <row r="22" spans="1:32">
      <c r="A22" s="134">
        <v>129475</v>
      </c>
      <c r="B22" s="134">
        <v>129475</v>
      </c>
      <c r="C22" s="138">
        <v>66.59</v>
      </c>
      <c r="D22" s="119">
        <v>66.920745592000003</v>
      </c>
      <c r="E22" s="118">
        <v>8.6167918586789544E-2</v>
      </c>
      <c r="F22" s="118"/>
      <c r="J22" s="134"/>
      <c r="K22" s="134"/>
      <c r="L22" s="134"/>
      <c r="M22" s="122"/>
    </row>
    <row r="23" spans="1:32">
      <c r="A23" s="134">
        <v>26081</v>
      </c>
      <c r="B23" s="134">
        <v>25089</v>
      </c>
      <c r="C23" s="138">
        <v>66.59</v>
      </c>
      <c r="D23" s="119">
        <v>69.919499999999999</v>
      </c>
      <c r="E23" s="118">
        <v>8.6167918586789544E-2</v>
      </c>
      <c r="F23" s="118"/>
      <c r="J23" s="134"/>
      <c r="K23" s="134"/>
      <c r="L23" s="134"/>
      <c r="M23" s="123"/>
    </row>
    <row r="24" spans="1:32">
      <c r="A24" s="134">
        <v>104386</v>
      </c>
      <c r="B24" s="134">
        <v>104386</v>
      </c>
      <c r="C24" s="138">
        <v>66.2</v>
      </c>
      <c r="D24" s="119">
        <v>66.2</v>
      </c>
      <c r="E24" s="118">
        <v>7.5999999999999998E-2</v>
      </c>
      <c r="F24" s="118"/>
      <c r="J24" s="134"/>
      <c r="K24" s="134"/>
      <c r="L24" s="134"/>
      <c r="M24" s="122"/>
      <c r="AD24" s="5"/>
      <c r="AE24" s="5"/>
      <c r="AF24" s="5"/>
    </row>
    <row r="25" spans="1:32">
      <c r="A25" s="134">
        <v>0</v>
      </c>
      <c r="B25" s="134">
        <v>0</v>
      </c>
      <c r="C25" s="138">
        <v>0</v>
      </c>
      <c r="D25" s="119">
        <v>0</v>
      </c>
      <c r="E25" s="118">
        <v>0</v>
      </c>
      <c r="F25" s="118"/>
      <c r="J25" s="134"/>
      <c r="K25" s="134"/>
      <c r="L25" s="134"/>
      <c r="M25" s="122"/>
      <c r="AD25" s="5"/>
      <c r="AE25" s="3"/>
      <c r="AF25" s="3"/>
    </row>
    <row r="26" spans="1:32">
      <c r="A26" s="134">
        <v>0</v>
      </c>
      <c r="B26" s="134">
        <v>0</v>
      </c>
      <c r="C26" s="138">
        <v>0</v>
      </c>
      <c r="D26" s="119">
        <v>0</v>
      </c>
      <c r="E26" s="118">
        <v>7.0699999999999999E-3</v>
      </c>
      <c r="F26" s="118"/>
      <c r="J26" s="134"/>
      <c r="K26" s="134"/>
      <c r="L26" s="134"/>
      <c r="M26" s="122"/>
      <c r="AD26" s="5"/>
      <c r="AE26" s="3"/>
      <c r="AF26" s="3"/>
    </row>
    <row r="27" spans="1:32">
      <c r="A27" s="134">
        <v>0</v>
      </c>
      <c r="B27" s="134">
        <v>0</v>
      </c>
      <c r="C27" s="138">
        <v>0</v>
      </c>
      <c r="D27" s="119">
        <v>0</v>
      </c>
      <c r="E27" s="118">
        <v>0</v>
      </c>
      <c r="F27" s="118"/>
      <c r="J27" s="134"/>
      <c r="K27" s="134"/>
      <c r="L27" s="134"/>
      <c r="M27" s="122"/>
      <c r="AD27" s="5"/>
      <c r="AE27" s="3"/>
      <c r="AF27" s="3"/>
    </row>
    <row r="28" spans="1:32">
      <c r="A28" s="134">
        <v>0</v>
      </c>
      <c r="B28" s="134">
        <v>0</v>
      </c>
      <c r="C28" s="138">
        <v>0</v>
      </c>
      <c r="D28" s="119">
        <v>0</v>
      </c>
      <c r="E28" s="118">
        <v>5.4000000000000003E-3</v>
      </c>
      <c r="F28" s="118"/>
      <c r="J28" s="134"/>
      <c r="K28" s="134"/>
      <c r="L28" s="134"/>
      <c r="M28" s="122"/>
      <c r="AD28" s="5"/>
      <c r="AE28" s="3"/>
      <c r="AF28" s="3"/>
    </row>
    <row r="29" spans="1:32">
      <c r="A29" s="134">
        <v>0</v>
      </c>
      <c r="B29" s="134">
        <v>0</v>
      </c>
      <c r="C29" s="138">
        <v>0</v>
      </c>
      <c r="D29" s="119">
        <v>0</v>
      </c>
      <c r="E29" s="118">
        <v>7.0000000000000001E-3</v>
      </c>
      <c r="F29" s="118"/>
      <c r="J29" s="134"/>
      <c r="K29" s="134"/>
      <c r="L29" s="134"/>
      <c r="M29" s="122"/>
      <c r="AD29" s="5"/>
      <c r="AE29" s="3"/>
      <c r="AF29" s="3"/>
    </row>
    <row r="30" spans="1:32">
      <c r="A30" s="134">
        <v>0</v>
      </c>
      <c r="B30" s="134">
        <v>0</v>
      </c>
      <c r="C30" s="138">
        <v>0</v>
      </c>
      <c r="D30" s="119">
        <v>0</v>
      </c>
      <c r="E30" s="118">
        <v>0</v>
      </c>
      <c r="F30" s="118"/>
      <c r="J30" s="134"/>
      <c r="K30" s="134"/>
      <c r="L30" s="134"/>
      <c r="M30" s="122"/>
      <c r="AD30" s="5"/>
      <c r="AE30" s="3"/>
      <c r="AF30" s="3"/>
    </row>
    <row r="31" spans="1:32">
      <c r="A31" s="134">
        <v>28070</v>
      </c>
      <c r="B31" s="134">
        <v>27987</v>
      </c>
      <c r="C31" s="138">
        <v>61.78</v>
      </c>
      <c r="D31" s="119">
        <v>61.817728230999997</v>
      </c>
      <c r="E31" s="118">
        <v>0</v>
      </c>
      <c r="F31" s="118"/>
      <c r="J31" s="134"/>
      <c r="K31" s="134"/>
      <c r="L31" s="134"/>
      <c r="M31" s="122"/>
      <c r="AD31" s="5"/>
      <c r="AE31" s="3"/>
      <c r="AF31" s="3"/>
    </row>
    <row r="32" spans="1:32">
      <c r="A32" s="134">
        <v>18351</v>
      </c>
      <c r="B32" s="134">
        <v>18351</v>
      </c>
      <c r="C32" s="138">
        <v>62.17</v>
      </c>
      <c r="D32" s="119">
        <v>62.17</v>
      </c>
      <c r="E32" s="118">
        <v>5.0000000000000001E-3</v>
      </c>
      <c r="F32" s="118"/>
      <c r="J32" s="134"/>
      <c r="K32" s="134"/>
      <c r="L32" s="134"/>
      <c r="M32" s="122"/>
      <c r="AD32" s="5"/>
      <c r="AE32" s="3"/>
      <c r="AF32" s="3"/>
    </row>
    <row r="33" spans="1:32">
      <c r="A33" s="134">
        <v>5360</v>
      </c>
      <c r="B33" s="134">
        <v>5360</v>
      </c>
      <c r="C33" s="138">
        <v>60.46</v>
      </c>
      <c r="D33" s="119">
        <v>60.46</v>
      </c>
      <c r="E33" s="118">
        <v>7.0000000000000001E-3</v>
      </c>
      <c r="F33" s="118"/>
      <c r="J33" s="134"/>
      <c r="K33" s="134"/>
      <c r="L33" s="134"/>
      <c r="M33" s="122"/>
      <c r="AD33" s="5"/>
      <c r="AE33" s="3"/>
      <c r="AF33" s="3"/>
    </row>
    <row r="34" spans="1:32">
      <c r="A34" s="134">
        <v>6394</v>
      </c>
      <c r="B34" s="134">
        <v>6394</v>
      </c>
      <c r="C34" s="138">
        <v>59.01</v>
      </c>
      <c r="D34" s="119">
        <v>59.01</v>
      </c>
      <c r="E34" s="118">
        <v>5.0000000000000001E-3</v>
      </c>
      <c r="F34" s="118"/>
      <c r="J34" s="134"/>
      <c r="K34" s="134"/>
      <c r="L34" s="134"/>
      <c r="M34" s="122"/>
      <c r="AD34" s="5"/>
      <c r="AE34" s="3"/>
      <c r="AF34" s="3"/>
    </row>
    <row r="35" spans="1:32">
      <c r="A35" s="134">
        <v>0</v>
      </c>
      <c r="B35" s="134">
        <v>0</v>
      </c>
      <c r="C35" s="138">
        <v>0</v>
      </c>
      <c r="D35" s="119">
        <v>0</v>
      </c>
      <c r="E35" s="118">
        <v>0</v>
      </c>
      <c r="F35" s="118"/>
      <c r="J35" s="134"/>
      <c r="K35" s="134"/>
      <c r="L35" s="134"/>
      <c r="M35" s="122"/>
      <c r="AD35" s="5"/>
      <c r="AE35" s="3"/>
      <c r="AF35" s="3"/>
    </row>
    <row r="36" spans="1:32">
      <c r="A36" s="134">
        <v>6394</v>
      </c>
      <c r="B36" s="134">
        <v>6394</v>
      </c>
      <c r="C36" s="138">
        <v>59.01</v>
      </c>
      <c r="D36" s="119">
        <v>59.01</v>
      </c>
      <c r="E36" s="118">
        <v>5.0000000000000001E-3</v>
      </c>
      <c r="F36" s="118"/>
      <c r="J36" s="134"/>
      <c r="K36" s="134"/>
      <c r="L36" s="134"/>
      <c r="M36" s="122"/>
      <c r="AD36" s="5"/>
      <c r="AE36" s="3"/>
      <c r="AF36" s="3"/>
    </row>
    <row r="37" spans="1:32">
      <c r="A37" s="134">
        <v>0</v>
      </c>
      <c r="B37" s="134">
        <v>0</v>
      </c>
      <c r="C37" s="138">
        <v>0</v>
      </c>
      <c r="D37" s="119">
        <v>0</v>
      </c>
      <c r="E37" s="118">
        <v>0</v>
      </c>
      <c r="F37" s="118"/>
      <c r="J37" s="134"/>
      <c r="K37" s="134"/>
      <c r="L37" s="134"/>
      <c r="M37" s="122"/>
      <c r="AD37" s="5"/>
      <c r="AE37" s="3"/>
      <c r="AF37" s="3"/>
    </row>
    <row r="38" spans="1:32">
      <c r="A38" s="134">
        <v>0</v>
      </c>
      <c r="B38" s="134">
        <v>0</v>
      </c>
      <c r="C38" s="138">
        <v>0</v>
      </c>
      <c r="D38" s="119">
        <v>0</v>
      </c>
      <c r="E38" s="118">
        <v>0</v>
      </c>
      <c r="F38" s="118"/>
      <c r="J38" s="134"/>
      <c r="K38" s="134"/>
      <c r="L38" s="134"/>
      <c r="M38" s="122"/>
      <c r="AD38" s="5"/>
      <c r="AE38" s="3"/>
      <c r="AF38" s="3"/>
    </row>
    <row r="39" spans="1:32">
      <c r="A39" s="134">
        <v>0</v>
      </c>
      <c r="B39" s="134">
        <v>0</v>
      </c>
      <c r="C39" s="138">
        <v>0</v>
      </c>
      <c r="D39" s="119">
        <v>0</v>
      </c>
      <c r="E39" s="118">
        <v>0</v>
      </c>
      <c r="F39" s="118"/>
      <c r="J39" s="134"/>
      <c r="K39" s="134"/>
      <c r="L39" s="134"/>
      <c r="M39" s="122"/>
      <c r="AD39" s="5"/>
      <c r="AE39" s="3"/>
      <c r="AF39" s="3"/>
    </row>
    <row r="40" spans="1:32">
      <c r="A40" s="134">
        <v>0</v>
      </c>
      <c r="B40" s="134">
        <v>0</v>
      </c>
      <c r="C40" s="138">
        <v>0</v>
      </c>
      <c r="D40" s="119">
        <v>0</v>
      </c>
      <c r="E40" s="118">
        <v>0</v>
      </c>
      <c r="F40" s="118"/>
      <c r="J40" s="134"/>
      <c r="K40" s="134"/>
      <c r="L40" s="134"/>
      <c r="M40" s="122"/>
      <c r="AD40" s="5"/>
      <c r="AE40" s="3"/>
      <c r="AF40" s="3"/>
    </row>
    <row r="41" spans="1:32">
      <c r="A41" s="134">
        <v>0</v>
      </c>
      <c r="B41" s="134">
        <v>0</v>
      </c>
      <c r="C41" s="138">
        <v>0</v>
      </c>
      <c r="D41" s="119">
        <v>0</v>
      </c>
      <c r="E41" s="118">
        <v>0</v>
      </c>
      <c r="F41" s="118"/>
      <c r="J41" s="134"/>
      <c r="K41" s="134"/>
      <c r="L41" s="134"/>
      <c r="M41" s="122"/>
      <c r="AD41" s="5"/>
      <c r="AE41" s="3"/>
      <c r="AF41" s="3"/>
    </row>
    <row r="42" spans="1:32">
      <c r="A42" s="134">
        <v>0</v>
      </c>
      <c r="B42" s="134">
        <v>0</v>
      </c>
      <c r="C42" s="138">
        <v>0</v>
      </c>
      <c r="D42" s="119">
        <v>0</v>
      </c>
      <c r="E42" s="118">
        <v>0</v>
      </c>
      <c r="F42" s="118"/>
      <c r="J42" s="134"/>
      <c r="K42" s="134"/>
      <c r="L42" s="134"/>
      <c r="M42" s="122"/>
      <c r="AD42" s="5"/>
      <c r="AE42" s="3"/>
      <c r="AF42" s="3"/>
    </row>
    <row r="43" spans="1:32">
      <c r="A43" s="134">
        <v>0</v>
      </c>
      <c r="B43" s="134">
        <v>0</v>
      </c>
      <c r="C43" s="138">
        <v>0</v>
      </c>
      <c r="D43" s="119">
        <v>0</v>
      </c>
      <c r="E43" s="118">
        <v>0</v>
      </c>
      <c r="F43" s="118"/>
      <c r="J43" s="134"/>
      <c r="K43" s="134"/>
      <c r="L43" s="134"/>
      <c r="M43" s="122"/>
      <c r="AD43" s="5"/>
      <c r="AE43" s="3"/>
      <c r="AF43" s="3"/>
    </row>
    <row r="44" spans="1:32">
      <c r="A44" s="134">
        <v>0</v>
      </c>
      <c r="B44" s="134">
        <v>0</v>
      </c>
      <c r="C44" s="138">
        <v>0</v>
      </c>
      <c r="D44" s="119">
        <v>0</v>
      </c>
      <c r="E44" s="118">
        <v>0</v>
      </c>
      <c r="F44" s="118"/>
      <c r="J44" s="134"/>
      <c r="K44" s="134"/>
      <c r="L44" s="134"/>
      <c r="M44" s="122"/>
      <c r="AD44" s="5"/>
      <c r="AE44" s="3"/>
      <c r="AF44" s="3"/>
    </row>
    <row r="45" spans="1:32">
      <c r="A45" s="134">
        <v>0</v>
      </c>
      <c r="B45" s="134">
        <v>0</v>
      </c>
      <c r="C45" s="138">
        <v>0</v>
      </c>
      <c r="D45" s="119">
        <v>0</v>
      </c>
      <c r="E45" s="118">
        <v>0</v>
      </c>
      <c r="F45" s="118"/>
      <c r="J45" s="134"/>
      <c r="K45" s="134"/>
      <c r="L45" s="134"/>
      <c r="M45" s="122"/>
      <c r="AD45" s="5"/>
      <c r="AE45" s="3"/>
      <c r="AF45" s="3"/>
    </row>
    <row r="46" spans="1:32">
      <c r="A46" s="134">
        <v>0</v>
      </c>
      <c r="B46" s="134">
        <v>0</v>
      </c>
      <c r="C46" s="138">
        <v>0</v>
      </c>
      <c r="D46" s="119">
        <v>0</v>
      </c>
      <c r="E46" s="118">
        <v>0</v>
      </c>
      <c r="F46" s="118"/>
      <c r="J46" s="134"/>
      <c r="K46" s="134"/>
      <c r="L46" s="134"/>
      <c r="M46" s="122"/>
      <c r="AD46" s="5"/>
      <c r="AE46" s="3"/>
      <c r="AF46" s="3"/>
    </row>
    <row r="47" spans="1:32">
      <c r="A47" s="134">
        <v>0</v>
      </c>
      <c r="B47" s="134">
        <v>0</v>
      </c>
      <c r="C47" s="138">
        <v>0</v>
      </c>
      <c r="D47" s="119">
        <v>0</v>
      </c>
      <c r="E47" s="118">
        <v>0</v>
      </c>
      <c r="F47" s="118"/>
      <c r="J47" s="134"/>
      <c r="K47" s="134"/>
      <c r="L47" s="134"/>
      <c r="M47" s="122"/>
      <c r="AD47" s="5"/>
      <c r="AE47" s="3"/>
      <c r="AF47" s="3"/>
    </row>
    <row r="48" spans="1:32">
      <c r="A48" s="134">
        <v>0</v>
      </c>
      <c r="B48" s="134">
        <v>0</v>
      </c>
      <c r="C48" s="138">
        <v>0</v>
      </c>
      <c r="D48" s="119">
        <v>0</v>
      </c>
      <c r="E48" s="118">
        <v>0</v>
      </c>
      <c r="F48" s="118"/>
      <c r="J48" s="134"/>
      <c r="K48" s="134"/>
      <c r="L48" s="134"/>
      <c r="M48" s="122"/>
      <c r="AD48" s="5"/>
      <c r="AE48" s="3"/>
      <c r="AF48" s="3"/>
    </row>
    <row r="49" spans="1:32">
      <c r="A49" s="134">
        <v>0</v>
      </c>
      <c r="B49" s="134">
        <v>0</v>
      </c>
      <c r="C49" s="138">
        <v>0</v>
      </c>
      <c r="D49" s="119">
        <v>0</v>
      </c>
      <c r="E49" s="118">
        <v>0</v>
      </c>
      <c r="F49" s="118"/>
      <c r="J49" s="134"/>
      <c r="K49" s="134"/>
      <c r="L49" s="134"/>
      <c r="M49" s="122"/>
      <c r="AD49" s="5"/>
      <c r="AE49" s="3"/>
      <c r="AF49" s="3"/>
    </row>
    <row r="50" spans="1:32">
      <c r="A50" s="134">
        <v>0</v>
      </c>
      <c r="B50" s="134">
        <v>0</v>
      </c>
      <c r="C50" s="138">
        <v>0</v>
      </c>
      <c r="D50" s="119">
        <v>0</v>
      </c>
      <c r="E50" s="118">
        <v>0</v>
      </c>
      <c r="F50" s="118"/>
      <c r="J50" s="134"/>
      <c r="K50" s="134"/>
      <c r="L50" s="134"/>
      <c r="M50" s="122"/>
      <c r="AD50" s="5"/>
      <c r="AE50" s="3"/>
      <c r="AF50" s="3"/>
    </row>
    <row r="51" spans="1:32">
      <c r="A51" s="134">
        <v>0</v>
      </c>
      <c r="B51" s="134">
        <v>0</v>
      </c>
      <c r="C51" s="138">
        <v>0</v>
      </c>
      <c r="D51" s="119">
        <v>0</v>
      </c>
      <c r="E51" s="118">
        <v>0</v>
      </c>
      <c r="F51" s="118"/>
      <c r="J51" s="134"/>
      <c r="K51" s="134"/>
      <c r="L51" s="134"/>
      <c r="M51" s="122"/>
      <c r="AD51" s="5"/>
      <c r="AE51" s="3"/>
      <c r="AF51" s="3"/>
    </row>
    <row r="52" spans="1:32">
      <c r="A52" s="134">
        <v>77372</v>
      </c>
      <c r="B52" s="134">
        <v>77372</v>
      </c>
      <c r="C52" s="138">
        <v>54</v>
      </c>
      <c r="D52" s="119">
        <v>54</v>
      </c>
      <c r="E52" s="118">
        <v>2.0286666666666665E-2</v>
      </c>
      <c r="F52" s="118"/>
      <c r="J52" s="134"/>
      <c r="K52" s="134"/>
      <c r="L52" s="134"/>
      <c r="M52" s="122"/>
      <c r="AD52" s="5"/>
      <c r="AE52" s="3"/>
      <c r="AF52" s="3"/>
    </row>
    <row r="53" spans="1:32">
      <c r="A53" s="134">
        <v>77372</v>
      </c>
      <c r="B53" s="134">
        <v>77372</v>
      </c>
      <c r="C53" s="138">
        <v>54</v>
      </c>
      <c r="D53" s="119">
        <v>54</v>
      </c>
      <c r="E53" s="118">
        <v>2.0286666666666665E-2</v>
      </c>
      <c r="F53" s="118"/>
      <c r="J53" s="134"/>
      <c r="K53" s="134"/>
      <c r="L53" s="134"/>
      <c r="M53" s="122"/>
      <c r="AD53" s="5"/>
      <c r="AE53" s="3"/>
      <c r="AF53" s="3"/>
    </row>
    <row r="54" spans="1:32">
      <c r="A54" s="134">
        <v>4403</v>
      </c>
      <c r="B54" s="134">
        <v>4403</v>
      </c>
      <c r="C54" s="138">
        <v>62.14</v>
      </c>
      <c r="D54" s="119">
        <v>62.14</v>
      </c>
      <c r="E54" s="118">
        <v>5.4000000000000003E-3</v>
      </c>
      <c r="F54" s="118"/>
      <c r="J54" s="134"/>
      <c r="K54" s="134"/>
      <c r="L54" s="134"/>
      <c r="M54" s="122"/>
      <c r="AD54" s="5"/>
      <c r="AE54" s="3"/>
      <c r="AF54" s="3"/>
    </row>
    <row r="55" spans="1:32">
      <c r="A55" s="134">
        <v>127</v>
      </c>
      <c r="B55" s="134">
        <v>127</v>
      </c>
      <c r="C55" s="138">
        <v>66.59</v>
      </c>
      <c r="D55" s="119">
        <v>66.59</v>
      </c>
      <c r="E55" s="118">
        <v>8.6167918586789544E-2</v>
      </c>
      <c r="F55" s="118"/>
      <c r="J55" s="134"/>
      <c r="K55" s="134"/>
      <c r="L55" s="134"/>
      <c r="M55" s="122"/>
      <c r="AD55" s="5"/>
      <c r="AE55" s="3"/>
      <c r="AF55" s="3"/>
    </row>
    <row r="56" spans="1:32">
      <c r="A56" s="134"/>
      <c r="B56" s="134"/>
      <c r="C56" s="134"/>
      <c r="D56" s="118"/>
      <c r="E56" s="118"/>
      <c r="F56" s="118"/>
      <c r="J56" s="134"/>
      <c r="K56" s="134"/>
      <c r="L56" s="134"/>
      <c r="M56" s="122"/>
      <c r="AD56" s="5"/>
      <c r="AE56" s="3"/>
      <c r="AF56" s="3"/>
    </row>
    <row r="57" spans="1:32">
      <c r="A57" s="134"/>
      <c r="B57" s="134"/>
      <c r="C57" s="134"/>
      <c r="D57" s="118"/>
      <c r="E57" s="118"/>
      <c r="F57" s="118"/>
      <c r="J57" s="134"/>
      <c r="K57" s="134"/>
      <c r="L57" s="134"/>
      <c r="M57" s="122"/>
      <c r="AD57" s="5"/>
      <c r="AE57" s="3"/>
      <c r="AF57" s="3"/>
    </row>
    <row r="58" spans="1:32">
      <c r="A58" s="134"/>
      <c r="B58" s="134"/>
      <c r="C58" s="134"/>
      <c r="D58" s="118"/>
      <c r="E58" s="118"/>
      <c r="F58" s="118"/>
      <c r="J58" s="134"/>
      <c r="K58" s="134"/>
      <c r="L58" s="134"/>
      <c r="M58" s="122"/>
      <c r="AD58" s="5"/>
      <c r="AE58" s="3"/>
      <c r="AF58" s="3"/>
    </row>
    <row r="59" spans="1:32">
      <c r="A59" s="134"/>
      <c r="B59" s="134"/>
      <c r="C59" s="134"/>
      <c r="D59" s="118"/>
      <c r="E59" s="118"/>
      <c r="F59" s="118"/>
      <c r="J59" s="134"/>
      <c r="K59" s="134"/>
      <c r="L59" s="134"/>
      <c r="M59" s="122"/>
      <c r="AD59" s="5"/>
      <c r="AE59" s="3"/>
      <c r="AF59" s="3"/>
    </row>
    <row r="60" spans="1:32" ht="19">
      <c r="A60" s="134"/>
      <c r="B60" s="134"/>
      <c r="C60" s="134"/>
      <c r="D60" s="118"/>
      <c r="E60" s="118"/>
      <c r="F60" s="118"/>
      <c r="J60" s="203" t="s">
        <v>68</v>
      </c>
      <c r="K60" s="203"/>
      <c r="L60" s="203"/>
      <c r="M60" s="122"/>
      <c r="N60" s="204"/>
      <c r="O60" s="204"/>
      <c r="R60" s="98"/>
      <c r="AD60" s="5"/>
      <c r="AE60" s="3"/>
      <c r="AF60" s="3"/>
    </row>
    <row r="61" spans="1:32">
      <c r="A61" s="134"/>
      <c r="B61" s="134"/>
      <c r="C61" s="134"/>
      <c r="D61" s="118"/>
      <c r="E61" s="118"/>
      <c r="F61" s="118"/>
      <c r="J61" s="136" t="s">
        <v>1</v>
      </c>
      <c r="K61" s="136" t="s">
        <v>0</v>
      </c>
      <c r="L61" s="136" t="s">
        <v>69</v>
      </c>
      <c r="M61" s="122"/>
      <c r="N61" s="97"/>
      <c r="O61" s="97"/>
      <c r="P61" s="95"/>
      <c r="R61" s="95"/>
      <c r="V61" s="2"/>
      <c r="W61" s="2"/>
      <c r="AD61" s="5"/>
      <c r="AE61" s="3"/>
      <c r="AF61" s="3"/>
    </row>
    <row r="62" spans="1:32" ht="16">
      <c r="A62" s="134"/>
      <c r="B62" s="134"/>
      <c r="C62" s="134"/>
      <c r="D62" s="118"/>
      <c r="E62" s="118"/>
      <c r="F62" s="118"/>
      <c r="I62" t="s">
        <v>14</v>
      </c>
      <c r="J62" s="134">
        <f>B1</f>
        <v>88507</v>
      </c>
      <c r="K62" s="138">
        <f>IF(D1&gt;1,D1/100,D1)</f>
        <v>0.38135957855999997</v>
      </c>
      <c r="L62" s="137">
        <f>+J62*K62</f>
        <v>33752.992219609914</v>
      </c>
      <c r="M62" s="122"/>
      <c r="N62" s="4"/>
      <c r="O62" s="4"/>
      <c r="P62" s="1"/>
      <c r="Q62" s="96"/>
      <c r="R62" s="1"/>
      <c r="S62" s="96"/>
      <c r="V62" s="2"/>
      <c r="W62" s="2"/>
      <c r="AD62" s="5"/>
      <c r="AE62" s="3"/>
      <c r="AF62" s="3"/>
    </row>
    <row r="63" spans="1:32" ht="16">
      <c r="A63" s="134"/>
      <c r="B63" s="134"/>
      <c r="C63" s="134"/>
      <c r="D63" s="118"/>
      <c r="E63" s="118"/>
      <c r="F63" s="118"/>
      <c r="I63" t="s">
        <v>15</v>
      </c>
      <c r="J63" s="134">
        <f t="shared" ref="J63:J116" si="0">B2</f>
        <v>0</v>
      </c>
      <c r="K63" s="138">
        <f t="shared" ref="K63:K116" si="1">IF(D2&gt;1,D2/100,D2)</f>
        <v>0</v>
      </c>
      <c r="L63" s="137">
        <f t="shared" ref="L63:L116" si="2">+J63*K63</f>
        <v>0</v>
      </c>
      <c r="M63" s="122"/>
      <c r="N63" s="4"/>
      <c r="O63" s="4"/>
      <c r="P63" s="1"/>
      <c r="Q63" s="96"/>
      <c r="R63" s="1"/>
      <c r="S63" s="96"/>
      <c r="V63" s="2"/>
      <c r="W63" s="2"/>
      <c r="AD63" s="5"/>
      <c r="AE63" s="3"/>
      <c r="AF63" s="3"/>
    </row>
    <row r="64" spans="1:32" ht="16">
      <c r="A64" s="134"/>
      <c r="B64" s="134"/>
      <c r="C64" s="134"/>
      <c r="D64" s="118"/>
      <c r="E64" s="118"/>
      <c r="F64" s="118"/>
      <c r="I64" t="s">
        <v>16</v>
      </c>
      <c r="J64" s="134">
        <f t="shared" si="0"/>
        <v>22063</v>
      </c>
      <c r="K64" s="138">
        <f t="shared" si="1"/>
        <v>0.18112284201000001</v>
      </c>
      <c r="L64" s="137">
        <f t="shared" si="2"/>
        <v>3996.1132632666299</v>
      </c>
      <c r="M64" s="122"/>
      <c r="N64" s="4"/>
      <c r="O64" s="4"/>
      <c r="P64" s="1"/>
      <c r="Q64" s="96"/>
      <c r="R64" s="1"/>
      <c r="S64" s="96"/>
      <c r="V64" s="2"/>
      <c r="W64" s="94"/>
      <c r="AD64" s="5"/>
      <c r="AE64" s="3"/>
      <c r="AF64" s="3"/>
    </row>
    <row r="65" spans="1:32" ht="16">
      <c r="A65" s="134"/>
      <c r="B65" s="134"/>
      <c r="C65" s="134"/>
      <c r="D65" s="118"/>
      <c r="E65" s="118"/>
      <c r="F65" s="118"/>
      <c r="G65" s="163"/>
      <c r="H65" s="164"/>
      <c r="I65" s="134" t="s">
        <v>17</v>
      </c>
      <c r="J65" s="134">
        <f t="shared" si="0"/>
        <v>66444</v>
      </c>
      <c r="K65" s="138">
        <f t="shared" si="1"/>
        <v>0.447849</v>
      </c>
      <c r="L65" s="137">
        <f t="shared" si="2"/>
        <v>29756.878956</v>
      </c>
      <c r="M65" s="122"/>
      <c r="N65" s="4"/>
      <c r="O65" s="4"/>
      <c r="P65" s="1"/>
      <c r="Q65" s="96"/>
      <c r="R65" s="1"/>
      <c r="S65" s="96"/>
      <c r="V65" s="2"/>
      <c r="W65" s="94"/>
      <c r="AD65" s="5"/>
      <c r="AE65" s="3"/>
      <c r="AF65" s="3"/>
    </row>
    <row r="66" spans="1:32" ht="16">
      <c r="A66" s="118"/>
      <c r="B66" s="118"/>
      <c r="C66" s="118"/>
      <c r="D66" s="118"/>
      <c r="E66" s="118"/>
      <c r="F66" s="118"/>
      <c r="G66" s="163"/>
      <c r="H66" s="164"/>
      <c r="I66" s="134" t="s">
        <v>18</v>
      </c>
      <c r="J66" s="134">
        <f t="shared" si="0"/>
        <v>43180</v>
      </c>
      <c r="K66" s="138">
        <f t="shared" si="1"/>
        <v>0.4824</v>
      </c>
      <c r="L66" s="137">
        <f t="shared" si="2"/>
        <v>20830.031999999999</v>
      </c>
      <c r="M66" s="122"/>
      <c r="N66" s="4"/>
      <c r="O66" s="4"/>
      <c r="P66" s="1"/>
      <c r="Q66" s="96"/>
      <c r="R66" s="1"/>
      <c r="S66" s="96"/>
      <c r="V66" s="2"/>
      <c r="W66" s="94"/>
      <c r="AD66" s="5"/>
      <c r="AE66" s="3"/>
      <c r="AF66" s="3"/>
    </row>
    <row r="67" spans="1:32" ht="16">
      <c r="A67" s="120"/>
      <c r="B67" s="120"/>
      <c r="C67" s="119"/>
      <c r="D67" s="118"/>
      <c r="E67" s="118"/>
      <c r="F67" s="121"/>
      <c r="G67" s="163"/>
      <c r="H67" s="164"/>
      <c r="I67" s="134" t="s">
        <v>19</v>
      </c>
      <c r="J67" s="134">
        <f t="shared" si="0"/>
        <v>-41795</v>
      </c>
      <c r="K67" s="138">
        <f t="shared" si="1"/>
        <v>0.45828000000000002</v>
      </c>
      <c r="L67" s="137">
        <f t="shared" si="2"/>
        <v>-19153.812600000001</v>
      </c>
      <c r="M67" s="122"/>
      <c r="N67" s="4"/>
      <c r="O67" s="4"/>
      <c r="P67" s="1"/>
      <c r="Q67" s="96"/>
      <c r="R67" s="1"/>
      <c r="S67" s="96"/>
      <c r="V67" s="2"/>
      <c r="W67" s="94"/>
      <c r="AD67" s="5"/>
      <c r="AE67" s="3"/>
      <c r="AF67" s="3"/>
    </row>
    <row r="68" spans="1:32" ht="16">
      <c r="A68" s="118"/>
      <c r="B68" s="118"/>
      <c r="C68" s="118"/>
      <c r="D68" s="118"/>
      <c r="E68" s="118"/>
      <c r="F68" s="118"/>
      <c r="G68" s="163"/>
      <c r="H68" s="164"/>
      <c r="I68" s="134" t="s">
        <v>20</v>
      </c>
      <c r="J68" s="134">
        <f t="shared" si="0"/>
        <v>151419</v>
      </c>
      <c r="K68" s="138">
        <f t="shared" si="1"/>
        <v>0.46058106021</v>
      </c>
      <c r="L68" s="137">
        <f t="shared" si="2"/>
        <v>69740.723555937991</v>
      </c>
      <c r="M68" s="122"/>
      <c r="N68" s="4"/>
      <c r="O68" s="4"/>
      <c r="P68" s="1"/>
      <c r="Q68" s="96"/>
      <c r="R68" s="1"/>
      <c r="S68" s="96"/>
      <c r="V68" s="2"/>
      <c r="W68" s="94"/>
      <c r="AD68" s="5"/>
      <c r="AE68" s="3"/>
      <c r="AF68" s="3"/>
    </row>
    <row r="69" spans="1:32" ht="19" customHeight="1">
      <c r="A69" s="118"/>
      <c r="B69" s="118"/>
      <c r="C69" s="118"/>
      <c r="D69" s="118"/>
      <c r="E69" s="118"/>
      <c r="F69" s="118"/>
      <c r="G69" s="163"/>
      <c r="H69" s="164"/>
      <c r="I69" s="134" t="s">
        <v>21</v>
      </c>
      <c r="J69" s="134">
        <f t="shared" si="0"/>
        <v>0</v>
      </c>
      <c r="K69" s="138">
        <f t="shared" si="1"/>
        <v>0</v>
      </c>
      <c r="L69" s="137">
        <f t="shared" si="2"/>
        <v>0</v>
      </c>
      <c r="M69" s="122"/>
      <c r="N69" s="4"/>
      <c r="O69" s="4"/>
      <c r="P69" s="1"/>
      <c r="Q69" s="96"/>
      <c r="R69" s="1"/>
      <c r="S69" s="96"/>
      <c r="V69" s="2"/>
      <c r="W69" s="94"/>
      <c r="AD69" s="5"/>
      <c r="AE69" s="3"/>
      <c r="AF69" s="3"/>
    </row>
    <row r="70" spans="1:32" ht="16">
      <c r="A70" s="159"/>
      <c r="B70" s="159"/>
      <c r="C70" s="159"/>
      <c r="D70" s="159"/>
      <c r="E70" s="159"/>
      <c r="F70" s="159"/>
      <c r="G70" s="163"/>
      <c r="H70" s="164"/>
      <c r="I70" s="134" t="s">
        <v>22</v>
      </c>
      <c r="J70" s="134">
        <f t="shared" si="0"/>
        <v>47016</v>
      </c>
      <c r="K70" s="138">
        <f t="shared" si="1"/>
        <v>0.34271999999999997</v>
      </c>
      <c r="L70" s="137">
        <f t="shared" si="2"/>
        <v>16113.323519999998</v>
      </c>
      <c r="M70" s="122"/>
      <c r="N70" s="4"/>
      <c r="O70" s="4"/>
      <c r="P70" s="1"/>
      <c r="Q70" s="96"/>
      <c r="R70" s="1"/>
      <c r="S70" s="96"/>
      <c r="V70" s="2"/>
      <c r="W70" s="94"/>
      <c r="AD70" s="5"/>
      <c r="AE70" s="3"/>
      <c r="AF70" s="3"/>
    </row>
    <row r="71" spans="1:32" ht="16">
      <c r="A71" s="159"/>
      <c r="B71" s="159"/>
      <c r="C71" s="159"/>
      <c r="D71" s="159"/>
      <c r="E71" s="159"/>
      <c r="F71" s="159"/>
      <c r="G71" s="162"/>
      <c r="H71" s="164"/>
      <c r="I71" s="134" t="s">
        <v>23</v>
      </c>
      <c r="J71" s="134">
        <f t="shared" si="0"/>
        <v>10446.465614000001</v>
      </c>
      <c r="K71" s="138">
        <f t="shared" si="1"/>
        <v>0.18479999999999999</v>
      </c>
      <c r="L71" s="137">
        <f t="shared" si="2"/>
        <v>1930.5068454672</v>
      </c>
      <c r="M71" s="122"/>
      <c r="N71" s="4"/>
      <c r="O71" s="4"/>
      <c r="P71" s="1"/>
      <c r="Q71" s="96"/>
      <c r="R71" s="1"/>
      <c r="S71" s="96"/>
      <c r="V71" s="2"/>
      <c r="W71" s="94"/>
      <c r="AD71" s="5"/>
      <c r="AE71" s="3"/>
      <c r="AF71" s="3"/>
    </row>
    <row r="72" spans="1:32" ht="16">
      <c r="A72" s="159"/>
      <c r="B72" s="159"/>
      <c r="C72" s="159"/>
      <c r="D72" s="159"/>
      <c r="E72" s="159"/>
      <c r="F72" s="159"/>
      <c r="G72" s="163"/>
      <c r="H72" s="164"/>
      <c r="I72" s="134" t="s">
        <v>24</v>
      </c>
      <c r="J72" s="134">
        <f t="shared" si="0"/>
        <v>56684</v>
      </c>
      <c r="K72" s="138">
        <f t="shared" si="1"/>
        <v>0.52903037013999998</v>
      </c>
      <c r="L72" s="137">
        <f t="shared" si="2"/>
        <v>29987.557501015759</v>
      </c>
      <c r="M72" s="122"/>
      <c r="N72" s="4"/>
      <c r="O72" s="4"/>
      <c r="P72" s="1"/>
      <c r="Q72" s="96"/>
      <c r="R72" s="1"/>
      <c r="S72" s="96"/>
      <c r="V72" s="2"/>
      <c r="W72" s="94"/>
      <c r="AD72" s="5"/>
      <c r="AE72" s="3"/>
      <c r="AF72" s="3"/>
    </row>
    <row r="73" spans="1:32" ht="16">
      <c r="A73" s="159"/>
      <c r="B73" s="159"/>
      <c r="C73" s="159"/>
      <c r="D73" s="159"/>
      <c r="E73" s="159"/>
      <c r="F73" s="159"/>
      <c r="G73" s="163"/>
      <c r="H73" s="164"/>
      <c r="I73" s="134" t="s">
        <v>25</v>
      </c>
      <c r="J73" s="134">
        <f t="shared" si="0"/>
        <v>37272.534385999999</v>
      </c>
      <c r="K73" s="138">
        <f t="shared" si="1"/>
        <v>0.58244860585000002</v>
      </c>
      <c r="L73" s="137">
        <f t="shared" si="2"/>
        <v>21709.335689621887</v>
      </c>
      <c r="M73" s="122"/>
      <c r="N73" s="4"/>
      <c r="O73" s="4"/>
      <c r="P73" s="1"/>
      <c r="Q73" s="96"/>
      <c r="R73" s="1"/>
      <c r="S73" s="96"/>
      <c r="V73" s="2"/>
      <c r="W73" s="94"/>
      <c r="AD73" s="5"/>
      <c r="AE73" s="3"/>
      <c r="AF73" s="3"/>
    </row>
    <row r="74" spans="1:32" ht="16">
      <c r="A74" s="159"/>
      <c r="B74" s="159"/>
      <c r="C74" s="159"/>
      <c r="D74" s="159"/>
      <c r="E74" s="159"/>
      <c r="F74" s="159"/>
      <c r="G74" s="163"/>
      <c r="H74" s="164"/>
      <c r="I74" s="134" t="s">
        <v>2</v>
      </c>
      <c r="J74" s="134">
        <f t="shared" si="0"/>
        <v>28383</v>
      </c>
      <c r="K74" s="138">
        <f t="shared" si="1"/>
        <v>0.50750420987</v>
      </c>
      <c r="L74" s="137">
        <f t="shared" si="2"/>
        <v>14404.49198874021</v>
      </c>
      <c r="M74" s="122"/>
      <c r="N74" s="4"/>
      <c r="O74" s="4"/>
      <c r="P74" s="1"/>
      <c r="Q74" s="96"/>
      <c r="R74" s="1"/>
      <c r="S74" s="96"/>
      <c r="V74" s="2"/>
      <c r="W74" s="94"/>
      <c r="AD74" s="5"/>
      <c r="AE74" s="3"/>
      <c r="AF74" s="3"/>
    </row>
    <row r="75" spans="1:32" ht="16">
      <c r="A75" s="162"/>
      <c r="B75" s="162"/>
      <c r="C75" s="160"/>
      <c r="D75" s="159"/>
      <c r="E75" s="159"/>
      <c r="F75" s="165"/>
      <c r="G75" s="163"/>
      <c r="H75" s="164"/>
      <c r="I75" s="134" t="s">
        <v>26</v>
      </c>
      <c r="J75" s="134">
        <f t="shared" si="0"/>
        <v>791</v>
      </c>
      <c r="K75" s="138">
        <f t="shared" si="1"/>
        <v>0.58868299696000004</v>
      </c>
      <c r="L75" s="137">
        <f t="shared" si="2"/>
        <v>465.64825059536003</v>
      </c>
      <c r="M75" s="122"/>
      <c r="N75" s="4"/>
      <c r="O75" s="4"/>
      <c r="P75" s="1"/>
      <c r="Q75" s="96"/>
      <c r="R75" s="1"/>
      <c r="S75" s="96"/>
      <c r="V75" s="2"/>
      <c r="W75" s="2"/>
      <c r="AD75" s="5"/>
      <c r="AE75" s="3"/>
      <c r="AF75" s="3"/>
    </row>
    <row r="76" spans="1:32" ht="16">
      <c r="A76" s="159"/>
      <c r="B76" s="159"/>
      <c r="C76" s="159"/>
      <c r="D76" s="159"/>
      <c r="E76" s="159"/>
      <c r="F76" s="159"/>
      <c r="G76" s="163"/>
      <c r="H76" s="164"/>
      <c r="I76" s="134" t="s">
        <v>27</v>
      </c>
      <c r="J76" s="134">
        <f t="shared" si="0"/>
        <v>104882</v>
      </c>
      <c r="K76" s="138">
        <f t="shared" si="1"/>
        <v>0.54249821000999998</v>
      </c>
      <c r="L76" s="137">
        <f t="shared" si="2"/>
        <v>56898.297262268818</v>
      </c>
      <c r="M76" s="123"/>
      <c r="N76" s="4"/>
      <c r="O76" s="4"/>
      <c r="P76" s="1"/>
      <c r="Q76" s="96"/>
      <c r="R76" s="1"/>
      <c r="S76" s="96"/>
      <c r="V76" s="2"/>
      <c r="W76" s="2"/>
      <c r="AD76" s="5"/>
      <c r="AE76" s="3"/>
      <c r="AF76" s="3"/>
    </row>
    <row r="77" spans="1:32" ht="16">
      <c r="A77" s="159"/>
      <c r="B77" s="159"/>
      <c r="C77" s="159"/>
      <c r="D77" s="159"/>
      <c r="E77" s="159"/>
      <c r="F77" s="159"/>
      <c r="G77" s="163"/>
      <c r="H77" s="164"/>
      <c r="I77" s="134" t="s">
        <v>28</v>
      </c>
      <c r="J77" s="134">
        <f t="shared" si="0"/>
        <v>37746.534385999999</v>
      </c>
      <c r="K77" s="138">
        <f t="shared" si="1"/>
        <v>8.5890000000000008E-2</v>
      </c>
      <c r="L77" s="137">
        <f t="shared" si="2"/>
        <v>3242.0498384135403</v>
      </c>
      <c r="M77" s="122"/>
      <c r="N77" s="4"/>
      <c r="O77" s="4"/>
      <c r="P77" s="1"/>
      <c r="Q77" s="96"/>
      <c r="R77" s="1"/>
      <c r="S77" s="96"/>
      <c r="V77" s="2"/>
      <c r="W77" s="2"/>
      <c r="AD77" s="5"/>
      <c r="AE77" s="3"/>
      <c r="AF77" s="3"/>
    </row>
    <row r="78" spans="1:32" ht="16">
      <c r="A78" s="159"/>
      <c r="B78" s="159"/>
      <c r="C78" s="159"/>
      <c r="D78" s="159"/>
      <c r="E78" s="159"/>
      <c r="F78" s="159"/>
      <c r="G78" s="162"/>
      <c r="H78" s="164"/>
      <c r="I78" s="134" t="s">
        <v>29</v>
      </c>
      <c r="J78" s="134">
        <f t="shared" si="0"/>
        <v>132791</v>
      </c>
      <c r="K78" s="138">
        <f t="shared" si="1"/>
        <v>0.67602529614999995</v>
      </c>
      <c r="L78" s="137">
        <f t="shared" si="2"/>
        <v>89770.075101054637</v>
      </c>
      <c r="M78" s="122"/>
      <c r="N78" s="4"/>
      <c r="O78" s="4"/>
      <c r="P78" s="1"/>
      <c r="Q78" s="96"/>
      <c r="R78" s="1"/>
      <c r="S78" s="96"/>
      <c r="V78" s="2"/>
      <c r="W78" s="2"/>
      <c r="AD78" s="5"/>
      <c r="AE78" s="3"/>
      <c r="AF78" s="3"/>
    </row>
    <row r="79" spans="1:32" ht="16">
      <c r="A79" s="162"/>
      <c r="B79" s="162"/>
      <c r="C79" s="160"/>
      <c r="D79" s="159"/>
      <c r="E79" s="159"/>
      <c r="F79" s="165"/>
      <c r="G79" s="163"/>
      <c r="H79" s="164"/>
      <c r="I79" s="134" t="s">
        <v>30</v>
      </c>
      <c r="J79" s="134">
        <f t="shared" si="0"/>
        <v>3316</v>
      </c>
      <c r="K79" s="138">
        <f t="shared" si="1"/>
        <v>0.94223152791000009</v>
      </c>
      <c r="L79" s="137">
        <f t="shared" si="2"/>
        <v>3124.4397465495604</v>
      </c>
      <c r="M79" s="122"/>
      <c r="N79" s="4"/>
      <c r="O79" s="4"/>
      <c r="P79" s="1"/>
      <c r="Q79" s="96"/>
      <c r="R79" s="1"/>
      <c r="S79" s="96"/>
      <c r="AD79" s="5"/>
      <c r="AE79" s="3"/>
      <c r="AF79" s="3"/>
    </row>
    <row r="80" spans="1:32" ht="16">
      <c r="A80" s="159"/>
      <c r="B80" s="159"/>
      <c r="C80" s="159"/>
      <c r="D80" s="159"/>
      <c r="E80" s="159"/>
      <c r="F80" s="159"/>
      <c r="G80" s="162"/>
      <c r="H80" s="164"/>
      <c r="I80" s="134" t="s">
        <v>31</v>
      </c>
      <c r="J80" s="134">
        <f t="shared" si="0"/>
        <v>0</v>
      </c>
      <c r="K80" s="138">
        <f t="shared" si="1"/>
        <v>0</v>
      </c>
      <c r="L80" s="137">
        <f t="shared" si="2"/>
        <v>0</v>
      </c>
      <c r="M80" s="122"/>
      <c r="N80" s="4"/>
      <c r="O80" s="4"/>
      <c r="P80" s="1"/>
      <c r="Q80" s="96"/>
      <c r="R80" s="1"/>
      <c r="S80" s="96"/>
    </row>
    <row r="81" spans="1:19" ht="16">
      <c r="A81" s="162"/>
      <c r="B81" s="162"/>
      <c r="C81" s="160"/>
      <c r="D81" s="159"/>
      <c r="E81" s="159"/>
      <c r="F81" s="165"/>
      <c r="G81" s="163"/>
      <c r="H81" s="164"/>
      <c r="I81" s="134" t="s">
        <v>32</v>
      </c>
      <c r="J81" s="134">
        <f t="shared" si="0"/>
        <v>129475</v>
      </c>
      <c r="K81" s="138">
        <f t="shared" si="1"/>
        <v>0.66920745592000008</v>
      </c>
      <c r="L81" s="137">
        <f t="shared" si="2"/>
        <v>86645.635355242004</v>
      </c>
      <c r="M81" s="122"/>
      <c r="N81" s="4"/>
      <c r="O81" s="4"/>
      <c r="P81" s="1"/>
      <c r="Q81" s="96"/>
      <c r="R81" s="1"/>
      <c r="S81" s="96"/>
    </row>
    <row r="82" spans="1:19" ht="16">
      <c r="A82" s="159"/>
      <c r="B82" s="159"/>
      <c r="C82" s="159"/>
      <c r="D82" s="159"/>
      <c r="E82" s="159"/>
      <c r="F82" s="159"/>
      <c r="G82" s="163"/>
      <c r="H82" s="164"/>
      <c r="I82" s="134" t="s">
        <v>33</v>
      </c>
      <c r="J82" s="134">
        <f t="shared" si="0"/>
        <v>0</v>
      </c>
      <c r="K82" s="138">
        <f t="shared" si="1"/>
        <v>0.66590000000000005</v>
      </c>
      <c r="L82" s="137">
        <f t="shared" si="2"/>
        <v>0</v>
      </c>
      <c r="M82" s="122"/>
      <c r="N82" s="4"/>
      <c r="O82" s="4"/>
      <c r="P82" s="1"/>
      <c r="Q82" s="96"/>
      <c r="R82" s="1"/>
      <c r="S82" s="96"/>
    </row>
    <row r="83" spans="1:19" ht="16">
      <c r="A83" s="159"/>
      <c r="B83" s="159"/>
      <c r="C83" s="159"/>
      <c r="D83" s="159"/>
      <c r="E83" s="159"/>
      <c r="F83" s="159"/>
      <c r="G83" s="163"/>
      <c r="H83" s="164"/>
      <c r="I83" s="134" t="s">
        <v>35</v>
      </c>
      <c r="J83" s="134">
        <f t="shared" si="0"/>
        <v>129475</v>
      </c>
      <c r="K83" s="138">
        <f t="shared" si="1"/>
        <v>0.66920745592000008</v>
      </c>
      <c r="L83" s="137">
        <f t="shared" si="2"/>
        <v>86645.635355242004</v>
      </c>
      <c r="M83" s="122"/>
      <c r="N83" s="4"/>
      <c r="O83" s="4"/>
      <c r="P83" s="1"/>
      <c r="Q83" s="96"/>
      <c r="R83" s="1"/>
      <c r="S83" s="96"/>
    </row>
    <row r="84" spans="1:19" ht="16">
      <c r="A84" s="159"/>
      <c r="B84" s="159"/>
      <c r="C84" s="159"/>
      <c r="D84" s="159"/>
      <c r="E84" s="159"/>
      <c r="F84" s="159"/>
      <c r="G84" s="162"/>
      <c r="H84" s="160"/>
      <c r="I84" s="134" t="s">
        <v>36</v>
      </c>
      <c r="J84" s="134">
        <f t="shared" si="0"/>
        <v>25089</v>
      </c>
      <c r="K84" s="138">
        <f t="shared" si="1"/>
        <v>0.69919500000000001</v>
      </c>
      <c r="L84" s="137">
        <f t="shared" si="2"/>
        <v>17542.103354999999</v>
      </c>
      <c r="M84" s="122"/>
      <c r="N84" s="4"/>
      <c r="O84" s="4"/>
      <c r="P84" s="1"/>
      <c r="Q84" s="96"/>
      <c r="R84" s="1"/>
      <c r="S84" s="96"/>
    </row>
    <row r="85" spans="1:19" ht="16">
      <c r="A85" s="159"/>
      <c r="B85" s="159"/>
      <c r="C85" s="159"/>
      <c r="D85" s="159"/>
      <c r="E85" s="159"/>
      <c r="F85" s="159"/>
      <c r="G85" s="163"/>
      <c r="H85" s="164"/>
      <c r="I85" s="134" t="s">
        <v>37</v>
      </c>
      <c r="J85" s="134">
        <f t="shared" si="0"/>
        <v>104386</v>
      </c>
      <c r="K85" s="138">
        <f t="shared" si="1"/>
        <v>0.66200000000000003</v>
      </c>
      <c r="L85" s="137">
        <f t="shared" si="2"/>
        <v>69103.532000000007</v>
      </c>
      <c r="M85" s="122"/>
      <c r="N85" s="4"/>
      <c r="O85" s="4"/>
      <c r="P85" s="1"/>
      <c r="Q85" s="96"/>
      <c r="R85" s="1"/>
      <c r="S85" s="96"/>
    </row>
    <row r="86" spans="1:19" ht="16">
      <c r="A86" s="162"/>
      <c r="B86" s="162"/>
      <c r="C86" s="166"/>
      <c r="D86" s="159"/>
      <c r="E86" s="159"/>
      <c r="F86" s="165"/>
      <c r="G86" s="163"/>
      <c r="H86" s="164"/>
      <c r="I86" s="134" t="s">
        <v>38</v>
      </c>
      <c r="J86" s="134">
        <f t="shared" si="0"/>
        <v>0</v>
      </c>
      <c r="K86" s="138">
        <f t="shared" si="1"/>
        <v>0</v>
      </c>
      <c r="L86" s="137">
        <f t="shared" si="2"/>
        <v>0</v>
      </c>
      <c r="M86" s="122"/>
      <c r="N86" s="4"/>
      <c r="O86" s="4"/>
      <c r="P86" s="1"/>
      <c r="Q86" s="96"/>
      <c r="R86" s="1"/>
      <c r="S86" s="96"/>
    </row>
    <row r="87" spans="1:19" ht="16">
      <c r="A87" s="159"/>
      <c r="B87" s="159"/>
      <c r="C87" s="159"/>
      <c r="D87" s="159"/>
      <c r="E87" s="159"/>
      <c r="F87" s="165"/>
      <c r="G87" s="163"/>
      <c r="H87" s="164"/>
      <c r="I87" s="134" t="s">
        <v>39</v>
      </c>
      <c r="J87" s="134">
        <f t="shared" si="0"/>
        <v>0</v>
      </c>
      <c r="K87" s="138">
        <f t="shared" si="1"/>
        <v>0</v>
      </c>
      <c r="L87" s="137">
        <f t="shared" si="2"/>
        <v>0</v>
      </c>
      <c r="M87" s="124"/>
      <c r="N87" s="4"/>
      <c r="O87" s="4"/>
      <c r="P87" s="1"/>
      <c r="Q87" s="96"/>
      <c r="R87" s="1"/>
      <c r="S87" s="96"/>
    </row>
    <row r="88" spans="1:19" ht="16">
      <c r="A88" s="159"/>
      <c r="B88" s="159"/>
      <c r="C88" s="159"/>
      <c r="D88" s="159"/>
      <c r="E88" s="159"/>
      <c r="F88" s="159"/>
      <c r="G88" s="163"/>
      <c r="H88" s="164"/>
      <c r="I88" s="134" t="s">
        <v>140</v>
      </c>
      <c r="J88" s="134">
        <f t="shared" si="0"/>
        <v>0</v>
      </c>
      <c r="K88" s="138">
        <f t="shared" si="1"/>
        <v>0</v>
      </c>
      <c r="L88" s="137">
        <f t="shared" si="2"/>
        <v>0</v>
      </c>
      <c r="M88" s="122"/>
      <c r="N88" s="4"/>
      <c r="O88" s="4"/>
      <c r="P88" s="1"/>
      <c r="Q88" s="96"/>
      <c r="R88" s="1"/>
      <c r="S88" s="96"/>
    </row>
    <row r="89" spans="1:19" ht="16">
      <c r="A89" s="159"/>
      <c r="B89" s="159"/>
      <c r="C89" s="159"/>
      <c r="D89" s="159"/>
      <c r="E89" s="159"/>
      <c r="F89" s="159"/>
      <c r="G89" s="163"/>
      <c r="H89" s="164"/>
      <c r="I89" s="134" t="s">
        <v>40</v>
      </c>
      <c r="J89" s="134">
        <f t="shared" si="0"/>
        <v>0</v>
      </c>
      <c r="K89" s="138">
        <f t="shared" si="1"/>
        <v>0</v>
      </c>
      <c r="L89" s="137">
        <f t="shared" si="2"/>
        <v>0</v>
      </c>
      <c r="M89" s="122"/>
      <c r="N89" s="4"/>
      <c r="O89" s="4"/>
      <c r="P89" s="1"/>
      <c r="Q89" s="96"/>
      <c r="R89" s="1"/>
      <c r="S89" s="96"/>
    </row>
    <row r="90" spans="1:19" ht="16">
      <c r="A90" s="159"/>
      <c r="B90" s="159"/>
      <c r="C90" s="159"/>
      <c r="D90" s="159"/>
      <c r="E90" s="159"/>
      <c r="F90" s="159"/>
      <c r="G90" s="163"/>
      <c r="H90" s="164"/>
      <c r="I90" s="134" t="s">
        <v>41</v>
      </c>
      <c r="J90" s="134">
        <f t="shared" si="0"/>
        <v>0</v>
      </c>
      <c r="K90" s="138">
        <f t="shared" si="1"/>
        <v>0</v>
      </c>
      <c r="L90" s="137">
        <f t="shared" si="2"/>
        <v>0</v>
      </c>
      <c r="M90" s="122"/>
      <c r="N90" s="4"/>
      <c r="O90" s="4"/>
      <c r="P90" s="1"/>
      <c r="Q90" s="96"/>
      <c r="R90" s="1"/>
      <c r="S90" s="96"/>
    </row>
    <row r="91" spans="1:19" ht="19">
      <c r="A91" s="162"/>
      <c r="B91" s="162"/>
      <c r="C91" s="160"/>
      <c r="D91" s="159"/>
      <c r="E91" s="159"/>
      <c r="F91" s="165"/>
      <c r="G91" s="163"/>
      <c r="H91" s="167"/>
      <c r="I91" s="134" t="s">
        <v>42</v>
      </c>
      <c r="J91" s="134">
        <f t="shared" si="0"/>
        <v>0</v>
      </c>
      <c r="K91" s="138">
        <f t="shared" si="1"/>
        <v>0</v>
      </c>
      <c r="L91" s="137">
        <f t="shared" si="2"/>
        <v>0</v>
      </c>
      <c r="M91" s="122"/>
      <c r="N91" s="4"/>
      <c r="O91" s="4"/>
      <c r="P91" s="1"/>
      <c r="Q91" s="96"/>
      <c r="R91" s="1"/>
      <c r="S91" s="96"/>
    </row>
    <row r="92" spans="1:19" ht="16">
      <c r="A92" s="159"/>
      <c r="B92" s="159"/>
      <c r="C92" s="159"/>
      <c r="D92" s="159"/>
      <c r="E92" s="159"/>
      <c r="F92" s="159"/>
      <c r="G92" s="163"/>
      <c r="H92" s="164"/>
      <c r="I92" s="134" t="s">
        <v>43</v>
      </c>
      <c r="J92" s="134">
        <f t="shared" si="0"/>
        <v>27987</v>
      </c>
      <c r="K92" s="138">
        <f t="shared" si="1"/>
        <v>0.61817728231000002</v>
      </c>
      <c r="L92" s="137">
        <f t="shared" si="2"/>
        <v>17300.927600009971</v>
      </c>
      <c r="M92" s="122"/>
      <c r="N92" s="4"/>
      <c r="O92" s="4"/>
      <c r="P92" s="1"/>
      <c r="Q92" s="96"/>
      <c r="R92" s="1"/>
      <c r="S92" s="96"/>
    </row>
    <row r="93" spans="1:19" ht="16">
      <c r="A93" s="159"/>
      <c r="B93" s="159"/>
      <c r="C93" s="159"/>
      <c r="D93" s="159"/>
      <c r="E93" s="159"/>
      <c r="F93" s="159"/>
      <c r="G93" s="163"/>
      <c r="H93" s="164"/>
      <c r="I93" s="134" t="s">
        <v>139</v>
      </c>
      <c r="J93" s="134">
        <f t="shared" si="0"/>
        <v>18351</v>
      </c>
      <c r="K93" s="138">
        <f t="shared" si="1"/>
        <v>0.62170000000000003</v>
      </c>
      <c r="L93" s="137">
        <f t="shared" si="2"/>
        <v>11408.816700000001</v>
      </c>
      <c r="M93" s="122"/>
      <c r="N93" s="4"/>
      <c r="O93" s="4"/>
      <c r="P93" s="1"/>
      <c r="Q93" s="96"/>
      <c r="R93" s="1"/>
      <c r="S93" s="96"/>
    </row>
    <row r="94" spans="1:19" ht="16">
      <c r="A94" s="162"/>
      <c r="B94" s="162"/>
      <c r="C94" s="166"/>
      <c r="D94" s="159"/>
      <c r="E94" s="159"/>
      <c r="F94" s="165"/>
      <c r="G94" s="163"/>
      <c r="H94" s="164"/>
      <c r="I94" s="134" t="s">
        <v>45</v>
      </c>
      <c r="J94" s="134">
        <f t="shared" si="0"/>
        <v>5360</v>
      </c>
      <c r="K94" s="138">
        <f t="shared" si="1"/>
        <v>0.60460000000000003</v>
      </c>
      <c r="L94" s="137">
        <f t="shared" si="2"/>
        <v>3240.6559999999999</v>
      </c>
      <c r="M94" s="122"/>
      <c r="N94" s="4"/>
      <c r="O94" s="4"/>
      <c r="P94" s="1"/>
      <c r="Q94" s="96"/>
      <c r="R94" s="1"/>
      <c r="S94" s="96"/>
    </row>
    <row r="95" spans="1:19" ht="16">
      <c r="A95" s="159"/>
      <c r="B95" s="159"/>
      <c r="C95" s="159"/>
      <c r="D95" s="159"/>
      <c r="E95" s="159"/>
      <c r="F95" s="159"/>
      <c r="G95" s="163"/>
      <c r="H95" s="164"/>
      <c r="I95" s="134" t="s">
        <v>46</v>
      </c>
      <c r="J95" s="134">
        <f t="shared" si="0"/>
        <v>6394</v>
      </c>
      <c r="K95" s="138">
        <f t="shared" si="1"/>
        <v>0.59009999999999996</v>
      </c>
      <c r="L95" s="137">
        <f t="shared" si="2"/>
        <v>3773.0993999999996</v>
      </c>
      <c r="M95" s="122"/>
      <c r="N95" s="4"/>
      <c r="O95" s="4"/>
      <c r="P95" s="1"/>
      <c r="Q95" s="96"/>
      <c r="R95" s="1"/>
      <c r="S95" s="96"/>
    </row>
    <row r="96" spans="1:19" ht="16">
      <c r="A96" s="159"/>
      <c r="B96" s="159"/>
      <c r="C96" s="159"/>
      <c r="D96" s="159"/>
      <c r="E96" s="159"/>
      <c r="F96" s="159"/>
      <c r="G96" s="163"/>
      <c r="H96" s="164"/>
      <c r="I96" s="134" t="s">
        <v>47</v>
      </c>
      <c r="J96" s="134">
        <f t="shared" si="0"/>
        <v>0</v>
      </c>
      <c r="K96" s="138">
        <f t="shared" si="1"/>
        <v>0</v>
      </c>
      <c r="L96" s="137">
        <f t="shared" si="2"/>
        <v>0</v>
      </c>
      <c r="M96" s="122"/>
      <c r="N96" s="4"/>
      <c r="O96" s="4"/>
      <c r="P96" s="1"/>
      <c r="Q96" s="96"/>
      <c r="R96" s="1"/>
      <c r="S96" s="96"/>
    </row>
    <row r="97" spans="1:19" ht="16">
      <c r="A97" s="159"/>
      <c r="B97" s="159"/>
      <c r="C97" s="159"/>
      <c r="D97" s="159"/>
      <c r="E97" s="159"/>
      <c r="F97" s="159"/>
      <c r="G97" s="163"/>
      <c r="H97" s="164"/>
      <c r="I97" s="134" t="s">
        <v>48</v>
      </c>
      <c r="J97" s="134">
        <f t="shared" si="0"/>
        <v>6394</v>
      </c>
      <c r="K97" s="138">
        <f t="shared" si="1"/>
        <v>0.59009999999999996</v>
      </c>
      <c r="L97" s="137">
        <f t="shared" si="2"/>
        <v>3773.0993999999996</v>
      </c>
      <c r="M97" s="122"/>
      <c r="N97" s="4"/>
      <c r="O97" s="4"/>
      <c r="P97" s="1"/>
      <c r="Q97" s="96"/>
      <c r="R97" s="1"/>
      <c r="S97" s="96"/>
    </row>
    <row r="98" spans="1:19" ht="16">
      <c r="A98" s="159"/>
      <c r="B98" s="159"/>
      <c r="C98" s="159"/>
      <c r="D98" s="159"/>
      <c r="E98" s="159"/>
      <c r="F98" s="159"/>
      <c r="G98" s="163"/>
      <c r="H98" s="164"/>
      <c r="I98" s="134" t="s">
        <v>49</v>
      </c>
      <c r="J98" s="134">
        <f t="shared" si="0"/>
        <v>0</v>
      </c>
      <c r="K98" s="138">
        <f t="shared" si="1"/>
        <v>0</v>
      </c>
      <c r="L98" s="137">
        <f t="shared" si="2"/>
        <v>0</v>
      </c>
      <c r="M98" s="122"/>
      <c r="N98" s="4"/>
      <c r="O98" s="4"/>
      <c r="P98" s="1"/>
      <c r="Q98" s="96"/>
      <c r="R98" s="1"/>
      <c r="S98" s="96"/>
    </row>
    <row r="99" spans="1:19" ht="16">
      <c r="A99" s="162"/>
      <c r="B99" s="162"/>
      <c r="C99" s="160"/>
      <c r="D99" s="159"/>
      <c r="E99" s="159"/>
      <c r="F99" s="165"/>
      <c r="G99" s="163"/>
      <c r="H99" s="164"/>
      <c r="I99" s="134" t="s">
        <v>50</v>
      </c>
      <c r="J99" s="134">
        <f t="shared" si="0"/>
        <v>0</v>
      </c>
      <c r="K99" s="138">
        <f t="shared" si="1"/>
        <v>0</v>
      </c>
      <c r="L99" s="137">
        <f t="shared" si="2"/>
        <v>0</v>
      </c>
      <c r="M99" s="122"/>
      <c r="N99" s="4"/>
      <c r="O99" s="4"/>
      <c r="P99" s="1"/>
      <c r="Q99" s="96"/>
      <c r="R99" s="1"/>
      <c r="S99" s="96"/>
    </row>
    <row r="100" spans="1:19" ht="16">
      <c r="A100" s="159"/>
      <c r="B100" s="159"/>
      <c r="C100" s="159"/>
      <c r="D100" s="159"/>
      <c r="E100" s="159"/>
      <c r="F100" s="159"/>
      <c r="G100" s="163"/>
      <c r="H100" s="164"/>
      <c r="I100" s="134" t="s">
        <v>51</v>
      </c>
      <c r="J100" s="134">
        <f t="shared" si="0"/>
        <v>0</v>
      </c>
      <c r="K100" s="138">
        <f t="shared" si="1"/>
        <v>0</v>
      </c>
      <c r="L100" s="137">
        <f t="shared" si="2"/>
        <v>0</v>
      </c>
      <c r="M100" s="122"/>
      <c r="N100" s="4"/>
      <c r="O100" s="4"/>
      <c r="P100" s="1"/>
      <c r="Q100" s="96"/>
      <c r="R100" s="1"/>
      <c r="S100" s="96"/>
    </row>
    <row r="101" spans="1:19" ht="16">
      <c r="A101" s="159"/>
      <c r="B101" s="159"/>
      <c r="C101" s="159"/>
      <c r="D101" s="159"/>
      <c r="E101" s="159"/>
      <c r="F101" s="159"/>
      <c r="G101" s="163"/>
      <c r="H101" s="164"/>
      <c r="I101" s="134" t="s">
        <v>52</v>
      </c>
      <c r="J101" s="134">
        <f t="shared" si="0"/>
        <v>0</v>
      </c>
      <c r="K101" s="138">
        <f t="shared" si="1"/>
        <v>0</v>
      </c>
      <c r="L101" s="137">
        <f t="shared" si="2"/>
        <v>0</v>
      </c>
      <c r="M101" s="122"/>
      <c r="N101" s="4"/>
      <c r="O101" s="4"/>
      <c r="P101" s="1"/>
      <c r="Q101" s="96"/>
      <c r="R101" s="1"/>
      <c r="S101" s="96"/>
    </row>
    <row r="102" spans="1:19" ht="16">
      <c r="A102" s="162"/>
      <c r="B102" s="162"/>
      <c r="C102" s="160"/>
      <c r="D102" s="159"/>
      <c r="E102" s="159"/>
      <c r="F102" s="165"/>
      <c r="G102" s="163"/>
      <c r="H102" s="164"/>
      <c r="I102" s="134" t="s">
        <v>53</v>
      </c>
      <c r="J102" s="134">
        <f t="shared" si="0"/>
        <v>0</v>
      </c>
      <c r="K102" s="138">
        <f t="shared" si="1"/>
        <v>0</v>
      </c>
      <c r="L102" s="137">
        <f t="shared" si="2"/>
        <v>0</v>
      </c>
      <c r="M102" s="122"/>
      <c r="N102" s="4"/>
      <c r="O102" s="4"/>
      <c r="P102" s="1"/>
      <c r="Q102" s="96"/>
      <c r="R102" s="1"/>
      <c r="S102" s="96"/>
    </row>
    <row r="103" spans="1:19" ht="16">
      <c r="A103" s="159"/>
      <c r="B103" s="159"/>
      <c r="C103" s="159"/>
      <c r="D103" s="159"/>
      <c r="E103" s="159"/>
      <c r="F103" s="159"/>
      <c r="G103" s="163"/>
      <c r="H103" s="164"/>
      <c r="I103" s="134" t="s">
        <v>54</v>
      </c>
      <c r="J103" s="134">
        <f t="shared" si="0"/>
        <v>0</v>
      </c>
      <c r="K103" s="138">
        <f t="shared" si="1"/>
        <v>0</v>
      </c>
      <c r="L103" s="137">
        <f t="shared" si="2"/>
        <v>0</v>
      </c>
      <c r="M103" s="122"/>
      <c r="N103" s="4"/>
      <c r="O103" s="4"/>
      <c r="P103" s="1"/>
      <c r="Q103" s="96"/>
      <c r="R103" s="1"/>
      <c r="S103" s="96"/>
    </row>
    <row r="104" spans="1:19" ht="16">
      <c r="A104" s="162"/>
      <c r="B104" s="162"/>
      <c r="C104" s="160"/>
      <c r="D104" s="159"/>
      <c r="E104" s="159"/>
      <c r="F104" s="165"/>
      <c r="G104" s="163"/>
      <c r="H104" s="164"/>
      <c r="I104" s="134" t="s">
        <v>55</v>
      </c>
      <c r="J104" s="134">
        <f t="shared" si="0"/>
        <v>0</v>
      </c>
      <c r="K104" s="138">
        <f t="shared" si="1"/>
        <v>0</v>
      </c>
      <c r="L104" s="137">
        <f t="shared" si="2"/>
        <v>0</v>
      </c>
      <c r="M104" s="122"/>
      <c r="N104" s="4"/>
      <c r="O104" s="4"/>
      <c r="P104" s="1"/>
      <c r="Q104" s="96"/>
      <c r="R104" s="1"/>
      <c r="S104" s="96"/>
    </row>
    <row r="105" spans="1:19" ht="16">
      <c r="A105" s="159"/>
      <c r="B105" s="159"/>
      <c r="C105" s="159"/>
      <c r="D105" s="159"/>
      <c r="E105" s="159"/>
      <c r="F105" s="159"/>
      <c r="G105" s="163"/>
      <c r="H105" s="164"/>
      <c r="I105" s="134" t="s">
        <v>56</v>
      </c>
      <c r="J105" s="134">
        <f t="shared" si="0"/>
        <v>0</v>
      </c>
      <c r="K105" s="138">
        <f t="shared" si="1"/>
        <v>0</v>
      </c>
      <c r="L105" s="137">
        <f t="shared" si="2"/>
        <v>0</v>
      </c>
      <c r="M105" s="122"/>
      <c r="N105" s="4"/>
      <c r="O105" s="4"/>
      <c r="P105" s="1"/>
      <c r="Q105" s="96"/>
      <c r="R105" s="1"/>
      <c r="S105" s="96"/>
    </row>
    <row r="106" spans="1:19" ht="16">
      <c r="A106" s="162"/>
      <c r="B106" s="162"/>
      <c r="C106" s="160"/>
      <c r="D106" s="159"/>
      <c r="E106" s="159"/>
      <c r="F106" s="159"/>
      <c r="G106" s="163"/>
      <c r="H106" s="164"/>
      <c r="I106" s="134" t="s">
        <v>57</v>
      </c>
      <c r="J106" s="134">
        <f t="shared" si="0"/>
        <v>0</v>
      </c>
      <c r="K106" s="138">
        <f t="shared" si="1"/>
        <v>0</v>
      </c>
      <c r="L106" s="137">
        <f t="shared" si="2"/>
        <v>0</v>
      </c>
      <c r="M106" s="122"/>
      <c r="N106" s="4"/>
      <c r="O106" s="4"/>
      <c r="P106" s="1"/>
      <c r="Q106" s="96"/>
      <c r="R106" s="1"/>
      <c r="S106" s="96"/>
    </row>
    <row r="107" spans="1:19" ht="16">
      <c r="A107" s="162"/>
      <c r="B107" s="162"/>
      <c r="C107" s="160"/>
      <c r="D107" s="159"/>
      <c r="E107" s="159"/>
      <c r="F107" s="159"/>
      <c r="G107" s="163"/>
      <c r="H107" s="164"/>
      <c r="I107" s="134" t="s">
        <v>58</v>
      </c>
      <c r="J107" s="134">
        <f t="shared" si="0"/>
        <v>0</v>
      </c>
      <c r="K107" s="138">
        <f t="shared" si="1"/>
        <v>0</v>
      </c>
      <c r="L107" s="137">
        <f t="shared" si="2"/>
        <v>0</v>
      </c>
      <c r="M107" s="122"/>
      <c r="N107" s="4"/>
      <c r="O107" s="4"/>
      <c r="P107" s="1"/>
      <c r="Q107" s="96"/>
      <c r="R107" s="1"/>
      <c r="S107" s="96"/>
    </row>
    <row r="108" spans="1:19" ht="16">
      <c r="A108" s="159"/>
      <c r="B108" s="159"/>
      <c r="C108" s="159"/>
      <c r="D108" s="159"/>
      <c r="E108" s="159"/>
      <c r="F108" s="159"/>
      <c r="G108" s="163"/>
      <c r="H108" s="164"/>
      <c r="I108" s="134" t="s">
        <v>59</v>
      </c>
      <c r="J108" s="134">
        <f t="shared" si="0"/>
        <v>0</v>
      </c>
      <c r="K108" s="138">
        <f t="shared" si="1"/>
        <v>0</v>
      </c>
      <c r="L108" s="137">
        <f t="shared" si="2"/>
        <v>0</v>
      </c>
      <c r="M108" s="122"/>
      <c r="N108" s="4"/>
      <c r="O108" s="4"/>
      <c r="P108" s="1"/>
      <c r="Q108" s="96"/>
      <c r="R108" s="1"/>
      <c r="S108" s="96"/>
    </row>
    <row r="109" spans="1:19" ht="16">
      <c r="A109" s="159"/>
      <c r="B109" s="159"/>
      <c r="C109" s="159"/>
      <c r="D109" s="159"/>
      <c r="E109" s="159"/>
      <c r="F109" s="159"/>
      <c r="G109" s="163"/>
      <c r="H109" s="164"/>
      <c r="I109" s="134" t="s">
        <v>60</v>
      </c>
      <c r="J109" s="134">
        <f t="shared" si="0"/>
        <v>0</v>
      </c>
      <c r="K109" s="138">
        <f t="shared" si="1"/>
        <v>0</v>
      </c>
      <c r="L109" s="137">
        <f t="shared" si="2"/>
        <v>0</v>
      </c>
      <c r="M109" s="122"/>
      <c r="N109" s="4"/>
      <c r="O109" s="4"/>
      <c r="P109" s="1"/>
      <c r="Q109" s="96"/>
      <c r="R109" s="1"/>
      <c r="S109" s="96"/>
    </row>
    <row r="110" spans="1:19" ht="16">
      <c r="A110" s="162"/>
      <c r="B110" s="162"/>
      <c r="C110" s="160"/>
      <c r="D110" s="159"/>
      <c r="E110" s="159"/>
      <c r="F110" s="165"/>
      <c r="G110" s="163"/>
      <c r="H110" s="164"/>
      <c r="I110" s="134" t="s">
        <v>61</v>
      </c>
      <c r="J110" s="134">
        <f t="shared" si="0"/>
        <v>0</v>
      </c>
      <c r="K110" s="138">
        <f t="shared" si="1"/>
        <v>0</v>
      </c>
      <c r="L110" s="137">
        <f t="shared" si="2"/>
        <v>0</v>
      </c>
      <c r="M110" s="122"/>
      <c r="N110" s="4"/>
      <c r="O110" s="4"/>
      <c r="P110" s="1"/>
      <c r="Q110" s="96"/>
      <c r="R110" s="1"/>
      <c r="S110" s="96"/>
    </row>
    <row r="111" spans="1:19" ht="16">
      <c r="A111" s="159"/>
      <c r="B111" s="159"/>
      <c r="C111" s="159"/>
      <c r="D111" s="159"/>
      <c r="E111" s="159"/>
      <c r="F111" s="159"/>
      <c r="G111" s="163"/>
      <c r="H111" s="164"/>
      <c r="I111" s="134" t="s">
        <v>62</v>
      </c>
      <c r="J111" s="134">
        <f t="shared" si="0"/>
        <v>0</v>
      </c>
      <c r="K111" s="138">
        <f t="shared" si="1"/>
        <v>0</v>
      </c>
      <c r="L111" s="137">
        <f t="shared" si="2"/>
        <v>0</v>
      </c>
      <c r="M111" s="122"/>
      <c r="N111" s="4"/>
      <c r="O111" s="4"/>
      <c r="P111" s="1"/>
      <c r="Q111" s="96"/>
      <c r="R111" s="1"/>
      <c r="S111" s="96"/>
    </row>
    <row r="112" spans="1:19" ht="16">
      <c r="A112" s="159"/>
      <c r="B112" s="159"/>
      <c r="C112" s="159"/>
      <c r="D112" s="159"/>
      <c r="E112" s="159"/>
      <c r="F112" s="159"/>
      <c r="G112" s="163"/>
      <c r="H112" s="164"/>
      <c r="I112" s="134" t="s">
        <v>63</v>
      </c>
      <c r="J112" s="134">
        <f t="shared" si="0"/>
        <v>0</v>
      </c>
      <c r="K112" s="138">
        <f t="shared" si="1"/>
        <v>0</v>
      </c>
      <c r="L112" s="137">
        <f t="shared" si="2"/>
        <v>0</v>
      </c>
      <c r="M112" s="122"/>
      <c r="N112" s="4"/>
      <c r="O112" s="4"/>
      <c r="P112" s="1"/>
      <c r="Q112" s="96"/>
      <c r="R112" s="1"/>
      <c r="S112" s="96"/>
    </row>
    <row r="113" spans="1:19" ht="16">
      <c r="A113" s="162"/>
      <c r="B113" s="162"/>
      <c r="C113" s="160"/>
      <c r="D113" s="159"/>
      <c r="E113" s="159"/>
      <c r="F113" s="165"/>
      <c r="G113" s="163"/>
      <c r="H113" s="164"/>
      <c r="I113" s="134" t="s">
        <v>64</v>
      </c>
      <c r="J113" s="134">
        <f t="shared" si="0"/>
        <v>77372</v>
      </c>
      <c r="K113" s="138">
        <f t="shared" si="1"/>
        <v>0.54</v>
      </c>
      <c r="L113" s="137">
        <f t="shared" si="2"/>
        <v>41780.880000000005</v>
      </c>
      <c r="M113" s="122"/>
      <c r="N113" s="4"/>
      <c r="O113" s="4"/>
      <c r="P113" s="1"/>
      <c r="Q113" s="96"/>
      <c r="R113" s="1"/>
      <c r="S113" s="96"/>
    </row>
    <row r="114" spans="1:19" ht="16">
      <c r="A114" s="159"/>
      <c r="B114" s="159"/>
      <c r="C114" s="159"/>
      <c r="D114" s="159"/>
      <c r="E114" s="159"/>
      <c r="F114" s="159"/>
      <c r="G114" s="163"/>
      <c r="H114" s="164"/>
      <c r="I114" s="134" t="s">
        <v>65</v>
      </c>
      <c r="J114" s="134">
        <f t="shared" si="0"/>
        <v>77372</v>
      </c>
      <c r="K114" s="138">
        <f t="shared" si="1"/>
        <v>0.54</v>
      </c>
      <c r="L114" s="137">
        <f t="shared" si="2"/>
        <v>41780.880000000005</v>
      </c>
      <c r="M114" s="122"/>
      <c r="N114" s="4"/>
      <c r="O114" s="4"/>
      <c r="P114" s="1"/>
      <c r="Q114" s="96"/>
      <c r="R114" s="1"/>
      <c r="S114" s="96"/>
    </row>
    <row r="115" spans="1:19" ht="16">
      <c r="A115" s="159"/>
      <c r="B115" s="159"/>
      <c r="C115" s="159"/>
      <c r="D115" s="159"/>
      <c r="E115" s="159"/>
      <c r="F115" s="159"/>
      <c r="G115" s="163"/>
      <c r="H115" s="164"/>
      <c r="I115" s="134" t="s">
        <v>66</v>
      </c>
      <c r="J115" s="134">
        <f t="shared" si="0"/>
        <v>4403</v>
      </c>
      <c r="K115" s="138">
        <f t="shared" si="1"/>
        <v>0.62139999999999995</v>
      </c>
      <c r="L115" s="137">
        <f t="shared" si="2"/>
        <v>2736.0241999999998</v>
      </c>
      <c r="M115" s="122"/>
      <c r="N115" s="4"/>
      <c r="O115" s="4"/>
      <c r="P115" s="1"/>
      <c r="Q115" s="96"/>
      <c r="R115" s="1"/>
      <c r="S115" s="96"/>
    </row>
    <row r="116" spans="1:19" ht="16">
      <c r="A116" s="159"/>
      <c r="B116" s="159"/>
      <c r="C116" s="159"/>
      <c r="D116" s="159"/>
      <c r="E116" s="159"/>
      <c r="F116" s="159"/>
      <c r="G116" s="162"/>
      <c r="H116" s="160"/>
      <c r="I116" s="134" t="s">
        <v>67</v>
      </c>
      <c r="J116" s="134">
        <f t="shared" si="0"/>
        <v>127</v>
      </c>
      <c r="K116" s="138">
        <f t="shared" si="1"/>
        <v>0.66590000000000005</v>
      </c>
      <c r="L116" s="137">
        <f t="shared" si="2"/>
        <v>84.569300000000013</v>
      </c>
      <c r="M116" s="122"/>
      <c r="N116" s="4"/>
      <c r="O116" s="4"/>
      <c r="P116" s="1"/>
      <c r="Q116" s="96"/>
      <c r="R116" s="1"/>
      <c r="S116" s="96"/>
    </row>
    <row r="117" spans="1:19">
      <c r="A117" s="159"/>
      <c r="B117" s="159"/>
      <c r="C117" s="159"/>
      <c r="D117" s="159"/>
      <c r="E117" s="159"/>
      <c r="F117" s="159"/>
      <c r="G117" s="159"/>
      <c r="H117" s="159"/>
      <c r="I117" s="134"/>
      <c r="J117" s="134"/>
      <c r="K117" s="134"/>
      <c r="L117" s="134"/>
      <c r="M117" s="122"/>
    </row>
    <row r="118" spans="1:19">
      <c r="A118" s="159"/>
      <c r="B118" s="159"/>
      <c r="C118" s="159"/>
      <c r="D118" s="159"/>
      <c r="E118" s="159"/>
      <c r="F118" s="159"/>
      <c r="G118" s="205"/>
      <c r="H118" s="206"/>
      <c r="I118" s="134"/>
      <c r="J118" s="139"/>
      <c r="K118" s="139"/>
      <c r="L118" s="134"/>
      <c r="M118" s="122"/>
    </row>
    <row r="119" spans="1:19">
      <c r="A119" s="159"/>
      <c r="B119" s="159"/>
      <c r="C119" s="159"/>
      <c r="D119" s="159"/>
      <c r="E119" s="159"/>
      <c r="F119" s="159"/>
      <c r="G119" s="161"/>
      <c r="H119" s="161"/>
      <c r="I119" s="134"/>
      <c r="J119" s="139"/>
      <c r="K119" s="139"/>
      <c r="L119" s="134"/>
    </row>
    <row r="120" spans="1:19">
      <c r="A120" s="159"/>
      <c r="B120" s="159"/>
      <c r="C120" s="159"/>
      <c r="D120" s="159"/>
      <c r="E120" s="159"/>
      <c r="F120" s="159"/>
      <c r="G120" s="159"/>
      <c r="H120" s="159"/>
      <c r="I120" s="134"/>
      <c r="J120" s="137"/>
      <c r="K120" s="138"/>
      <c r="L120" s="134"/>
    </row>
    <row r="121" spans="1:19">
      <c r="A121" s="159"/>
      <c r="B121" s="159"/>
      <c r="C121" s="159"/>
      <c r="D121" s="159"/>
      <c r="E121" s="159"/>
      <c r="F121" s="159"/>
      <c r="G121" s="159"/>
      <c r="H121" s="159"/>
      <c r="I121" s="134"/>
      <c r="J121" s="137"/>
      <c r="K121" s="138"/>
      <c r="L121" s="134"/>
    </row>
    <row r="122" spans="1:19">
      <c r="A122" s="159"/>
      <c r="B122" s="159"/>
      <c r="C122" s="159"/>
      <c r="D122" s="159"/>
      <c r="E122" s="159"/>
      <c r="F122" s="159"/>
      <c r="G122" s="159"/>
      <c r="H122" s="159"/>
      <c r="I122" s="134"/>
      <c r="J122" s="137"/>
      <c r="K122" s="138"/>
      <c r="L122" s="134"/>
    </row>
    <row r="123" spans="1:19">
      <c r="A123" s="159"/>
      <c r="B123" s="159"/>
      <c r="C123" s="159"/>
      <c r="D123" s="159"/>
      <c r="E123" s="159"/>
      <c r="F123" s="159"/>
      <c r="J123" s="2"/>
      <c r="K123" s="1"/>
    </row>
    <row r="124" spans="1:19">
      <c r="A124" s="159"/>
      <c r="B124" s="159"/>
      <c r="C124" s="159"/>
      <c r="D124" s="159"/>
      <c r="E124" s="159"/>
      <c r="F124" s="159"/>
      <c r="J124" s="2"/>
      <c r="K124" s="1"/>
    </row>
    <row r="125" spans="1:19">
      <c r="A125" s="159"/>
      <c r="B125" s="159"/>
      <c r="C125" s="159"/>
      <c r="D125" s="159"/>
      <c r="E125" s="159"/>
      <c r="F125" s="159"/>
      <c r="J125" s="2"/>
      <c r="K125" s="1"/>
    </row>
    <row r="126" spans="1:19">
      <c r="A126" s="159"/>
      <c r="B126" s="159"/>
      <c r="C126" s="159"/>
      <c r="D126" s="159"/>
      <c r="E126" s="159"/>
      <c r="F126" s="159"/>
      <c r="J126" s="2"/>
      <c r="K126" s="1"/>
    </row>
    <row r="127" spans="1:19">
      <c r="A127" s="159"/>
      <c r="B127" s="159"/>
      <c r="C127" s="159"/>
      <c r="D127" s="159"/>
      <c r="E127" s="159"/>
      <c r="F127" s="159"/>
      <c r="J127" s="2"/>
      <c r="K127" s="1"/>
    </row>
    <row r="128" spans="1:19">
      <c r="A128" s="159"/>
      <c r="B128" s="159"/>
      <c r="C128" s="159"/>
      <c r="D128" s="159"/>
      <c r="E128" s="159"/>
      <c r="F128" s="159"/>
      <c r="J128" s="2"/>
      <c r="K128" s="1"/>
    </row>
    <row r="129" spans="1:11">
      <c r="A129" s="159"/>
      <c r="B129" s="159"/>
      <c r="C129" s="159"/>
      <c r="D129" s="159"/>
      <c r="E129" s="159"/>
      <c r="F129" s="159"/>
      <c r="J129" s="2"/>
      <c r="K129" s="1"/>
    </row>
    <row r="130" spans="1:11">
      <c r="A130" s="159"/>
      <c r="B130" s="159"/>
      <c r="C130" s="159"/>
      <c r="D130" s="159"/>
      <c r="E130" s="159"/>
      <c r="F130" s="159"/>
      <c r="J130" s="2"/>
      <c r="K130" s="1"/>
    </row>
    <row r="131" spans="1:11">
      <c r="A131" s="159"/>
      <c r="B131" s="159"/>
      <c r="C131" s="159"/>
      <c r="D131" s="159"/>
      <c r="E131" s="159"/>
      <c r="F131" s="159"/>
      <c r="J131" s="2"/>
      <c r="K131" s="1"/>
    </row>
    <row r="132" spans="1:11">
      <c r="A132" s="159"/>
      <c r="B132" s="159"/>
      <c r="C132" s="159"/>
      <c r="D132" s="159"/>
      <c r="E132" s="159"/>
      <c r="F132" s="159"/>
      <c r="J132" s="2"/>
      <c r="K132" s="1"/>
    </row>
    <row r="133" spans="1:11">
      <c r="A133" s="159"/>
      <c r="B133" s="159"/>
      <c r="C133" s="159"/>
      <c r="D133" s="159"/>
      <c r="E133" s="159"/>
      <c r="F133" s="159"/>
      <c r="J133" s="2"/>
      <c r="K133" s="1"/>
    </row>
    <row r="134" spans="1:11">
      <c r="A134" s="159"/>
      <c r="B134" s="159"/>
      <c r="C134" s="159"/>
      <c r="D134" s="159"/>
      <c r="E134" s="159"/>
      <c r="F134" s="159"/>
      <c r="J134" s="2"/>
      <c r="K134" s="1"/>
    </row>
    <row r="135" spans="1:11">
      <c r="A135" s="159"/>
      <c r="B135" s="159"/>
      <c r="C135" s="159"/>
      <c r="D135" s="159"/>
      <c r="E135" s="159"/>
      <c r="F135" s="159"/>
      <c r="J135" s="2"/>
      <c r="K135" s="1"/>
    </row>
    <row r="136" spans="1:11">
      <c r="A136" s="159"/>
      <c r="B136" s="159"/>
      <c r="C136" s="159"/>
      <c r="D136" s="159"/>
      <c r="E136" s="159"/>
      <c r="F136" s="159"/>
      <c r="J136" s="2"/>
      <c r="K136" s="1"/>
    </row>
    <row r="137" spans="1:11">
      <c r="A137" s="159"/>
      <c r="B137" s="159"/>
      <c r="C137" s="159"/>
      <c r="D137" s="159"/>
      <c r="E137" s="159"/>
      <c r="F137" s="159"/>
      <c r="J137" s="2"/>
      <c r="K137" s="1"/>
    </row>
    <row r="138" spans="1:11">
      <c r="A138" s="159"/>
      <c r="B138" s="159"/>
      <c r="C138" s="159"/>
      <c r="D138" s="159"/>
      <c r="E138" s="159"/>
      <c r="F138" s="159"/>
      <c r="J138" s="2"/>
      <c r="K138" s="1"/>
    </row>
    <row r="139" spans="1:11">
      <c r="A139" s="159"/>
      <c r="B139" s="159"/>
      <c r="C139" s="159"/>
      <c r="D139" s="159"/>
      <c r="E139" s="159"/>
      <c r="F139" s="159"/>
      <c r="J139" s="2"/>
      <c r="K139" s="1"/>
    </row>
    <row r="140" spans="1:11">
      <c r="A140" s="159"/>
      <c r="B140" s="159"/>
      <c r="C140" s="159"/>
      <c r="D140" s="159"/>
      <c r="E140" s="159"/>
      <c r="F140" s="159"/>
      <c r="J140" s="2"/>
      <c r="K140" s="1"/>
    </row>
    <row r="141" spans="1:11">
      <c r="A141" s="159"/>
      <c r="B141" s="159"/>
      <c r="C141" s="159"/>
      <c r="D141" s="159"/>
      <c r="E141" s="159"/>
      <c r="F141" s="159"/>
      <c r="J141" s="2"/>
      <c r="K141" s="1"/>
    </row>
    <row r="142" spans="1:11">
      <c r="A142" s="159"/>
      <c r="B142" s="159"/>
      <c r="C142" s="159"/>
      <c r="D142" s="159"/>
      <c r="E142" s="159"/>
      <c r="F142" s="159"/>
      <c r="J142" s="2"/>
      <c r="K142" s="1"/>
    </row>
    <row r="143" spans="1:11">
      <c r="A143" s="159"/>
      <c r="B143" s="159"/>
      <c r="C143" s="159"/>
      <c r="D143" s="159"/>
      <c r="E143" s="159"/>
      <c r="F143" s="159"/>
      <c r="J143" s="2"/>
      <c r="K143" s="1"/>
    </row>
    <row r="144" spans="1:11">
      <c r="A144" s="159"/>
      <c r="B144" s="159"/>
      <c r="C144" s="159"/>
      <c r="D144" s="159"/>
      <c r="E144" s="159"/>
      <c r="F144" s="159"/>
      <c r="J144" s="2"/>
      <c r="K144" s="1"/>
    </row>
    <row r="145" spans="1:11">
      <c r="A145" s="159"/>
      <c r="B145" s="159"/>
      <c r="C145" s="159"/>
      <c r="D145" s="159"/>
      <c r="E145" s="159"/>
      <c r="F145" s="159"/>
      <c r="J145" s="2"/>
      <c r="K145" s="1"/>
    </row>
    <row r="146" spans="1:11">
      <c r="A146" s="159"/>
      <c r="B146" s="159"/>
      <c r="C146" s="159"/>
      <c r="D146" s="159"/>
      <c r="E146" s="159"/>
      <c r="F146" s="159"/>
      <c r="J146" s="2"/>
      <c r="K146" s="1"/>
    </row>
    <row r="147" spans="1:11">
      <c r="A147" s="159"/>
      <c r="B147" s="159"/>
      <c r="C147" s="159"/>
      <c r="D147" s="159"/>
      <c r="E147" s="159"/>
      <c r="F147" s="159"/>
      <c r="J147" s="2"/>
      <c r="K147" s="1"/>
    </row>
    <row r="148" spans="1:11">
      <c r="A148" s="159"/>
      <c r="B148" s="159"/>
      <c r="C148" s="159"/>
      <c r="D148" s="159"/>
      <c r="E148" s="159"/>
      <c r="F148" s="159"/>
      <c r="J148" s="2"/>
      <c r="K148" s="1"/>
    </row>
    <row r="149" spans="1:11">
      <c r="A149" s="159"/>
      <c r="B149" s="159"/>
      <c r="C149" s="159"/>
      <c r="D149" s="159"/>
      <c r="E149" s="159"/>
      <c r="F149" s="159"/>
      <c r="J149" s="2"/>
      <c r="K149" s="1"/>
    </row>
    <row r="150" spans="1:11">
      <c r="A150" s="159"/>
      <c r="B150" s="159"/>
      <c r="C150" s="159"/>
      <c r="D150" s="159"/>
      <c r="E150" s="159"/>
      <c r="F150" s="159"/>
      <c r="J150" s="2"/>
      <c r="K150" s="1"/>
    </row>
    <row r="151" spans="1:11">
      <c r="A151" s="159"/>
      <c r="B151" s="159"/>
      <c r="C151" s="159"/>
      <c r="D151" s="159"/>
      <c r="E151" s="159"/>
      <c r="F151" s="159"/>
      <c r="J151" s="2"/>
      <c r="K151" s="1"/>
    </row>
    <row r="152" spans="1:11">
      <c r="A152" s="159"/>
      <c r="B152" s="159"/>
      <c r="C152" s="159"/>
      <c r="D152" s="159"/>
      <c r="E152" s="159"/>
      <c r="F152" s="159"/>
      <c r="J152" s="2"/>
      <c r="K152" s="1"/>
    </row>
    <row r="153" spans="1:11">
      <c r="A153" s="159"/>
      <c r="B153" s="159"/>
      <c r="C153" s="159"/>
      <c r="D153" s="159"/>
      <c r="E153" s="159"/>
      <c r="F153" s="159"/>
      <c r="J153" s="2"/>
      <c r="K153" s="1"/>
    </row>
    <row r="154" spans="1:11">
      <c r="A154" s="159"/>
      <c r="B154" s="159"/>
      <c r="C154" s="159"/>
      <c r="D154" s="159"/>
      <c r="E154" s="159"/>
      <c r="F154" s="159"/>
      <c r="J154" s="2"/>
      <c r="K154" s="1"/>
    </row>
    <row r="155" spans="1:11">
      <c r="A155" s="159"/>
      <c r="B155" s="159"/>
      <c r="C155" s="159"/>
      <c r="D155" s="159"/>
      <c r="E155" s="159"/>
      <c r="F155" s="159"/>
      <c r="J155" s="2"/>
      <c r="K155" s="1"/>
    </row>
    <row r="156" spans="1:11">
      <c r="A156" s="159"/>
      <c r="B156" s="159"/>
      <c r="C156" s="159"/>
      <c r="D156" s="159"/>
      <c r="E156" s="159"/>
      <c r="F156" s="159"/>
      <c r="J156" s="2"/>
      <c r="K156" s="1"/>
    </row>
    <row r="157" spans="1:11">
      <c r="A157" s="159"/>
      <c r="B157" s="159"/>
      <c r="C157" s="159"/>
      <c r="D157" s="159"/>
      <c r="E157" s="159"/>
      <c r="F157" s="159"/>
      <c r="J157" s="2"/>
      <c r="K157" s="1"/>
    </row>
    <row r="158" spans="1:11">
      <c r="A158" s="159"/>
      <c r="B158" s="159"/>
      <c r="C158" s="159"/>
      <c r="D158" s="159"/>
      <c r="E158" s="159"/>
      <c r="F158" s="159"/>
      <c r="J158" s="2"/>
      <c r="K158" s="1"/>
    </row>
    <row r="159" spans="1:11">
      <c r="J159" s="2"/>
      <c r="K159" s="1"/>
    </row>
    <row r="160" spans="1:11">
      <c r="J160" s="2"/>
      <c r="K160" s="1"/>
    </row>
    <row r="161" spans="7:11">
      <c r="J161" s="2"/>
      <c r="K161" s="1"/>
    </row>
    <row r="162" spans="7:11">
      <c r="J162" s="2"/>
      <c r="K162" s="1"/>
    </row>
    <row r="163" spans="7:11">
      <c r="J163" s="2"/>
      <c r="K163" s="1"/>
    </row>
    <row r="164" spans="7:11">
      <c r="J164" s="2"/>
      <c r="K164" s="1"/>
    </row>
    <row r="165" spans="7:11">
      <c r="J165" s="2"/>
      <c r="K165" s="1"/>
    </row>
    <row r="166" spans="7:11">
      <c r="J166" s="2"/>
      <c r="K166" s="1"/>
    </row>
    <row r="167" spans="7:11">
      <c r="J167" s="2"/>
      <c r="K167" s="1"/>
    </row>
    <row r="168" spans="7:11">
      <c r="J168" s="2"/>
      <c r="K168" s="1"/>
    </row>
    <row r="169" spans="7:11">
      <c r="J169" s="2"/>
      <c r="K169" s="1"/>
    </row>
    <row r="170" spans="7:11">
      <c r="J170" s="2"/>
      <c r="K170" s="1"/>
    </row>
    <row r="171" spans="7:11">
      <c r="J171" s="2"/>
      <c r="K171" s="1"/>
    </row>
    <row r="172" spans="7:11">
      <c r="J172" s="2"/>
      <c r="K172" s="1"/>
    </row>
    <row r="173" spans="7:11">
      <c r="J173" s="2"/>
      <c r="K173" s="1"/>
    </row>
    <row r="174" spans="7:11">
      <c r="J174" s="2"/>
      <c r="K174" s="1"/>
    </row>
    <row r="176" spans="7:11">
      <c r="G176" s="168"/>
      <c r="H176" s="168"/>
    </row>
    <row r="177" spans="7:8">
      <c r="G177" s="168"/>
      <c r="H177" s="168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dimension ref="A1:D38"/>
  <sheetViews>
    <sheetView zoomScale="54" zoomScaleNormal="54" workbookViewId="0">
      <selection activeCell="B33" sqref="B33"/>
    </sheetView>
  </sheetViews>
  <sheetFormatPr baseColWidth="10" defaultRowHeight="15"/>
  <cols>
    <col min="1" max="1" width="58.6640625" customWidth="1"/>
    <col min="2" max="2" width="24" customWidth="1"/>
    <col min="3" max="3" width="16.5" style="125" customWidth="1"/>
    <col min="4" max="4" width="23.1640625" customWidth="1"/>
  </cols>
  <sheetData>
    <row r="1" spans="1:4" ht="24">
      <c r="A1" s="149" t="s">
        <v>7</v>
      </c>
      <c r="B1" s="150">
        <v>4991.0799999999981</v>
      </c>
      <c r="C1" s="155">
        <v>0.5</v>
      </c>
      <c r="D1" s="156">
        <v>0.01</v>
      </c>
    </row>
    <row r="2" spans="1:4" ht="24">
      <c r="A2" s="149" t="s">
        <v>8</v>
      </c>
      <c r="B2" s="150">
        <v>88872.295000000173</v>
      </c>
      <c r="C2" s="155">
        <v>0.5</v>
      </c>
      <c r="D2" s="156">
        <v>0.01</v>
      </c>
    </row>
    <row r="3" spans="1:4" ht="24">
      <c r="A3" s="149" t="s">
        <v>9</v>
      </c>
      <c r="B3" s="150">
        <v>2985</v>
      </c>
      <c r="C3" s="155">
        <v>0.5</v>
      </c>
      <c r="D3" s="156">
        <v>8.4083959293394767E-2</v>
      </c>
    </row>
    <row r="4" spans="1:4" ht="24">
      <c r="A4" s="149" t="s">
        <v>3</v>
      </c>
      <c r="B4" s="150">
        <v>0</v>
      </c>
      <c r="C4" s="155">
        <v>0.5</v>
      </c>
      <c r="D4" s="156">
        <v>7.0000000000000001E-3</v>
      </c>
    </row>
    <row r="5" spans="1:4" ht="24">
      <c r="A5" s="149" t="s">
        <v>162</v>
      </c>
      <c r="B5" s="150">
        <v>144052.08999999997</v>
      </c>
      <c r="C5" s="155">
        <v>0.5</v>
      </c>
      <c r="D5" s="156">
        <v>8.6167918586789544E-2</v>
      </c>
    </row>
    <row r="6" spans="1:4" ht="24">
      <c r="A6" s="149" t="s">
        <v>163</v>
      </c>
      <c r="B6" s="150">
        <v>87099.612182495111</v>
      </c>
      <c r="C6" s="155">
        <v>0.5</v>
      </c>
      <c r="D6" s="156">
        <v>5.0000000000000001E-3</v>
      </c>
    </row>
    <row r="7" spans="1:4" ht="24">
      <c r="A7" s="149" t="s">
        <v>164</v>
      </c>
      <c r="B7" s="151">
        <v>27059.240058898926</v>
      </c>
      <c r="C7" s="155">
        <v>0.5</v>
      </c>
      <c r="D7" s="155">
        <v>5.0000000000000001E-3</v>
      </c>
    </row>
    <row r="8" spans="1:4" ht="24">
      <c r="A8" s="149" t="s">
        <v>149</v>
      </c>
      <c r="B8" s="151">
        <v>129475.38462294932</v>
      </c>
      <c r="C8" s="155">
        <v>0.68412600000000001</v>
      </c>
      <c r="D8" s="155">
        <v>0.01</v>
      </c>
    </row>
    <row r="9" spans="1:4" ht="24">
      <c r="A9" s="149" t="s">
        <v>165</v>
      </c>
      <c r="B9" s="150">
        <v>132791.454</v>
      </c>
      <c r="C9" s="157">
        <v>0.68410599999999999</v>
      </c>
      <c r="D9" s="155">
        <v>0.01</v>
      </c>
    </row>
    <row r="10" spans="1:4" ht="24">
      <c r="A10" s="149" t="s">
        <v>150</v>
      </c>
      <c r="B10" s="150">
        <v>18351.4911288</v>
      </c>
      <c r="C10" s="157">
        <v>0.62109999999999999</v>
      </c>
      <c r="D10" s="155">
        <v>0.01</v>
      </c>
    </row>
    <row r="11" spans="1:4" ht="24">
      <c r="A11" s="149" t="s">
        <v>151</v>
      </c>
      <c r="B11" s="150">
        <v>5359.78701</v>
      </c>
      <c r="C11" s="157">
        <v>0.61180000000000001</v>
      </c>
      <c r="D11" s="155">
        <v>0.01</v>
      </c>
    </row>
    <row r="12" spans="1:4" ht="24">
      <c r="A12" s="149" t="s">
        <v>152</v>
      </c>
      <c r="B12" s="150">
        <v>0</v>
      </c>
      <c r="C12" s="157">
        <v>0.6099</v>
      </c>
      <c r="D12" s="155">
        <v>0.01</v>
      </c>
    </row>
    <row r="13" spans="1:4" ht="24">
      <c r="A13" s="149" t="s">
        <v>122</v>
      </c>
      <c r="B13" s="151">
        <v>6393.6610499999997</v>
      </c>
      <c r="C13" s="155">
        <v>0.61070000000000002</v>
      </c>
      <c r="D13" s="155">
        <v>0.01</v>
      </c>
    </row>
    <row r="14" spans="1:4" ht="24">
      <c r="A14" s="149" t="s">
        <v>123</v>
      </c>
      <c r="B14" s="151">
        <v>0</v>
      </c>
      <c r="C14" s="155">
        <v>0.56729999999999992</v>
      </c>
      <c r="D14" s="155">
        <v>0.01</v>
      </c>
    </row>
    <row r="15" spans="1:4" ht="24">
      <c r="A15" s="149" t="s">
        <v>166</v>
      </c>
      <c r="B15" s="151">
        <v>152453.07</v>
      </c>
      <c r="C15" s="155">
        <v>0.36777300000000002</v>
      </c>
      <c r="D15" s="155">
        <v>0.01</v>
      </c>
    </row>
    <row r="16" spans="1:4" ht="24">
      <c r="A16" s="142" t="s">
        <v>6</v>
      </c>
      <c r="B16" s="152">
        <v>107865.3576</v>
      </c>
      <c r="C16" s="158">
        <v>0</v>
      </c>
      <c r="D16" s="155">
        <v>0.01</v>
      </c>
    </row>
    <row r="17" spans="1:4" ht="24">
      <c r="A17" s="142" t="s">
        <v>123</v>
      </c>
      <c r="B17" s="152">
        <v>0</v>
      </c>
      <c r="C17" s="143">
        <v>0</v>
      </c>
      <c r="D17" s="151">
        <v>0</v>
      </c>
    </row>
    <row r="18" spans="1:4" ht="24">
      <c r="A18" s="144" t="s">
        <v>166</v>
      </c>
      <c r="B18" s="153">
        <v>0.01</v>
      </c>
      <c r="C18" s="145">
        <v>0</v>
      </c>
      <c r="D18" s="146">
        <v>0</v>
      </c>
    </row>
    <row r="19" spans="1:4" ht="24">
      <c r="A19" s="144" t="s">
        <v>167</v>
      </c>
      <c r="B19" s="153">
        <v>0</v>
      </c>
      <c r="C19" s="145">
        <v>0</v>
      </c>
      <c r="D19" s="146">
        <v>0</v>
      </c>
    </row>
    <row r="20" spans="1:4" ht="24">
      <c r="A20" s="144" t="s">
        <v>117</v>
      </c>
      <c r="B20" s="153">
        <v>5.5270451317286735E-3</v>
      </c>
      <c r="C20" s="145">
        <v>0</v>
      </c>
      <c r="D20" s="146">
        <v>0</v>
      </c>
    </row>
    <row r="21" spans="1:4" ht="24">
      <c r="A21" s="144" t="s">
        <v>118</v>
      </c>
      <c r="B21" s="153">
        <v>2.0286666666666665E-2</v>
      </c>
      <c r="C21" s="145">
        <v>0</v>
      </c>
      <c r="D21" s="146">
        <v>0</v>
      </c>
    </row>
    <row r="22" spans="1:4" ht="24">
      <c r="A22" s="144" t="s">
        <v>120</v>
      </c>
      <c r="B22" s="153">
        <v>7.0000000000000001E-3</v>
      </c>
      <c r="C22" s="145">
        <v>0</v>
      </c>
      <c r="D22" s="146">
        <v>0</v>
      </c>
    </row>
    <row r="23" spans="1:4" ht="24">
      <c r="A23" s="144" t="s">
        <v>84</v>
      </c>
      <c r="B23" s="153">
        <v>7.5999999999999998E-2</v>
      </c>
      <c r="C23" s="145">
        <v>0</v>
      </c>
      <c r="D23" s="146">
        <v>0</v>
      </c>
    </row>
    <row r="24" spans="1:4" ht="24">
      <c r="A24" s="144" t="s">
        <v>168</v>
      </c>
      <c r="B24" s="153">
        <v>0</v>
      </c>
      <c r="C24" s="145">
        <v>0</v>
      </c>
      <c r="D24" s="146">
        <v>0</v>
      </c>
    </row>
    <row r="25" spans="1:4" ht="24">
      <c r="A25" s="144" t="s">
        <v>92</v>
      </c>
      <c r="B25" s="153">
        <v>0</v>
      </c>
      <c r="C25" s="145">
        <v>0</v>
      </c>
      <c r="D25" s="146">
        <v>0</v>
      </c>
    </row>
    <row r="26" spans="1:4" ht="24">
      <c r="A26" s="144" t="s">
        <v>132</v>
      </c>
      <c r="B26" s="153">
        <v>0</v>
      </c>
      <c r="C26" s="145">
        <v>0</v>
      </c>
      <c r="D26" s="146">
        <v>0</v>
      </c>
    </row>
    <row r="27" spans="1:4" ht="24">
      <c r="A27" s="144" t="s">
        <v>136</v>
      </c>
      <c r="B27" s="153">
        <v>8.6167918586789544E-2</v>
      </c>
      <c r="C27" s="145">
        <v>0</v>
      </c>
      <c r="D27" s="146">
        <v>0</v>
      </c>
    </row>
    <row r="28" spans="1:4" ht="24">
      <c r="A28" s="144" t="s">
        <v>165</v>
      </c>
      <c r="B28" s="153">
        <v>8.199999999999999E-2</v>
      </c>
      <c r="C28" s="145">
        <v>0</v>
      </c>
      <c r="D28" s="146">
        <v>0</v>
      </c>
    </row>
    <row r="29" spans="1:4" ht="24">
      <c r="A29" s="144" t="s">
        <v>137</v>
      </c>
      <c r="B29" s="153">
        <v>7.0000000000000001E-3</v>
      </c>
      <c r="C29" s="145">
        <v>0</v>
      </c>
      <c r="D29" s="146">
        <v>0</v>
      </c>
    </row>
    <row r="30" spans="1:4" ht="24">
      <c r="A30" s="144" t="s">
        <v>119</v>
      </c>
      <c r="B30" s="153">
        <v>7.0699999999999999E-3</v>
      </c>
      <c r="C30" s="145">
        <v>0</v>
      </c>
      <c r="D30" s="146">
        <v>0</v>
      </c>
    </row>
    <row r="31" spans="1:4" ht="24">
      <c r="A31" s="144" t="s">
        <v>121</v>
      </c>
      <c r="B31" s="153">
        <v>7.0000000000000001E-3</v>
      </c>
      <c r="C31" s="145">
        <v>0</v>
      </c>
      <c r="D31" s="146">
        <v>0</v>
      </c>
    </row>
    <row r="32" spans="1:4" ht="24">
      <c r="A32" s="144" t="s">
        <v>138</v>
      </c>
      <c r="B32" s="173">
        <v>5.4000000000000003E-3</v>
      </c>
      <c r="C32" s="145">
        <v>0</v>
      </c>
      <c r="D32" s="146">
        <v>0</v>
      </c>
    </row>
    <row r="33" spans="1:4" ht="24">
      <c r="A33" s="147" t="s">
        <v>122</v>
      </c>
      <c r="B33" s="153">
        <v>5.0000000000000001E-3</v>
      </c>
      <c r="C33" s="148">
        <v>0</v>
      </c>
      <c r="D33" s="146">
        <v>0</v>
      </c>
    </row>
    <row r="34" spans="1:4" ht="24">
      <c r="A34" s="147" t="s">
        <v>123</v>
      </c>
      <c r="B34" s="153">
        <v>0</v>
      </c>
      <c r="C34" s="148">
        <v>0</v>
      </c>
      <c r="D34" s="146">
        <v>0</v>
      </c>
    </row>
    <row r="35" spans="1:4" ht="24">
      <c r="A35" s="147" t="s">
        <v>128</v>
      </c>
      <c r="B35" s="153">
        <v>0.01</v>
      </c>
      <c r="C35" s="148">
        <v>0</v>
      </c>
      <c r="D35" s="146">
        <v>0</v>
      </c>
    </row>
    <row r="36" spans="1:4" ht="24">
      <c r="A36" s="147" t="s">
        <v>130</v>
      </c>
      <c r="B36" s="153">
        <v>9.7942392473118284E-2</v>
      </c>
      <c r="C36" s="148">
        <v>0</v>
      </c>
      <c r="D36" s="146">
        <v>0</v>
      </c>
    </row>
    <row r="37" spans="1:4" ht="24">
      <c r="A37" s="154" t="s">
        <v>131</v>
      </c>
      <c r="B37" s="146">
        <v>0</v>
      </c>
      <c r="C37" s="155">
        <v>0</v>
      </c>
      <c r="D37" s="146">
        <v>0</v>
      </c>
    </row>
    <row r="38" spans="1:4" ht="24">
      <c r="A38" s="154" t="s">
        <v>133</v>
      </c>
      <c r="B38" s="146">
        <v>0</v>
      </c>
      <c r="C38" s="155">
        <v>0</v>
      </c>
      <c r="D38" s="14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dimension ref="B2:Q64"/>
  <sheetViews>
    <sheetView topLeftCell="C48" zoomScaleNormal="100" workbookViewId="0">
      <selection activeCell="B72" sqref="B72"/>
    </sheetView>
  </sheetViews>
  <sheetFormatPr baseColWidth="10" defaultRowHeight="15"/>
  <cols>
    <col min="1" max="1" width="16.6640625" customWidth="1"/>
    <col min="2" max="2" width="53.5" customWidth="1"/>
    <col min="6" max="6" width="53" customWidth="1"/>
    <col min="13" max="14" width="16.5" customWidth="1"/>
  </cols>
  <sheetData>
    <row r="2" spans="2:17" ht="20">
      <c r="B2" s="207" t="s">
        <v>141</v>
      </c>
      <c r="C2" s="207"/>
      <c r="D2" s="207"/>
      <c r="F2" s="207" t="s">
        <v>143</v>
      </c>
      <c r="G2" s="207"/>
      <c r="H2" s="207"/>
      <c r="J2" s="208" t="s">
        <v>144</v>
      </c>
      <c r="K2" s="209"/>
      <c r="L2" s="108"/>
      <c r="M2" s="109" t="s">
        <v>145</v>
      </c>
      <c r="N2" s="110" t="s">
        <v>146</v>
      </c>
    </row>
    <row r="3" spans="2:17" ht="19">
      <c r="B3" s="105" t="s">
        <v>142</v>
      </c>
      <c r="C3" s="105" t="s">
        <v>1</v>
      </c>
      <c r="D3" s="105" t="s">
        <v>0</v>
      </c>
      <c r="F3" s="105" t="s">
        <v>142</v>
      </c>
      <c r="G3" s="105" t="s">
        <v>1</v>
      </c>
      <c r="H3" s="105" t="s">
        <v>0</v>
      </c>
      <c r="J3" s="111" t="s">
        <v>147</v>
      </c>
      <c r="K3" s="111" t="s">
        <v>148</v>
      </c>
      <c r="L3" s="112"/>
      <c r="M3" s="113"/>
      <c r="N3" s="113"/>
    </row>
    <row r="4" spans="2:17" ht="19">
      <c r="B4" s="105" t="s">
        <v>14</v>
      </c>
      <c r="C4" s="106">
        <f>Utilidad!A1</f>
        <v>88507</v>
      </c>
      <c r="D4" s="107">
        <f>IF(Utilidad!C1&gt;1,Utilidad!C1/100,Utilidad!C1)</f>
        <v>0.39119999999999999</v>
      </c>
      <c r="F4" s="202" t="s">
        <v>14</v>
      </c>
      <c r="G4" s="106">
        <f>Utilidad!B1</f>
        <v>88507</v>
      </c>
      <c r="H4" s="192">
        <f>IF(Utilidad!D1&gt;1,Utilidad!D1/100,Utilidad!D1)</f>
        <v>0.38135957855999997</v>
      </c>
      <c r="J4" s="114">
        <f>+IF(C4&lt;&gt;0,(G4-C4)/C4,ABS(G4-C4))</f>
        <v>0</v>
      </c>
      <c r="K4" s="114">
        <f>+IF(D4&lt;&gt;0,(H4-D4)/D4,0)</f>
        <v>-2.5154451533742395E-2</v>
      </c>
      <c r="L4" s="115"/>
      <c r="M4" s="116">
        <f>+IF(J4&lt;&gt;"",ABS(J4),0)</f>
        <v>0</v>
      </c>
      <c r="N4" s="116">
        <f>+IF(J4&lt;&gt;"",ABS(K4),0)</f>
        <v>2.5154451533742395E-2</v>
      </c>
    </row>
    <row r="5" spans="2:17" ht="19">
      <c r="B5" s="105" t="s">
        <v>15</v>
      </c>
      <c r="C5" s="106">
        <f>Utilidad!A2</f>
        <v>0</v>
      </c>
      <c r="D5" s="107">
        <f>IF(Utilidad!C2&gt;1,Utilidad!C2/100,Utilidad!C2)</f>
        <v>0</v>
      </c>
      <c r="F5" s="202" t="s">
        <v>15</v>
      </c>
      <c r="G5" s="106">
        <f>Utilidad!B2</f>
        <v>0</v>
      </c>
      <c r="H5" s="192">
        <f>IF(Utilidad!D2&gt;1,Utilidad!D2/100,Utilidad!D2)</f>
        <v>0</v>
      </c>
      <c r="J5" s="114">
        <f>+IF(C5&lt;&gt;0,(G5-C5)/C5,ABS(G5-C5))</f>
        <v>0</v>
      </c>
      <c r="K5" s="114">
        <f t="shared" ref="K5:K56" si="0">+IF(D5&lt;&gt;0,(H5-D5)/D5,0)</f>
        <v>0</v>
      </c>
      <c r="L5" s="115"/>
      <c r="M5" s="116">
        <f>+IF(J5&lt;&gt;"",ABS(J5),0)</f>
        <v>0</v>
      </c>
      <c r="N5" s="116">
        <f t="shared" ref="N5:N56" si="1">+IF(J5&lt;&gt;"",ABS(K5),0)</f>
        <v>0</v>
      </c>
    </row>
    <row r="6" spans="2:17" ht="19">
      <c r="B6" s="105" t="s">
        <v>16</v>
      </c>
      <c r="C6" s="106">
        <f>Utilidad!A3</f>
        <v>22063</v>
      </c>
      <c r="D6" s="107">
        <f>IF(Utilidad!C3&gt;1,Utilidad!C3/100,Utilidad!C3)</f>
        <v>0.18059999999999998</v>
      </c>
      <c r="F6" s="202" t="s">
        <v>16</v>
      </c>
      <c r="G6" s="106">
        <f>Utilidad!B3</f>
        <v>22063</v>
      </c>
      <c r="H6" s="192">
        <f>IF(Utilidad!D3&gt;1,Utilidad!D3/100,Utilidad!D3)</f>
        <v>0.18112284201000001</v>
      </c>
      <c r="J6" s="114">
        <f t="shared" ref="J6:J56" si="2">+IF(C6&lt;&gt;0,(G6-C6)/C6,ABS(G6-C6))</f>
        <v>0</v>
      </c>
      <c r="K6" s="114">
        <f t="shared" si="0"/>
        <v>2.8950277408639215E-3</v>
      </c>
      <c r="M6" s="116">
        <f t="shared" ref="M6:M56" si="3">+IF(J6&lt;&gt;"",ABS(J6),0)</f>
        <v>0</v>
      </c>
      <c r="N6" s="116">
        <f t="shared" si="1"/>
        <v>2.8950277408639215E-3</v>
      </c>
    </row>
    <row r="7" spans="2:17" ht="19">
      <c r="B7" s="105" t="s">
        <v>17</v>
      </c>
      <c r="C7" s="106">
        <f>Utilidad!A4</f>
        <v>66444</v>
      </c>
      <c r="D7" s="107">
        <f>IF(Utilidad!C4&gt;1,Utilidad!C4/100,Utilidad!C4)</f>
        <v>0.4617</v>
      </c>
      <c r="F7" s="202" t="s">
        <v>17</v>
      </c>
      <c r="G7" s="106">
        <f>Utilidad!B4</f>
        <v>66444</v>
      </c>
      <c r="H7" s="192">
        <f>IF(Utilidad!D4&gt;1,Utilidad!D4/100,Utilidad!D4)</f>
        <v>0.447849</v>
      </c>
      <c r="J7" s="114">
        <f t="shared" si="2"/>
        <v>0</v>
      </c>
      <c r="K7" s="114">
        <f t="shared" si="0"/>
        <v>-3.0000000000000006E-2</v>
      </c>
      <c r="M7" s="116">
        <f t="shared" si="3"/>
        <v>0</v>
      </c>
      <c r="N7" s="116">
        <f t="shared" si="1"/>
        <v>3.0000000000000006E-2</v>
      </c>
    </row>
    <row r="8" spans="2:17" ht="19">
      <c r="B8" s="105" t="s">
        <v>18</v>
      </c>
      <c r="C8" s="106">
        <f>Utilidad!A5</f>
        <v>43180</v>
      </c>
      <c r="D8" s="107">
        <f>IF(Utilidad!C5&gt;1,Utilidad!C5/100,Utilidad!C5)</f>
        <v>0.4824</v>
      </c>
      <c r="F8" s="202" t="s">
        <v>18</v>
      </c>
      <c r="G8" s="106">
        <f>Utilidad!B5</f>
        <v>43180</v>
      </c>
      <c r="H8" s="192">
        <f>IF(Utilidad!D5&gt;1,Utilidad!D5/100,Utilidad!D5)</f>
        <v>0.4824</v>
      </c>
      <c r="J8" s="114">
        <f t="shared" si="2"/>
        <v>0</v>
      </c>
      <c r="K8" s="114">
        <f t="shared" si="0"/>
        <v>0</v>
      </c>
      <c r="M8" s="116">
        <f t="shared" si="3"/>
        <v>0</v>
      </c>
      <c r="N8" s="116">
        <f t="shared" si="1"/>
        <v>0</v>
      </c>
    </row>
    <row r="9" spans="2:17" ht="19">
      <c r="B9" s="105" t="s">
        <v>19</v>
      </c>
      <c r="C9" s="106">
        <f>Utilidad!A6</f>
        <v>-42218</v>
      </c>
      <c r="D9" s="107">
        <f>IF(Utilidad!C6&gt;1,Utilidad!C6/100,Utilidad!C6)</f>
        <v>0.4824</v>
      </c>
      <c r="F9" s="202" t="s">
        <v>19</v>
      </c>
      <c r="G9" s="106">
        <f>Utilidad!B6</f>
        <v>-41795</v>
      </c>
      <c r="H9" s="107">
        <f>IF(Utilidad!D6&gt;1,Utilidad!D6/100,Utilidad!D6)</f>
        <v>0.45828000000000002</v>
      </c>
      <c r="J9" s="114">
        <f t="shared" si="2"/>
        <v>-1.0019422994931072E-2</v>
      </c>
      <c r="K9" s="114">
        <f t="shared" si="0"/>
        <v>-4.9999999999999947E-2</v>
      </c>
      <c r="M9" s="116">
        <f t="shared" si="3"/>
        <v>1.0019422994931072E-2</v>
      </c>
      <c r="N9" s="116">
        <f t="shared" si="1"/>
        <v>4.9999999999999947E-2</v>
      </c>
      <c r="Q9">
        <f>G10-G14-G15</f>
        <v>57462.465614000001</v>
      </c>
    </row>
    <row r="10" spans="2:17" ht="19">
      <c r="B10" s="105" t="s">
        <v>20</v>
      </c>
      <c r="C10" s="106">
        <f>Utilidad!A7</f>
        <v>151419</v>
      </c>
      <c r="D10" s="107">
        <f>IF(Utilidad!C7&gt;1,Utilidad!C7/100,Utilidad!C7)</f>
        <v>0.45679999999999998</v>
      </c>
      <c r="F10" s="105" t="s">
        <v>20</v>
      </c>
      <c r="G10" s="106">
        <f>Utilidad!B7</f>
        <v>151419</v>
      </c>
      <c r="H10" s="192">
        <f>IF(Utilidad!D7&gt;1,Utilidad!D7/100,Utilidad!D7)</f>
        <v>0.46058106021</v>
      </c>
      <c r="J10" s="114">
        <f t="shared" si="2"/>
        <v>0</v>
      </c>
      <c r="K10" s="114">
        <f t="shared" si="0"/>
        <v>8.2772771672504821E-3</v>
      </c>
      <c r="M10" s="116">
        <f t="shared" si="3"/>
        <v>0</v>
      </c>
      <c r="N10" s="116">
        <f t="shared" si="1"/>
        <v>8.2772771672504821E-3</v>
      </c>
      <c r="Q10">
        <f>G13+G12</f>
        <v>57462.465614000001</v>
      </c>
    </row>
    <row r="11" spans="2:17" ht="19">
      <c r="B11" s="105" t="s">
        <v>21</v>
      </c>
      <c r="C11" s="106">
        <f>Utilidad!A8</f>
        <v>0</v>
      </c>
      <c r="D11" s="107">
        <f>IF(Utilidad!C8&gt;1,Utilidad!C8/100,Utilidad!C8)</f>
        <v>0</v>
      </c>
      <c r="F11" s="105" t="s">
        <v>21</v>
      </c>
      <c r="G11" s="106">
        <f>Utilidad!B8</f>
        <v>0</v>
      </c>
      <c r="H11" s="192">
        <f>IF(Utilidad!D8&gt;1,Utilidad!D8/100,Utilidad!D8)</f>
        <v>0</v>
      </c>
      <c r="J11" s="114">
        <f t="shared" si="2"/>
        <v>0</v>
      </c>
      <c r="K11" s="114">
        <f t="shared" si="0"/>
        <v>0</v>
      </c>
      <c r="M11" s="116">
        <f t="shared" si="3"/>
        <v>0</v>
      </c>
      <c r="N11" s="116">
        <f t="shared" si="1"/>
        <v>0</v>
      </c>
    </row>
    <row r="12" spans="2:17" ht="19">
      <c r="B12" s="105" t="s">
        <v>22</v>
      </c>
      <c r="C12" s="106">
        <f>Utilidad!A9</f>
        <v>31344</v>
      </c>
      <c r="D12" s="107">
        <f>IF(Utilidad!C9&gt;1,Utilidad!C9/100,Utilidad!C9)</f>
        <v>0.32640000000000002</v>
      </c>
      <c r="F12" s="105" t="s">
        <v>22</v>
      </c>
      <c r="G12" s="193">
        <f>Utilidad!B9</f>
        <v>47016</v>
      </c>
      <c r="H12" s="192">
        <f>IF(Utilidad!D9&gt;1,Utilidad!D9/100,Utilidad!D9)</f>
        <v>0.34271999999999997</v>
      </c>
      <c r="J12" s="114">
        <f t="shared" si="2"/>
        <v>0.5</v>
      </c>
      <c r="K12" s="114">
        <f t="shared" si="0"/>
        <v>4.9999999999999829E-2</v>
      </c>
      <c r="M12" s="116">
        <f t="shared" si="3"/>
        <v>0.5</v>
      </c>
      <c r="N12" s="116">
        <f t="shared" si="1"/>
        <v>4.9999999999999829E-2</v>
      </c>
    </row>
    <row r="13" spans="2:17" ht="19">
      <c r="B13" s="105" t="s">
        <v>23</v>
      </c>
      <c r="C13" s="106">
        <f>Utilidad!A10</f>
        <v>9611</v>
      </c>
      <c r="D13" s="107">
        <f>IF(Utilidad!C10&gt;1,Utilidad!C10/100,Utilidad!C10)</f>
        <v>0.17600000000000002</v>
      </c>
      <c r="F13" s="202" t="s">
        <v>23</v>
      </c>
      <c r="G13" s="193">
        <f>Utilidad!B10</f>
        <v>10446.465614000001</v>
      </c>
      <c r="H13" s="192">
        <f>IF(Utilidad!D10&gt;1,Utilidad!D10/100,Utilidad!D10)</f>
        <v>0.18479999999999999</v>
      </c>
      <c r="J13" s="114">
        <f t="shared" si="2"/>
        <v>8.6928063052752122E-2</v>
      </c>
      <c r="K13" s="114">
        <f t="shared" si="0"/>
        <v>4.999999999999985E-2</v>
      </c>
      <c r="M13" s="116">
        <f t="shared" si="3"/>
        <v>8.6928063052752122E-2</v>
      </c>
      <c r="N13" s="116">
        <f t="shared" si="1"/>
        <v>4.999999999999985E-2</v>
      </c>
    </row>
    <row r="14" spans="2:17" ht="19">
      <c r="B14" s="105" t="s">
        <v>24</v>
      </c>
      <c r="C14" s="106">
        <f>Utilidad!A11</f>
        <v>56684</v>
      </c>
      <c r="D14" s="107">
        <f>IF(Utilidad!C11&gt;1,Utilidad!C11/100,Utilidad!C11)</f>
        <v>0.52</v>
      </c>
      <c r="F14" s="105" t="s">
        <v>24</v>
      </c>
      <c r="G14" s="193">
        <f>Utilidad!B11</f>
        <v>56684</v>
      </c>
      <c r="H14" s="194">
        <f>IF(Utilidad!D11&gt;1,Utilidad!D11/100,Utilidad!D11)</f>
        <v>0.52903037013999998</v>
      </c>
      <c r="J14" s="114">
        <f t="shared" si="2"/>
        <v>0</v>
      </c>
      <c r="K14" s="114">
        <f t="shared" si="0"/>
        <v>1.7366096423076856E-2</v>
      </c>
      <c r="M14" s="116">
        <f t="shared" si="3"/>
        <v>0</v>
      </c>
      <c r="N14" s="116">
        <f t="shared" si="1"/>
        <v>1.7366096423076856E-2</v>
      </c>
    </row>
    <row r="15" spans="2:17" ht="19">
      <c r="B15" s="105" t="s">
        <v>25</v>
      </c>
      <c r="C15" s="106">
        <f>Utilidad!A12</f>
        <v>52614</v>
      </c>
      <c r="D15" s="107">
        <f>IF(Utilidad!C12&gt;1,Utilidad!C12/100,Utilidad!C12)</f>
        <v>0.57600000000000007</v>
      </c>
      <c r="F15" s="202" t="s">
        <v>25</v>
      </c>
      <c r="G15" s="193">
        <f>Utilidad!B12</f>
        <v>37272.534385999999</v>
      </c>
      <c r="H15" s="192">
        <f>IF(Utilidad!D12&gt;1,Utilidad!D12/100,Utilidad!D12)</f>
        <v>0.58244860585000002</v>
      </c>
      <c r="J15" s="114">
        <f t="shared" si="2"/>
        <v>-0.29158523613486909</v>
      </c>
      <c r="K15" s="114">
        <f t="shared" si="0"/>
        <v>1.1195496267361032E-2</v>
      </c>
      <c r="M15" s="116">
        <f t="shared" si="3"/>
        <v>0.29158523613486909</v>
      </c>
      <c r="N15" s="116">
        <f t="shared" si="1"/>
        <v>1.1195496267361032E-2</v>
      </c>
    </row>
    <row r="16" spans="2:17" ht="19">
      <c r="B16" s="105" t="s">
        <v>2</v>
      </c>
      <c r="C16" s="106">
        <f>Utilidad!A13</f>
        <v>28383</v>
      </c>
      <c r="D16" s="107">
        <f>IF(Utilidad!C13&gt;1,Utilidad!C13/100,Utilidad!C13)</f>
        <v>0.50800000000000001</v>
      </c>
      <c r="F16" s="105" t="s">
        <v>2</v>
      </c>
      <c r="G16" s="106">
        <f>Utilidad!B13</f>
        <v>28383</v>
      </c>
      <c r="H16" s="107">
        <f>IF(Utilidad!D13&gt;1,Utilidad!D13/100,Utilidad!D13)</f>
        <v>0.50750420987</v>
      </c>
      <c r="J16" s="114">
        <f t="shared" si="2"/>
        <v>0</v>
      </c>
      <c r="K16" s="114">
        <f t="shared" si="0"/>
        <v>-9.7596482283465887E-4</v>
      </c>
      <c r="M16" s="116">
        <f t="shared" si="3"/>
        <v>0</v>
      </c>
      <c r="N16" s="116">
        <f t="shared" si="1"/>
        <v>9.7596482283465887E-4</v>
      </c>
    </row>
    <row r="17" spans="2:14" ht="19">
      <c r="B17" s="105" t="s">
        <v>26</v>
      </c>
      <c r="C17" s="106">
        <f>Utilidad!A14</f>
        <v>4463</v>
      </c>
      <c r="D17" s="107">
        <f>IF(Utilidad!C14&gt;1,Utilidad!C14/100,Utilidad!C14)</f>
        <v>0.54459999999999997</v>
      </c>
      <c r="F17" s="105" t="s">
        <v>26</v>
      </c>
      <c r="G17" s="106">
        <f>Utilidad!B14</f>
        <v>791</v>
      </c>
      <c r="H17" s="107">
        <f>IF(Utilidad!D14&gt;1,Utilidad!D14/100,Utilidad!D14)</f>
        <v>0.58868299696000004</v>
      </c>
      <c r="J17" s="114">
        <f t="shared" si="2"/>
        <v>-0.82276495630741653</v>
      </c>
      <c r="K17" s="114">
        <f t="shared" si="0"/>
        <v>8.0945642600073572E-2</v>
      </c>
      <c r="M17" s="116">
        <f t="shared" si="3"/>
        <v>0.82276495630741653</v>
      </c>
      <c r="N17" s="116">
        <f t="shared" si="1"/>
        <v>8.0945642600073572E-2</v>
      </c>
    </row>
    <row r="18" spans="2:14" ht="19">
      <c r="B18" s="105" t="s">
        <v>27</v>
      </c>
      <c r="C18" s="106">
        <f>Utilidad!A15</f>
        <v>104882</v>
      </c>
      <c r="D18" s="107">
        <f>IF(Utilidad!C15&gt;1,Utilidad!C15/100,Utilidad!C15)</f>
        <v>0.54459999999999997</v>
      </c>
      <c r="F18" s="202" t="s">
        <v>27</v>
      </c>
      <c r="G18" s="106">
        <f>Utilidad!B15</f>
        <v>104882</v>
      </c>
      <c r="H18" s="192">
        <f>IF(Utilidad!D15&gt;1,Utilidad!D15/100,Utilidad!D15)</f>
        <v>0.54249821000999998</v>
      </c>
      <c r="J18" s="114">
        <f t="shared" si="2"/>
        <v>0</v>
      </c>
      <c r="K18" s="114">
        <f t="shared" si="0"/>
        <v>-3.8593279287550339E-3</v>
      </c>
      <c r="M18" s="116">
        <f t="shared" si="3"/>
        <v>0</v>
      </c>
      <c r="N18" s="116">
        <f t="shared" si="1"/>
        <v>3.8593279287550339E-3</v>
      </c>
    </row>
    <row r="19" spans="2:14" ht="19">
      <c r="B19" s="105" t="s">
        <v>28</v>
      </c>
      <c r="C19" s="106">
        <f>Utilidad!A16</f>
        <v>45670</v>
      </c>
      <c r="D19" s="107">
        <f>IF(Utilidad!C16&gt;1,Utilidad!C16/100,Utilidad!C16)</f>
        <v>8.1799999999999998E-2</v>
      </c>
      <c r="F19" s="202" t="s">
        <v>28</v>
      </c>
      <c r="G19" s="195">
        <f>Utilidad!B16</f>
        <v>37746.534385999999</v>
      </c>
      <c r="H19" s="192">
        <f>IF(Utilidad!D16&gt;1,Utilidad!D16/100,Utilidad!D16)</f>
        <v>8.5890000000000008E-2</v>
      </c>
      <c r="J19" s="114">
        <f t="shared" si="2"/>
        <v>-0.17349388250492667</v>
      </c>
      <c r="K19" s="114">
        <f t="shared" si="0"/>
        <v>5.0000000000000128E-2</v>
      </c>
      <c r="M19" s="116">
        <f t="shared" si="3"/>
        <v>0.17349388250492667</v>
      </c>
      <c r="N19" s="116">
        <f t="shared" si="1"/>
        <v>5.0000000000000128E-2</v>
      </c>
    </row>
    <row r="20" spans="2:14" ht="19">
      <c r="B20" s="105" t="s">
        <v>31</v>
      </c>
      <c r="C20" s="106">
        <f>Utilidad!A17</f>
        <v>132791</v>
      </c>
      <c r="D20" s="107">
        <f>IF(Utilidad!C17&gt;1,Utilidad!C17/100,Utilidad!C17)</f>
        <v>0.66599999999999993</v>
      </c>
      <c r="F20" s="202" t="s">
        <v>31</v>
      </c>
      <c r="G20" s="106">
        <f>Utilidad!B17</f>
        <v>132791</v>
      </c>
      <c r="H20" s="192">
        <f>IF(Utilidad!D17&gt;1,Utilidad!D17/100,Utilidad!D17)</f>
        <v>0.67602529614999995</v>
      </c>
      <c r="J20" s="114">
        <f t="shared" si="2"/>
        <v>0</v>
      </c>
      <c r="K20" s="114">
        <f t="shared" si="0"/>
        <v>1.5052997222222269E-2</v>
      </c>
      <c r="M20" s="116">
        <f t="shared" si="3"/>
        <v>0</v>
      </c>
      <c r="N20" s="116">
        <f t="shared" si="1"/>
        <v>1.5052997222222269E-2</v>
      </c>
    </row>
    <row r="21" spans="2:14" ht="19">
      <c r="B21" s="105" t="s">
        <v>32</v>
      </c>
      <c r="C21" s="106">
        <f>Utilidad!A18</f>
        <v>2702</v>
      </c>
      <c r="D21" s="107">
        <f>IF(Utilidad!C18&gt;1,Utilidad!C18/100,Utilidad!C18)</f>
        <v>0.66599999999999993</v>
      </c>
      <c r="F21" s="105" t="s">
        <v>32</v>
      </c>
      <c r="G21" s="106">
        <f>Utilidad!B18</f>
        <v>3316</v>
      </c>
      <c r="H21" s="107">
        <f>IF(Utilidad!D18&gt;1,Utilidad!D18/100,Utilidad!D18)</f>
        <v>0.94223152791000009</v>
      </c>
      <c r="J21" s="114">
        <f t="shared" si="2"/>
        <v>0.22723908216136196</v>
      </c>
      <c r="K21" s="114">
        <f t="shared" si="0"/>
        <v>0.41476205391891924</v>
      </c>
      <c r="M21" s="116">
        <f t="shared" si="3"/>
        <v>0.22723908216136196</v>
      </c>
      <c r="N21" s="116">
        <f t="shared" si="1"/>
        <v>0.41476205391891924</v>
      </c>
    </row>
    <row r="22" spans="2:14" ht="19">
      <c r="B22" s="105" t="s">
        <v>33</v>
      </c>
      <c r="C22" s="106">
        <f>Utilidad!A19</f>
        <v>0</v>
      </c>
      <c r="D22" s="107">
        <f>IF(Utilidad!C19&gt;1,Utilidad!C19/100,Utilidad!C19)</f>
        <v>0</v>
      </c>
      <c r="F22" s="105" t="s">
        <v>33</v>
      </c>
      <c r="G22" s="106">
        <f>Utilidad!B19</f>
        <v>0</v>
      </c>
      <c r="H22" s="107">
        <f>IF(Utilidad!D19&gt;1,Utilidad!D19/100,Utilidad!D19)</f>
        <v>0</v>
      </c>
      <c r="J22" s="114">
        <f t="shared" si="2"/>
        <v>0</v>
      </c>
      <c r="K22" s="114">
        <f t="shared" si="0"/>
        <v>0</v>
      </c>
      <c r="M22" s="116">
        <f t="shared" si="3"/>
        <v>0</v>
      </c>
      <c r="N22" s="116">
        <f t="shared" si="1"/>
        <v>0</v>
      </c>
    </row>
    <row r="23" spans="2:14" ht="19">
      <c r="B23" s="105" t="s">
        <v>35</v>
      </c>
      <c r="C23" s="106">
        <f>Utilidad!A20</f>
        <v>129475</v>
      </c>
      <c r="D23" s="107">
        <f>IF(Utilidad!C20&gt;1,Utilidad!C20/100,Utilidad!C20)</f>
        <v>0.66590000000000005</v>
      </c>
      <c r="F23" s="105" t="s">
        <v>35</v>
      </c>
      <c r="G23" s="106">
        <f>Utilidad!B20</f>
        <v>129475</v>
      </c>
      <c r="H23" s="107">
        <f>IF(Utilidad!D20&gt;1,Utilidad!D20/100,Utilidad!D20)</f>
        <v>0.66920745592000008</v>
      </c>
      <c r="J23" s="114">
        <f t="shared" si="2"/>
        <v>0</v>
      </c>
      <c r="K23" s="114">
        <f t="shared" si="0"/>
        <v>4.9668958101817618E-3</v>
      </c>
      <c r="M23" s="116">
        <f t="shared" si="3"/>
        <v>0</v>
      </c>
      <c r="N23" s="116">
        <f t="shared" si="1"/>
        <v>4.9668958101817618E-3</v>
      </c>
    </row>
    <row r="24" spans="2:14" ht="19">
      <c r="B24" s="105" t="s">
        <v>36</v>
      </c>
      <c r="C24" s="106">
        <f>Utilidad!A21</f>
        <v>0</v>
      </c>
      <c r="D24" s="107">
        <f>IF(Utilidad!C21&gt;1,Utilidad!C21/100,Utilidad!C21)</f>
        <v>0.66590000000000005</v>
      </c>
      <c r="F24" s="105" t="s">
        <v>36</v>
      </c>
      <c r="G24" s="106">
        <f>Utilidad!B21</f>
        <v>0</v>
      </c>
      <c r="H24" s="107">
        <f>IF(Utilidad!D21&gt;1,Utilidad!D21/100,Utilidad!D21)</f>
        <v>0.66590000000000005</v>
      </c>
      <c r="J24" s="114">
        <f t="shared" si="2"/>
        <v>0</v>
      </c>
      <c r="K24" s="114">
        <f t="shared" si="0"/>
        <v>0</v>
      </c>
      <c r="M24" s="116">
        <f t="shared" si="3"/>
        <v>0</v>
      </c>
      <c r="N24" s="116">
        <f t="shared" si="1"/>
        <v>0</v>
      </c>
    </row>
    <row r="25" spans="2:14" ht="19">
      <c r="B25" s="105" t="s">
        <v>37</v>
      </c>
      <c r="C25" s="106">
        <f>Utilidad!A22</f>
        <v>129475</v>
      </c>
      <c r="D25" s="107">
        <f>IF(Utilidad!C22&gt;1,Utilidad!C22/100,Utilidad!C22)</f>
        <v>0.66590000000000005</v>
      </c>
      <c r="F25" s="105" t="s">
        <v>37</v>
      </c>
      <c r="G25" s="106">
        <f>Utilidad!B22</f>
        <v>129475</v>
      </c>
      <c r="H25" s="107">
        <f>IF(Utilidad!D22&gt;1,Utilidad!D22/100,Utilidad!D22)</f>
        <v>0.66920745592000008</v>
      </c>
      <c r="J25" s="114">
        <f t="shared" si="2"/>
        <v>0</v>
      </c>
      <c r="K25" s="114">
        <f t="shared" si="0"/>
        <v>4.9668958101817618E-3</v>
      </c>
      <c r="M25" s="116">
        <f t="shared" si="3"/>
        <v>0</v>
      </c>
      <c r="N25" s="116">
        <f t="shared" si="1"/>
        <v>4.9668958101817618E-3</v>
      </c>
    </row>
    <row r="26" spans="2:14" ht="19">
      <c r="B26" s="105" t="s">
        <v>38</v>
      </c>
      <c r="C26" s="106">
        <f>Utilidad!A23</f>
        <v>26081</v>
      </c>
      <c r="D26" s="107">
        <f>IF(Utilidad!C23&gt;1,Utilidad!C23/100,Utilidad!C23)</f>
        <v>0.66590000000000005</v>
      </c>
      <c r="F26" s="105" t="s">
        <v>38</v>
      </c>
      <c r="G26" s="106">
        <f>Utilidad!B23</f>
        <v>25089</v>
      </c>
      <c r="H26" s="107">
        <f>IF(Utilidad!D23&gt;1,Utilidad!D23/100,Utilidad!D23)</f>
        <v>0.69919500000000001</v>
      </c>
      <c r="J26" s="114">
        <f t="shared" si="2"/>
        <v>-3.8035351405237526E-2</v>
      </c>
      <c r="K26" s="114">
        <f t="shared" si="0"/>
        <v>4.999999999999994E-2</v>
      </c>
      <c r="M26" s="116">
        <f t="shared" si="3"/>
        <v>3.8035351405237526E-2</v>
      </c>
      <c r="N26" s="116">
        <f t="shared" si="1"/>
        <v>4.999999999999994E-2</v>
      </c>
    </row>
    <row r="27" spans="2:14" ht="19">
      <c r="B27" s="105" t="s">
        <v>39</v>
      </c>
      <c r="C27" s="106">
        <f>Utilidad!A24</f>
        <v>104386</v>
      </c>
      <c r="D27" s="107">
        <f>IF(Utilidad!C24&gt;1,Utilidad!C24/100,Utilidad!C24)</f>
        <v>0.66200000000000003</v>
      </c>
      <c r="F27" s="105" t="s">
        <v>39</v>
      </c>
      <c r="G27" s="106">
        <f>Utilidad!B24</f>
        <v>104386</v>
      </c>
      <c r="H27" s="107">
        <f>IF(Utilidad!D24&gt;1,Utilidad!D24/100,Utilidad!D24)</f>
        <v>0.66200000000000003</v>
      </c>
      <c r="J27" s="114">
        <f t="shared" si="2"/>
        <v>0</v>
      </c>
      <c r="K27" s="114">
        <f t="shared" si="0"/>
        <v>0</v>
      </c>
      <c r="M27" s="116">
        <f t="shared" si="3"/>
        <v>0</v>
      </c>
      <c r="N27" s="116">
        <f t="shared" si="1"/>
        <v>0</v>
      </c>
    </row>
    <row r="28" spans="2:14" ht="19">
      <c r="B28" s="105" t="s">
        <v>140</v>
      </c>
      <c r="C28" s="106">
        <f>Utilidad!A25</f>
        <v>0</v>
      </c>
      <c r="D28" s="107">
        <f>IF(Utilidad!C25&gt;1,Utilidad!C25/100,Utilidad!C25)</f>
        <v>0</v>
      </c>
      <c r="F28" s="105" t="s">
        <v>140</v>
      </c>
      <c r="G28" s="106">
        <f>Utilidad!B25</f>
        <v>0</v>
      </c>
      <c r="H28" s="107">
        <f>IF(Utilidad!D25&gt;1,Utilidad!D25/100,Utilidad!D25)</f>
        <v>0</v>
      </c>
      <c r="J28" s="114">
        <f t="shared" si="2"/>
        <v>0</v>
      </c>
      <c r="K28" s="114">
        <f t="shared" si="0"/>
        <v>0</v>
      </c>
      <c r="M28" s="116">
        <f t="shared" si="3"/>
        <v>0</v>
      </c>
      <c r="N28" s="116">
        <f t="shared" si="1"/>
        <v>0</v>
      </c>
    </row>
    <row r="29" spans="2:14" ht="19">
      <c r="B29" s="105" t="s">
        <v>40</v>
      </c>
      <c r="C29" s="106">
        <f>Utilidad!A26</f>
        <v>0</v>
      </c>
      <c r="D29" s="107">
        <f>IF(Utilidad!C26&gt;1,Utilidad!C26/100,Utilidad!C26)</f>
        <v>0</v>
      </c>
      <c r="F29" s="105" t="s">
        <v>40</v>
      </c>
      <c r="G29" s="106">
        <f>Utilidad!B26</f>
        <v>0</v>
      </c>
      <c r="H29" s="107">
        <f>IF(Utilidad!D26&gt;1,Utilidad!D26/100,Utilidad!D26)</f>
        <v>0</v>
      </c>
      <c r="J29" s="114">
        <f t="shared" si="2"/>
        <v>0</v>
      </c>
      <c r="K29" s="114">
        <f t="shared" si="0"/>
        <v>0</v>
      </c>
      <c r="M29" s="116">
        <f t="shared" si="3"/>
        <v>0</v>
      </c>
      <c r="N29" s="116">
        <f t="shared" si="1"/>
        <v>0</v>
      </c>
    </row>
    <row r="30" spans="2:14" ht="19">
      <c r="B30" s="105" t="s">
        <v>41</v>
      </c>
      <c r="C30" s="106">
        <f>Utilidad!A27</f>
        <v>0</v>
      </c>
      <c r="D30" s="107">
        <f>IF(Utilidad!C27&gt;1,Utilidad!C27/100,Utilidad!C27)</f>
        <v>0</v>
      </c>
      <c r="F30" s="105" t="s">
        <v>41</v>
      </c>
      <c r="G30" s="106">
        <f>Utilidad!B27</f>
        <v>0</v>
      </c>
      <c r="H30" s="107">
        <f>IF(Utilidad!D27&gt;1,Utilidad!D27/100,Utilidad!D27)</f>
        <v>0</v>
      </c>
      <c r="J30" s="114">
        <f t="shared" si="2"/>
        <v>0</v>
      </c>
      <c r="K30" s="114">
        <f t="shared" si="0"/>
        <v>0</v>
      </c>
      <c r="M30" s="116">
        <f t="shared" si="3"/>
        <v>0</v>
      </c>
      <c r="N30" s="116">
        <f t="shared" si="1"/>
        <v>0</v>
      </c>
    </row>
    <row r="31" spans="2:14" ht="19">
      <c r="B31" s="105" t="s">
        <v>42</v>
      </c>
      <c r="C31" s="106">
        <f>Utilidad!A28</f>
        <v>0</v>
      </c>
      <c r="D31" s="107">
        <f>IF(Utilidad!C28&gt;1,Utilidad!C28/100,Utilidad!C28)</f>
        <v>0</v>
      </c>
      <c r="F31" s="105" t="s">
        <v>42</v>
      </c>
      <c r="G31" s="106">
        <f>Utilidad!B28</f>
        <v>0</v>
      </c>
      <c r="H31" s="107">
        <f>IF(Utilidad!D28&gt;1,Utilidad!D28/100,Utilidad!D28)</f>
        <v>0</v>
      </c>
      <c r="J31" s="114">
        <f t="shared" si="2"/>
        <v>0</v>
      </c>
      <c r="K31" s="114">
        <f t="shared" si="0"/>
        <v>0</v>
      </c>
      <c r="M31" s="116">
        <f t="shared" si="3"/>
        <v>0</v>
      </c>
      <c r="N31" s="116">
        <f t="shared" si="1"/>
        <v>0</v>
      </c>
    </row>
    <row r="32" spans="2:14" ht="19">
      <c r="B32" s="105" t="s">
        <v>43</v>
      </c>
      <c r="C32" s="106">
        <f>Utilidad!A29</f>
        <v>0</v>
      </c>
      <c r="D32" s="107">
        <f>IF(Utilidad!C29&gt;1,Utilidad!C29/100,Utilidad!C29)</f>
        <v>0</v>
      </c>
      <c r="F32" s="105" t="s">
        <v>43</v>
      </c>
      <c r="G32" s="106">
        <f>Utilidad!B29</f>
        <v>0</v>
      </c>
      <c r="H32" s="107">
        <f>IF(Utilidad!D29&gt;1,Utilidad!D29/100,Utilidad!D29)</f>
        <v>0</v>
      </c>
      <c r="J32" s="114">
        <f t="shared" si="2"/>
        <v>0</v>
      </c>
      <c r="K32" s="114">
        <f t="shared" si="0"/>
        <v>0</v>
      </c>
      <c r="M32" s="116">
        <f t="shared" si="3"/>
        <v>0</v>
      </c>
      <c r="N32" s="116">
        <f t="shared" si="1"/>
        <v>0</v>
      </c>
    </row>
    <row r="33" spans="2:14" ht="19">
      <c r="B33" s="105" t="s">
        <v>139</v>
      </c>
      <c r="C33" s="106">
        <f>Utilidad!A30</f>
        <v>0</v>
      </c>
      <c r="D33" s="107">
        <f>IF(Utilidad!C30&gt;1,Utilidad!C30/100,Utilidad!C30)</f>
        <v>0</v>
      </c>
      <c r="F33" s="105" t="s">
        <v>139</v>
      </c>
      <c r="G33" s="106">
        <f>Utilidad!B30</f>
        <v>0</v>
      </c>
      <c r="H33" s="107">
        <f>IF(Utilidad!D30&gt;1,Utilidad!D30/100,Utilidad!D30)</f>
        <v>0</v>
      </c>
      <c r="J33" s="114">
        <f t="shared" si="2"/>
        <v>0</v>
      </c>
      <c r="K33" s="114">
        <f t="shared" si="0"/>
        <v>0</v>
      </c>
      <c r="M33" s="116">
        <f t="shared" si="3"/>
        <v>0</v>
      </c>
      <c r="N33" s="116">
        <f t="shared" si="1"/>
        <v>0</v>
      </c>
    </row>
    <row r="34" spans="2:14" ht="19">
      <c r="B34" s="105" t="s">
        <v>45</v>
      </c>
      <c r="C34" s="106">
        <f>Utilidad!A31</f>
        <v>28070</v>
      </c>
      <c r="D34" s="107">
        <f>IF(Utilidad!C31&gt;1,Utilidad!C31/100,Utilidad!C31)</f>
        <v>0.61780000000000002</v>
      </c>
      <c r="F34" s="105" t="s">
        <v>45</v>
      </c>
      <c r="G34" s="106">
        <f>Utilidad!B31</f>
        <v>27987</v>
      </c>
      <c r="H34" s="107">
        <f>IF(Utilidad!D31&gt;1,Utilidad!D31/100,Utilidad!D31)</f>
        <v>0.61817728231000002</v>
      </c>
      <c r="J34" s="114">
        <f t="shared" si="2"/>
        <v>-2.9568934805842538E-3</v>
      </c>
      <c r="K34" s="114">
        <f t="shared" si="0"/>
        <v>6.1068680802849539E-4</v>
      </c>
      <c r="M34" s="116">
        <f t="shared" si="3"/>
        <v>2.9568934805842538E-3</v>
      </c>
      <c r="N34" s="116">
        <f t="shared" si="1"/>
        <v>6.1068680802849539E-4</v>
      </c>
    </row>
    <row r="35" spans="2:14" ht="19">
      <c r="B35" s="105" t="s">
        <v>46</v>
      </c>
      <c r="C35" s="106">
        <f>Utilidad!A32</f>
        <v>18351</v>
      </c>
      <c r="D35" s="107">
        <f>IF(Utilidad!C32&gt;1,Utilidad!C32/100,Utilidad!C32)</f>
        <v>0.62170000000000003</v>
      </c>
      <c r="F35" s="105" t="s">
        <v>46</v>
      </c>
      <c r="G35" s="106">
        <f>Utilidad!B32</f>
        <v>18351</v>
      </c>
      <c r="H35" s="107">
        <f>IF(Utilidad!D32&gt;1,Utilidad!D32/100,Utilidad!D32)</f>
        <v>0.62170000000000003</v>
      </c>
      <c r="J35" s="114">
        <f t="shared" si="2"/>
        <v>0</v>
      </c>
      <c r="K35" s="114">
        <f t="shared" si="0"/>
        <v>0</v>
      </c>
      <c r="M35" s="116">
        <f t="shared" si="3"/>
        <v>0</v>
      </c>
      <c r="N35" s="116">
        <f t="shared" si="1"/>
        <v>0</v>
      </c>
    </row>
    <row r="36" spans="2:14" ht="19">
      <c r="B36" s="105" t="s">
        <v>47</v>
      </c>
      <c r="C36" s="106">
        <f>Utilidad!A33</f>
        <v>5360</v>
      </c>
      <c r="D36" s="107">
        <f>IF(Utilidad!C33&gt;1,Utilidad!C33/100,Utilidad!C33)</f>
        <v>0.60460000000000003</v>
      </c>
      <c r="F36" s="105" t="s">
        <v>47</v>
      </c>
      <c r="G36" s="106">
        <f>Utilidad!B33</f>
        <v>5360</v>
      </c>
      <c r="H36" s="107">
        <f>IF(Utilidad!D33&gt;1,Utilidad!D33/100,Utilidad!D33)</f>
        <v>0.60460000000000003</v>
      </c>
      <c r="J36" s="114">
        <f t="shared" si="2"/>
        <v>0</v>
      </c>
      <c r="K36" s="114">
        <f t="shared" si="0"/>
        <v>0</v>
      </c>
      <c r="M36" s="116">
        <f t="shared" si="3"/>
        <v>0</v>
      </c>
      <c r="N36" s="116">
        <f t="shared" si="1"/>
        <v>0</v>
      </c>
    </row>
    <row r="37" spans="2:14" ht="19">
      <c r="B37" s="105" t="s">
        <v>48</v>
      </c>
      <c r="C37" s="106">
        <f>Utilidad!A34</f>
        <v>6394</v>
      </c>
      <c r="D37" s="107">
        <f>IF(Utilidad!C34&gt;1,Utilidad!C34/100,Utilidad!C34)</f>
        <v>0.59009999999999996</v>
      </c>
      <c r="F37" s="105" t="s">
        <v>48</v>
      </c>
      <c r="G37" s="106">
        <f>Utilidad!B34</f>
        <v>6394</v>
      </c>
      <c r="H37" s="107">
        <f>IF(Utilidad!D34&gt;1,Utilidad!D34/100,Utilidad!D34)</f>
        <v>0.59009999999999996</v>
      </c>
      <c r="J37" s="114">
        <f t="shared" si="2"/>
        <v>0</v>
      </c>
      <c r="K37" s="114">
        <f t="shared" si="0"/>
        <v>0</v>
      </c>
      <c r="M37" s="116">
        <f t="shared" si="3"/>
        <v>0</v>
      </c>
      <c r="N37" s="116">
        <f t="shared" si="1"/>
        <v>0</v>
      </c>
    </row>
    <row r="38" spans="2:14" ht="19">
      <c r="B38" s="105" t="s">
        <v>49</v>
      </c>
      <c r="C38" s="106">
        <f>Utilidad!A35</f>
        <v>0</v>
      </c>
      <c r="D38" s="107">
        <f>IF(Utilidad!C35&gt;1,Utilidad!C35/100,Utilidad!C35)</f>
        <v>0</v>
      </c>
      <c r="F38" s="105" t="s">
        <v>49</v>
      </c>
      <c r="G38" s="106">
        <f>Utilidad!B35</f>
        <v>0</v>
      </c>
      <c r="H38" s="107">
        <f>IF(Utilidad!D35&gt;1,Utilidad!D35/100,Utilidad!D35)</f>
        <v>0</v>
      </c>
      <c r="J38" s="114">
        <f t="shared" si="2"/>
        <v>0</v>
      </c>
      <c r="K38" s="114">
        <f t="shared" si="0"/>
        <v>0</v>
      </c>
      <c r="M38" s="116">
        <f t="shared" si="3"/>
        <v>0</v>
      </c>
      <c r="N38" s="116">
        <f t="shared" si="1"/>
        <v>0</v>
      </c>
    </row>
    <row r="39" spans="2:14" ht="19">
      <c r="B39" s="105" t="s">
        <v>50</v>
      </c>
      <c r="C39" s="106">
        <f>Utilidad!A36</f>
        <v>6394</v>
      </c>
      <c r="D39" s="107">
        <f>IF(Utilidad!C36&gt;1,Utilidad!C36/100,Utilidad!C36)</f>
        <v>0.59009999999999996</v>
      </c>
      <c r="F39" s="105" t="s">
        <v>50</v>
      </c>
      <c r="G39" s="106">
        <f>Utilidad!B36</f>
        <v>6394</v>
      </c>
      <c r="H39" s="107">
        <f>IF(Utilidad!D36&gt;1,Utilidad!D36/100,Utilidad!D36)</f>
        <v>0.59009999999999996</v>
      </c>
      <c r="J39" s="114">
        <f t="shared" si="2"/>
        <v>0</v>
      </c>
      <c r="K39" s="114">
        <f t="shared" si="0"/>
        <v>0</v>
      </c>
      <c r="M39" s="116">
        <f t="shared" si="3"/>
        <v>0</v>
      </c>
      <c r="N39" s="116">
        <f t="shared" si="1"/>
        <v>0</v>
      </c>
    </row>
    <row r="40" spans="2:14" ht="19">
      <c r="B40" s="105" t="s">
        <v>51</v>
      </c>
      <c r="C40" s="106">
        <f>Utilidad!A37</f>
        <v>0</v>
      </c>
      <c r="D40" s="107">
        <f>IF(Utilidad!C37&gt;1,Utilidad!C37/100,Utilidad!C37)</f>
        <v>0</v>
      </c>
      <c r="F40" s="105" t="s">
        <v>51</v>
      </c>
      <c r="G40" s="106">
        <f>Utilidad!B37</f>
        <v>0</v>
      </c>
      <c r="H40" s="107">
        <f>IF(Utilidad!D37&gt;1,Utilidad!D37/100,Utilidad!D37)</f>
        <v>0</v>
      </c>
      <c r="J40" s="114">
        <f t="shared" si="2"/>
        <v>0</v>
      </c>
      <c r="K40" s="114">
        <f t="shared" si="0"/>
        <v>0</v>
      </c>
      <c r="M40" s="116">
        <f t="shared" si="3"/>
        <v>0</v>
      </c>
      <c r="N40" s="116">
        <f t="shared" si="1"/>
        <v>0</v>
      </c>
    </row>
    <row r="41" spans="2:14" ht="19">
      <c r="B41" s="105" t="s">
        <v>52</v>
      </c>
      <c r="C41" s="106">
        <f>Utilidad!A38</f>
        <v>0</v>
      </c>
      <c r="D41" s="107">
        <f>IF(Utilidad!C38&gt;1,Utilidad!C38/100,Utilidad!C38)</f>
        <v>0</v>
      </c>
      <c r="F41" s="105" t="s">
        <v>52</v>
      </c>
      <c r="G41" s="106">
        <f>Utilidad!B38</f>
        <v>0</v>
      </c>
      <c r="H41" s="107">
        <f>IF(Utilidad!D38&gt;1,Utilidad!D38/100,Utilidad!D38)</f>
        <v>0</v>
      </c>
      <c r="J41" s="114">
        <f t="shared" si="2"/>
        <v>0</v>
      </c>
      <c r="K41" s="114">
        <f t="shared" si="0"/>
        <v>0</v>
      </c>
      <c r="M41" s="116">
        <f t="shared" si="3"/>
        <v>0</v>
      </c>
      <c r="N41" s="116">
        <f t="shared" si="1"/>
        <v>0</v>
      </c>
    </row>
    <row r="42" spans="2:14" ht="19">
      <c r="B42" s="105" t="s">
        <v>53</v>
      </c>
      <c r="C42" s="106">
        <f>Utilidad!A39</f>
        <v>0</v>
      </c>
      <c r="D42" s="107">
        <f>IF(Utilidad!C39&gt;1,Utilidad!C39/100,Utilidad!C39)</f>
        <v>0</v>
      </c>
      <c r="F42" s="105" t="s">
        <v>53</v>
      </c>
      <c r="G42" s="106">
        <f>Utilidad!B39</f>
        <v>0</v>
      </c>
      <c r="H42" s="107">
        <f>IF(Utilidad!D39&gt;1,Utilidad!D39/100,Utilidad!D39)</f>
        <v>0</v>
      </c>
      <c r="J42" s="114">
        <f t="shared" si="2"/>
        <v>0</v>
      </c>
      <c r="K42" s="114">
        <f t="shared" si="0"/>
        <v>0</v>
      </c>
      <c r="M42" s="116">
        <f t="shared" si="3"/>
        <v>0</v>
      </c>
      <c r="N42" s="116">
        <f t="shared" si="1"/>
        <v>0</v>
      </c>
    </row>
    <row r="43" spans="2:14" ht="19">
      <c r="B43" s="105" t="s">
        <v>54</v>
      </c>
      <c r="C43" s="106">
        <f>Utilidad!A40</f>
        <v>0</v>
      </c>
      <c r="D43" s="107">
        <f>IF(Utilidad!C40&gt;1,Utilidad!C40/100,Utilidad!C40)</f>
        <v>0</v>
      </c>
      <c r="F43" s="105" t="s">
        <v>54</v>
      </c>
      <c r="G43" s="106">
        <f>Utilidad!B40</f>
        <v>0</v>
      </c>
      <c r="H43" s="107">
        <f>IF(Utilidad!D40&gt;1,Utilidad!D40/100,Utilidad!D40)</f>
        <v>0</v>
      </c>
      <c r="J43" s="114">
        <f t="shared" si="2"/>
        <v>0</v>
      </c>
      <c r="K43" s="114">
        <f t="shared" si="0"/>
        <v>0</v>
      </c>
      <c r="M43" s="116">
        <f t="shared" si="3"/>
        <v>0</v>
      </c>
      <c r="N43" s="116">
        <f t="shared" si="1"/>
        <v>0</v>
      </c>
    </row>
    <row r="44" spans="2:14" ht="19">
      <c r="B44" s="105" t="s">
        <v>55</v>
      </c>
      <c r="C44" s="106">
        <f>Utilidad!A41</f>
        <v>0</v>
      </c>
      <c r="D44" s="107">
        <f>IF(Utilidad!C41&gt;1,Utilidad!C41/100,Utilidad!C41)</f>
        <v>0</v>
      </c>
      <c r="F44" s="105" t="s">
        <v>55</v>
      </c>
      <c r="G44" s="106">
        <f>Utilidad!B41</f>
        <v>0</v>
      </c>
      <c r="H44" s="107">
        <f>IF(Utilidad!D41&gt;1,Utilidad!D41/100,Utilidad!D41)</f>
        <v>0</v>
      </c>
      <c r="J44" s="114">
        <f t="shared" si="2"/>
        <v>0</v>
      </c>
      <c r="K44" s="114">
        <f t="shared" si="0"/>
        <v>0</v>
      </c>
      <c r="M44" s="116">
        <f t="shared" si="3"/>
        <v>0</v>
      </c>
      <c r="N44" s="116">
        <f t="shared" si="1"/>
        <v>0</v>
      </c>
    </row>
    <row r="45" spans="2:14" ht="19">
      <c r="B45" s="105" t="s">
        <v>56</v>
      </c>
      <c r="C45" s="106">
        <f>Utilidad!A42</f>
        <v>0</v>
      </c>
      <c r="D45" s="107">
        <f>IF(Utilidad!C42&gt;1,Utilidad!C42/100,Utilidad!C42)</f>
        <v>0</v>
      </c>
      <c r="F45" s="105" t="s">
        <v>56</v>
      </c>
      <c r="G45" s="106">
        <f>Utilidad!B42</f>
        <v>0</v>
      </c>
      <c r="H45" s="107">
        <f>IF(Utilidad!D42&gt;1,Utilidad!D42/100,Utilidad!D42)</f>
        <v>0</v>
      </c>
      <c r="J45" s="114">
        <f t="shared" si="2"/>
        <v>0</v>
      </c>
      <c r="K45" s="114">
        <f t="shared" si="0"/>
        <v>0</v>
      </c>
      <c r="M45" s="116">
        <f t="shared" si="3"/>
        <v>0</v>
      </c>
      <c r="N45" s="116">
        <f t="shared" si="1"/>
        <v>0</v>
      </c>
    </row>
    <row r="46" spans="2:14" ht="19">
      <c r="B46" s="105" t="s">
        <v>57</v>
      </c>
      <c r="C46" s="106">
        <f>Utilidad!A43</f>
        <v>0</v>
      </c>
      <c r="D46" s="107">
        <f>IF(Utilidad!C43&gt;1,Utilidad!C43/100,Utilidad!C43)</f>
        <v>0</v>
      </c>
      <c r="F46" s="105" t="s">
        <v>57</v>
      </c>
      <c r="G46" s="106">
        <f>Utilidad!B43</f>
        <v>0</v>
      </c>
      <c r="H46" s="107">
        <f>IF(Utilidad!D43&gt;1,Utilidad!D43/100,Utilidad!D43)</f>
        <v>0</v>
      </c>
      <c r="J46" s="114">
        <f>+IF(C46&lt;&gt;0,(G46-C46)/C46,ABS(G46-C46))</f>
        <v>0</v>
      </c>
      <c r="K46" s="114">
        <f t="shared" si="0"/>
        <v>0</v>
      </c>
      <c r="M46" s="116">
        <f t="shared" si="3"/>
        <v>0</v>
      </c>
      <c r="N46" s="116">
        <f t="shared" si="1"/>
        <v>0</v>
      </c>
    </row>
    <row r="47" spans="2:14" ht="19">
      <c r="B47" s="105" t="s">
        <v>58</v>
      </c>
      <c r="C47" s="106">
        <f>Utilidad!A44</f>
        <v>0</v>
      </c>
      <c r="D47" s="107">
        <f>IF(Utilidad!C44&gt;1,Utilidad!C44/100,Utilidad!C44)</f>
        <v>0</v>
      </c>
      <c r="F47" s="105" t="s">
        <v>58</v>
      </c>
      <c r="G47" s="106">
        <f>Utilidad!B44</f>
        <v>0</v>
      </c>
      <c r="H47" s="107">
        <f>IF(Utilidad!D44&gt;1,Utilidad!D44/100,Utilidad!D44)</f>
        <v>0</v>
      </c>
      <c r="J47" s="114">
        <f t="shared" si="2"/>
        <v>0</v>
      </c>
      <c r="K47" s="114">
        <f t="shared" si="0"/>
        <v>0</v>
      </c>
      <c r="M47" s="116">
        <f t="shared" si="3"/>
        <v>0</v>
      </c>
      <c r="N47" s="116">
        <f t="shared" si="1"/>
        <v>0</v>
      </c>
    </row>
    <row r="48" spans="2:14" ht="19">
      <c r="B48" s="105" t="s">
        <v>59</v>
      </c>
      <c r="C48" s="106">
        <f>Utilidad!A45</f>
        <v>0</v>
      </c>
      <c r="D48" s="107">
        <f>IF(Utilidad!C45&gt;1,Utilidad!C45/100,Utilidad!C45)</f>
        <v>0</v>
      </c>
      <c r="F48" s="105" t="s">
        <v>59</v>
      </c>
      <c r="G48" s="106">
        <f>Utilidad!B45</f>
        <v>0</v>
      </c>
      <c r="H48" s="107">
        <f>IF(Utilidad!D45&gt;1,Utilidad!D45/100,Utilidad!D45)</f>
        <v>0</v>
      </c>
      <c r="J48" s="114">
        <f t="shared" si="2"/>
        <v>0</v>
      </c>
      <c r="K48" s="114">
        <f t="shared" si="0"/>
        <v>0</v>
      </c>
      <c r="M48" s="116">
        <f t="shared" si="3"/>
        <v>0</v>
      </c>
      <c r="N48" s="116">
        <f t="shared" si="1"/>
        <v>0</v>
      </c>
    </row>
    <row r="49" spans="2:14" ht="19">
      <c r="B49" s="105" t="s">
        <v>60</v>
      </c>
      <c r="C49" s="106">
        <f>Utilidad!A46</f>
        <v>0</v>
      </c>
      <c r="D49" s="107">
        <f>IF(Utilidad!C46&gt;1,Utilidad!C46/100,Utilidad!C46)</f>
        <v>0</v>
      </c>
      <c r="F49" s="105" t="s">
        <v>60</v>
      </c>
      <c r="G49" s="106">
        <f>Utilidad!B46</f>
        <v>0</v>
      </c>
      <c r="H49" s="107">
        <f>IF(Utilidad!D46&gt;1,Utilidad!D46/100,Utilidad!D46)</f>
        <v>0</v>
      </c>
      <c r="J49" s="114">
        <f t="shared" si="2"/>
        <v>0</v>
      </c>
      <c r="K49" s="114">
        <f t="shared" si="0"/>
        <v>0</v>
      </c>
      <c r="M49" s="116">
        <f t="shared" si="3"/>
        <v>0</v>
      </c>
      <c r="N49" s="116">
        <f t="shared" si="1"/>
        <v>0</v>
      </c>
    </row>
    <row r="50" spans="2:14" ht="19">
      <c r="B50" s="105" t="s">
        <v>61</v>
      </c>
      <c r="C50" s="106">
        <f>Utilidad!A47</f>
        <v>0</v>
      </c>
      <c r="D50" s="107">
        <f>IF(Utilidad!C47&gt;1,Utilidad!C47/100,Utilidad!C47)</f>
        <v>0</v>
      </c>
      <c r="F50" s="105" t="s">
        <v>61</v>
      </c>
      <c r="G50" s="106">
        <f>Utilidad!B47</f>
        <v>0</v>
      </c>
      <c r="H50" s="107">
        <f>IF(Utilidad!D47&gt;1,Utilidad!D47/100,Utilidad!D47)</f>
        <v>0</v>
      </c>
      <c r="J50" s="114">
        <f t="shared" si="2"/>
        <v>0</v>
      </c>
      <c r="K50" s="114">
        <f t="shared" si="0"/>
        <v>0</v>
      </c>
      <c r="M50" s="116">
        <f t="shared" si="3"/>
        <v>0</v>
      </c>
      <c r="N50" s="116">
        <f t="shared" si="1"/>
        <v>0</v>
      </c>
    </row>
    <row r="51" spans="2:14" ht="19">
      <c r="B51" s="105" t="s">
        <v>62</v>
      </c>
      <c r="C51" s="106">
        <f>Utilidad!A48</f>
        <v>0</v>
      </c>
      <c r="D51" s="107">
        <f>IF(Utilidad!C48&gt;1,Utilidad!C48/100,Utilidad!C48)</f>
        <v>0</v>
      </c>
      <c r="F51" s="105" t="s">
        <v>62</v>
      </c>
      <c r="G51" s="106">
        <f>Utilidad!B48</f>
        <v>0</v>
      </c>
      <c r="H51" s="107">
        <f>IF(Utilidad!D48&gt;1,Utilidad!D48/100,Utilidad!D48)</f>
        <v>0</v>
      </c>
      <c r="J51" s="114">
        <f t="shared" si="2"/>
        <v>0</v>
      </c>
      <c r="K51" s="114">
        <f t="shared" si="0"/>
        <v>0</v>
      </c>
      <c r="M51" s="116">
        <f t="shared" si="3"/>
        <v>0</v>
      </c>
      <c r="N51" s="116">
        <f t="shared" si="1"/>
        <v>0</v>
      </c>
    </row>
    <row r="52" spans="2:14" ht="19">
      <c r="B52" s="105" t="s">
        <v>63</v>
      </c>
      <c r="C52" s="106">
        <f>Utilidad!A49</f>
        <v>0</v>
      </c>
      <c r="D52" s="107">
        <f>IF(Utilidad!C49&gt;1,Utilidad!C49/100,Utilidad!C49)</f>
        <v>0</v>
      </c>
      <c r="F52" s="105" t="s">
        <v>63</v>
      </c>
      <c r="G52" s="106">
        <f>Utilidad!B49</f>
        <v>0</v>
      </c>
      <c r="H52" s="107">
        <f>IF(Utilidad!D49&gt;1,Utilidad!D49/100,Utilidad!D49)</f>
        <v>0</v>
      </c>
      <c r="J52" s="114">
        <f t="shared" si="2"/>
        <v>0</v>
      </c>
      <c r="K52" s="114">
        <f t="shared" si="0"/>
        <v>0</v>
      </c>
      <c r="M52" s="116">
        <f t="shared" si="3"/>
        <v>0</v>
      </c>
      <c r="N52" s="116">
        <f t="shared" si="1"/>
        <v>0</v>
      </c>
    </row>
    <row r="53" spans="2:14" ht="19">
      <c r="B53" s="105" t="s">
        <v>64</v>
      </c>
      <c r="C53" s="106">
        <f>Utilidad!A50</f>
        <v>0</v>
      </c>
      <c r="D53" s="107">
        <f>IF(Utilidad!C50&gt;1,Utilidad!C50/100,Utilidad!C50)</f>
        <v>0</v>
      </c>
      <c r="F53" s="105" t="s">
        <v>64</v>
      </c>
      <c r="G53" s="106">
        <f>Utilidad!B50</f>
        <v>0</v>
      </c>
      <c r="H53" s="107">
        <f>IF(Utilidad!D50&gt;1,Utilidad!D50/100,Utilidad!D50)</f>
        <v>0</v>
      </c>
      <c r="J53" s="114">
        <f t="shared" si="2"/>
        <v>0</v>
      </c>
      <c r="K53" s="114">
        <f t="shared" si="0"/>
        <v>0</v>
      </c>
      <c r="M53" s="116">
        <f t="shared" si="3"/>
        <v>0</v>
      </c>
      <c r="N53" s="116">
        <f t="shared" si="1"/>
        <v>0</v>
      </c>
    </row>
    <row r="54" spans="2:14" ht="19">
      <c r="B54" s="105" t="s">
        <v>65</v>
      </c>
      <c r="C54" s="106">
        <f>Utilidad!A51</f>
        <v>0</v>
      </c>
      <c r="D54" s="107">
        <f>IF(Utilidad!C51&gt;1,Utilidad!C51/100,Utilidad!C51)</f>
        <v>0</v>
      </c>
      <c r="F54" s="105" t="s">
        <v>65</v>
      </c>
      <c r="G54" s="106">
        <f>Utilidad!B51</f>
        <v>0</v>
      </c>
      <c r="H54" s="107">
        <f>IF(Utilidad!D51&gt;1,Utilidad!D51/100,Utilidad!D51)</f>
        <v>0</v>
      </c>
      <c r="J54" s="114">
        <f t="shared" si="2"/>
        <v>0</v>
      </c>
      <c r="K54" s="114">
        <f t="shared" si="0"/>
        <v>0</v>
      </c>
      <c r="M54" s="116">
        <f t="shared" si="3"/>
        <v>0</v>
      </c>
      <c r="N54" s="116">
        <f t="shared" si="1"/>
        <v>0</v>
      </c>
    </row>
    <row r="55" spans="2:14" ht="19">
      <c r="B55" s="105" t="s">
        <v>66</v>
      </c>
      <c r="C55" s="106">
        <f>Utilidad!A52</f>
        <v>77372</v>
      </c>
      <c r="D55" s="107">
        <f>IF(Utilidad!C52&gt;1,Utilidad!C52/100,Utilidad!C52)</f>
        <v>0.54</v>
      </c>
      <c r="F55" s="105" t="s">
        <v>66</v>
      </c>
      <c r="G55" s="106">
        <f>Utilidad!B52</f>
        <v>77372</v>
      </c>
      <c r="H55" s="107">
        <f>IF(Utilidad!D52&gt;1,Utilidad!D52/100,Utilidad!D52)</f>
        <v>0.54</v>
      </c>
      <c r="J55" s="114">
        <f t="shared" si="2"/>
        <v>0</v>
      </c>
      <c r="K55" s="114">
        <f t="shared" si="0"/>
        <v>0</v>
      </c>
      <c r="M55" s="116">
        <f t="shared" si="3"/>
        <v>0</v>
      </c>
      <c r="N55" s="116">
        <f t="shared" si="1"/>
        <v>0</v>
      </c>
    </row>
    <row r="56" spans="2:14" ht="19">
      <c r="B56" s="105" t="s">
        <v>67</v>
      </c>
      <c r="C56" s="106">
        <f>Utilidad!A53</f>
        <v>77372</v>
      </c>
      <c r="D56" s="107">
        <f>IF(Utilidad!C53&gt;1,Utilidad!C53/100,Utilidad!C53)</f>
        <v>0.54</v>
      </c>
      <c r="F56" s="105" t="s">
        <v>67</v>
      </c>
      <c r="G56" s="106">
        <f>Utilidad!B53</f>
        <v>77372</v>
      </c>
      <c r="H56" s="107">
        <f>IF(Utilidad!D53&gt;1,Utilidad!D53/100,Utilidad!D53)</f>
        <v>0.54</v>
      </c>
      <c r="J56" s="114">
        <f t="shared" si="2"/>
        <v>0</v>
      </c>
      <c r="K56" s="114">
        <f t="shared" si="0"/>
        <v>0</v>
      </c>
      <c r="M56" s="116">
        <f t="shared" si="3"/>
        <v>0</v>
      </c>
      <c r="N56" s="116">
        <f t="shared" si="1"/>
        <v>0</v>
      </c>
    </row>
    <row r="57" spans="2:14" ht="19">
      <c r="B57" s="105" t="s">
        <v>175</v>
      </c>
      <c r="C57" s="106">
        <f>Utilidad!A54</f>
        <v>4403</v>
      </c>
      <c r="D57" s="107">
        <f>IF(Utilidad!C54&gt;1,Utilidad!C54/100,Utilidad!C54)</f>
        <v>0.62139999999999995</v>
      </c>
      <c r="F57" s="105" t="s">
        <v>159</v>
      </c>
      <c r="G57" s="106">
        <f>Utilidad!B54</f>
        <v>4403</v>
      </c>
      <c r="H57" s="107">
        <f>IF(Utilidad!D54&gt;1,Utilidad!D54/100,Utilidad!D54)</f>
        <v>0.62139999999999995</v>
      </c>
      <c r="J57" s="114">
        <f t="shared" ref="J57:J58" si="4">+IF(C57&lt;&gt;0,(G57-C57)/C57,ABS(G57-C57))</f>
        <v>0</v>
      </c>
      <c r="K57" s="114">
        <f t="shared" ref="K57:K58" si="5">+IF(D57&lt;&gt;0,(H57-D57)/D57,0)</f>
        <v>0</v>
      </c>
      <c r="M57" s="116">
        <f t="shared" ref="M57:M58" si="6">+IF(J57&lt;&gt;"",ABS(J57),0)</f>
        <v>0</v>
      </c>
      <c r="N57" s="116">
        <f t="shared" ref="N57:N58" si="7">+IF(J57&lt;&gt;"",ABS(K57),0)</f>
        <v>0</v>
      </c>
    </row>
    <row r="58" spans="2:14" ht="19">
      <c r="B58" s="105" t="s">
        <v>160</v>
      </c>
      <c r="C58" s="106">
        <f>Utilidad!A55</f>
        <v>127</v>
      </c>
      <c r="D58" s="107">
        <f>IF(Utilidad!C55&gt;1,Utilidad!C55/100,Utilidad!C55)</f>
        <v>0.66590000000000005</v>
      </c>
      <c r="F58" s="105" t="s">
        <v>160</v>
      </c>
      <c r="G58" s="106">
        <f>Utilidad!B55</f>
        <v>127</v>
      </c>
      <c r="H58" s="107">
        <f>IF(Utilidad!D55&gt;1,Utilidad!D55/100,Utilidad!D55)</f>
        <v>0.66590000000000005</v>
      </c>
      <c r="J58" s="114">
        <f t="shared" si="4"/>
        <v>0</v>
      </c>
      <c r="K58" s="114">
        <f t="shared" si="5"/>
        <v>0</v>
      </c>
      <c r="M58" s="116">
        <f t="shared" si="6"/>
        <v>0</v>
      </c>
      <c r="N58" s="116">
        <f t="shared" si="7"/>
        <v>0</v>
      </c>
    </row>
    <row r="59" spans="2:14" ht="19">
      <c r="B59" s="105" t="s">
        <v>169</v>
      </c>
      <c r="C59" s="106">
        <f>Utilidad!A56</f>
        <v>0</v>
      </c>
      <c r="D59" s="107">
        <f>IF(Utilidad!C56&gt;1,Utilidad!C56/100,Utilidad!C56)</f>
        <v>0</v>
      </c>
      <c r="F59" s="105" t="s">
        <v>169</v>
      </c>
      <c r="G59" s="106">
        <f>Utilidad!B56</f>
        <v>0</v>
      </c>
      <c r="H59" s="107">
        <f>IF(Utilidad!D56&gt;1,Utilidad!D56/100,Utilidad!D56)</f>
        <v>0</v>
      </c>
      <c r="J59" s="114">
        <f t="shared" ref="J59:J64" si="8">+IF(C59&lt;&gt;0,(G59-C59)/C59,ABS(G59-C59))</f>
        <v>0</v>
      </c>
      <c r="K59" s="114">
        <f t="shared" ref="K59:K64" si="9">+IF(D59&lt;&gt;0,(H59-D59)/D59,0)</f>
        <v>0</v>
      </c>
      <c r="M59" s="116">
        <f t="shared" ref="M59:M64" si="10">+IF(J59&lt;&gt;"",ABS(J59),0)</f>
        <v>0</v>
      </c>
      <c r="N59" s="116">
        <f t="shared" ref="N59:N64" si="11">+IF(J59&lt;&gt;"",ABS(K59),0)</f>
        <v>0</v>
      </c>
    </row>
    <row r="60" spans="2:14" ht="19">
      <c r="B60" s="105" t="s">
        <v>170</v>
      </c>
      <c r="C60" s="106">
        <f>Utilidad!A57</f>
        <v>0</v>
      </c>
      <c r="D60" s="107">
        <f>IF(Utilidad!C57&gt;1,Utilidad!C57/100,Utilidad!C57)</f>
        <v>0</v>
      </c>
      <c r="F60" s="105" t="s">
        <v>170</v>
      </c>
      <c r="G60" s="106">
        <f>Utilidad!B57</f>
        <v>0</v>
      </c>
      <c r="H60" s="107">
        <f>IF(Utilidad!D57&gt;1,Utilidad!D57/100,Utilidad!D57)</f>
        <v>0</v>
      </c>
      <c r="J60" s="114">
        <f t="shared" si="8"/>
        <v>0</v>
      </c>
      <c r="K60" s="114">
        <f t="shared" si="9"/>
        <v>0</v>
      </c>
      <c r="M60" s="116">
        <f t="shared" si="10"/>
        <v>0</v>
      </c>
      <c r="N60" s="116">
        <f t="shared" si="11"/>
        <v>0</v>
      </c>
    </row>
    <row r="61" spans="2:14" ht="19">
      <c r="B61" s="105" t="s">
        <v>171</v>
      </c>
      <c r="C61" s="106">
        <f>Utilidad!A58</f>
        <v>0</v>
      </c>
      <c r="D61" s="107">
        <f>IF(Utilidad!C58&gt;1,Utilidad!C58/100,Utilidad!C58)</f>
        <v>0</v>
      </c>
      <c r="F61" s="105" t="s">
        <v>171</v>
      </c>
      <c r="G61" s="106">
        <f>Utilidad!B58</f>
        <v>0</v>
      </c>
      <c r="H61" s="107">
        <f>IF(Utilidad!D58&gt;1,Utilidad!D58/100,Utilidad!D58)</f>
        <v>0</v>
      </c>
      <c r="J61" s="114">
        <f t="shared" si="8"/>
        <v>0</v>
      </c>
      <c r="K61" s="114">
        <f t="shared" si="9"/>
        <v>0</v>
      </c>
      <c r="M61" s="116">
        <f t="shared" si="10"/>
        <v>0</v>
      </c>
      <c r="N61" s="116">
        <f t="shared" si="11"/>
        <v>0</v>
      </c>
    </row>
    <row r="62" spans="2:14" ht="19">
      <c r="B62" s="105" t="s">
        <v>172</v>
      </c>
      <c r="C62" s="106">
        <f>Utilidad!A59</f>
        <v>0</v>
      </c>
      <c r="D62" s="107">
        <f>IF(Utilidad!C59&gt;1,Utilidad!C59/100,Utilidad!C59)</f>
        <v>0</v>
      </c>
      <c r="F62" s="105" t="s">
        <v>172</v>
      </c>
      <c r="G62" s="106">
        <f>Utilidad!B59</f>
        <v>0</v>
      </c>
      <c r="H62" s="107">
        <f>IF(Utilidad!D59&gt;1,Utilidad!D59/100,Utilidad!D59)</f>
        <v>0</v>
      </c>
      <c r="J62" s="114">
        <f t="shared" si="8"/>
        <v>0</v>
      </c>
      <c r="K62" s="114">
        <f t="shared" si="9"/>
        <v>0</v>
      </c>
      <c r="M62" s="116">
        <f t="shared" si="10"/>
        <v>0</v>
      </c>
      <c r="N62" s="116">
        <f t="shared" si="11"/>
        <v>0</v>
      </c>
    </row>
    <row r="63" spans="2:14" ht="19">
      <c r="B63" s="105" t="s">
        <v>173</v>
      </c>
      <c r="C63" s="106">
        <f>Utilidad!A60</f>
        <v>0</v>
      </c>
      <c r="D63" s="107">
        <f>IF(Utilidad!C60&gt;1,Utilidad!C60/100,Utilidad!C60)</f>
        <v>0</v>
      </c>
      <c r="F63" s="105" t="s">
        <v>173</v>
      </c>
      <c r="G63" s="106">
        <f>Utilidad!B60</f>
        <v>0</v>
      </c>
      <c r="H63" s="107">
        <f>IF(Utilidad!D60&gt;1,Utilidad!D60/100,Utilidad!D60)</f>
        <v>0</v>
      </c>
      <c r="J63" s="114">
        <f t="shared" si="8"/>
        <v>0</v>
      </c>
      <c r="K63" s="114">
        <f t="shared" si="9"/>
        <v>0</v>
      </c>
      <c r="M63" s="116">
        <f t="shared" si="10"/>
        <v>0</v>
      </c>
      <c r="N63" s="116">
        <f t="shared" si="11"/>
        <v>0</v>
      </c>
    </row>
    <row r="64" spans="2:14" ht="19">
      <c r="B64" s="105" t="s">
        <v>174</v>
      </c>
      <c r="C64" s="106">
        <f>Utilidad!A61</f>
        <v>0</v>
      </c>
      <c r="D64" s="107">
        <f>IF(Utilidad!C61&gt;1,Utilidad!C61/100,Utilidad!C61)</f>
        <v>0</v>
      </c>
      <c r="F64" s="105" t="s">
        <v>174</v>
      </c>
      <c r="G64" s="106">
        <f>Utilidad!B61</f>
        <v>0</v>
      </c>
      <c r="H64" s="107">
        <f>IF(Utilidad!D61&gt;1,Utilidad!D61/100,Utilidad!D61)</f>
        <v>0</v>
      </c>
      <c r="J64" s="114">
        <f t="shared" si="8"/>
        <v>0</v>
      </c>
      <c r="K64" s="114">
        <f t="shared" si="9"/>
        <v>0</v>
      </c>
      <c r="M64" s="116">
        <f t="shared" si="10"/>
        <v>0</v>
      </c>
      <c r="N64" s="116">
        <f t="shared" si="11"/>
        <v>0</v>
      </c>
    </row>
  </sheetData>
  <mergeCells count="3">
    <mergeCell ref="B2:D2"/>
    <mergeCell ref="F2:H2"/>
    <mergeCell ref="J2:K2"/>
  </mergeCells>
  <conditionalFormatting sqref="J4:K64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149"/>
  <sheetViews>
    <sheetView showGridLines="0" tabSelected="1" topLeftCell="B116" zoomScale="82" zoomScaleNormal="82" workbookViewId="0">
      <selection activeCell="S134" sqref="S134"/>
    </sheetView>
  </sheetViews>
  <sheetFormatPr baseColWidth="10" defaultColWidth="11.5" defaultRowHeight="15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/>
    <row r="2" spans="2:19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>
      <c r="B3" s="7"/>
      <c r="S3" s="24"/>
    </row>
    <row r="4" spans="2:19">
      <c r="B4" s="7"/>
      <c r="S4" s="24"/>
    </row>
    <row r="5" spans="2:19">
      <c r="B5" s="7"/>
      <c r="S5" s="24"/>
    </row>
    <row r="6" spans="2:19">
      <c r="B6" s="7"/>
      <c r="E6" s="25">
        <f>+Utilidad!J62</f>
        <v>88507</v>
      </c>
      <c r="S6" s="24"/>
    </row>
    <row r="7" spans="2:19">
      <c r="B7" s="7"/>
      <c r="E7" s="26">
        <f>+Utilidad!K62</f>
        <v>0.38135957855999997</v>
      </c>
      <c r="I7" s="25">
        <f>+Utilidad!J65</f>
        <v>66444</v>
      </c>
      <c r="L7" s="27">
        <f>+Utilidad!J68</f>
        <v>151419</v>
      </c>
      <c r="Q7" s="27">
        <f>+Utilidad!J70</f>
        <v>47016</v>
      </c>
      <c r="S7" s="24"/>
    </row>
    <row r="8" spans="2:19">
      <c r="B8" s="7"/>
      <c r="E8" s="28">
        <f>+Utilidad!L62</f>
        <v>33752.992219609914</v>
      </c>
      <c r="I8" s="26">
        <f>+Utilidad!K65</f>
        <v>0.447849</v>
      </c>
      <c r="L8" s="29">
        <f>+Utilidad!K68</f>
        <v>0.46058106021</v>
      </c>
      <c r="Q8" s="29">
        <f>+Utilidad!K70</f>
        <v>0.34271999999999997</v>
      </c>
      <c r="S8" s="24"/>
    </row>
    <row r="9" spans="2:19">
      <c r="B9" s="7"/>
      <c r="I9" s="28">
        <f>+Utilidad!L65</f>
        <v>29756.878956</v>
      </c>
      <c r="L9" s="30">
        <f>+Utilidad!L68</f>
        <v>69740.723555937991</v>
      </c>
      <c r="Q9" s="30">
        <f>Q7*Q8</f>
        <v>16113.323519999998</v>
      </c>
      <c r="S9" s="24"/>
    </row>
    <row r="10" spans="2:19">
      <c r="B10" s="7"/>
      <c r="E10" s="25">
        <f>+Utilidad!J63</f>
        <v>0</v>
      </c>
      <c r="S10" s="24"/>
    </row>
    <row r="11" spans="2:19">
      <c r="B11" s="7"/>
      <c r="E11" s="26">
        <f>+Utilidad!K63</f>
        <v>0</v>
      </c>
      <c r="Q11" s="27">
        <f>+Utilidad!J71</f>
        <v>10446.465614000001</v>
      </c>
      <c r="S11" s="24"/>
    </row>
    <row r="12" spans="2:19">
      <c r="B12" s="7"/>
      <c r="C12" s="25">
        <f>+Utilidad!J101</f>
        <v>0</v>
      </c>
      <c r="E12" s="28">
        <f>+Utilidad!L63</f>
        <v>0</v>
      </c>
      <c r="Q12" s="29">
        <f>+Utilidad!K71</f>
        <v>0.18479999999999999</v>
      </c>
      <c r="S12" s="24"/>
    </row>
    <row r="13" spans="2:19">
      <c r="B13" s="7"/>
      <c r="C13" s="26">
        <f>+Utilidad!K101</f>
        <v>0</v>
      </c>
      <c r="H13" s="31">
        <f>+Utilidad!J66</f>
        <v>43180</v>
      </c>
      <c r="N13" s="25">
        <f>+Utilidad!J72</f>
        <v>56684</v>
      </c>
      <c r="Q13" s="30">
        <f>+Utilidad!L71</f>
        <v>1930.5068454672</v>
      </c>
      <c r="S13" s="24"/>
    </row>
    <row r="14" spans="2:19">
      <c r="B14" s="7"/>
      <c r="C14" s="28">
        <f>+Utilidad!L101</f>
        <v>0</v>
      </c>
      <c r="H14" s="32">
        <f>+Utilidad!K66</f>
        <v>0.4824</v>
      </c>
      <c r="J14" s="33">
        <f>+I7+H13-L14-L7</f>
        <v>-41795</v>
      </c>
      <c r="L14" s="27">
        <f>+Utilidad!J69</f>
        <v>0</v>
      </c>
      <c r="N14" s="26">
        <f>+Utilidad!K72</f>
        <v>0.52903037013999998</v>
      </c>
      <c r="S14" s="24"/>
    </row>
    <row r="15" spans="2:19">
      <c r="B15" s="7"/>
      <c r="G15" s="34">
        <f>+Utilidad!J64</f>
        <v>22063</v>
      </c>
      <c r="H15" s="35">
        <f>+Utilidad!L66</f>
        <v>20830.031999999999</v>
      </c>
      <c r="L15" s="29">
        <f>+Utilidad!K69</f>
        <v>0</v>
      </c>
      <c r="N15" s="28">
        <f>+Utilidad!L72</f>
        <v>29987.557501015759</v>
      </c>
      <c r="S15" s="24"/>
    </row>
    <row r="16" spans="2:19">
      <c r="B16" s="7"/>
      <c r="E16" s="36">
        <f>+C12-E10</f>
        <v>0</v>
      </c>
      <c r="G16" s="37">
        <f>+Utilidad!K64</f>
        <v>0.18112284201000001</v>
      </c>
      <c r="L16" s="30">
        <f>+Utilidad!L69</f>
        <v>0</v>
      </c>
      <c r="S16" s="24"/>
    </row>
    <row r="17" spans="2:19">
      <c r="B17" s="7"/>
      <c r="G17" s="38">
        <f>G15*G16</f>
        <v>3996.1132632666299</v>
      </c>
      <c r="S17" s="24"/>
    </row>
    <row r="18" spans="2:19">
      <c r="B18" s="7"/>
      <c r="K18" s="25">
        <f>Flujos!C56</f>
        <v>77372</v>
      </c>
      <c r="S18" s="24"/>
    </row>
    <row r="19" spans="2:19">
      <c r="B19" s="7"/>
      <c r="K19" s="26">
        <f>Flujos!D56</f>
        <v>0.54</v>
      </c>
      <c r="S19" s="24"/>
    </row>
    <row r="20" spans="2:19">
      <c r="B20" s="7"/>
      <c r="K20" s="28">
        <f>K18*K19</f>
        <v>41780.880000000005</v>
      </c>
      <c r="L20" s="25">
        <f>+Utilidad!J76</f>
        <v>104882</v>
      </c>
      <c r="N20" s="33">
        <f>+L14+N13+K18-M22-L20</f>
        <v>791</v>
      </c>
      <c r="S20" s="24"/>
    </row>
    <row r="21" spans="2:19">
      <c r="B21" s="7"/>
      <c r="S21" s="24"/>
    </row>
    <row r="22" spans="2:19">
      <c r="B22" s="7"/>
      <c r="L22" s="26">
        <f>+Utilidad!K76</f>
        <v>0.54249821000999998</v>
      </c>
      <c r="M22" s="25">
        <f>+Utilidad!J74</f>
        <v>28383</v>
      </c>
      <c r="O22" s="25">
        <f>+Utilidad!J73</f>
        <v>37272.534385999999</v>
      </c>
      <c r="S22" s="24"/>
    </row>
    <row r="23" spans="2:19">
      <c r="B23" s="7"/>
      <c r="L23" s="28">
        <f>+Utilidad!L76</f>
        <v>56898.297262268818</v>
      </c>
      <c r="M23" s="26">
        <f>+Utilidad!K74</f>
        <v>0.50750420987</v>
      </c>
      <c r="O23" s="26">
        <f>+Utilidad!K73</f>
        <v>0.58244860585000002</v>
      </c>
      <c r="S23" s="24"/>
    </row>
    <row r="24" spans="2:19">
      <c r="B24" s="7"/>
      <c r="M24" s="28">
        <f>+Utilidad!L74</f>
        <v>14404.49198874021</v>
      </c>
      <c r="O24" s="28">
        <f>+Utilidad!L73</f>
        <v>21709.335689621887</v>
      </c>
      <c r="Q24">
        <f>+(O22+N13)/(L7)</f>
        <v>0.62050690062673775</v>
      </c>
      <c r="S24" s="24"/>
    </row>
    <row r="25" spans="2:19">
      <c r="B25" s="7"/>
      <c r="C25" s="141"/>
      <c r="G25" s="25">
        <f>+Utilidad!J105</f>
        <v>0</v>
      </c>
      <c r="S25" s="24"/>
    </row>
    <row r="26" spans="2:19">
      <c r="B26" s="7"/>
      <c r="C26" s="169">
        <f>+Utilidad!J103</f>
        <v>0</v>
      </c>
      <c r="G26" s="26">
        <f>+Utilidad!K105</f>
        <v>0</v>
      </c>
      <c r="S26" s="24"/>
    </row>
    <row r="27" spans="2:19">
      <c r="B27" s="7"/>
      <c r="C27" s="170">
        <f>+Utilidad!K103</f>
        <v>0</v>
      </c>
      <c r="G27" s="28">
        <f>+Utilidad!L105</f>
        <v>0</v>
      </c>
      <c r="Q27">
        <f>+(K28)/(L20+M22+O22)</f>
        <v>0.77866142769155255</v>
      </c>
      <c r="S27" s="24"/>
    </row>
    <row r="28" spans="2:19">
      <c r="B28" s="7"/>
      <c r="C28" s="171">
        <f>+Utilidad!L103</f>
        <v>0</v>
      </c>
      <c r="K28" s="34">
        <f>+Utilidad!J78</f>
        <v>132791</v>
      </c>
      <c r="S28" s="24"/>
    </row>
    <row r="29" spans="2:19">
      <c r="B29" s="7"/>
      <c r="C29" s="141"/>
      <c r="F29" s="39">
        <f>+C26-G25</f>
        <v>0</v>
      </c>
      <c r="K29" s="37">
        <f>+Utilidad!K78</f>
        <v>0.67602529614999995</v>
      </c>
      <c r="M29">
        <f>K28/(L20+M22+O22)</f>
        <v>0.77866142769155255</v>
      </c>
      <c r="O29" s="2">
        <f>O22+L20+M22</f>
        <v>170537.53438600001</v>
      </c>
      <c r="S29" s="24"/>
    </row>
    <row r="30" spans="2:19">
      <c r="B30" s="7"/>
      <c r="C30" s="141"/>
      <c r="I30" s="34">
        <f>+Utilidad!J77</f>
        <v>37746.534385999999</v>
      </c>
      <c r="K30" s="38">
        <f>+Utilidad!L78</f>
        <v>89770.075101054637</v>
      </c>
      <c r="O30" s="2">
        <f>O29-K28</f>
        <v>37746.534386000014</v>
      </c>
      <c r="S30" s="24"/>
    </row>
    <row r="31" spans="2:19">
      <c r="B31" s="7"/>
      <c r="C31" s="141"/>
      <c r="I31" s="37">
        <f>+Utilidad!K77</f>
        <v>8.5890000000000008E-2</v>
      </c>
      <c r="S31" s="24"/>
    </row>
    <row r="32" spans="2:19">
      <c r="B32" s="7"/>
      <c r="C32" s="141"/>
      <c r="I32" s="38">
        <f>I30*I31</f>
        <v>3242.0498384135403</v>
      </c>
      <c r="S32" s="24"/>
    </row>
    <row r="33" spans="2:19">
      <c r="B33" s="7"/>
      <c r="C33" s="141"/>
      <c r="S33" s="24"/>
    </row>
    <row r="34" spans="2:19">
      <c r="B34" s="7"/>
      <c r="C34" s="141"/>
      <c r="G34" s="25">
        <f>+Utilidad!J108</f>
        <v>0</v>
      </c>
      <c r="L34" s="33"/>
      <c r="S34" s="24"/>
    </row>
    <row r="35" spans="2:19">
      <c r="B35" s="7"/>
      <c r="C35" s="169">
        <f>+Utilidad!J106</f>
        <v>0</v>
      </c>
      <c r="G35" s="26">
        <f>+Utilidad!K108</f>
        <v>0</v>
      </c>
      <c r="M35" s="2"/>
      <c r="N35" s="2"/>
      <c r="S35" s="24"/>
    </row>
    <row r="36" spans="2:19">
      <c r="B36" s="7"/>
      <c r="C36" s="170">
        <f>+Utilidad!K106</f>
        <v>0</v>
      </c>
      <c r="G36" s="28">
        <f>+Utilidad!L108</f>
        <v>0</v>
      </c>
      <c r="S36" s="24"/>
    </row>
    <row r="37" spans="2:19">
      <c r="B37" s="7"/>
      <c r="C37" s="171">
        <f>+Utilidad!L106</f>
        <v>0</v>
      </c>
      <c r="S37" s="24"/>
    </row>
    <row r="38" spans="2:19">
      <c r="B38" s="7"/>
      <c r="C38" s="141"/>
      <c r="F38" s="39">
        <f>+C35-G34</f>
        <v>0</v>
      </c>
      <c r="S38" s="24"/>
    </row>
    <row r="39" spans="2:19">
      <c r="B39" s="7"/>
      <c r="C39" s="141"/>
      <c r="K39" s="40">
        <f>K28-(I53+L53)</f>
        <v>3316</v>
      </c>
      <c r="S39" s="24"/>
    </row>
    <row r="40" spans="2:19">
      <c r="B40" s="7"/>
      <c r="C40" s="141"/>
      <c r="S40" s="24"/>
    </row>
    <row r="41" spans="2:19">
      <c r="B41" s="7"/>
      <c r="C41" s="141"/>
      <c r="S41" s="24"/>
    </row>
    <row r="42" spans="2:19">
      <c r="B42" s="7"/>
      <c r="C42" s="141"/>
      <c r="S42" s="24"/>
    </row>
    <row r="43" spans="2:19">
      <c r="B43" s="7"/>
      <c r="C43" s="141"/>
      <c r="S43" s="24"/>
    </row>
    <row r="44" spans="2:19">
      <c r="B44" s="7"/>
      <c r="C44" s="169">
        <f>+Utilidad!J109</f>
        <v>0</v>
      </c>
      <c r="G44" s="25">
        <f>+Utilidad!J111</f>
        <v>0</v>
      </c>
      <c r="S44" s="24"/>
    </row>
    <row r="45" spans="2:19">
      <c r="B45" s="7"/>
      <c r="C45" s="170">
        <f>+Utilidad!K109</f>
        <v>0</v>
      </c>
      <c r="G45" s="26">
        <f>+Utilidad!K111</f>
        <v>0</v>
      </c>
      <c r="S45" s="24"/>
    </row>
    <row r="46" spans="2:19">
      <c r="B46" s="7"/>
      <c r="C46" s="171">
        <f>+Utilidad!L109</f>
        <v>0</v>
      </c>
      <c r="G46" s="28">
        <f>+Utilidad!L111</f>
        <v>0</v>
      </c>
      <c r="S46" s="24"/>
    </row>
    <row r="47" spans="2:19">
      <c r="B47" s="7"/>
      <c r="C47" s="141"/>
      <c r="S47" s="24"/>
    </row>
    <row r="48" spans="2:19">
      <c r="B48" s="7"/>
      <c r="C48" s="141"/>
      <c r="F48" s="39">
        <f>+C44-G44</f>
        <v>0</v>
      </c>
      <c r="S48" s="24"/>
    </row>
    <row r="49" spans="2:19">
      <c r="B49" s="7"/>
      <c r="C49" s="141"/>
      <c r="S49" s="24"/>
    </row>
    <row r="50" spans="2:19">
      <c r="B50" s="7"/>
      <c r="C50" s="141"/>
      <c r="S50" s="24"/>
    </row>
    <row r="51" spans="2:19">
      <c r="B51" s="7"/>
      <c r="C51" s="141"/>
      <c r="S51" s="24"/>
    </row>
    <row r="52" spans="2:19">
      <c r="B52" s="7"/>
      <c r="C52" s="141"/>
      <c r="S52" s="24"/>
    </row>
    <row r="53" spans="2:19">
      <c r="B53" s="7"/>
      <c r="C53" s="141"/>
      <c r="I53" s="31">
        <f>+Utilidad!J82</f>
        <v>0</v>
      </c>
      <c r="L53" s="31">
        <f>+Utilidad!J83</f>
        <v>129475</v>
      </c>
      <c r="S53" s="24"/>
    </row>
    <row r="54" spans="2:19">
      <c r="B54" s="7"/>
      <c r="C54" s="169">
        <f>+Utilidad!J112</f>
        <v>0</v>
      </c>
      <c r="I54" s="32">
        <f>+Utilidad!K82</f>
        <v>0.66590000000000005</v>
      </c>
      <c r="L54" s="32">
        <f>+Utilidad!K83</f>
        <v>0.66920745592000008</v>
      </c>
      <c r="S54" s="24"/>
    </row>
    <row r="55" spans="2:19">
      <c r="B55" s="7"/>
      <c r="C55" s="170">
        <f>+Utilidad!K112</f>
        <v>0</v>
      </c>
      <c r="I55" s="35">
        <f>+Utilidad!L82</f>
        <v>0</v>
      </c>
      <c r="L55" s="35">
        <f>+Utilidad!L83</f>
        <v>86645.635355242004</v>
      </c>
      <c r="S55" s="24"/>
    </row>
    <row r="56" spans="2:19">
      <c r="B56" s="7"/>
      <c r="C56" s="171">
        <f>+Utilidad!L112</f>
        <v>0</v>
      </c>
      <c r="S56" s="24"/>
    </row>
    <row r="57" spans="2:19">
      <c r="B57" s="7"/>
      <c r="S57" s="24"/>
    </row>
    <row r="58" spans="2:19">
      <c r="B58" s="7"/>
      <c r="M58" s="27">
        <f>Flujos!G24</f>
        <v>0</v>
      </c>
      <c r="N58" s="4">
        <f>+M58/(L53+I53)</f>
        <v>0</v>
      </c>
      <c r="S58" s="24"/>
    </row>
    <row r="59" spans="2:19">
      <c r="B59" s="7"/>
      <c r="M59" s="29">
        <f>Flujos!H24</f>
        <v>0.66590000000000005</v>
      </c>
      <c r="S59" s="24"/>
    </row>
    <row r="60" spans="2:19">
      <c r="B60" s="7"/>
      <c r="M60" s="30">
        <f>M59*M58</f>
        <v>0</v>
      </c>
      <c r="S60" s="24"/>
    </row>
    <row r="61" spans="2:19">
      <c r="B61" s="7"/>
      <c r="S61" s="24"/>
    </row>
    <row r="62" spans="2:19">
      <c r="B62" s="7"/>
      <c r="C62" s="25">
        <f>Flujos!C55</f>
        <v>77372</v>
      </c>
      <c r="S62" s="24"/>
    </row>
    <row r="63" spans="2:19">
      <c r="B63" s="7"/>
      <c r="C63" s="26">
        <f>Flujos!D55</f>
        <v>0.54</v>
      </c>
      <c r="O63" s="31">
        <f>Flujos!G27</f>
        <v>104386</v>
      </c>
      <c r="S63" s="24"/>
    </row>
    <row r="64" spans="2:19">
      <c r="B64" s="7"/>
      <c r="C64" s="28">
        <f>C63*C62</f>
        <v>41780.880000000005</v>
      </c>
      <c r="O64" s="32">
        <f>Flujos!H27</f>
        <v>0.66200000000000003</v>
      </c>
      <c r="S64" s="24"/>
    </row>
    <row r="65" spans="2:19">
      <c r="B65" s="7"/>
      <c r="L65" s="27">
        <f>Flujos!G25</f>
        <v>129475</v>
      </c>
      <c r="O65" s="35">
        <f>O63*O64</f>
        <v>69103.532000000007</v>
      </c>
      <c r="S65" s="24"/>
    </row>
    <row r="66" spans="2:19">
      <c r="B66" s="7"/>
      <c r="L66" s="29">
        <f>Flujos!H25</f>
        <v>0.66920745592000008</v>
      </c>
      <c r="S66" s="24"/>
    </row>
    <row r="67" spans="2:19">
      <c r="B67" s="7"/>
      <c r="L67" s="30">
        <f>L66*L65</f>
        <v>86645.635355242004</v>
      </c>
      <c r="N67" s="36">
        <f>Flujos!G26</f>
        <v>25089</v>
      </c>
      <c r="O67" s="31">
        <f>Flujos!G28</f>
        <v>0</v>
      </c>
      <c r="S67" s="24"/>
    </row>
    <row r="68" spans="2:19">
      <c r="B68" s="7"/>
      <c r="O68" s="32">
        <f>Flujos!H28</f>
        <v>0</v>
      </c>
      <c r="S68" s="24"/>
    </row>
    <row r="69" spans="2:19">
      <c r="B69" s="7"/>
      <c r="O69" s="35">
        <f>O67*O68</f>
        <v>0</v>
      </c>
      <c r="S69" s="24"/>
    </row>
    <row r="70" spans="2:19">
      <c r="B70" s="7"/>
      <c r="H70" s="31">
        <f>Flujos!G29</f>
        <v>0</v>
      </c>
      <c r="K70" s="31">
        <f>Flujos!G22</f>
        <v>0</v>
      </c>
      <c r="S70" s="24"/>
    </row>
    <row r="71" spans="2:19">
      <c r="B71" s="7"/>
      <c r="H71" s="32">
        <f>Flujos!H29</f>
        <v>0</v>
      </c>
      <c r="K71" s="32">
        <f>Flujos!H22</f>
        <v>0</v>
      </c>
      <c r="S71" s="24"/>
    </row>
    <row r="72" spans="2:19">
      <c r="B72" s="7"/>
      <c r="H72" s="35">
        <f>H70*H71</f>
        <v>0</v>
      </c>
      <c r="K72" s="35">
        <f>K70*K71</f>
        <v>0</v>
      </c>
      <c r="S72" s="24"/>
    </row>
    <row r="73" spans="2:19">
      <c r="B73" s="7"/>
      <c r="S73" s="24"/>
    </row>
    <row r="74" spans="2:19">
      <c r="B74" s="7"/>
      <c r="L74" s="31">
        <f>Flujos!G35</f>
        <v>18351</v>
      </c>
      <c r="O74" s="31">
        <f>Flujos!G33</f>
        <v>0</v>
      </c>
      <c r="S74" s="24"/>
    </row>
    <row r="75" spans="2:19">
      <c r="B75" s="7"/>
      <c r="H75" s="31">
        <f>Flujos!G30</f>
        <v>0</v>
      </c>
      <c r="J75" s="36">
        <f>Flujos!G31</f>
        <v>0</v>
      </c>
      <c r="L75" s="32">
        <f>Flujos!H35</f>
        <v>0.62170000000000003</v>
      </c>
      <c r="N75" s="36">
        <f>Flujos!G34</f>
        <v>27987</v>
      </c>
      <c r="O75" s="32">
        <f>Flujos!H33</f>
        <v>0</v>
      </c>
      <c r="S75" s="24"/>
    </row>
    <row r="76" spans="2:19">
      <c r="B76" s="7"/>
      <c r="H76" s="32">
        <f>Flujos!H30</f>
        <v>0</v>
      </c>
      <c r="L76" s="35">
        <f>L74*L75</f>
        <v>11408.816700000001</v>
      </c>
      <c r="O76" s="35">
        <f>O74*O75</f>
        <v>0</v>
      </c>
      <c r="S76" s="24"/>
    </row>
    <row r="77" spans="2:19">
      <c r="B77" s="7"/>
      <c r="H77" s="35">
        <f>H76*H75</f>
        <v>0</v>
      </c>
      <c r="S77" s="24"/>
    </row>
    <row r="78" spans="2:19">
      <c r="B78" s="7"/>
      <c r="L78" s="31">
        <f>Flujos!G36</f>
        <v>5360</v>
      </c>
      <c r="S78" s="24"/>
    </row>
    <row r="79" spans="2:19">
      <c r="B79" s="7"/>
      <c r="L79" s="32">
        <f>Flujos!H36</f>
        <v>0.60460000000000003</v>
      </c>
      <c r="Q79" s="31">
        <f>Flujos!G58</f>
        <v>127</v>
      </c>
      <c r="S79" s="24"/>
    </row>
    <row r="80" spans="2:19">
      <c r="B80" s="7"/>
      <c r="L80" s="35">
        <f>L79*L78</f>
        <v>3240.6559999999999</v>
      </c>
      <c r="Q80" s="32">
        <f>Flujos!H58</f>
        <v>0.66590000000000005</v>
      </c>
      <c r="S80" s="24"/>
    </row>
    <row r="81" spans="2:19">
      <c r="B81" s="7"/>
      <c r="Q81" s="35">
        <f>Q79*Q80</f>
        <v>84.569300000000013</v>
      </c>
      <c r="S81" s="24"/>
    </row>
    <row r="82" spans="2:19">
      <c r="B82" s="7"/>
      <c r="K82" s="31">
        <f>Flujos!G57</f>
        <v>4403</v>
      </c>
      <c r="S82" s="24"/>
    </row>
    <row r="83" spans="2:19">
      <c r="B83" s="7"/>
      <c r="K83" s="32">
        <f>Flujos!H57</f>
        <v>0.62139999999999995</v>
      </c>
      <c r="S83" s="24"/>
    </row>
    <row r="84" spans="2:19">
      <c r="B84" s="7"/>
      <c r="K84" s="35">
        <f>K82*K83</f>
        <v>2736.0241999999998</v>
      </c>
      <c r="O84" s="31">
        <f>Flujos!G40</f>
        <v>0</v>
      </c>
      <c r="S84" s="24"/>
    </row>
    <row r="85" spans="2:19">
      <c r="B85" s="7"/>
      <c r="H85" s="2">
        <f>5562+L74</f>
        <v>23913</v>
      </c>
      <c r="O85" s="32">
        <f>Flujos!H40</f>
        <v>0</v>
      </c>
      <c r="S85" s="24"/>
    </row>
    <row r="86" spans="2:19">
      <c r="B86" s="7"/>
      <c r="K86" s="31">
        <f>+Utilidad!J98</f>
        <v>0</v>
      </c>
      <c r="O86" s="35">
        <f>O84*O85</f>
        <v>0</v>
      </c>
      <c r="S86" s="24"/>
    </row>
    <row r="87" spans="2:19">
      <c r="B87" s="7"/>
      <c r="K87" s="32">
        <f>+Utilidad!K98</f>
        <v>0</v>
      </c>
      <c r="S87" s="24"/>
    </row>
    <row r="88" spans="2:19">
      <c r="B88" s="7"/>
      <c r="K88" s="35">
        <f>+Utilidad!L98</f>
        <v>0</v>
      </c>
      <c r="N88" s="41">
        <f>+L90+K86-O84</f>
        <v>6394</v>
      </c>
      <c r="S88" s="24"/>
    </row>
    <row r="89" spans="2:19">
      <c r="B89" s="7"/>
      <c r="S89" s="24"/>
    </row>
    <row r="90" spans="2:19">
      <c r="B90" s="7"/>
      <c r="L90" s="31">
        <f>+Utilidad!J97</f>
        <v>6394</v>
      </c>
      <c r="S90" s="24"/>
    </row>
    <row r="91" spans="2:19">
      <c r="B91" s="7"/>
      <c r="L91" s="32">
        <f>+Utilidad!K97</f>
        <v>0.59009999999999996</v>
      </c>
      <c r="S91" s="24"/>
    </row>
    <row r="92" spans="2:19">
      <c r="B92" s="7"/>
      <c r="L92" s="35">
        <f>+Utilidad!L97</f>
        <v>3773.0993999999996</v>
      </c>
      <c r="S92" s="24"/>
    </row>
    <row r="93" spans="2:19">
      <c r="B93" s="7"/>
      <c r="S93" s="24"/>
    </row>
    <row r="94" spans="2:19" ht="16" thickBot="1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3"/>
    </row>
    <row r="95" spans="2:19" ht="16">
      <c r="G95" s="9" t="s">
        <v>70</v>
      </c>
    </row>
    <row r="96" spans="2:19" ht="25.5" customHeight="1">
      <c r="G96" s="226" t="s">
        <v>71</v>
      </c>
      <c r="H96" s="226"/>
      <c r="I96" s="227"/>
      <c r="J96" s="228" t="s">
        <v>72</v>
      </c>
      <c r="K96" s="228"/>
      <c r="L96" s="228"/>
      <c r="M96" s="229" t="s">
        <v>73</v>
      </c>
      <c r="N96" s="229"/>
      <c r="O96" s="229"/>
      <c r="P96" s="229"/>
    </row>
    <row r="97" spans="7:16" ht="25.5" customHeight="1">
      <c r="G97" s="218" t="s">
        <v>74</v>
      </c>
      <c r="H97" s="219"/>
      <c r="I97" s="21">
        <f>+E6</f>
        <v>88507</v>
      </c>
      <c r="J97" s="224" t="s">
        <v>7</v>
      </c>
      <c r="K97" s="213"/>
      <c r="L97" s="10">
        <f>Flujos!G9</f>
        <v>-41795</v>
      </c>
      <c r="M97" s="213" t="s">
        <v>75</v>
      </c>
      <c r="N97" s="213"/>
      <c r="O97" s="213"/>
      <c r="P97" s="10">
        <f>+G15</f>
        <v>22063</v>
      </c>
    </row>
    <row r="98" spans="7:16" ht="25.5" customHeight="1">
      <c r="G98" s="218" t="s">
        <v>76</v>
      </c>
      <c r="H98" s="219"/>
      <c r="I98" s="21">
        <f>+C12</f>
        <v>0</v>
      </c>
      <c r="J98" s="213" t="s">
        <v>8</v>
      </c>
      <c r="K98" s="213"/>
      <c r="L98" s="10">
        <f>Flujos!G17</f>
        <v>791</v>
      </c>
      <c r="M98" s="213" t="s">
        <v>22</v>
      </c>
      <c r="N98" s="213"/>
      <c r="O98" s="213"/>
      <c r="P98" s="10">
        <f>+Q7</f>
        <v>47016</v>
      </c>
    </row>
    <row r="99" spans="7:16" ht="25.5" customHeight="1">
      <c r="G99" s="218" t="s">
        <v>77</v>
      </c>
      <c r="H99" s="219"/>
      <c r="I99" s="21">
        <f>+H13</f>
        <v>43180</v>
      </c>
      <c r="J99" s="213" t="s">
        <v>78</v>
      </c>
      <c r="K99" s="213"/>
      <c r="L99" s="10">
        <v>0</v>
      </c>
      <c r="M99" s="213" t="s">
        <v>23</v>
      </c>
      <c r="N99" s="213"/>
      <c r="O99" s="213"/>
      <c r="P99" s="10">
        <f>+Q11</f>
        <v>10446.465614000001</v>
      </c>
    </row>
    <row r="100" spans="7:16" ht="25.5" customHeight="1">
      <c r="G100" s="216" t="s">
        <v>79</v>
      </c>
      <c r="H100" s="217"/>
      <c r="I100" s="21">
        <f>+C26</f>
        <v>0</v>
      </c>
      <c r="J100" s="213" t="s">
        <v>11</v>
      </c>
      <c r="K100" s="213"/>
      <c r="L100" s="10">
        <f>Flujos!G21</f>
        <v>3316</v>
      </c>
      <c r="M100" s="213" t="s">
        <v>80</v>
      </c>
      <c r="N100" s="213"/>
      <c r="O100" s="213"/>
      <c r="P100" s="10">
        <f>+I30</f>
        <v>37746.534385999999</v>
      </c>
    </row>
    <row r="101" spans="7:16" ht="25.5" customHeight="1">
      <c r="G101" s="216" t="s">
        <v>57</v>
      </c>
      <c r="H101" s="217"/>
      <c r="I101" s="21">
        <f>+C35</f>
        <v>0</v>
      </c>
      <c r="J101" s="213" t="s">
        <v>81</v>
      </c>
      <c r="K101" s="213"/>
      <c r="L101" s="10">
        <f>Flujos!G31</f>
        <v>0</v>
      </c>
      <c r="M101" s="213" t="s">
        <v>82</v>
      </c>
      <c r="N101" s="213"/>
      <c r="O101" s="213"/>
      <c r="P101" s="10">
        <f>+M58</f>
        <v>0</v>
      </c>
    </row>
    <row r="102" spans="7:16" ht="25.5" customHeight="1">
      <c r="G102" s="216" t="s">
        <v>60</v>
      </c>
      <c r="H102" s="217"/>
      <c r="I102" s="21">
        <f>+C44</f>
        <v>0</v>
      </c>
      <c r="J102" s="11" t="s">
        <v>83</v>
      </c>
      <c r="K102" s="11"/>
      <c r="L102" s="10">
        <f>Flujos!G44</f>
        <v>0</v>
      </c>
      <c r="M102" s="213" t="s">
        <v>84</v>
      </c>
      <c r="N102" s="213"/>
      <c r="O102" s="213"/>
      <c r="P102" s="10">
        <f>+O63</f>
        <v>104386</v>
      </c>
    </row>
    <row r="103" spans="7:16" ht="25.5" customHeight="1">
      <c r="G103" s="216" t="s">
        <v>85</v>
      </c>
      <c r="H103" s="217"/>
      <c r="I103" s="21">
        <f>+C54</f>
        <v>0</v>
      </c>
      <c r="J103" s="11" t="s">
        <v>86</v>
      </c>
      <c r="K103" s="11"/>
      <c r="L103" s="10">
        <f>Flujos!G47</f>
        <v>0</v>
      </c>
      <c r="M103" s="213" t="s">
        <v>87</v>
      </c>
      <c r="N103" s="213"/>
      <c r="O103" s="213"/>
      <c r="P103" s="10">
        <f>+O67</f>
        <v>0</v>
      </c>
    </row>
    <row r="104" spans="7:16" ht="25.5" customHeight="1">
      <c r="G104" s="216" t="s">
        <v>88</v>
      </c>
      <c r="H104" s="217"/>
      <c r="I104" s="21">
        <f>+C62</f>
        <v>77372</v>
      </c>
      <c r="J104" s="11" t="s">
        <v>89</v>
      </c>
      <c r="K104" s="11"/>
      <c r="L104" s="10">
        <f>Flujos!G50</f>
        <v>0</v>
      </c>
      <c r="M104" s="213" t="s">
        <v>44</v>
      </c>
      <c r="N104" s="213"/>
      <c r="O104" s="213"/>
      <c r="P104" s="10">
        <f>+O74</f>
        <v>0</v>
      </c>
    </row>
    <row r="105" spans="7:16" ht="25.5" customHeight="1">
      <c r="G105" s="216" t="s">
        <v>90</v>
      </c>
      <c r="H105" s="217"/>
      <c r="I105" s="21">
        <f>+H70</f>
        <v>0</v>
      </c>
      <c r="J105" s="11" t="s">
        <v>91</v>
      </c>
      <c r="K105" s="11"/>
      <c r="L105" s="10">
        <f>Flujos!G53</f>
        <v>0</v>
      </c>
      <c r="M105" s="213" t="s">
        <v>92</v>
      </c>
      <c r="N105" s="213"/>
      <c r="O105" s="213"/>
      <c r="P105" s="10">
        <f>+O84</f>
        <v>0</v>
      </c>
    </row>
    <row r="106" spans="7:16" ht="25.5" customHeight="1">
      <c r="G106" s="216" t="s">
        <v>93</v>
      </c>
      <c r="H106" s="217"/>
      <c r="I106" s="21">
        <f>+H75</f>
        <v>0</v>
      </c>
      <c r="J106" s="213" t="s">
        <v>13</v>
      </c>
      <c r="K106" s="213"/>
      <c r="L106" s="10">
        <f>Flujos!G42</f>
        <v>0</v>
      </c>
      <c r="M106" s="213" t="s">
        <v>160</v>
      </c>
      <c r="N106" s="213"/>
      <c r="O106" s="213"/>
      <c r="P106" s="10">
        <f>Q79</f>
        <v>127</v>
      </c>
    </row>
    <row r="107" spans="7:16" ht="25.5" customHeight="1">
      <c r="G107" s="19" t="s">
        <v>94</v>
      </c>
      <c r="H107" s="20"/>
      <c r="I107" s="21">
        <f>+L74</f>
        <v>18351</v>
      </c>
      <c r="J107" s="11" t="s">
        <v>95</v>
      </c>
      <c r="K107" s="11"/>
      <c r="L107" s="10">
        <f>Flujos!G26</f>
        <v>25089</v>
      </c>
      <c r="M107" s="210"/>
      <c r="N107" s="211"/>
      <c r="O107" s="212"/>
      <c r="P107" s="10"/>
    </row>
    <row r="108" spans="7:16" ht="25.5" customHeight="1">
      <c r="G108" s="19" t="s">
        <v>96</v>
      </c>
      <c r="H108" s="20"/>
      <c r="I108" s="21">
        <f>+L78</f>
        <v>5360</v>
      </c>
      <c r="J108" s="213" t="s">
        <v>12</v>
      </c>
      <c r="K108" s="213"/>
      <c r="L108" s="10">
        <f>Flujos!G34</f>
        <v>27987</v>
      </c>
      <c r="M108" s="210"/>
      <c r="N108" s="211"/>
      <c r="O108" s="212"/>
      <c r="P108" s="10"/>
    </row>
    <row r="109" spans="7:16" ht="25.5" customHeight="1">
      <c r="G109" s="19" t="s">
        <v>97</v>
      </c>
      <c r="H109" s="20"/>
      <c r="I109" s="21">
        <f>+K86</f>
        <v>0</v>
      </c>
      <c r="J109" s="213" t="s">
        <v>10</v>
      </c>
      <c r="K109" s="213"/>
      <c r="L109" s="10">
        <f>Flujos!G39</f>
        <v>6394</v>
      </c>
      <c r="M109" s="210"/>
      <c r="N109" s="211"/>
      <c r="O109" s="212"/>
      <c r="P109" s="10"/>
    </row>
    <row r="110" spans="7:16" ht="25.5" customHeight="1">
      <c r="G110" s="216" t="s">
        <v>98</v>
      </c>
      <c r="H110" s="217"/>
      <c r="I110" s="21">
        <f>+L90</f>
        <v>6394</v>
      </c>
      <c r="J110" s="213"/>
      <c r="K110" s="213"/>
      <c r="L110" s="10"/>
      <c r="M110" s="213"/>
      <c r="N110" s="213"/>
      <c r="O110" s="213"/>
      <c r="P110" s="10"/>
    </row>
    <row r="111" spans="7:16" ht="26" customHeight="1">
      <c r="G111" s="216" t="s">
        <v>176</v>
      </c>
      <c r="H111" s="217"/>
      <c r="I111" s="21">
        <f>K82</f>
        <v>4403</v>
      </c>
      <c r="J111" s="213"/>
      <c r="K111" s="213"/>
      <c r="L111" s="10"/>
      <c r="M111" s="213"/>
      <c r="N111" s="213"/>
      <c r="O111" s="213"/>
      <c r="P111" s="10"/>
    </row>
    <row r="112" spans="7:16">
      <c r="G112" s="216" t="s">
        <v>177</v>
      </c>
      <c r="H112" s="217"/>
      <c r="I112" s="21">
        <f>Flujos!G59</f>
        <v>0</v>
      </c>
      <c r="J112" s="213"/>
      <c r="K112" s="213"/>
      <c r="L112" s="10"/>
      <c r="M112" s="213"/>
      <c r="N112" s="213"/>
      <c r="O112" s="213"/>
      <c r="P112" s="10"/>
    </row>
    <row r="113" spans="7:16">
      <c r="G113" s="216" t="s">
        <v>178</v>
      </c>
      <c r="H113" s="217"/>
      <c r="I113" s="21">
        <f>Flujos!G60</f>
        <v>0</v>
      </c>
      <c r="J113" s="213"/>
      <c r="K113" s="213"/>
      <c r="L113" s="10"/>
      <c r="M113" s="213"/>
      <c r="N113" s="213"/>
      <c r="O113" s="213"/>
      <c r="P113" s="10"/>
    </row>
    <row r="114" spans="7:16">
      <c r="G114" s="216" t="s">
        <v>179</v>
      </c>
      <c r="H114" s="217"/>
      <c r="I114" s="21">
        <f>Flujos!G61</f>
        <v>0</v>
      </c>
      <c r="J114" s="213"/>
      <c r="K114" s="213"/>
      <c r="L114" s="10"/>
      <c r="M114" s="213"/>
      <c r="N114" s="213"/>
      <c r="O114" s="213"/>
      <c r="P114" s="10"/>
    </row>
    <row r="115" spans="7:16">
      <c r="G115" s="216" t="s">
        <v>179</v>
      </c>
      <c r="H115" s="217"/>
      <c r="I115" s="21">
        <f>Flujos!G62</f>
        <v>0</v>
      </c>
      <c r="J115" s="213"/>
      <c r="K115" s="213"/>
      <c r="L115" s="10"/>
      <c r="M115" s="213"/>
      <c r="N115" s="213"/>
      <c r="O115" s="213"/>
      <c r="P115" s="10"/>
    </row>
    <row r="116" spans="7:16">
      <c r="G116" s="216" t="s">
        <v>177</v>
      </c>
      <c r="H116" s="217"/>
      <c r="I116" s="21">
        <f>Flujos!G63</f>
        <v>0</v>
      </c>
      <c r="J116" s="213"/>
      <c r="K116" s="213"/>
      <c r="L116" s="10"/>
      <c r="M116" s="213"/>
      <c r="N116" s="213"/>
      <c r="O116" s="213"/>
      <c r="P116" s="10"/>
    </row>
    <row r="117" spans="7:16">
      <c r="G117" s="216" t="s">
        <v>180</v>
      </c>
      <c r="H117" s="217"/>
      <c r="I117" s="21">
        <f>Flujos!G64</f>
        <v>0</v>
      </c>
      <c r="J117" s="213"/>
      <c r="K117" s="213"/>
      <c r="L117" s="10"/>
      <c r="M117" s="213"/>
      <c r="N117" s="213"/>
      <c r="O117" s="213"/>
      <c r="P117" s="10"/>
    </row>
    <row r="118" spans="7:16" ht="27.75" customHeight="1">
      <c r="G118" s="214" t="s">
        <v>99</v>
      </c>
      <c r="H118" s="215"/>
      <c r="I118" s="12">
        <f>+SUM(I97:I117)</f>
        <v>243567</v>
      </c>
      <c r="J118" s="225" t="s">
        <v>100</v>
      </c>
      <c r="K118" s="225"/>
      <c r="L118" s="13">
        <f>+SUM(L97:L110)</f>
        <v>21782</v>
      </c>
      <c r="M118" s="225" t="s">
        <v>101</v>
      </c>
      <c r="N118" s="225"/>
      <c r="O118" s="225"/>
      <c r="P118" s="12">
        <f>+SUM(P97:P110)</f>
        <v>221785</v>
      </c>
    </row>
    <row r="119" spans="7:16" ht="27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/>
    <row r="122" spans="7:16" ht="27.75" customHeight="1"/>
    <row r="123" spans="7:16" ht="27.75" customHeight="1"/>
    <row r="124" spans="7:16" ht="27.75" customHeight="1">
      <c r="G124" s="9" t="s">
        <v>103</v>
      </c>
    </row>
    <row r="125" spans="7:16" ht="27.75" customHeight="1">
      <c r="G125" s="220" t="s">
        <v>71</v>
      </c>
      <c r="H125" s="220"/>
      <c r="I125" s="221"/>
      <c r="J125" s="222" t="s">
        <v>72</v>
      </c>
      <c r="K125" s="222"/>
      <c r="L125" s="222"/>
      <c r="M125" s="223" t="s">
        <v>73</v>
      </c>
      <c r="N125" s="223"/>
      <c r="O125" s="223"/>
      <c r="P125" s="223"/>
    </row>
    <row r="126" spans="7:16" ht="27.75" customHeight="1">
      <c r="G126" s="218" t="s">
        <v>74</v>
      </c>
      <c r="H126" s="219"/>
      <c r="I126" s="21">
        <f>+E8</f>
        <v>33752.992219609914</v>
      </c>
      <c r="J126" s="224" t="s">
        <v>7</v>
      </c>
      <c r="K126" s="213"/>
      <c r="L126" s="10">
        <f>Flujos!G9*Flujos!H9</f>
        <v>-19153.812600000001</v>
      </c>
      <c r="M126" s="213" t="s">
        <v>75</v>
      </c>
      <c r="N126" s="213"/>
      <c r="O126" s="213"/>
      <c r="P126" s="10">
        <f>+G17</f>
        <v>3996.1132632666299</v>
      </c>
    </row>
    <row r="127" spans="7:16" ht="27.75" customHeight="1">
      <c r="G127" s="197" t="s">
        <v>76</v>
      </c>
      <c r="H127" s="298"/>
      <c r="I127" s="21">
        <f>+C14</f>
        <v>0</v>
      </c>
      <c r="J127" s="11" t="s">
        <v>8</v>
      </c>
      <c r="K127" s="11"/>
      <c r="L127" s="10">
        <f>Flujos!G17*Flujos!H17</f>
        <v>465.64825059536003</v>
      </c>
      <c r="M127" s="11" t="s">
        <v>22</v>
      </c>
      <c r="N127" s="11"/>
      <c r="O127" s="11"/>
      <c r="P127" s="10">
        <f>+Q9</f>
        <v>16113.323519999998</v>
      </c>
    </row>
    <row r="128" spans="7:16" ht="27.75" customHeight="1">
      <c r="G128" s="197" t="s">
        <v>77</v>
      </c>
      <c r="H128" s="198"/>
      <c r="I128" s="21">
        <f>+H15</f>
        <v>20830.031999999999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1930.5068454672</v>
      </c>
    </row>
    <row r="129" spans="7:16" ht="27.75" customHeight="1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3124.4397465495604</v>
      </c>
      <c r="M129" s="11" t="s">
        <v>80</v>
      </c>
      <c r="N129" s="11"/>
      <c r="O129" s="11"/>
      <c r="P129" s="10">
        <f>+I32</f>
        <v>3242.0498384135403</v>
      </c>
    </row>
    <row r="130" spans="7:16" ht="27.75" customHeight="1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0</v>
      </c>
    </row>
    <row r="131" spans="7:16" ht="27.75" customHeight="1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69103.532000000007</v>
      </c>
    </row>
    <row r="132" spans="7:16" ht="23" customHeight="1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>
      <c r="G133" s="19" t="s">
        <v>88</v>
      </c>
      <c r="H133" s="20"/>
      <c r="I133" s="21">
        <f>C64</f>
        <v>41780.880000000005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84.569300000000013</v>
      </c>
    </row>
    <row r="136" spans="7:16">
      <c r="G136" s="19" t="s">
        <v>94</v>
      </c>
      <c r="H136" s="20"/>
      <c r="I136" s="21">
        <f>+L76</f>
        <v>11408.816700000001</v>
      </c>
      <c r="J136" s="11" t="s">
        <v>95</v>
      </c>
      <c r="K136" s="11"/>
      <c r="L136" s="10">
        <f>Flujos!G26*Flujos!H26</f>
        <v>17542.103354999999</v>
      </c>
      <c r="M136" s="199"/>
      <c r="N136" s="200"/>
      <c r="O136" s="201"/>
      <c r="P136" s="10"/>
    </row>
    <row r="137" spans="7:16">
      <c r="G137" s="19" t="s">
        <v>96</v>
      </c>
      <c r="H137" s="20"/>
      <c r="I137" s="21">
        <f>+L80</f>
        <v>3240.6559999999999</v>
      </c>
      <c r="J137" s="11" t="s">
        <v>12</v>
      </c>
      <c r="K137" s="11"/>
      <c r="L137" s="10">
        <f>Flujos!G34*Flujos!H34</f>
        <v>17300.927600009971</v>
      </c>
      <c r="M137" s="199"/>
      <c r="N137" s="200"/>
      <c r="O137" s="201"/>
      <c r="P137" s="10"/>
    </row>
    <row r="138" spans="7:16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3773.0993999999996</v>
      </c>
      <c r="M138" s="199"/>
      <c r="N138" s="200"/>
      <c r="O138" s="201"/>
      <c r="P138" s="10"/>
    </row>
    <row r="139" spans="7:16">
      <c r="G139" s="19" t="s">
        <v>98</v>
      </c>
      <c r="H139" s="20"/>
      <c r="I139" s="21">
        <f>+L92</f>
        <v>3773.0993999999996</v>
      </c>
      <c r="J139" s="11"/>
      <c r="K139" s="11"/>
      <c r="L139" s="10"/>
      <c r="M139" s="11"/>
      <c r="N139" s="11"/>
      <c r="O139" s="11"/>
      <c r="P139" s="10"/>
    </row>
    <row r="140" spans="7:16">
      <c r="G140" s="19" t="s">
        <v>161</v>
      </c>
      <c r="H140" s="20"/>
      <c r="I140" s="21">
        <f>K84</f>
        <v>2736.0241999999998</v>
      </c>
      <c r="J140" s="11"/>
      <c r="K140" s="11"/>
      <c r="L140" s="10"/>
      <c r="M140" s="11"/>
      <c r="N140" s="11"/>
      <c r="O140" s="11"/>
      <c r="P140" s="10"/>
    </row>
    <row r="141" spans="7:16">
      <c r="G141" s="216" t="s">
        <v>177</v>
      </c>
      <c r="H141" s="217"/>
      <c r="I141" s="21">
        <f>Flujos!G59*Flujos!H59</f>
        <v>0</v>
      </c>
      <c r="J141" s="213"/>
      <c r="K141" s="213"/>
      <c r="L141" s="10"/>
      <c r="M141" s="213"/>
      <c r="N141" s="213"/>
      <c r="O141" s="213"/>
      <c r="P141" s="10"/>
    </row>
    <row r="142" spans="7:16">
      <c r="G142" s="216" t="s">
        <v>178</v>
      </c>
      <c r="H142" s="217"/>
      <c r="I142" s="21">
        <f>Flujos!G60*Flujos!H60</f>
        <v>0</v>
      </c>
      <c r="J142" s="213"/>
      <c r="K142" s="213"/>
      <c r="L142" s="10"/>
      <c r="M142" s="213"/>
      <c r="N142" s="213"/>
      <c r="O142" s="213"/>
      <c r="P142" s="10"/>
    </row>
    <row r="143" spans="7:16">
      <c r="G143" s="216" t="s">
        <v>179</v>
      </c>
      <c r="H143" s="217"/>
      <c r="I143" s="21">
        <f>Flujos!G61*Flujos!H61</f>
        <v>0</v>
      </c>
      <c r="J143" s="213"/>
      <c r="K143" s="213"/>
      <c r="L143" s="10"/>
      <c r="M143" s="213"/>
      <c r="N143" s="213"/>
      <c r="O143" s="213"/>
      <c r="P143" s="10"/>
    </row>
    <row r="144" spans="7:16">
      <c r="G144" s="216" t="s">
        <v>179</v>
      </c>
      <c r="H144" s="217"/>
      <c r="I144" s="21">
        <f>Flujos!G62*Flujos!H62</f>
        <v>0</v>
      </c>
      <c r="J144" s="213"/>
      <c r="K144" s="213"/>
      <c r="L144" s="10"/>
      <c r="M144" s="213"/>
      <c r="N144" s="213"/>
      <c r="O144" s="213"/>
      <c r="P144" s="10"/>
    </row>
    <row r="145" spans="7:16">
      <c r="G145" s="216" t="s">
        <v>177</v>
      </c>
      <c r="H145" s="217"/>
      <c r="I145" s="21">
        <f>Flujos!G63*Flujos!H63</f>
        <v>0</v>
      </c>
      <c r="J145" s="213"/>
      <c r="K145" s="213"/>
      <c r="L145" s="10"/>
      <c r="M145" s="213"/>
      <c r="N145" s="213"/>
      <c r="O145" s="213"/>
      <c r="P145" s="10"/>
    </row>
    <row r="146" spans="7:16">
      <c r="G146" s="216" t="s">
        <v>180</v>
      </c>
      <c r="H146" s="217"/>
      <c r="I146" s="21">
        <f>Flujos!G64*Flujos!H64</f>
        <v>0</v>
      </c>
      <c r="J146" s="213"/>
      <c r="K146" s="213"/>
      <c r="L146" s="10"/>
      <c r="M146" s="213"/>
      <c r="N146" s="213"/>
      <c r="O146" s="213"/>
      <c r="P146" s="10"/>
    </row>
    <row r="147" spans="7:16" ht="19">
      <c r="G147" s="214" t="s">
        <v>99</v>
      </c>
      <c r="H147" s="215"/>
      <c r="I147" s="12">
        <f>+SUM(I126:I146)</f>
        <v>117522.50051960992</v>
      </c>
      <c r="J147" s="225" t="s">
        <v>100</v>
      </c>
      <c r="K147" s="225"/>
      <c r="L147" s="13">
        <f>+SUM(L126:L139)</f>
        <v>23052.405752154889</v>
      </c>
      <c r="M147" s="225" t="s">
        <v>101</v>
      </c>
      <c r="N147" s="225"/>
      <c r="O147" s="225"/>
      <c r="P147" s="12">
        <f>+SUM(P126:P139)</f>
        <v>94470.094767147384</v>
      </c>
    </row>
    <row r="148" spans="7:16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9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3.0765659175813198E-7</v>
      </c>
    </row>
  </sheetData>
  <mergeCells count="88">
    <mergeCell ref="G147:H147"/>
    <mergeCell ref="J147:K147"/>
    <mergeCell ref="M147:O147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  <mergeCell ref="G141:H141"/>
    <mergeCell ref="J141:K141"/>
    <mergeCell ref="M141:O141"/>
    <mergeCell ref="G142:H142"/>
    <mergeCell ref="J142:K142"/>
    <mergeCell ref="M142:O142"/>
    <mergeCell ref="J115:K115"/>
    <mergeCell ref="M115:O115"/>
    <mergeCell ref="J116:K116"/>
    <mergeCell ref="M116:O116"/>
    <mergeCell ref="J117:K117"/>
    <mergeCell ref="M117:O117"/>
    <mergeCell ref="J112:K112"/>
    <mergeCell ref="M112:O112"/>
    <mergeCell ref="J113:K113"/>
    <mergeCell ref="M113:O113"/>
    <mergeCell ref="J114:K114"/>
    <mergeCell ref="M114:O114"/>
    <mergeCell ref="G113:H113"/>
    <mergeCell ref="G114:H114"/>
    <mergeCell ref="G115:H115"/>
    <mergeCell ref="G116:H116"/>
    <mergeCell ref="G117:H11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96:I96"/>
    <mergeCell ref="J96:L96"/>
    <mergeCell ref="M96:P96"/>
    <mergeCell ref="G97:H97"/>
    <mergeCell ref="J97:K97"/>
    <mergeCell ref="G98:H98"/>
    <mergeCell ref="J98:K98"/>
    <mergeCell ref="G99:H99"/>
    <mergeCell ref="J99:K99"/>
    <mergeCell ref="G100:H100"/>
    <mergeCell ref="J100:K100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25:I125"/>
    <mergeCell ref="J125:L125"/>
    <mergeCell ref="M125:P125"/>
    <mergeCell ref="G126:H126"/>
    <mergeCell ref="J126:K126"/>
    <mergeCell ref="M126:O12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dimension ref="B1:U41"/>
  <sheetViews>
    <sheetView zoomScale="68" zoomScaleNormal="68" workbookViewId="0">
      <selection activeCell="T27" sqref="T27"/>
    </sheetView>
  </sheetViews>
  <sheetFormatPr baseColWidth="10" defaultColWidth="6.5" defaultRowHeight="15" customHeight="1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thickBot="1">
      <c r="B1" s="44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6"/>
      <c r="Q1" s="46"/>
      <c r="R1" s="47"/>
    </row>
    <row r="2" spans="2:20" ht="14">
      <c r="B2" s="49"/>
      <c r="C2" s="50"/>
      <c r="D2" s="277"/>
      <c r="E2" s="278"/>
      <c r="F2" s="283" t="s">
        <v>107</v>
      </c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4"/>
      <c r="R2" s="51"/>
    </row>
    <row r="3" spans="2:20" ht="14">
      <c r="B3" s="49"/>
      <c r="C3" s="50"/>
      <c r="D3" s="279"/>
      <c r="E3" s="280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6"/>
      <c r="R3" s="51"/>
    </row>
    <row r="4" spans="2:20" ht="16">
      <c r="B4" s="49"/>
      <c r="C4" s="50"/>
      <c r="D4" s="279"/>
      <c r="E4" s="280"/>
      <c r="F4" s="285" t="s">
        <v>108</v>
      </c>
      <c r="G4" s="285"/>
      <c r="H4" s="285"/>
      <c r="I4" s="285"/>
      <c r="J4" s="285"/>
      <c r="K4" s="285"/>
      <c r="L4" s="285"/>
      <c r="M4" s="285" t="s">
        <v>109</v>
      </c>
      <c r="N4" s="285"/>
      <c r="O4" s="129"/>
      <c r="P4" s="288">
        <v>45230</v>
      </c>
      <c r="Q4" s="289"/>
      <c r="R4" s="51"/>
    </row>
    <row r="5" spans="2:20" ht="17" thickBot="1">
      <c r="B5" s="49"/>
      <c r="C5" s="50"/>
      <c r="D5" s="281"/>
      <c r="E5" s="282"/>
      <c r="F5" s="287"/>
      <c r="G5" s="287"/>
      <c r="H5" s="287"/>
      <c r="I5" s="287"/>
      <c r="J5" s="287"/>
      <c r="K5" s="287"/>
      <c r="L5" s="287"/>
      <c r="M5" s="287"/>
      <c r="N5" s="287"/>
      <c r="O5" s="130"/>
      <c r="P5" s="290"/>
      <c r="Q5" s="291"/>
      <c r="R5" s="51"/>
    </row>
    <row r="6" spans="2:20" thickBot="1">
      <c r="B6" s="49"/>
      <c r="C6" s="50"/>
      <c r="D6" s="52"/>
      <c r="E6" s="52"/>
      <c r="F6" s="52"/>
      <c r="G6" s="52"/>
      <c r="H6" s="52"/>
      <c r="I6" s="52"/>
      <c r="J6" s="52"/>
      <c r="K6" s="52"/>
      <c r="L6" s="52"/>
      <c r="M6" s="53"/>
      <c r="N6" s="50"/>
      <c r="O6" s="50"/>
      <c r="R6" s="51"/>
    </row>
    <row r="7" spans="2:20" ht="15" customHeight="1">
      <c r="B7" s="54"/>
      <c r="C7" s="55"/>
      <c r="D7" s="269"/>
      <c r="E7" s="270"/>
      <c r="F7" s="270"/>
      <c r="G7" s="292" t="s">
        <v>110</v>
      </c>
      <c r="H7" s="293"/>
      <c r="I7" s="56" t="s">
        <v>111</v>
      </c>
      <c r="J7" s="57" t="s">
        <v>112</v>
      </c>
      <c r="K7" s="273"/>
      <c r="L7" s="274"/>
      <c r="M7" s="274"/>
      <c r="N7" s="292" t="s">
        <v>110</v>
      </c>
      <c r="O7" s="293"/>
      <c r="P7" s="56" t="s">
        <v>111</v>
      </c>
      <c r="Q7" s="57" t="s">
        <v>112</v>
      </c>
      <c r="R7" s="51"/>
    </row>
    <row r="8" spans="2:20" thickBot="1">
      <c r="B8" s="54"/>
      <c r="C8" s="55"/>
      <c r="D8" s="271"/>
      <c r="E8" s="272"/>
      <c r="F8" s="272"/>
      <c r="G8" s="58" t="s">
        <v>1</v>
      </c>
      <c r="H8" s="58" t="s">
        <v>104</v>
      </c>
      <c r="I8" s="58" t="s">
        <v>113</v>
      </c>
      <c r="J8" s="59" t="s">
        <v>34</v>
      </c>
      <c r="K8" s="275"/>
      <c r="L8" s="276"/>
      <c r="M8" s="276"/>
      <c r="N8" s="58" t="s">
        <v>1</v>
      </c>
      <c r="O8" s="58" t="s">
        <v>104</v>
      </c>
      <c r="P8" s="58" t="s">
        <v>113</v>
      </c>
      <c r="Q8" s="59" t="s">
        <v>34</v>
      </c>
      <c r="R8" s="51"/>
    </row>
    <row r="9" spans="2:20" ht="14">
      <c r="B9" s="54"/>
      <c r="C9" s="55"/>
      <c r="D9" s="247" t="s">
        <v>71</v>
      </c>
      <c r="E9" s="248"/>
      <c r="F9" s="248"/>
      <c r="G9" s="248"/>
      <c r="H9" s="248"/>
      <c r="I9" s="248"/>
      <c r="J9" s="294"/>
      <c r="K9" s="244" t="s">
        <v>153</v>
      </c>
      <c r="L9" s="245"/>
      <c r="M9" s="245"/>
      <c r="N9" s="245"/>
      <c r="O9" s="245"/>
      <c r="P9" s="245"/>
      <c r="Q9" s="246"/>
      <c r="R9" s="51"/>
    </row>
    <row r="10" spans="2:20" thickBot="1">
      <c r="B10" s="54"/>
      <c r="C10" s="55" t="s">
        <v>114</v>
      </c>
      <c r="D10" s="230" t="s">
        <v>135</v>
      </c>
      <c r="E10" s="231"/>
      <c r="F10" s="252"/>
      <c r="G10" s="62">
        <f>Flujos!G4</f>
        <v>88507</v>
      </c>
      <c r="H10" s="62">
        <f>G10/(1-'Datos Extra'!B18)</f>
        <v>89401.010101010106</v>
      </c>
      <c r="I10" s="63">
        <f>Flujos!H4</f>
        <v>0.38135957855999997</v>
      </c>
      <c r="J10" s="91">
        <f>+I10*G10</f>
        <v>33752.992219609914</v>
      </c>
      <c r="K10" s="233" t="s">
        <v>116</v>
      </c>
      <c r="L10" s="234"/>
      <c r="M10" s="253"/>
      <c r="N10" s="117">
        <f>Flujos!G20</f>
        <v>132791</v>
      </c>
      <c r="O10" s="117">
        <f>N10/(1-'Datos Extra'!B28)</f>
        <v>144652.50544662308</v>
      </c>
      <c r="P10" s="175">
        <f>Flujos!H20</f>
        <v>0.67602529614999995</v>
      </c>
      <c r="Q10" s="117">
        <f>+P10*N10</f>
        <v>89770.075101054637</v>
      </c>
      <c r="R10" s="51"/>
      <c r="T10" s="87"/>
    </row>
    <row r="11" spans="2:20" ht="14">
      <c r="B11" s="54"/>
      <c r="C11" s="55"/>
      <c r="D11" s="233" t="s">
        <v>115</v>
      </c>
      <c r="E11" s="234"/>
      <c r="F11" s="253"/>
      <c r="G11" s="64">
        <f>Flujos!G5</f>
        <v>0</v>
      </c>
      <c r="H11" s="64">
        <f>G11/(1-'Datos Extra'!B19)</f>
        <v>0</v>
      </c>
      <c r="I11" s="64">
        <f>Flujos!H5</f>
        <v>0</v>
      </c>
      <c r="J11" s="64">
        <f>+I11*G11</f>
        <v>0</v>
      </c>
      <c r="K11" s="257" t="s">
        <v>127</v>
      </c>
      <c r="L11" s="258"/>
      <c r="M11" s="258"/>
      <c r="N11" s="258"/>
      <c r="O11" s="258"/>
      <c r="P11" s="258"/>
      <c r="Q11" s="259"/>
      <c r="R11" s="51"/>
      <c r="T11" s="87"/>
    </row>
    <row r="12" spans="2:20" ht="14">
      <c r="B12" s="54"/>
      <c r="C12" s="55"/>
      <c r="D12" s="230" t="s">
        <v>117</v>
      </c>
      <c r="E12" s="231"/>
      <c r="F12" s="252"/>
      <c r="G12" s="60">
        <f>Flujos!G8</f>
        <v>43180</v>
      </c>
      <c r="H12" s="60">
        <f>G12/(1-'Datos Extra'!B20)</f>
        <v>43419.984212360665</v>
      </c>
      <c r="I12" s="65">
        <f>Flujos!H8</f>
        <v>0.4824</v>
      </c>
      <c r="J12" s="60">
        <f>+I12*G12</f>
        <v>20830.031999999999</v>
      </c>
      <c r="K12" s="260" t="s">
        <v>128</v>
      </c>
      <c r="L12" s="261"/>
      <c r="M12" s="262"/>
      <c r="N12" s="60">
        <f>Flujos!G6</f>
        <v>22063</v>
      </c>
      <c r="O12" s="62">
        <f>N12*1/(1-'Datos Extra'!B35)</f>
        <v>22285.858585858587</v>
      </c>
      <c r="P12" s="65">
        <f>Flujos!H6</f>
        <v>0.18112284201000001</v>
      </c>
      <c r="Q12" s="60">
        <f>+P12*N12</f>
        <v>3996.1132632666299</v>
      </c>
      <c r="R12" s="51"/>
    </row>
    <row r="13" spans="2:20" ht="14">
      <c r="B13" s="54"/>
      <c r="C13" s="55"/>
      <c r="D13" s="233" t="s">
        <v>118</v>
      </c>
      <c r="E13" s="234"/>
      <c r="F13" s="253"/>
      <c r="G13" s="64">
        <f>Flujos!G55</f>
        <v>77372</v>
      </c>
      <c r="H13" s="64">
        <f>G13/(1-'Datos Extra'!B21)</f>
        <v>78974.121681852514</v>
      </c>
      <c r="I13" s="66">
        <f>Flujos!H55</f>
        <v>0.54</v>
      </c>
      <c r="J13" s="64">
        <f>+I13*G13</f>
        <v>41780.880000000005</v>
      </c>
      <c r="K13" s="263" t="s">
        <v>130</v>
      </c>
      <c r="L13" s="264"/>
      <c r="M13" s="265"/>
      <c r="N13" s="73">
        <f>Flujos!G12</f>
        <v>47016</v>
      </c>
      <c r="O13" s="73">
        <f>N13/(1-'Datos Extra'!B36)</f>
        <v>52120.839742043754</v>
      </c>
      <c r="P13" s="196">
        <f>Flujos!H12</f>
        <v>0.34271999999999997</v>
      </c>
      <c r="Q13" s="64">
        <f>+P13*N13</f>
        <v>16113.323519999998</v>
      </c>
      <c r="R13" s="51"/>
    </row>
    <row r="14" spans="2:20" ht="14">
      <c r="B14" s="54"/>
      <c r="C14" s="55"/>
      <c r="D14" s="230" t="s">
        <v>120</v>
      </c>
      <c r="E14" s="231"/>
      <c r="F14" s="252"/>
      <c r="G14" s="60">
        <f>Flujos!G31</f>
        <v>0</v>
      </c>
      <c r="H14" s="60">
        <f>G14*'Datos Extra'!B22+Report!G14</f>
        <v>0</v>
      </c>
      <c r="I14" s="65">
        <f>Flujos!H31</f>
        <v>0</v>
      </c>
      <c r="J14" s="60">
        <f>+I14*G14</f>
        <v>0</v>
      </c>
      <c r="K14" s="260" t="s">
        <v>131</v>
      </c>
      <c r="L14" s="261"/>
      <c r="M14" s="262"/>
      <c r="N14" s="74">
        <f>Flujos!G13</f>
        <v>10446.465614000001</v>
      </c>
      <c r="O14" s="62"/>
      <c r="P14" s="75">
        <f>Flujos!H13</f>
        <v>0.18479999999999999</v>
      </c>
      <c r="Q14" s="60">
        <f>+P14*N14</f>
        <v>1930.5068454672</v>
      </c>
      <c r="R14" s="51"/>
    </row>
    <row r="15" spans="2:20" thickBot="1">
      <c r="B15" s="54"/>
      <c r="C15" s="55"/>
      <c r="D15" s="99"/>
      <c r="E15" s="100"/>
      <c r="F15" s="101"/>
      <c r="G15" s="60"/>
      <c r="H15" s="60"/>
      <c r="I15" s="65"/>
      <c r="J15" s="60"/>
      <c r="K15" s="102" t="s">
        <v>133</v>
      </c>
      <c r="L15" s="103"/>
      <c r="M15" s="104"/>
      <c r="N15" s="76">
        <f>Flujos!G19</f>
        <v>37746.534385999999</v>
      </c>
      <c r="O15" s="76"/>
      <c r="P15" s="174">
        <f>Flujos!H19</f>
        <v>8.5890000000000008E-2</v>
      </c>
      <c r="Q15" s="64">
        <f>+P15*N15</f>
        <v>3242.0498384135403</v>
      </c>
      <c r="R15" s="51"/>
    </row>
    <row r="16" spans="2:20" thickBot="1">
      <c r="B16" s="54"/>
      <c r="C16" s="55"/>
      <c r="D16" s="230"/>
      <c r="E16" s="231"/>
      <c r="F16" s="252"/>
      <c r="G16" s="60"/>
      <c r="H16" s="60"/>
      <c r="I16" s="61"/>
      <c r="J16" s="60"/>
      <c r="K16" s="250" t="s">
        <v>125</v>
      </c>
      <c r="L16" s="251"/>
      <c r="M16" s="251"/>
      <c r="N16" s="67">
        <f>+SUM(N12:N15)</f>
        <v>117272</v>
      </c>
      <c r="O16" s="67">
        <f>+SUM(O12:O15)</f>
        <v>74406.698327902341</v>
      </c>
      <c r="P16" s="67"/>
      <c r="Q16" s="68">
        <f>+SUM(Q12:Q15)</f>
        <v>25281.993467147367</v>
      </c>
      <c r="R16" s="51"/>
    </row>
    <row r="17" spans="2:21" thickBot="1">
      <c r="B17" s="54"/>
      <c r="C17" s="55"/>
      <c r="D17" s="230"/>
      <c r="E17" s="231"/>
      <c r="F17" s="252"/>
      <c r="G17" s="60"/>
      <c r="H17" s="60"/>
      <c r="I17" s="61"/>
      <c r="J17" s="60"/>
      <c r="K17" s="244" t="s">
        <v>154</v>
      </c>
      <c r="L17" s="245"/>
      <c r="M17" s="245"/>
      <c r="N17" s="245"/>
      <c r="O17" s="245"/>
      <c r="P17" s="245"/>
      <c r="Q17" s="246"/>
      <c r="R17" s="51"/>
    </row>
    <row r="18" spans="2:21" thickBot="1">
      <c r="B18" s="54"/>
      <c r="C18" s="55" t="s">
        <v>124</v>
      </c>
      <c r="D18" s="250" t="s">
        <v>125</v>
      </c>
      <c r="E18" s="251"/>
      <c r="F18" s="251"/>
      <c r="G18" s="67">
        <f>+SUM(G10:G17)</f>
        <v>209059</v>
      </c>
      <c r="H18" s="67">
        <f>+SUM(H10:H17)</f>
        <v>211795.11599522328</v>
      </c>
      <c r="I18" s="67"/>
      <c r="J18" s="67">
        <f>+SUM(J10:J17)</f>
        <v>96363.904219609918</v>
      </c>
      <c r="K18" s="295" t="s">
        <v>136</v>
      </c>
      <c r="L18" s="296"/>
      <c r="M18" s="297"/>
      <c r="N18" s="62">
        <f>Flujos!G25</f>
        <v>129475</v>
      </c>
      <c r="O18" s="62">
        <f>N18/(1-'Datos Extra'!B27)</f>
        <v>141683.57910981993</v>
      </c>
      <c r="P18" s="63">
        <f>Flujos!H25</f>
        <v>0.66920745592000008</v>
      </c>
      <c r="Q18" s="60">
        <f t="shared" ref="Q18:Q23" si="0">+P18*N18</f>
        <v>86645.635355242004</v>
      </c>
      <c r="R18" s="51"/>
      <c r="S18" s="187"/>
      <c r="T18" s="69"/>
    </row>
    <row r="19" spans="2:21" ht="14">
      <c r="B19" s="54"/>
      <c r="C19" s="55"/>
      <c r="D19" s="247" t="s">
        <v>126</v>
      </c>
      <c r="E19" s="248"/>
      <c r="F19" s="248"/>
      <c r="G19" s="248"/>
      <c r="H19" s="248"/>
      <c r="I19" s="248"/>
      <c r="J19" s="249"/>
      <c r="K19" s="233" t="s">
        <v>119</v>
      </c>
      <c r="L19" s="234"/>
      <c r="M19" s="253"/>
      <c r="N19" s="117">
        <f>Flujos!G35</f>
        <v>18351</v>
      </c>
      <c r="O19" s="117">
        <f>N19/(1-'Datos Extra'!B30)</f>
        <v>18481.665374195563</v>
      </c>
      <c r="P19" s="66">
        <f>Flujos!H35</f>
        <v>0.62170000000000003</v>
      </c>
      <c r="Q19" s="117">
        <f t="shared" si="0"/>
        <v>11408.816700000001</v>
      </c>
      <c r="R19" s="51"/>
      <c r="S19" s="70"/>
    </row>
    <row r="20" spans="2:21" ht="14">
      <c r="B20" s="54"/>
      <c r="C20" s="55"/>
      <c r="D20" s="230" t="s">
        <v>6</v>
      </c>
      <c r="E20" s="231"/>
      <c r="F20" s="252"/>
      <c r="G20" s="133">
        <f>'Mapa de Procesos'!P102</f>
        <v>104386</v>
      </c>
      <c r="H20" s="133">
        <f>G20/(1-'Datos Extra'!B23)</f>
        <v>112971.86147186147</v>
      </c>
      <c r="I20" s="132">
        <f>Flujos!H27</f>
        <v>0.66200000000000003</v>
      </c>
      <c r="J20" s="60">
        <f>+I20*G20</f>
        <v>69103.532000000007</v>
      </c>
      <c r="K20" s="230" t="s">
        <v>121</v>
      </c>
      <c r="L20" s="231"/>
      <c r="M20" s="252"/>
      <c r="N20" s="62">
        <f>Flujos!G36</f>
        <v>5360</v>
      </c>
      <c r="O20" s="62">
        <f>N20/(1-'Datos Extra'!B31)</f>
        <v>5397.7844914400803</v>
      </c>
      <c r="P20" s="65">
        <f>Flujos!H36</f>
        <v>0.60460000000000003</v>
      </c>
      <c r="Q20" s="60">
        <f t="shared" si="0"/>
        <v>3240.6559999999999</v>
      </c>
      <c r="R20" s="51"/>
      <c r="S20" s="186"/>
    </row>
    <row r="21" spans="2:21" ht="14">
      <c r="B21" s="54"/>
      <c r="C21" s="55"/>
      <c r="D21" s="233" t="s">
        <v>129</v>
      </c>
      <c r="E21" s="234"/>
      <c r="F21" s="253"/>
      <c r="G21" s="71">
        <f>Flujos!G33</f>
        <v>0</v>
      </c>
      <c r="H21" s="71">
        <f>G21/(1-'Datos Extra'!B24)</f>
        <v>0</v>
      </c>
      <c r="I21" s="72">
        <f>Flujos!H33</f>
        <v>0</v>
      </c>
      <c r="J21" s="64">
        <f>+I21*G21</f>
        <v>0</v>
      </c>
      <c r="K21" s="233" t="s">
        <v>138</v>
      </c>
      <c r="L21" s="234"/>
      <c r="M21" s="253"/>
      <c r="N21" s="117">
        <f>Flujos!G57</f>
        <v>4403</v>
      </c>
      <c r="O21" s="117">
        <f>N21/(1-'Datos Extra'!B32)</f>
        <v>4426.9052885582141</v>
      </c>
      <c r="P21" s="172">
        <f>Flujos!H57</f>
        <v>0.62139999999999995</v>
      </c>
      <c r="Q21" s="117">
        <f t="shared" si="0"/>
        <v>2736.0241999999998</v>
      </c>
      <c r="R21" s="51"/>
      <c r="S21" s="186"/>
    </row>
    <row r="22" spans="2:21" ht="14">
      <c r="B22" s="54"/>
      <c r="C22" s="55"/>
      <c r="D22" s="230" t="s">
        <v>5</v>
      </c>
      <c r="E22" s="231"/>
      <c r="F22" s="252"/>
      <c r="G22" s="60">
        <f>Flujos!G40</f>
        <v>0</v>
      </c>
      <c r="H22" s="60">
        <f>G22/(1-'Datos Extra'!B25)</f>
        <v>0</v>
      </c>
      <c r="I22" s="65">
        <f>Flujos!H40</f>
        <v>0</v>
      </c>
      <c r="J22" s="60">
        <f>+I22*G22</f>
        <v>0</v>
      </c>
      <c r="K22" s="230" t="s">
        <v>122</v>
      </c>
      <c r="L22" s="231"/>
      <c r="M22" s="252"/>
      <c r="N22" s="62">
        <f>Flujos!G37</f>
        <v>6394</v>
      </c>
      <c r="O22" s="62">
        <f>N22/(1-'Datos Extra'!B33)</f>
        <v>6426.130653266332</v>
      </c>
      <c r="P22" s="65">
        <f>Flujos!H37</f>
        <v>0.59009999999999996</v>
      </c>
      <c r="Q22" s="60">
        <f t="shared" si="0"/>
        <v>3773.0993999999996</v>
      </c>
      <c r="R22" s="51"/>
      <c r="S22" s="186"/>
    </row>
    <row r="23" spans="2:21" thickBot="1">
      <c r="B23" s="54"/>
      <c r="C23" s="55"/>
      <c r="D23" s="254" t="s">
        <v>132</v>
      </c>
      <c r="E23" s="255"/>
      <c r="F23" s="256"/>
      <c r="G23" s="71">
        <f>Flujos!G58</f>
        <v>127</v>
      </c>
      <c r="H23" s="71">
        <f>G23/(1-'Datos Extra'!B27)</f>
        <v>138.9752040698755</v>
      </c>
      <c r="I23" s="72">
        <f>Flujos!H58</f>
        <v>0.66590000000000005</v>
      </c>
      <c r="J23" s="64">
        <f>G23*I23</f>
        <v>84.569300000000013</v>
      </c>
      <c r="K23" s="233" t="s">
        <v>123</v>
      </c>
      <c r="L23" s="234"/>
      <c r="M23" s="253"/>
      <c r="N23" s="117">
        <f>Flujos!G38</f>
        <v>0</v>
      </c>
      <c r="O23" s="117">
        <f>N23/(1-'Datos Extra'!B34)</f>
        <v>0</v>
      </c>
      <c r="P23" s="66">
        <f>Flujos!H38</f>
        <v>0</v>
      </c>
      <c r="Q23" s="64">
        <f t="shared" si="0"/>
        <v>0</v>
      </c>
      <c r="R23" s="51"/>
      <c r="S23" s="70"/>
    </row>
    <row r="24" spans="2:21" thickBot="1">
      <c r="B24" s="54"/>
      <c r="C24" s="55"/>
      <c r="D24" s="250" t="s">
        <v>125</v>
      </c>
      <c r="E24" s="251"/>
      <c r="F24" s="251"/>
      <c r="G24" s="67">
        <f>+SUM(G20:G23)</f>
        <v>104513</v>
      </c>
      <c r="H24" s="67">
        <f>+SUM(H20:H23)</f>
        <v>113110.83667593135</v>
      </c>
      <c r="I24" s="85"/>
      <c r="J24" s="67">
        <f t="shared" ref="J24" si="1">+SUM(J20:J23)</f>
        <v>69188.101300000009</v>
      </c>
      <c r="K24" s="250" t="s">
        <v>125</v>
      </c>
      <c r="L24" s="251"/>
      <c r="M24" s="251"/>
      <c r="N24" s="67">
        <f>SUM(N18:N23)</f>
        <v>163983</v>
      </c>
      <c r="O24" s="67">
        <f>SUM(O18:O23)</f>
        <v>176416.06491728011</v>
      </c>
      <c r="P24" s="67"/>
      <c r="Q24" s="68">
        <f>SUM(Q18:Q23)</f>
        <v>107804.23165524201</v>
      </c>
      <c r="R24" s="51"/>
    </row>
    <row r="25" spans="2:21" thickBot="1">
      <c r="B25" s="54"/>
      <c r="C25" s="55"/>
      <c r="D25" s="237"/>
      <c r="E25" s="237"/>
      <c r="F25" s="237"/>
      <c r="G25" s="77"/>
      <c r="H25" s="77"/>
      <c r="I25" s="78"/>
      <c r="J25" s="79"/>
      <c r="R25" s="51"/>
      <c r="S25" s="186"/>
    </row>
    <row r="26" spans="2:21" ht="14.5" customHeight="1">
      <c r="B26" s="54"/>
      <c r="C26" s="55"/>
      <c r="D26" s="266" t="s">
        <v>134</v>
      </c>
      <c r="E26" s="267"/>
      <c r="F26" s="267"/>
      <c r="G26" s="267"/>
      <c r="H26" s="268"/>
      <c r="R26" s="80"/>
    </row>
    <row r="27" spans="2:21" thickBot="1">
      <c r="B27" s="54"/>
      <c r="C27" s="55"/>
      <c r="D27" s="238"/>
      <c r="E27" s="239"/>
      <c r="F27" s="240"/>
      <c r="G27" s="89" t="s">
        <v>104</v>
      </c>
      <c r="H27" s="90" t="s">
        <v>1</v>
      </c>
      <c r="I27" s="189" t="s">
        <v>157</v>
      </c>
      <c r="J27" s="189" t="s">
        <v>158</v>
      </c>
      <c r="L27" s="177"/>
      <c r="M27" s="177"/>
      <c r="N27" s="177"/>
      <c r="O27" s="177"/>
      <c r="P27" s="177"/>
      <c r="Q27" s="177"/>
      <c r="R27" s="51"/>
      <c r="U27" s="81"/>
    </row>
    <row r="28" spans="2:21" ht="14">
      <c r="B28" s="54"/>
      <c r="C28" s="55"/>
      <c r="D28" s="241" t="s">
        <v>7</v>
      </c>
      <c r="E28" s="242"/>
      <c r="F28" s="243"/>
      <c r="G28" s="180">
        <f>'Datos Extra'!B1</f>
        <v>4991.0799999999981</v>
      </c>
      <c r="H28" s="140">
        <f>G28*(1-'Datos Extra'!D1)</f>
        <v>4941.1691999999985</v>
      </c>
      <c r="I28" s="190">
        <f>Flujos!G9</f>
        <v>-41795</v>
      </c>
      <c r="J28" s="190">
        <f>'Mapa de Procesos'!L126</f>
        <v>-19153.812600000001</v>
      </c>
      <c r="K28" s="177"/>
      <c r="L28" s="177"/>
      <c r="M28" s="177"/>
      <c r="N28" s="177"/>
      <c r="O28" s="177"/>
      <c r="P28" s="177"/>
      <c r="Q28" s="177"/>
      <c r="R28" s="80"/>
      <c r="U28" s="81"/>
    </row>
    <row r="29" spans="2:21" ht="14">
      <c r="B29" s="54"/>
      <c r="C29" s="55"/>
      <c r="D29" s="230" t="s">
        <v>8</v>
      </c>
      <c r="E29" s="231"/>
      <c r="F29" s="231"/>
      <c r="G29" s="181">
        <f>'Datos Extra'!B2</f>
        <v>88872.295000000173</v>
      </c>
      <c r="H29" s="182">
        <f>G29*(1-'Datos Extra'!D2)</f>
        <v>87983.572050000177</v>
      </c>
      <c r="I29" s="190">
        <f>Flujos!G17</f>
        <v>791</v>
      </c>
      <c r="J29" s="190">
        <f>'Mapa de Procesos'!L127</f>
        <v>465.64825059536003</v>
      </c>
      <c r="K29" s="177"/>
      <c r="L29" s="177"/>
      <c r="M29" s="177" t="s">
        <v>71</v>
      </c>
      <c r="N29" s="177" t="s">
        <v>73</v>
      </c>
      <c r="O29" s="177" t="s">
        <v>155</v>
      </c>
      <c r="P29" s="177" t="s">
        <v>156</v>
      </c>
      <c r="Q29" s="177"/>
      <c r="R29" s="51"/>
      <c r="U29" s="81"/>
    </row>
    <row r="30" spans="2:21" ht="14">
      <c r="B30" s="54"/>
      <c r="C30" s="55"/>
      <c r="D30" s="230" t="s">
        <v>9</v>
      </c>
      <c r="E30" s="231"/>
      <c r="F30" s="231"/>
      <c r="G30" s="181">
        <f>'Datos Extra'!B3</f>
        <v>2985</v>
      </c>
      <c r="H30" s="182">
        <f>G30*(1-'Datos Extra'!D3)</f>
        <v>2734.0093815092168</v>
      </c>
      <c r="I30" s="190">
        <f>Flujos!G21</f>
        <v>3316</v>
      </c>
      <c r="J30" s="190">
        <f>'Mapa de Procesos'!L129</f>
        <v>3124.4397465495604</v>
      </c>
      <c r="K30" s="177"/>
      <c r="L30" s="177" t="s">
        <v>1</v>
      </c>
      <c r="M30" s="176">
        <f>G18+N19+N20+N21+N22+N23</f>
        <v>243567</v>
      </c>
      <c r="N30" s="176">
        <f>G20+G21+G22+N16+G23</f>
        <v>221785</v>
      </c>
      <c r="O30" s="178">
        <f>I35</f>
        <v>21782</v>
      </c>
      <c r="P30" s="176">
        <f>M30-N30-O30</f>
        <v>0</v>
      </c>
      <c r="Q30" s="177"/>
      <c r="R30" s="51"/>
      <c r="U30" s="81"/>
    </row>
    <row r="31" spans="2:21" ht="14">
      <c r="B31" s="54"/>
      <c r="C31" s="55"/>
      <c r="D31" s="230" t="s">
        <v>3</v>
      </c>
      <c r="E31" s="231"/>
      <c r="F31" s="231"/>
      <c r="G31" s="181">
        <f>'Datos Extra'!B4</f>
        <v>0</v>
      </c>
      <c r="H31" s="182">
        <f>G31*(1-'Datos Extra'!D4)</f>
        <v>0</v>
      </c>
      <c r="I31" s="190">
        <f>Flujos!G31</f>
        <v>0</v>
      </c>
      <c r="J31" s="190">
        <f>'Mapa de Procesos'!L130</f>
        <v>0</v>
      </c>
      <c r="K31" s="177"/>
      <c r="L31" s="177" t="s">
        <v>34</v>
      </c>
      <c r="M31" s="176">
        <f>J18+Q19+Q20+Q21+Q22+Q23</f>
        <v>117522.50051960992</v>
      </c>
      <c r="N31" s="176">
        <f>Q16+J20+J21+J22+J23</f>
        <v>94470.094767147384</v>
      </c>
      <c r="O31" s="179">
        <f>J35</f>
        <v>23052.405752154889</v>
      </c>
      <c r="P31" s="176">
        <f>M31-N31-O31</f>
        <v>3.076493158005178E-7</v>
      </c>
      <c r="Q31" s="177"/>
      <c r="R31" s="80"/>
      <c r="U31" s="81"/>
    </row>
    <row r="32" spans="2:21" ht="14">
      <c r="B32" s="54"/>
      <c r="C32" s="55"/>
      <c r="D32" s="233" t="s">
        <v>4</v>
      </c>
      <c r="E32" s="234"/>
      <c r="F32" s="234"/>
      <c r="G32" s="181">
        <f>'Datos Extra'!B5</f>
        <v>144052.08999999997</v>
      </c>
      <c r="H32" s="182">
        <f>G32*(1-'Datos Extra'!D5)</f>
        <v>131639.42123662311</v>
      </c>
      <c r="I32" s="190">
        <f>Flujos!G26</f>
        <v>25089</v>
      </c>
      <c r="J32" s="190">
        <f>'Mapa de Procesos'!L136</f>
        <v>17542.103354999999</v>
      </c>
      <c r="K32" s="177"/>
      <c r="L32" s="176"/>
      <c r="M32" s="177"/>
      <c r="N32" s="177"/>
      <c r="O32" s="177"/>
      <c r="P32" s="177"/>
      <c r="Q32" s="177"/>
      <c r="R32" s="51"/>
      <c r="U32" s="81"/>
    </row>
    <row r="33" spans="2:21" ht="14">
      <c r="B33" s="54"/>
      <c r="C33" s="55"/>
      <c r="D33" s="233" t="s">
        <v>105</v>
      </c>
      <c r="E33" s="234"/>
      <c r="F33" s="234"/>
      <c r="G33" s="181">
        <f>'Datos Extra'!B6</f>
        <v>87099.612182495111</v>
      </c>
      <c r="H33" s="182">
        <f>G33*(1-'Datos Extra'!D6)</f>
        <v>86664.114121582636</v>
      </c>
      <c r="I33" s="190">
        <f>Flujos!G34</f>
        <v>27987</v>
      </c>
      <c r="J33" s="190">
        <f>'Mapa de Procesos'!L137</f>
        <v>17300.927600009971</v>
      </c>
      <c r="L33" s="188"/>
      <c r="M33" s="188"/>
      <c r="N33" s="188"/>
      <c r="O33" s="188"/>
      <c r="P33" s="188"/>
      <c r="Q33" s="185"/>
      <c r="R33" s="80"/>
      <c r="U33" s="81"/>
    </row>
    <row r="34" spans="2:21" thickBot="1">
      <c r="B34" s="54"/>
      <c r="C34" s="55"/>
      <c r="D34" s="235" t="s">
        <v>106</v>
      </c>
      <c r="E34" s="236"/>
      <c r="F34" s="236"/>
      <c r="G34" s="183">
        <f>'Datos Extra'!B7</f>
        <v>27059.240058898926</v>
      </c>
      <c r="H34" s="184">
        <f>G34*(1-'Datos Extra'!D7)</f>
        <v>26923.943858604431</v>
      </c>
      <c r="I34" s="190">
        <f>Flujos!G39</f>
        <v>6394</v>
      </c>
      <c r="J34" s="190">
        <f>'Mapa de Procesos'!L138</f>
        <v>3773.0993999999996</v>
      </c>
      <c r="L34" s="185"/>
      <c r="M34" s="185"/>
      <c r="N34" s="185"/>
      <c r="O34" s="185"/>
      <c r="P34" s="185"/>
      <c r="Q34" s="185"/>
      <c r="R34" s="51"/>
      <c r="U34" s="81"/>
    </row>
    <row r="35" spans="2:21" thickBot="1">
      <c r="B35" s="82"/>
      <c r="C35" s="83"/>
      <c r="D35" s="83"/>
      <c r="E35" s="83"/>
      <c r="F35" s="83"/>
      <c r="G35" s="83"/>
      <c r="H35" s="83"/>
      <c r="I35" s="191">
        <f>SUM(I28:I34)</f>
        <v>21782</v>
      </c>
      <c r="J35" s="191">
        <f>SUM(J28:J34)</f>
        <v>23052.405752154889</v>
      </c>
      <c r="K35" s="83"/>
      <c r="L35" s="83"/>
      <c r="M35" s="83"/>
      <c r="N35" s="83"/>
      <c r="O35" s="83"/>
      <c r="P35" s="83"/>
      <c r="Q35" s="83"/>
      <c r="R35" s="84"/>
    </row>
    <row r="38" spans="2:21" ht="15" customHeight="1">
      <c r="E38" s="128"/>
      <c r="F38" s="128"/>
      <c r="G38" s="128"/>
      <c r="H38" s="128"/>
      <c r="I38" s="127"/>
      <c r="J38" s="127"/>
    </row>
    <row r="39" spans="2:21" ht="14">
      <c r="E39" s="128"/>
      <c r="F39" s="128"/>
      <c r="G39" s="128"/>
      <c r="H39" s="128"/>
      <c r="I39" s="127"/>
      <c r="J39" s="127"/>
    </row>
    <row r="40" spans="2:21" ht="14">
      <c r="E40" s="86"/>
      <c r="F40" s="86"/>
      <c r="G40" s="86"/>
      <c r="H40" s="86"/>
      <c r="I40" s="86"/>
      <c r="J40" s="86"/>
      <c r="K40" s="86"/>
    </row>
    <row r="41" spans="2:21" ht="15" customHeight="1">
      <c r="E41" s="232"/>
      <c r="F41" s="232"/>
      <c r="G41" s="232"/>
      <c r="H41" s="131"/>
      <c r="I41" s="88"/>
      <c r="J41" s="126"/>
      <c r="K41" s="87"/>
    </row>
  </sheetData>
  <mergeCells count="50">
    <mergeCell ref="D26:H26"/>
    <mergeCell ref="D7:F8"/>
    <mergeCell ref="K7:M8"/>
    <mergeCell ref="D2:E5"/>
    <mergeCell ref="F2:Q3"/>
    <mergeCell ref="F4:L5"/>
    <mergeCell ref="M4:N5"/>
    <mergeCell ref="P4:Q5"/>
    <mergeCell ref="N7:O7"/>
    <mergeCell ref="G7:H7"/>
    <mergeCell ref="D9:J9"/>
    <mergeCell ref="K9:Q9"/>
    <mergeCell ref="D10:F10"/>
    <mergeCell ref="K18:M18"/>
    <mergeCell ref="D11:F11"/>
    <mergeCell ref="K10:M10"/>
    <mergeCell ref="K19:M19"/>
    <mergeCell ref="D14:F14"/>
    <mergeCell ref="K11:Q11"/>
    <mergeCell ref="K12:M12"/>
    <mergeCell ref="K13:M13"/>
    <mergeCell ref="D12:F12"/>
    <mergeCell ref="D13:F13"/>
    <mergeCell ref="D16:F16"/>
    <mergeCell ref="D17:F17"/>
    <mergeCell ref="K14:M14"/>
    <mergeCell ref="K16:M16"/>
    <mergeCell ref="D18:F18"/>
    <mergeCell ref="D25:F25"/>
    <mergeCell ref="D27:F27"/>
    <mergeCell ref="D28:F28"/>
    <mergeCell ref="D29:F29"/>
    <mergeCell ref="K17:Q17"/>
    <mergeCell ref="D19:J19"/>
    <mergeCell ref="K24:M24"/>
    <mergeCell ref="K22:M22"/>
    <mergeCell ref="K23:M23"/>
    <mergeCell ref="D22:F22"/>
    <mergeCell ref="D23:F23"/>
    <mergeCell ref="D24:F24"/>
    <mergeCell ref="D20:F20"/>
    <mergeCell ref="D21:F21"/>
    <mergeCell ref="K20:M20"/>
    <mergeCell ref="K21:M21"/>
    <mergeCell ref="D30:F30"/>
    <mergeCell ref="E41:G41"/>
    <mergeCell ref="D31:F31"/>
    <mergeCell ref="D32:F32"/>
    <mergeCell ref="D33:F33"/>
    <mergeCell ref="D34:F34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5" ma:contentTypeDescription="Crear nuevo documento." ma:contentTypeScope="" ma:versionID="08eddba80e67fcdf0e7dbb3dbc3e0d70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31c7a2af7ff0f9db171af585e46ec1a5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1DD2B5-8036-4C02-853A-E0965342EF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http://www.w3.org/XML/1998/namespace"/>
    <ds:schemaRef ds:uri="http://schemas.microsoft.com/office/2006/documentManagement/types"/>
    <ds:schemaRef ds:uri="http://purl.org/dc/elements/1.1/"/>
    <ds:schemaRef ds:uri="6f53f264-df38-4c5e-a089-ad7f07a2b911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1490ee3b-8825-4a14-a799-bb341372937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2023-11-01T22:25:15Z</cp:lastPrinted>
  <dcterms:created xsi:type="dcterms:W3CDTF">2021-08-15T22:35:05Z</dcterms:created>
  <dcterms:modified xsi:type="dcterms:W3CDTF">2025-08-28T15:31:36Z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