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Utilidad" sheetId="2" r:id="rId5"/>
    <sheet name="Datos Extra" sheetId="3" r:id="rId6"/>
    <sheet name="Flujos" sheetId="4" r:id="rId7"/>
    <sheet name="Diag Proceso Balance" sheetId="5" r:id="rId8"/>
    <sheet name="Hoja1" sheetId="6" r:id="rId9"/>
    <sheet name="Report" sheetId="7" r:id="rId10"/>
  </sheets>
</workbook>
</file>

<file path=xl/sharedStrings.xml><?xml version="1.0" encoding="utf-8"?>
<sst xmlns="http://schemas.openxmlformats.org/spreadsheetml/2006/main" uniqueCount="125">
  <si>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</si>
  <si>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</si>
  <si>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</si>
  <si>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</si>
  <si>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Utilidad</t>
  </si>
  <si>
    <t>Table 1</t>
  </si>
  <si>
    <t>Valores Calculados</t>
  </si>
  <si>
    <t>TMS</t>
  </si>
  <si>
    <t>%FeT</t>
  </si>
  <si>
    <t>TMF Fe</t>
  </si>
  <si>
    <t>Datos Extra</t>
  </si>
  <si>
    <t>Flujo</t>
  </si>
  <si>
    <t>Flujos</t>
  </si>
  <si>
    <t>Mediciones</t>
  </si>
  <si>
    <t>Balance</t>
  </si>
  <si>
    <t>% Cambio relativo</t>
  </si>
  <si>
    <t>Max Var Ton</t>
  </si>
  <si>
    <t>Max Var  FeT</t>
  </si>
  <si>
    <t>TMSD</t>
  </si>
  <si>
    <t>%Fe T</t>
  </si>
  <si>
    <t>Producción CNN</t>
  </si>
  <si>
    <t>Dif. Stock Agitadores Planta CNN</t>
  </si>
  <si>
    <t>Bombeo CNN</t>
  </si>
  <si>
    <t>dif. Stock Concentraducto CNN</t>
  </si>
  <si>
    <t xml:space="preserve">ingreso concentrado CNN a puerto </t>
  </si>
  <si>
    <t xml:space="preserve">dif. Stock CNN en Agitadores Puerto </t>
  </si>
  <si>
    <t>Alim espesador CNN</t>
  </si>
  <si>
    <t>Desvío TK CNN a piscina</t>
  </si>
  <si>
    <t>Filtrado CNN</t>
  </si>
  <si>
    <t>Dif inventario espesador CNN</t>
  </si>
  <si>
    <t>Desvío conc a Filtro MGTTA</t>
  </si>
  <si>
    <t>Delta Inventario Cancha CNN</t>
  </si>
  <si>
    <t>Despacho CNN a Ventas</t>
  </si>
  <si>
    <t>Producción PM</t>
  </si>
  <si>
    <t>Dif. Stock Agitadores Planta PM</t>
  </si>
  <si>
    <t>Bombeo PM</t>
  </si>
  <si>
    <t>dif. Stock Concentraducto PM</t>
  </si>
  <si>
    <t xml:space="preserve">ingreso concentrado PM a puerto </t>
  </si>
  <si>
    <t xml:space="preserve">dif. Stock PM en Agitadores Puerto </t>
  </si>
  <si>
    <t>Alim a espesador MGTTA</t>
  </si>
  <si>
    <t>Desvío TK MGTTA a piscina</t>
  </si>
  <si>
    <t>Descarga espesador MGTTA</t>
  </si>
  <si>
    <t>Delta inventario espesador MGTTA</t>
  </si>
  <si>
    <t>Conc filtrado MGTTA a Cancha MGTTA</t>
  </si>
  <si>
    <t>Conc filtrado MGTTA a Cancha CNN</t>
  </si>
  <si>
    <t>Delta Inventario Cancha MGTTA</t>
  </si>
  <si>
    <t>Despacho MGTTA a Embarque</t>
  </si>
  <si>
    <t>Delta Inventario Piscina</t>
  </si>
  <si>
    <t>Concen recuperado piscina</t>
  </si>
  <si>
    <t>Delt Inv Stock Material Rec Piscina</t>
  </si>
  <si>
    <t>Despacho Stock Material Recuperado Piscina</t>
  </si>
  <si>
    <t>Total embarcado</t>
  </si>
  <si>
    <t>Diag Proceso Balance</t>
  </si>
  <si>
    <t>TK Planta  CNN</t>
  </si>
  <si>
    <t>TK Planta  PM</t>
  </si>
  <si>
    <t>Concentraducto CNN</t>
  </si>
  <si>
    <t xml:space="preserve">  Concentraducto PM</t>
  </si>
  <si>
    <t>TK Puerto PM</t>
  </si>
  <si>
    <t>TK Puerto CNN</t>
  </si>
  <si>
    <t>Material Recuperado Piscina de Emergencia</t>
  </si>
  <si>
    <t>BALANCE GLOBAL MASA</t>
  </si>
  <si>
    <t>ENTRADAS</t>
  </si>
  <si>
    <t>VARIACIONES DE INVENTARIOS</t>
  </si>
  <si>
    <t>SALIDAS</t>
  </si>
  <si>
    <t>TK Planta CNN</t>
  </si>
  <si>
    <t>Total Embarcado</t>
  </si>
  <si>
    <t>Espesador CNN</t>
  </si>
  <si>
    <t>Cancha CNN en Puerto</t>
  </si>
  <si>
    <t>TK Planta PM</t>
  </si>
  <si>
    <t>Concentraducto PM</t>
  </si>
  <si>
    <t>Espesador PM</t>
  </si>
  <si>
    <t>Cancha PM en Puerto</t>
  </si>
  <si>
    <t>Piscina de Emergencia</t>
  </si>
  <si>
    <t>Pila Mat Rec Pisc Emergencia</t>
  </si>
  <si>
    <t>TOTAL ENTRADAS</t>
  </si>
  <si>
    <t xml:space="preserve">VAR NETA </t>
  </si>
  <si>
    <t>TOTAL SALIDAS</t>
  </si>
  <si>
    <t>ENTRADAS - VAR INVENTARIO - SALIDAS</t>
  </si>
  <si>
    <t>BALANCE GLOBAL DE FINOS (Fe T)</t>
  </si>
  <si>
    <t>Hoja1</t>
  </si>
  <si>
    <t>Gestión Valle</t>
  </si>
  <si>
    <t>Bombeado CNN</t>
  </si>
  <si>
    <t xml:space="preserve">Producción PM </t>
  </si>
  <si>
    <t xml:space="preserve">Transporte Fluidos PM </t>
  </si>
  <si>
    <t xml:space="preserve">Recepción Puerto Punta Totoralillo </t>
  </si>
  <si>
    <t>Producción Total</t>
  </si>
  <si>
    <t>Pellet Feed (PM)</t>
  </si>
  <si>
    <t>Pellet Feed (CNN)</t>
  </si>
  <si>
    <t>Material Recuperado Piscina</t>
  </si>
  <si>
    <t xml:space="preserve">Embarque Puerto Punta Totoralillo </t>
  </si>
  <si>
    <t>Embarque Total</t>
  </si>
  <si>
    <t>Sinter Feed</t>
  </si>
  <si>
    <t>Report</t>
  </si>
  <si>
    <t>BALANCE METALÚRGICO - VALLE DEL COPIAPO</t>
  </si>
  <si>
    <t>REPORTE PUERTO PUNTA TOTORALILLO</t>
  </si>
  <si>
    <t>FECHA DE BALANCE</t>
  </si>
  <si>
    <t>TONELAJE</t>
  </si>
  <si>
    <t>LEY</t>
  </si>
  <si>
    <t>FINO</t>
  </si>
  <si>
    <t>TMH</t>
  </si>
  <si>
    <t>% FeT</t>
  </si>
  <si>
    <t>TMF</t>
  </si>
  <si>
    <t>GESTION POR VALLE</t>
  </si>
  <si>
    <t>RECEPCION PUERTO PUNTA TOTORALILLO</t>
  </si>
  <si>
    <t>FL_218_501_01</t>
  </si>
  <si>
    <t>CERRO NEGRO NORTE</t>
  </si>
  <si>
    <t>TBN</t>
  </si>
  <si>
    <t>Produccion CNN</t>
  </si>
  <si>
    <t>Material Recuperado de piscina CNN</t>
  </si>
  <si>
    <t>TOTAL</t>
  </si>
  <si>
    <t>PLANTA MAGNETITA</t>
  </si>
  <si>
    <t>Produccion Magnetita</t>
  </si>
  <si>
    <t>Bombeado Magnetita</t>
  </si>
  <si>
    <t>Filtrado Magnetita</t>
  </si>
  <si>
    <t>Material Recuperado de piscina Magnetita</t>
  </si>
  <si>
    <t>FL_000_501_03</t>
  </si>
  <si>
    <t xml:space="preserve">EMBARQUES </t>
  </si>
  <si>
    <t>PUERTO PUNTA TOTORALILLO</t>
  </si>
  <si>
    <t>Pellet Feed CNN</t>
  </si>
  <si>
    <t>Pellet Feed PM</t>
  </si>
  <si>
    <t>Pellet Feed Magnetita</t>
  </si>
  <si>
    <t>TOTAL PELLET FEED</t>
  </si>
  <si>
    <t>Delta inventario TMS</t>
  </si>
  <si>
    <t>Delta inventario TMF</t>
  </si>
  <si>
    <t>BALANCE</t>
  </si>
</sst>
</file>

<file path=xl/styles.xml><?xml version="1.0" encoding="utf-8"?>
<styleSheet xmlns="http://schemas.openxmlformats.org/spreadsheetml/2006/main">
  <numFmts count="8">
    <numFmt numFmtId="0" formatCode="General"/>
    <numFmt numFmtId="59" formatCode="0.0000%"/>
    <numFmt numFmtId="60" formatCode="0.0%"/>
    <numFmt numFmtId="61" formatCode="#,##0.0"/>
    <numFmt numFmtId="62" formatCode="#,##0&quot; &quot;;&quot;-&quot;#,##0&quot; &quot;"/>
    <numFmt numFmtId="63" formatCode="#,##0.00&quot; &quot;;&quot;-&quot;#,##0.00&quot; &quot;"/>
    <numFmt numFmtId="64" formatCode="#,##0.0&quot; &quot;;&quot;-&quot;#,##0.0&quot; &quot;"/>
    <numFmt numFmtId="65" formatCode="#,##0.0000000&quot; &quot;;&quot;-&quot;#,##0.0000000&quot; &quot;"/>
  </numFmts>
  <fonts count="4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6"/>
      <color indexed="12"/>
      <name val="Calibri"/>
    </font>
    <font>
      <sz val="16"/>
      <color indexed="12"/>
      <name val="Calibri"/>
    </font>
    <font>
      <sz val="11"/>
      <color indexed="12"/>
      <name val="Calibri"/>
    </font>
    <font>
      <sz val="11"/>
      <color indexed="14"/>
      <name val="Calibri"/>
    </font>
    <font>
      <sz val="10"/>
      <color indexed="12"/>
      <name val="Calibri"/>
    </font>
    <font>
      <sz val="10"/>
      <color indexed="14"/>
      <name val="Calibri"/>
    </font>
    <font>
      <sz val="10"/>
      <color indexed="8"/>
      <name val="Calibri"/>
    </font>
    <font>
      <b val="1"/>
      <sz val="10"/>
      <color indexed="8"/>
      <name val="Calibri"/>
    </font>
    <font>
      <sz val="9"/>
      <color indexed="12"/>
      <name val="Calibri"/>
    </font>
    <font>
      <b val="1"/>
      <sz val="11"/>
      <color indexed="12"/>
      <name val="Calibri"/>
    </font>
    <font>
      <b val="1"/>
      <sz val="14"/>
      <color indexed="12"/>
      <name val="Calibri"/>
    </font>
    <font>
      <sz val="14"/>
      <color indexed="12"/>
      <name val="Calibri"/>
    </font>
    <font>
      <sz val="9"/>
      <color indexed="8"/>
      <name val="Calibri"/>
    </font>
    <font>
      <b val="1"/>
      <sz val="12"/>
      <color indexed="12"/>
      <name val="Calibri"/>
    </font>
    <font>
      <b val="1"/>
      <sz val="12"/>
      <color indexed="8"/>
      <name val="Calibri"/>
    </font>
    <font>
      <b val="1"/>
      <sz val="11"/>
      <color indexed="8"/>
      <name val="Calibri"/>
    </font>
    <font>
      <b val="1"/>
      <sz val="14"/>
      <color indexed="8"/>
      <name val="Calibri"/>
    </font>
    <font>
      <b val="1"/>
      <sz val="9"/>
      <color indexed="8"/>
      <name val="Calibri"/>
    </font>
    <font>
      <b val="1"/>
      <sz val="16"/>
      <color indexed="8"/>
      <name val="Calibri"/>
    </font>
    <font>
      <b val="1"/>
      <sz val="14"/>
      <color indexed="20"/>
      <name val="Calibri"/>
    </font>
    <font>
      <b val="1"/>
      <sz val="11"/>
      <color indexed="21"/>
      <name val="Calibri"/>
    </font>
    <font>
      <b val="1"/>
      <sz val="11"/>
      <color indexed="22"/>
      <name val="Calibri"/>
    </font>
    <font>
      <b val="1"/>
      <sz val="11"/>
      <color indexed="20"/>
      <name val="Calibri"/>
    </font>
    <font>
      <sz val="11"/>
      <color indexed="24"/>
      <name val="Calibri"/>
    </font>
    <font>
      <b val="1"/>
      <sz val="12"/>
      <color indexed="8"/>
      <name val="Palatino Linotype"/>
    </font>
    <font>
      <sz val="12"/>
      <color indexed="8"/>
      <name val="Palatino Linotype"/>
    </font>
    <font>
      <sz val="11"/>
      <color indexed="8"/>
      <name val="Palatino Linotype"/>
    </font>
    <font>
      <sz val="10"/>
      <color indexed="24"/>
      <name val="Calibri"/>
    </font>
    <font>
      <b val="1"/>
      <sz val="12"/>
      <color indexed="24"/>
      <name val="Calibri"/>
    </font>
    <font>
      <sz val="8"/>
      <color indexed="24"/>
      <name val="Calibri"/>
    </font>
    <font>
      <b val="1"/>
      <sz val="8"/>
      <color indexed="24"/>
      <name val="Calibri"/>
    </font>
    <font>
      <b val="1"/>
      <sz val="8"/>
      <color indexed="14"/>
      <name val="Calibri"/>
    </font>
    <font>
      <sz val="8"/>
      <color indexed="14"/>
      <name val="Calibri"/>
    </font>
    <font>
      <sz val="10"/>
      <color indexed="27"/>
      <name val="Calibri"/>
    </font>
  </fonts>
  <fills count="1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3"/>
        <bgColor auto="1"/>
      </patternFill>
    </fill>
    <fill>
      <patternFill patternType="solid">
        <fgColor indexed="25"/>
        <bgColor auto="1"/>
      </patternFill>
    </fill>
    <fill>
      <patternFill patternType="solid">
        <fgColor indexed="26"/>
        <bgColor auto="1"/>
      </patternFill>
    </fill>
    <fill>
      <patternFill patternType="solid">
        <fgColor indexed="24"/>
        <bgColor auto="1"/>
      </patternFill>
    </fill>
    <fill>
      <patternFill patternType="solid">
        <fgColor indexed="12"/>
        <bgColor auto="1"/>
      </patternFill>
    </fill>
  </fills>
  <borders count="89">
    <border>
      <left/>
      <right/>
      <top/>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13"/>
      </top>
      <bottom style="thin">
        <color indexed="13"/>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13"/>
      </top>
      <bottom style="thin">
        <color indexed="13"/>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3"/>
      </right>
      <top style="thin">
        <color indexed="8"/>
      </top>
      <bottom style="thin">
        <color indexed="8"/>
      </bottom>
      <diagonal/>
    </border>
    <border>
      <left style="thin">
        <color indexed="13"/>
      </left>
      <right/>
      <top style="thin">
        <color indexed="13"/>
      </top>
      <bottom/>
      <diagonal/>
    </border>
    <border>
      <left/>
      <right/>
      <top style="thin">
        <color indexed="13"/>
      </top>
      <bottom style="medium">
        <color indexed="8"/>
      </bottom>
      <diagonal/>
    </border>
    <border>
      <left/>
      <right style="thin">
        <color indexed="13"/>
      </right>
      <top style="thin">
        <color indexed="13"/>
      </top>
      <bottom style="medium">
        <color indexed="8"/>
      </bottom>
      <diagonal/>
    </border>
    <border>
      <left style="thin">
        <color indexed="13"/>
      </left>
      <right style="medium">
        <color indexed="8"/>
      </right>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13"/>
      </left>
      <right/>
      <top/>
      <bottom/>
      <diagonal/>
    </border>
    <border>
      <left/>
      <right style="thin">
        <color indexed="13"/>
      </right>
      <top style="medium">
        <color indexed="8"/>
      </top>
      <bottom/>
      <diagonal/>
    </border>
    <border>
      <left/>
      <right/>
      <top/>
      <bottom style="thin">
        <color indexed="8"/>
      </bottom>
      <diagonal/>
    </border>
    <border>
      <left/>
      <right style="thin">
        <color indexed="13"/>
      </right>
      <top/>
      <bottom/>
      <diagonal/>
    </border>
    <border>
      <left/>
      <right style="thin">
        <color indexed="8"/>
      </right>
      <top/>
      <bottom/>
      <diagonal/>
    </border>
    <border>
      <left style="thin">
        <color indexed="8"/>
      </left>
      <right/>
      <top/>
      <bottom/>
      <diagonal/>
    </border>
    <border>
      <left/>
      <right/>
      <top style="thin">
        <color indexed="8"/>
      </top>
      <bottom/>
      <diagonal/>
    </border>
    <border>
      <left/>
      <right/>
      <top style="thin">
        <color indexed="8"/>
      </top>
      <bottom style="thin">
        <color indexed="8"/>
      </bottom>
      <diagonal/>
    </border>
    <border>
      <left style="thin">
        <color indexed="13"/>
      </left>
      <right/>
      <top/>
      <bottom style="thin">
        <color indexed="13"/>
      </bottom>
      <diagonal/>
    </border>
    <border>
      <left/>
      <right/>
      <top/>
      <bottom style="thin">
        <color indexed="13"/>
      </bottom>
      <diagonal/>
    </border>
    <border>
      <left/>
      <right style="thin">
        <color indexed="8"/>
      </right>
      <top/>
      <bottom style="thin">
        <color indexed="13"/>
      </bottom>
      <diagonal/>
    </border>
    <border>
      <left style="thin">
        <color indexed="8"/>
      </left>
      <right/>
      <top/>
      <bottom style="thin">
        <color indexed="13"/>
      </bottom>
      <diagonal/>
    </border>
    <border>
      <left/>
      <right style="thin">
        <color indexed="13"/>
      </right>
      <top/>
      <bottom style="thin">
        <color indexed="13"/>
      </bottom>
      <diagonal/>
    </border>
    <border>
      <left style="thin">
        <color indexed="13"/>
      </left>
      <right style="thin">
        <color indexed="13"/>
      </right>
      <top style="thin">
        <color indexed="13"/>
      </top>
      <bottom/>
      <diagonal/>
    </border>
    <border>
      <left style="thin">
        <color indexed="13"/>
      </left>
      <right style="medium">
        <color indexed="8"/>
      </right>
      <top style="thin">
        <color indexed="13"/>
      </top>
      <bottom style="thin">
        <color indexed="13"/>
      </bottom>
      <diagonal/>
    </border>
    <border>
      <left style="medium">
        <color indexed="8"/>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style="medium">
        <color indexed="8"/>
      </right>
      <top/>
      <bottom style="thin">
        <color indexed="13"/>
      </bottom>
      <diagonal/>
    </border>
    <border>
      <left style="medium">
        <color indexed="8"/>
      </left>
      <right style="thin">
        <color indexed="13"/>
      </right>
      <top style="thin">
        <color indexed="13"/>
      </top>
      <bottom style="thin">
        <color indexed="13"/>
      </bottom>
      <diagonal/>
    </border>
    <border>
      <left style="medium">
        <color indexed="8"/>
      </left>
      <right style="thin">
        <color indexed="13"/>
      </right>
      <top style="thin">
        <color indexed="13"/>
      </top>
      <bottom/>
      <diagonal/>
    </border>
    <border>
      <left style="thin">
        <color indexed="13"/>
      </left>
      <right style="medium">
        <color indexed="8"/>
      </right>
      <top style="thin">
        <color indexed="13"/>
      </top>
      <bottom/>
      <diagonal/>
    </border>
    <border>
      <left style="medium">
        <color indexed="8"/>
      </left>
      <right style="thin">
        <color indexed="13"/>
      </right>
      <top style="thin">
        <color indexed="13"/>
      </top>
      <bottom style="thin">
        <color indexed="8"/>
      </bottom>
      <diagonal/>
    </border>
    <border>
      <left style="thin">
        <color indexed="13"/>
      </left>
      <right style="medium">
        <color indexed="8"/>
      </right>
      <top style="thin">
        <color indexed="13"/>
      </top>
      <bottom style="thin">
        <color indexed="8"/>
      </bottom>
      <diagonal/>
    </border>
    <border>
      <left/>
      <right/>
      <top style="medium">
        <color indexed="8"/>
      </top>
      <bottom style="medium">
        <color indexed="8"/>
      </bottom>
      <diagonal/>
    </border>
    <border>
      <left/>
      <right style="thin">
        <color indexed="13"/>
      </right>
      <top style="medium">
        <color indexed="8"/>
      </top>
      <bottom style="medium">
        <color indexed="8"/>
      </bottom>
      <diagonal/>
    </border>
    <border>
      <left style="thin">
        <color indexed="13"/>
      </left>
      <right style="thin">
        <color indexed="13"/>
      </right>
      <top style="medium">
        <color indexed="8"/>
      </top>
      <bottom style="medium">
        <color indexed="8"/>
      </bottom>
      <diagonal/>
    </border>
    <border>
      <left style="thin">
        <color indexed="13"/>
      </left>
      <right style="medium">
        <color indexed="8"/>
      </right>
      <top style="medium">
        <color indexed="8"/>
      </top>
      <bottom style="thin">
        <color indexed="13"/>
      </bottom>
      <diagonal/>
    </border>
    <border>
      <left style="medium">
        <color indexed="8"/>
      </left>
      <right style="medium">
        <color indexed="8"/>
      </right>
      <top/>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thin">
        <color indexed="13"/>
      </top>
      <bottom style="thin">
        <color indexed="13"/>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13"/>
      </bottom>
      <diagonal/>
    </border>
    <border>
      <left style="thin">
        <color indexed="8"/>
      </left>
      <right/>
      <top style="medium">
        <color indexed="8"/>
      </top>
      <bottom style="medium">
        <color indexed="8"/>
      </bottom>
      <diagonal/>
    </border>
    <border>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13"/>
      </bottom>
      <diagonal/>
    </border>
    <border>
      <left style="thin">
        <color indexed="8"/>
      </left>
      <right style="thin">
        <color indexed="8"/>
      </right>
      <top style="medium">
        <color indexed="8"/>
      </top>
      <bottom style="thin">
        <color indexed="13"/>
      </bottom>
      <diagonal/>
    </border>
    <border>
      <left style="thin">
        <color indexed="8"/>
      </left>
      <right/>
      <top style="medium">
        <color indexed="8"/>
      </top>
      <bottom style="thin">
        <color indexed="8"/>
      </bottom>
      <diagonal/>
    </border>
    <border>
      <left/>
      <right style="thin">
        <color indexed="8"/>
      </right>
      <top style="medium">
        <color indexed="8"/>
      </top>
      <bottom style="thin">
        <color indexed="8"/>
      </bottom>
      <diagonal/>
    </border>
    <border>
      <left style="medium">
        <color indexed="8"/>
      </left>
      <right style="thin">
        <color indexed="8"/>
      </right>
      <top style="thin">
        <color indexed="13"/>
      </top>
      <bottom style="medium">
        <color indexed="8"/>
      </bottom>
      <diagonal/>
    </border>
    <border>
      <left style="thin">
        <color indexed="8"/>
      </left>
      <right style="thin">
        <color indexed="8"/>
      </right>
      <top style="thin">
        <color indexed="13"/>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13"/>
      </right>
      <top style="thin">
        <color indexed="8"/>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medium">
        <color indexed="8"/>
      </left>
      <right style="thin">
        <color indexed="13"/>
      </right>
      <top style="thin">
        <color indexed="8"/>
      </top>
      <bottom style="medium">
        <color indexed="8"/>
      </bottom>
      <diagonal/>
    </border>
    <border>
      <left style="thin">
        <color indexed="13"/>
      </left>
      <right style="thin">
        <color indexed="13"/>
      </right>
      <top style="thin">
        <color indexed="8"/>
      </top>
      <bottom style="medium">
        <color indexed="8"/>
      </bottom>
      <diagonal/>
    </border>
    <border>
      <left style="thin">
        <color indexed="13"/>
      </left>
      <right style="thin">
        <color indexed="8"/>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style="medium">
        <color indexed="8"/>
      </right>
      <top style="thin">
        <color indexed="13"/>
      </top>
      <bottom style="thin">
        <color indexed="13"/>
      </bottom>
      <diagonal/>
    </border>
    <border>
      <left/>
      <right style="medium">
        <color indexed="8"/>
      </right>
      <top style="medium">
        <color indexed="8"/>
      </top>
      <bottom style="medium">
        <color indexed="8"/>
      </bottom>
      <diagonal/>
    </border>
    <border>
      <left style="thin">
        <color indexed="13"/>
      </left>
      <right style="thin">
        <color indexed="13"/>
      </right>
      <top style="medium">
        <color indexed="8"/>
      </top>
      <bottom style="thin">
        <color indexed="13"/>
      </bottom>
      <diagonal/>
    </border>
    <border>
      <left style="medium">
        <color indexed="8"/>
      </left>
      <right style="thin">
        <color indexed="13"/>
      </right>
      <top style="thin">
        <color indexed="13"/>
      </top>
      <bottom style="medium">
        <color indexed="8"/>
      </bottom>
      <diagonal/>
    </border>
    <border>
      <left style="thin">
        <color indexed="13"/>
      </left>
      <right style="thin">
        <color indexed="13"/>
      </right>
      <top style="thin">
        <color indexed="13"/>
      </top>
      <bottom style="medium">
        <color indexed="8"/>
      </bottom>
      <diagonal/>
    </border>
    <border>
      <left style="thin">
        <color indexed="13"/>
      </left>
      <right style="medium">
        <color indexed="8"/>
      </right>
      <top style="thin">
        <color indexed="13"/>
      </top>
      <bottom style="medium">
        <color indexed="8"/>
      </bottom>
      <diagonal/>
    </border>
  </borders>
  <cellStyleXfs count="1">
    <xf numFmtId="0" fontId="0" applyNumberFormat="0" applyFont="1" applyFill="0" applyBorder="0" applyAlignment="1" applyProtection="0">
      <alignment vertical="bottom"/>
    </xf>
  </cellStyleXfs>
  <cellXfs count="34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3" fontId="6" borderId="1" applyNumberFormat="1" applyFont="1" applyFill="0" applyBorder="1" applyAlignment="1" applyProtection="0">
      <alignment vertical="bottom"/>
    </xf>
    <xf numFmtId="10" fontId="7" borderId="1" applyNumberFormat="1" applyFont="1" applyFill="0" applyBorder="1" applyAlignment="1" applyProtection="0">
      <alignment vertical="bottom"/>
    </xf>
    <xf numFmtId="0" fontId="8" borderId="1" applyNumberFormat="1" applyFont="1" applyFill="0" applyBorder="1" applyAlignment="1" applyProtection="0">
      <alignment vertical="bottom"/>
    </xf>
    <xf numFmtId="0" fontId="8" fillId="4" borderId="1" applyNumberFormat="0" applyFont="1" applyFill="1" applyBorder="1" applyAlignment="1" applyProtection="0">
      <alignment vertical="bottom" wrapText="1"/>
    </xf>
    <xf numFmtId="0" fontId="8" borderId="1" applyNumberFormat="0" applyFont="1" applyFill="0" applyBorder="1" applyAlignment="1" applyProtection="0">
      <alignment vertical="bottom"/>
    </xf>
    <xf numFmtId="0" fontId="9" borderId="1" applyNumberFormat="0" applyFont="1" applyFill="0" applyBorder="1" applyAlignment="1" applyProtection="0">
      <alignment vertical="bottom"/>
    </xf>
    <xf numFmtId="0" fontId="0" borderId="1" applyNumberFormat="0" applyFont="1" applyFill="0" applyBorder="1" applyAlignment="1" applyProtection="0">
      <alignment vertical="bottom"/>
    </xf>
    <xf numFmtId="3" fontId="8" borderId="1" applyNumberFormat="1" applyFont="1" applyFill="0" applyBorder="1" applyAlignment="1" applyProtection="0">
      <alignment vertical="bottom"/>
    </xf>
    <xf numFmtId="10" fontId="8" borderId="1" applyNumberFormat="1" applyFont="1" applyFill="0" applyBorder="1" applyAlignment="1" applyProtection="0">
      <alignment vertical="bottom"/>
    </xf>
    <xf numFmtId="0" fontId="10" fillId="4" borderId="1" applyNumberFormat="0" applyFont="1" applyFill="1" applyBorder="1" applyAlignment="1" applyProtection="0">
      <alignment horizontal="center" vertical="top" wrapText="1"/>
    </xf>
    <xf numFmtId="0" fontId="11" fillId="4" borderId="1" applyNumberFormat="0" applyFont="1" applyFill="1" applyBorder="1" applyAlignment="1" applyProtection="0">
      <alignment horizontal="center" vertical="top" wrapText="1"/>
    </xf>
    <xf numFmtId="0" fontId="12" fillId="4" borderId="1" applyNumberFormat="0" applyFont="1" applyFill="1" applyBorder="1" applyAlignment="1" applyProtection="0">
      <alignment horizontal="center" vertical="top" wrapText="1"/>
    </xf>
    <xf numFmtId="0" fontId="13" fillId="4" borderId="1" applyNumberFormat="0" applyFont="1" applyFill="1" applyBorder="1" applyAlignment="1" applyProtection="0">
      <alignment horizontal="center" vertical="top" wrapText="1"/>
    </xf>
    <xf numFmtId="0" fontId="0" fillId="4" borderId="1" applyNumberFormat="0" applyFont="1" applyFill="1" applyBorder="1" applyAlignment="1" applyProtection="0">
      <alignment horizontal="center" vertical="bottom" wrapText="1"/>
    </xf>
    <xf numFmtId="0" fontId="14" fillId="4" borderId="1" applyNumberFormat="0" applyFont="1" applyFill="1" applyBorder="1" applyAlignment="1" applyProtection="0">
      <alignment vertical="bottom" wrapText="1"/>
    </xf>
    <xf numFmtId="0" fontId="8" borderId="1" applyNumberFormat="0" applyFont="1" applyFill="0" applyBorder="1" applyAlignment="1" applyProtection="0">
      <alignment horizontal="center" vertical="bottom"/>
    </xf>
    <xf numFmtId="0" fontId="9" borderId="1" applyNumberFormat="0" applyFont="1" applyFill="0" applyBorder="1" applyAlignment="1" applyProtection="0">
      <alignment horizontal="center" vertical="bottom"/>
    </xf>
    <xf numFmtId="0" fontId="0" borderId="1" applyNumberFormat="0" applyFont="1" applyFill="0" applyBorder="1" applyAlignment="1" applyProtection="0">
      <alignment horizontal="center" vertical="bottom"/>
    </xf>
    <xf numFmtId="0" fontId="0" fillId="4" borderId="1" applyNumberFormat="0" applyFont="1" applyFill="1" applyBorder="1" applyAlignment="1" applyProtection="0">
      <alignment vertical="bottom" wrapText="1"/>
    </xf>
    <xf numFmtId="3" fontId="15" borderId="1" applyNumberFormat="1" applyFont="1" applyFill="0" applyBorder="1" applyAlignment="1" applyProtection="0">
      <alignment vertical="bottom"/>
    </xf>
    <xf numFmtId="3" fontId="16" borderId="1" applyNumberFormat="1" applyFont="1" applyFill="0" applyBorder="1" applyAlignment="1" applyProtection="0">
      <alignment vertical="bottom"/>
    </xf>
    <xf numFmtId="10" fontId="17" borderId="1" applyNumberFormat="1" applyFont="1" applyFill="0" applyBorder="1" applyAlignment="1" applyProtection="0">
      <alignment vertical="bottom"/>
    </xf>
    <xf numFmtId="0" fontId="14" fillId="4" borderId="1" applyNumberFormat="0" applyFont="1" applyFill="1" applyBorder="1" applyAlignment="1" applyProtection="0">
      <alignment horizontal="left" vertical="bottom" wrapText="1"/>
    </xf>
    <xf numFmtId="3" fontId="0" borderId="1" applyNumberFormat="1" applyFont="1" applyFill="0" applyBorder="1" applyAlignment="1" applyProtection="0">
      <alignment vertical="bottom"/>
    </xf>
    <xf numFmtId="0" fontId="18" fillId="4" borderId="1" applyNumberFormat="0" applyFont="1" applyFill="1" applyBorder="1" applyAlignment="1" applyProtection="0">
      <alignment vertical="bottom" wrapText="1"/>
    </xf>
    <xf numFmtId="3" fontId="19" borderId="1" applyNumberFormat="1" applyFont="1" applyFill="0" applyBorder="1" applyAlignment="1" applyProtection="0">
      <alignment vertical="bottom"/>
    </xf>
    <xf numFmtId="0" fontId="15" borderId="1" applyNumberFormat="0" applyFont="1" applyFill="0" applyBorder="1" applyAlignment="1" applyProtection="0">
      <alignment horizontal="center" vertical="bottom"/>
    </xf>
    <xf numFmtId="49" fontId="16" borderId="1" applyNumberFormat="1" applyFont="1" applyFill="0" applyBorder="1" applyAlignment="1" applyProtection="0">
      <alignment horizontal="center" vertical="bottom"/>
    </xf>
    <xf numFmtId="0" fontId="16" borderId="1" applyNumberFormat="0" applyFont="1" applyFill="0" applyBorder="1" applyAlignment="1" applyProtection="0">
      <alignment horizontal="center" vertical="bottom"/>
    </xf>
    <xf numFmtId="0" fontId="20" fillId="4" borderId="1" applyNumberFormat="0" applyFont="1" applyFill="1" applyBorder="1" applyAlignment="1" applyProtection="0">
      <alignment horizontal="center" vertical="bottom" wrapText="1"/>
    </xf>
    <xf numFmtId="0" fontId="18" fillId="4" borderId="1" applyNumberFormat="0" applyFont="1" applyFill="1" applyBorder="1" applyAlignment="1" applyProtection="0">
      <alignment horizontal="left" vertical="bottom" wrapText="1"/>
    </xf>
    <xf numFmtId="49" fontId="8" borderId="1" applyNumberFormat="1" applyFont="1" applyFill="0" applyBorder="1" applyAlignment="1" applyProtection="0">
      <alignment horizontal="center" vertical="bottom"/>
    </xf>
    <xf numFmtId="10" fontId="21" borderId="1" applyNumberFormat="1" applyFont="1" applyFill="0" applyBorder="1" applyAlignment="1" applyProtection="0">
      <alignment vertical="bottom"/>
    </xf>
    <xf numFmtId="59" fontId="0" borderId="1" applyNumberFormat="1" applyFont="1" applyFill="0" applyBorder="1" applyAlignment="1" applyProtection="0">
      <alignment vertical="bottom"/>
    </xf>
    <xf numFmtId="0" fontId="6" fillId="4" borderId="1" applyNumberFormat="0" applyFont="1" applyFill="1" applyBorder="1" applyAlignment="1" applyProtection="0">
      <alignment vertical="bottom" wrapText="1"/>
    </xf>
    <xf numFmtId="10" fontId="15" borderId="1" applyNumberFormat="1" applyFont="1" applyFill="0" applyBorder="1" applyAlignment="1" applyProtection="0">
      <alignment vertical="bottom"/>
    </xf>
    <xf numFmtId="60" fontId="0" borderId="1" applyNumberFormat="1" applyFont="1" applyFill="0" applyBorder="1" applyAlignment="1" applyProtection="0">
      <alignment vertical="bottom"/>
    </xf>
    <xf numFmtId="10" fontId="22" borderId="1" applyNumberFormat="1" applyFont="1" applyFill="0" applyBorder="1" applyAlignment="1" applyProtection="0">
      <alignment vertical="bottom"/>
    </xf>
    <xf numFmtId="10" fontId="0" borderId="1" applyNumberFormat="1" applyFont="1" applyFill="0" applyBorder="1" applyAlignment="1" applyProtection="0">
      <alignment vertical="bottom"/>
    </xf>
    <xf numFmtId="0" fontId="16" fillId="4" borderId="1" applyNumberFormat="0" applyFont="1" applyFill="1" applyBorder="1" applyAlignment="1" applyProtection="0">
      <alignment vertical="bottom" wrapText="1"/>
    </xf>
    <xf numFmtId="10" fontId="16" borderId="1" applyNumberFormat="1" applyFont="1" applyFill="0" applyBorder="1" applyAlignment="1" applyProtection="0">
      <alignment vertical="bottom"/>
    </xf>
    <xf numFmtId="0" fontId="17" borderId="1" applyNumberFormat="0" applyFont="1" applyFill="0" applyBorder="1" applyAlignment="1" applyProtection="0">
      <alignment vertical="bottom"/>
    </xf>
    <xf numFmtId="0" fontId="19" fillId="4" borderId="1" applyNumberFormat="0" applyFont="1" applyFill="1" applyBorder="1" applyAlignment="1" applyProtection="0">
      <alignment vertical="bottom" wrapText="1"/>
    </xf>
    <xf numFmtId="0" fontId="23" fillId="4" borderId="1" applyNumberFormat="0" applyFont="1" applyFill="1" applyBorder="1" applyAlignment="1" applyProtection="0">
      <alignment vertical="bottom" wrapText="1"/>
    </xf>
    <xf numFmtId="0" fontId="20" fillId="4" borderId="1" applyNumberFormat="0" applyFont="1" applyFill="1" applyBorder="1" applyAlignment="1" applyProtection="0">
      <alignment vertical="bottom" wrapText="1"/>
    </xf>
    <xf numFmtId="0" fontId="22" fillId="4" borderId="1" applyNumberFormat="0" applyFont="1" applyFill="1" applyBorder="1" applyAlignment="1" applyProtection="0">
      <alignment vertical="bottom" wrapText="1"/>
    </xf>
    <xf numFmtId="0" fontId="22" borderId="1" applyNumberFormat="0" applyFont="1" applyFill="0" applyBorder="1"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49" fontId="0" borderId="4" applyNumberFormat="1" applyFont="1" applyFill="0" applyBorder="1" applyAlignment="1" applyProtection="0">
      <alignment horizontal="center" vertical="bottom"/>
    </xf>
    <xf numFmtId="0" fontId="0" borderId="4" applyNumberFormat="0" applyFont="1" applyFill="0" applyBorder="1" applyAlignment="1" applyProtection="0">
      <alignment horizontal="center" vertical="bottom"/>
    </xf>
    <xf numFmtId="0" fontId="0" borderId="5" applyNumberFormat="0" applyFont="1" applyFill="0" applyBorder="1" applyAlignment="1" applyProtection="0">
      <alignment vertical="bottom"/>
    </xf>
    <xf numFmtId="49" fontId="22" fillId="5" borderId="6" applyNumberFormat="1" applyFont="1" applyFill="1" applyBorder="1" applyAlignment="1" applyProtection="0">
      <alignment horizontal="center" vertical="bottom" wrapText="1"/>
    </xf>
    <xf numFmtId="0" fontId="22" fillId="5" borderId="7" applyNumberFormat="0" applyFont="1" applyFill="1" applyBorder="1" applyAlignment="1" applyProtection="0">
      <alignment horizontal="center" vertical="bottom" wrapText="1"/>
    </xf>
    <xf numFmtId="0" fontId="22" fillId="4" borderId="5" applyNumberFormat="0" applyFont="1" applyFill="1" applyBorder="1" applyAlignment="1" applyProtection="0">
      <alignment vertical="bottom" wrapText="1"/>
    </xf>
    <xf numFmtId="49" fontId="22" fillId="6" borderId="4" applyNumberFormat="1" applyFont="1" applyFill="1" applyBorder="1" applyAlignment="1" applyProtection="0">
      <alignment vertical="bottom"/>
    </xf>
    <xf numFmtId="49" fontId="22" fillId="7" borderId="8" applyNumberFormat="1" applyFont="1" applyFill="1" applyBorder="1" applyAlignment="1" applyProtection="0">
      <alignment vertical="bottom" wrapText="1"/>
    </xf>
    <xf numFmtId="49" fontId="0" fillId="8" borderId="4" applyNumberFormat="1" applyFont="1" applyFill="1" applyBorder="1" applyAlignment="1" applyProtection="0">
      <alignment vertical="bottom"/>
    </xf>
    <xf numFmtId="49" fontId="2" fillId="5" borderId="4" applyNumberFormat="1" applyFont="1" applyFill="1" applyBorder="1" applyAlignment="1" applyProtection="0">
      <alignment horizontal="center" vertical="bottom"/>
    </xf>
    <xf numFmtId="0" fontId="2" borderId="5" applyNumberFormat="0" applyFont="1" applyFill="0" applyBorder="1" applyAlignment="1" applyProtection="0">
      <alignment horizontal="center" vertical="bottom"/>
    </xf>
    <xf numFmtId="10" fontId="22" fillId="9" borderId="4" applyNumberFormat="1" applyFont="1" applyFill="1" applyBorder="1" applyAlignment="1" applyProtection="0">
      <alignment vertical="bottom"/>
    </xf>
    <xf numFmtId="10" fontId="22" fillId="9" borderId="8" applyNumberFormat="1" applyFont="1" applyFill="1" applyBorder="1" applyAlignment="1" applyProtection="0">
      <alignment vertical="bottom"/>
    </xf>
    <xf numFmtId="3" fontId="0" borderId="4" applyNumberFormat="1" applyFont="1" applyFill="0" applyBorder="1" applyAlignment="1" applyProtection="0">
      <alignment vertical="bottom"/>
    </xf>
    <xf numFmtId="10" fontId="0" borderId="4" applyNumberFormat="1" applyFont="1" applyFill="0" applyBorder="1" applyAlignment="1" applyProtection="0">
      <alignment vertical="bottom"/>
    </xf>
    <xf numFmtId="60" fontId="2" borderId="4" applyNumberFormat="1" applyFont="1" applyFill="0" applyBorder="1" applyAlignment="1" applyProtection="0">
      <alignment vertical="bottom"/>
    </xf>
    <xf numFmtId="60" fontId="2" borderId="5" applyNumberFormat="1" applyFont="1" applyFill="0" applyBorder="1" applyAlignment="1" applyProtection="0">
      <alignment vertical="bottom"/>
    </xf>
    <xf numFmtId="10" fontId="2" borderId="4" applyNumberFormat="1" applyFont="1" applyFill="0" applyBorder="1" applyAlignment="1" applyProtection="0">
      <alignment vertical="bottom"/>
    </xf>
    <xf numFmtId="10" fontId="2" borderId="8" applyNumberFormat="1" applyFont="1" applyFill="0" applyBorder="1" applyAlignment="1" applyProtection="0">
      <alignment vertical="bottom"/>
    </xf>
    <xf numFmtId="0" fontId="0" applyNumberFormat="1" applyFont="1" applyFill="0" applyBorder="0" applyAlignment="1" applyProtection="0">
      <alignment vertical="bottom"/>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0" fontId="0" borderId="13" applyNumberFormat="0" applyFont="1" applyFill="0" applyBorder="1" applyAlignment="1" applyProtection="0">
      <alignment vertical="bottom"/>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49" fontId="22" borderId="17" applyNumberFormat="1" applyFont="1" applyFill="0" applyBorder="1" applyAlignment="1" applyProtection="0">
      <alignment horizontal="left" vertical="bottom"/>
    </xf>
    <xf numFmtId="0" fontId="0" borderId="17" applyNumberFormat="0" applyFont="1" applyFill="0" applyBorder="1" applyAlignment="1" applyProtection="0">
      <alignment vertical="bottom"/>
    </xf>
    <xf numFmtId="3" fontId="24" borderId="17" applyNumberFormat="1" applyFont="1" applyFill="0" applyBorder="1" applyAlignment="1" applyProtection="0">
      <alignment horizontal="left" vertical="bottom"/>
    </xf>
    <xf numFmtId="0" fontId="0" borderId="18" applyNumberFormat="0" applyFont="1" applyFill="0" applyBorder="1" applyAlignment="1" applyProtection="0">
      <alignment vertical="bottom"/>
    </xf>
    <xf numFmtId="10" fontId="1" borderId="17" applyNumberFormat="1" applyFont="1" applyFill="0" applyBorder="1" applyAlignment="1" applyProtection="0">
      <alignment horizontal="left" vertical="bottom"/>
    </xf>
    <xf numFmtId="0" fontId="0" borderId="17" applyNumberFormat="0" applyFont="1" applyFill="0" applyBorder="1" applyAlignment="1" applyProtection="0">
      <alignment horizontal="left" vertical="bottom"/>
    </xf>
    <xf numFmtId="3" fontId="25" borderId="17" applyNumberFormat="1" applyFont="1" applyFill="0" applyBorder="1" applyAlignment="1" applyProtection="0">
      <alignment horizontal="left" vertical="bottom"/>
    </xf>
    <xf numFmtId="3" fontId="26" borderId="17" applyNumberFormat="1" applyFont="1" applyFill="0" applyBorder="1" applyAlignment="1" applyProtection="0">
      <alignment horizontal="left" vertical="bottom"/>
    </xf>
    <xf numFmtId="10" fontId="0" borderId="17" applyNumberFormat="1" applyFont="1" applyFill="0" applyBorder="1" applyAlignment="1" applyProtection="0">
      <alignment horizontal="left" vertical="bottom"/>
    </xf>
    <xf numFmtId="49" fontId="0" borderId="17" applyNumberFormat="1" applyFont="1" applyFill="0" applyBorder="1" applyAlignment="1" applyProtection="0">
      <alignment vertical="bottom"/>
    </xf>
    <xf numFmtId="49" fontId="0" borderId="17" applyNumberFormat="1" applyFont="1" applyFill="0" applyBorder="1" applyAlignment="1" applyProtection="0">
      <alignment horizontal="left" vertical="bottom"/>
    </xf>
    <xf numFmtId="61" fontId="27" borderId="17" applyNumberFormat="1" applyFont="1" applyFill="0" applyBorder="1" applyAlignment="1" applyProtection="0">
      <alignment horizontal="left" vertical="bottom"/>
    </xf>
    <xf numFmtId="3" fontId="21" borderId="17" applyNumberFormat="1" applyFont="1" applyFill="0" applyBorder="1" applyAlignment="1" applyProtection="0">
      <alignment horizontal="left" vertical="bottom"/>
    </xf>
    <xf numFmtId="3" fontId="0" borderId="17" applyNumberFormat="1" applyFont="1" applyFill="0" applyBorder="1" applyAlignment="1" applyProtection="0">
      <alignment vertical="bottom"/>
    </xf>
    <xf numFmtId="3" fontId="28" borderId="17" applyNumberFormat="1" applyFont="1" applyFill="0" applyBorder="1" applyAlignment="1" applyProtection="0">
      <alignment horizontal="left" vertical="bottom"/>
    </xf>
    <xf numFmtId="49" fontId="0" borderId="17" applyNumberFormat="1" applyFont="1" applyFill="0" applyBorder="1" applyAlignment="1" applyProtection="0">
      <alignment horizontal="right" vertical="bottom"/>
    </xf>
    <xf numFmtId="3" fontId="27" borderId="17" applyNumberFormat="1" applyFont="1" applyFill="0" applyBorder="1" applyAlignment="1" applyProtection="0">
      <alignment horizontal="left" vertical="bottom"/>
    </xf>
    <xf numFmtId="3" fontId="21" borderId="17" applyNumberFormat="1" applyFont="1" applyFill="0" applyBorder="1" applyAlignment="1" applyProtection="0">
      <alignment horizontal="right" vertical="bottom"/>
    </xf>
    <xf numFmtId="10" fontId="0" borderId="17" applyNumberFormat="1" applyFont="1" applyFill="0" applyBorder="1" applyAlignment="1" applyProtection="0">
      <alignment horizontal="right" vertical="bottom"/>
    </xf>
    <xf numFmtId="3" fontId="28" borderId="17" applyNumberFormat="1" applyFont="1" applyFill="0" applyBorder="1" applyAlignment="1" applyProtection="0">
      <alignment horizontal="right" vertical="bottom"/>
    </xf>
    <xf numFmtId="3" fontId="26" borderId="17" applyNumberFormat="1" applyFont="1" applyFill="0" applyBorder="1" applyAlignment="1" applyProtection="0">
      <alignment horizontal="right" vertical="bottom"/>
    </xf>
    <xf numFmtId="49" fontId="0" fillId="4" borderId="17" applyNumberFormat="1" applyFont="1" applyFill="1" applyBorder="1" applyAlignment="1" applyProtection="0">
      <alignment horizontal="center" vertical="bottom" wrapText="1"/>
    </xf>
    <xf numFmtId="0" fontId="0" fillId="4" borderId="17" applyNumberFormat="0" applyFont="1" applyFill="1" applyBorder="1" applyAlignment="1" applyProtection="0">
      <alignment horizontal="center" vertical="bottom" wrapText="1"/>
    </xf>
    <xf numFmtId="3" fontId="27" borderId="17" applyNumberFormat="1" applyFont="1" applyFill="0" applyBorder="1" applyAlignment="1" applyProtection="0">
      <alignment horizontal="right" vertical="bottom"/>
    </xf>
    <xf numFmtId="3" fontId="21" borderId="17" applyNumberFormat="1" applyFont="1" applyFill="0" applyBorder="1" applyAlignment="1" applyProtection="0">
      <alignment horizontal="center" vertical="bottom"/>
    </xf>
    <xf numFmtId="10" fontId="0" borderId="17" applyNumberFormat="1" applyFont="1" applyFill="0" applyBorder="1" applyAlignment="1" applyProtection="0">
      <alignment horizontal="center" vertical="bottom"/>
    </xf>
    <xf numFmtId="3" fontId="28" borderId="17" applyNumberFormat="1" applyFont="1" applyFill="0" applyBorder="1" applyAlignment="1" applyProtection="0">
      <alignment horizontal="center" vertical="bottom"/>
    </xf>
    <xf numFmtId="0" fontId="0" borderId="19" applyNumberFormat="0" applyFont="1" applyFill="0" applyBorder="1" applyAlignment="1" applyProtection="0">
      <alignment vertical="bottom"/>
    </xf>
    <xf numFmtId="0" fontId="0" borderId="20" applyNumberFormat="0" applyFont="1" applyFill="0" applyBorder="1" applyAlignment="1" applyProtection="0">
      <alignment vertical="bottom"/>
    </xf>
    <xf numFmtId="0" fontId="0" borderId="21" applyNumberFormat="0" applyFont="1" applyFill="0" applyBorder="1" applyAlignment="1" applyProtection="0">
      <alignment vertical="bottom"/>
    </xf>
    <xf numFmtId="0" fontId="0" borderId="22" applyNumberFormat="0" applyFont="1" applyFill="0" applyBorder="1" applyAlignment="1" applyProtection="0">
      <alignment vertical="bottom"/>
    </xf>
    <xf numFmtId="0" fontId="0" borderId="23" applyNumberFormat="0" applyFont="1" applyFill="0" applyBorder="1" applyAlignment="1" applyProtection="0">
      <alignment vertical="bottom"/>
    </xf>
    <xf numFmtId="49" fontId="20" borderId="24" applyNumberFormat="1" applyFont="1" applyFill="0" applyBorder="1" applyAlignment="1" applyProtection="0">
      <alignment vertical="bottom"/>
    </xf>
    <xf numFmtId="0" fontId="0" borderId="24" applyNumberFormat="0" applyFont="1" applyFill="0" applyBorder="1" applyAlignment="1" applyProtection="0">
      <alignment vertical="bottom"/>
    </xf>
    <xf numFmtId="0" fontId="0" borderId="25" applyNumberFormat="0" applyFont="1" applyFill="0" applyBorder="1" applyAlignment="1" applyProtection="0">
      <alignment vertical="bottom"/>
    </xf>
    <xf numFmtId="0" fontId="0" borderId="26" applyNumberFormat="0" applyFont="1" applyFill="0" applyBorder="1" applyAlignment="1" applyProtection="0">
      <alignment vertical="bottom"/>
    </xf>
    <xf numFmtId="49" fontId="22" fillId="10" borderId="4" applyNumberFormat="1" applyFont="1" applyFill="1" applyBorder="1" applyAlignment="1" applyProtection="0">
      <alignment horizontal="center" vertical="center"/>
    </xf>
    <xf numFmtId="0" fontId="22" fillId="10" borderId="4" applyNumberFormat="0" applyFont="1" applyFill="1" applyBorder="1" applyAlignment="1" applyProtection="0">
      <alignment horizontal="center" vertical="center"/>
    </xf>
    <xf numFmtId="49" fontId="20" fillId="10" borderId="4" applyNumberFormat="1" applyFont="1" applyFill="1" applyBorder="1" applyAlignment="1" applyProtection="0">
      <alignment horizontal="left" vertical="center"/>
    </xf>
    <xf numFmtId="0" fontId="20" fillId="10" borderId="4" applyNumberFormat="0" applyFont="1" applyFill="1" applyBorder="1" applyAlignment="1" applyProtection="0">
      <alignment horizontal="left" vertical="center"/>
    </xf>
    <xf numFmtId="49" fontId="22" fillId="10" borderId="4" applyNumberFormat="1" applyFont="1" applyFill="1" applyBorder="1" applyAlignment="1" applyProtection="0">
      <alignment horizontal="left" vertical="center"/>
    </xf>
    <xf numFmtId="0" fontId="22" fillId="10" borderId="4" applyNumberFormat="0" applyFont="1" applyFill="1" applyBorder="1" applyAlignment="1" applyProtection="0">
      <alignment horizontal="left" vertical="center"/>
    </xf>
    <xf numFmtId="0" fontId="0" borderId="27" applyNumberFormat="0" applyFont="1" applyFill="0" applyBorder="1" applyAlignment="1" applyProtection="0">
      <alignment vertical="bottom"/>
    </xf>
    <xf numFmtId="49" fontId="0" fillId="4" borderId="6" applyNumberFormat="1" applyFont="1" applyFill="1" applyBorder="1" applyAlignment="1" applyProtection="0">
      <alignment horizontal="left" vertical="center" wrapText="1"/>
    </xf>
    <xf numFmtId="0" fontId="0" fillId="4" borderId="7" applyNumberFormat="0" applyFont="1" applyFill="1" applyBorder="1" applyAlignment="1" applyProtection="0">
      <alignment horizontal="left" vertical="center" wrapText="1"/>
    </xf>
    <xf numFmtId="3" fontId="0" fillId="4" borderId="4" applyNumberFormat="1" applyFont="1" applyFill="1" applyBorder="1" applyAlignment="1" applyProtection="0">
      <alignment horizontal="right" vertical="center"/>
    </xf>
    <xf numFmtId="49" fontId="0" fillId="4" borderId="4" applyNumberFormat="1" applyFont="1" applyFill="1" applyBorder="1" applyAlignment="1" applyProtection="0">
      <alignment horizontal="left" vertical="center" wrapText="1"/>
    </xf>
    <xf numFmtId="0" fontId="0" fillId="4" borderId="4" applyNumberFormat="0" applyFont="1" applyFill="1" applyBorder="1" applyAlignment="1" applyProtection="0">
      <alignment horizontal="left" vertical="center" wrapText="1"/>
    </xf>
    <xf numFmtId="3" fontId="0" fillId="4" borderId="4" applyNumberFormat="1" applyFont="1" applyFill="1" applyBorder="1" applyAlignment="1" applyProtection="0">
      <alignment vertical="center"/>
    </xf>
    <xf numFmtId="49" fontId="0" fillId="4" borderId="4" applyNumberFormat="1" applyFont="1" applyFill="1" applyBorder="1" applyAlignment="1" applyProtection="0">
      <alignment horizontal="left" vertical="center"/>
    </xf>
    <xf numFmtId="0" fontId="0" fillId="4" borderId="4" applyNumberFormat="0" applyFont="1" applyFill="1" applyBorder="1" applyAlignment="1" applyProtection="0">
      <alignment horizontal="left" vertical="center"/>
    </xf>
    <xf numFmtId="0" fontId="0" fillId="4" borderId="6" applyNumberFormat="0" applyFont="1" applyFill="1" applyBorder="1" applyAlignment="1" applyProtection="0">
      <alignment horizontal="left" vertical="center" wrapText="1"/>
    </xf>
    <xf numFmtId="0" fontId="0" fillId="4" borderId="6" applyNumberFormat="0" applyFont="1" applyFill="1" applyBorder="1" applyAlignment="1" applyProtection="0">
      <alignment horizontal="left" vertical="center"/>
    </xf>
    <xf numFmtId="0" fontId="0" fillId="4" borderId="7" applyNumberFormat="0" applyFont="1" applyFill="1" applyBorder="1" applyAlignment="1" applyProtection="0">
      <alignment horizontal="left" vertical="center"/>
    </xf>
    <xf numFmtId="49" fontId="22" fillId="4" borderId="6" applyNumberFormat="1" applyFont="1" applyFill="1" applyBorder="1" applyAlignment="1" applyProtection="0">
      <alignment horizontal="center" vertical="center"/>
    </xf>
    <xf numFmtId="0" fontId="22" fillId="4" borderId="7" applyNumberFormat="0" applyFont="1" applyFill="1" applyBorder="1" applyAlignment="1" applyProtection="0">
      <alignment horizontal="center" vertical="center"/>
    </xf>
    <xf numFmtId="3" fontId="2" fillId="4" borderId="4" applyNumberFormat="1" applyFont="1" applyFill="1" applyBorder="1" applyAlignment="1" applyProtection="0">
      <alignment vertical="center"/>
    </xf>
    <xf numFmtId="49" fontId="22" fillId="4" borderId="4" applyNumberFormat="1" applyFont="1" applyFill="1" applyBorder="1" applyAlignment="1" applyProtection="0">
      <alignment horizontal="left" vertical="center"/>
    </xf>
    <xf numFmtId="0" fontId="22" fillId="4" borderId="4" applyNumberFormat="0" applyFont="1" applyFill="1" applyBorder="1" applyAlignment="1" applyProtection="0">
      <alignment horizontal="left" vertical="center"/>
    </xf>
    <xf numFmtId="3" fontId="1" fillId="4" borderId="4" applyNumberFormat="1" applyFont="1" applyFill="1" applyBorder="1" applyAlignment="1" applyProtection="0">
      <alignment horizontal="left" vertical="center"/>
    </xf>
    <xf numFmtId="0" fontId="0" borderId="28" applyNumberFormat="0" applyFont="1" applyFill="0" applyBorder="1" applyAlignment="1" applyProtection="0">
      <alignment vertical="bottom"/>
    </xf>
    <xf numFmtId="0" fontId="0" borderId="29" applyNumberFormat="0" applyFont="1" applyFill="0" applyBorder="1" applyAlignment="1" applyProtection="0">
      <alignment vertical="bottom"/>
    </xf>
    <xf numFmtId="49" fontId="20" fillId="4" borderId="6" applyNumberFormat="1" applyFont="1" applyFill="1" applyBorder="1" applyAlignment="1" applyProtection="0">
      <alignment vertical="center"/>
    </xf>
    <xf numFmtId="0" fontId="22" fillId="4" borderId="7" applyNumberFormat="0" applyFont="1" applyFill="1" applyBorder="1" applyAlignment="1" applyProtection="0">
      <alignment vertical="center"/>
    </xf>
    <xf numFmtId="0" fontId="22" fillId="4" borderId="6" applyNumberFormat="0" applyFont="1" applyFill="1" applyBorder="1" applyAlignment="1" applyProtection="0">
      <alignment vertical="center"/>
    </xf>
    <xf numFmtId="3" fontId="22" fillId="4" borderId="4" applyNumberFormat="1" applyFont="1" applyFill="1" applyBorder="1" applyAlignment="1" applyProtection="0">
      <alignment horizontal="center" vertical="center"/>
    </xf>
    <xf numFmtId="49" fontId="22" fillId="9" borderId="4" applyNumberFormat="1" applyFont="1" applyFill="1" applyBorder="1" applyAlignment="1" applyProtection="0">
      <alignment horizontal="center" vertical="center"/>
    </xf>
    <xf numFmtId="0" fontId="22" fillId="9" borderId="4" applyNumberFormat="0" applyFont="1" applyFill="1" applyBorder="1" applyAlignment="1" applyProtection="0">
      <alignment horizontal="center" vertical="center"/>
    </xf>
    <xf numFmtId="49" fontId="20" fillId="9" borderId="4" applyNumberFormat="1" applyFont="1" applyFill="1" applyBorder="1" applyAlignment="1" applyProtection="0">
      <alignment horizontal="left" vertical="center"/>
    </xf>
    <xf numFmtId="0" fontId="20" fillId="9" borderId="4" applyNumberFormat="0" applyFont="1" applyFill="1" applyBorder="1" applyAlignment="1" applyProtection="0">
      <alignment horizontal="left" vertical="center"/>
    </xf>
    <xf numFmtId="49" fontId="22" fillId="9" borderId="4" applyNumberFormat="1" applyFont="1" applyFill="1" applyBorder="1" applyAlignment="1" applyProtection="0">
      <alignment horizontal="left" vertical="center"/>
    </xf>
    <xf numFmtId="0" fontId="22" fillId="9" borderId="4" applyNumberFormat="0" applyFont="1" applyFill="1" applyBorder="1" applyAlignment="1" applyProtection="0">
      <alignment horizontal="left" vertical="center"/>
    </xf>
    <xf numFmtId="0" fontId="0" borderId="30" applyNumberFormat="0" applyFont="1" applyFill="0" applyBorder="1" applyAlignment="1" applyProtection="0">
      <alignment vertical="bottom"/>
    </xf>
    <xf numFmtId="0" fontId="0" borderId="31" applyNumberFormat="0" applyFont="1" applyFill="0" applyBorder="1" applyAlignment="1" applyProtection="0">
      <alignment vertical="bottom"/>
    </xf>
    <xf numFmtId="0" fontId="0" borderId="32" applyNumberFormat="0" applyFont="1" applyFill="0" applyBorder="1" applyAlignment="1" applyProtection="0">
      <alignment vertical="bottom"/>
    </xf>
    <xf numFmtId="0" fontId="0" borderId="33" applyNumberFormat="0" applyFont="1" applyFill="0" applyBorder="1" applyAlignment="1" applyProtection="0">
      <alignment vertical="bottom"/>
    </xf>
    <xf numFmtId="0" fontId="0" borderId="34"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35" applyNumberFormat="0" applyFont="1" applyFill="0" applyBorder="1" applyAlignment="1" applyProtection="0">
      <alignment vertical="bottom"/>
    </xf>
    <xf numFmtId="0" fontId="0" borderId="36" applyNumberFormat="0" applyFont="1" applyFill="0" applyBorder="1" applyAlignment="1" applyProtection="0">
      <alignment vertical="bottom"/>
    </xf>
    <xf numFmtId="49" fontId="30" fillId="11" borderId="16" applyNumberFormat="1" applyFont="1" applyFill="1" applyBorder="1" applyAlignment="1" applyProtection="0">
      <alignment horizontal="center" vertical="bottom"/>
    </xf>
    <xf numFmtId="0" fontId="30" fillId="11" borderId="17" applyNumberFormat="0" applyFont="1" applyFill="1" applyBorder="1" applyAlignment="1" applyProtection="0">
      <alignment horizontal="center" vertical="bottom"/>
    </xf>
    <xf numFmtId="0" fontId="30" fillId="11" borderId="18" applyNumberFormat="0" applyFont="1" applyFill="1" applyBorder="1" applyAlignment="1" applyProtection="0">
      <alignment horizontal="center" vertical="bottom"/>
    </xf>
    <xf numFmtId="49" fontId="31" borderId="37" applyNumberFormat="1" applyFont="1" applyFill="0" applyBorder="1" applyAlignment="1" applyProtection="0">
      <alignment horizontal="left" vertical="bottom"/>
    </xf>
    <xf numFmtId="0" fontId="31" borderId="38" applyNumberFormat="0" applyFont="1" applyFill="0" applyBorder="1" applyAlignment="1" applyProtection="0">
      <alignment horizontal="left" vertical="bottom"/>
    </xf>
    <xf numFmtId="0" fontId="31" borderId="39" applyNumberFormat="0" applyFont="1" applyFill="0" applyBorder="1" applyAlignment="1" applyProtection="0">
      <alignment horizontal="left" vertical="bottom"/>
    </xf>
    <xf numFmtId="49" fontId="31" borderId="40" applyNumberFormat="1" applyFont="1" applyFill="0" applyBorder="1" applyAlignment="1" applyProtection="0">
      <alignment horizontal="left" vertical="bottom"/>
    </xf>
    <xf numFmtId="0" fontId="31" borderId="1" applyNumberFormat="0" applyFont="1" applyFill="0" applyBorder="1" applyAlignment="1" applyProtection="0">
      <alignment horizontal="left" vertical="bottom"/>
    </xf>
    <xf numFmtId="0" fontId="31" borderId="36" applyNumberFormat="0" applyFont="1" applyFill="0" applyBorder="1" applyAlignment="1" applyProtection="0">
      <alignment horizontal="left" vertical="bottom"/>
    </xf>
    <xf numFmtId="49" fontId="31" borderId="41" applyNumberFormat="1" applyFont="1" applyFill="0" applyBorder="1" applyAlignment="1" applyProtection="0">
      <alignment horizontal="left" vertical="bottom"/>
    </xf>
    <xf numFmtId="0" fontId="31" borderId="35" applyNumberFormat="0" applyFont="1" applyFill="0" applyBorder="1" applyAlignment="1" applyProtection="0">
      <alignment horizontal="left" vertical="bottom"/>
    </xf>
    <xf numFmtId="0" fontId="31" borderId="42" applyNumberFormat="0" applyFont="1" applyFill="0" applyBorder="1" applyAlignment="1" applyProtection="0">
      <alignment horizontal="left" vertical="bottom"/>
    </xf>
    <xf numFmtId="49" fontId="32" borderId="37" applyNumberFormat="1" applyFont="1" applyFill="0" applyBorder="1" applyAlignment="1" applyProtection="0">
      <alignment horizontal="left" vertical="bottom"/>
    </xf>
    <xf numFmtId="0" fontId="32" borderId="38" applyNumberFormat="0" applyFont="1" applyFill="0" applyBorder="1" applyAlignment="1" applyProtection="0">
      <alignment horizontal="left" vertical="bottom"/>
    </xf>
    <xf numFmtId="0" fontId="32" borderId="39" applyNumberFormat="0" applyFont="1" applyFill="0" applyBorder="1" applyAlignment="1" applyProtection="0">
      <alignment horizontal="left" vertical="bottom"/>
    </xf>
    <xf numFmtId="49" fontId="31" borderId="43" applyNumberFormat="1" applyFont="1" applyFill="0" applyBorder="1" applyAlignment="1" applyProtection="0">
      <alignment horizontal="left" vertical="bottom"/>
    </xf>
    <xf numFmtId="0" fontId="31" borderId="2" applyNumberFormat="0" applyFont="1" applyFill="0" applyBorder="1" applyAlignment="1" applyProtection="0">
      <alignment horizontal="left" vertical="bottom"/>
    </xf>
    <xf numFmtId="0" fontId="31" borderId="44" applyNumberFormat="0" applyFont="1" applyFill="0" applyBorder="1" applyAlignment="1" applyProtection="0">
      <alignment horizontal="left" vertical="bottom"/>
    </xf>
    <xf numFmtId="0" fontId="0" applyNumberFormat="1" applyFont="1" applyFill="0" applyBorder="0" applyAlignment="1" applyProtection="0">
      <alignment vertical="bottom"/>
    </xf>
    <xf numFmtId="0" fontId="0" fillId="4" borderId="36" applyNumberFormat="0" applyFont="1" applyFill="1" applyBorder="1" applyAlignment="1" applyProtection="0">
      <alignment vertical="bottom"/>
    </xf>
    <xf numFmtId="0" fontId="33" fillId="4" borderId="13" applyNumberFormat="0" applyFont="1" applyFill="1" applyBorder="1" applyAlignment="1" applyProtection="0">
      <alignment horizontal="center" vertical="center"/>
    </xf>
    <xf numFmtId="0" fontId="33" fillId="4" borderId="14" applyNumberFormat="0" applyFont="1" applyFill="1" applyBorder="1" applyAlignment="1" applyProtection="0">
      <alignment horizontal="center" vertical="center"/>
    </xf>
    <xf numFmtId="0" fontId="33" fillId="4" borderId="45" applyNumberFormat="0" applyFont="1" applyFill="1" applyBorder="1" applyAlignment="1" applyProtection="0">
      <alignment horizontal="center" vertical="center"/>
    </xf>
    <xf numFmtId="0" fontId="0" fillId="4" borderId="46" applyNumberFormat="0" applyFont="1" applyFill="1" applyBorder="1" applyAlignment="1" applyProtection="0">
      <alignment vertical="bottom"/>
    </xf>
    <xf numFmtId="0" fontId="0" fillId="4" borderId="47" applyNumberFormat="0" applyFont="1" applyFill="1" applyBorder="1" applyAlignment="1" applyProtection="0">
      <alignment vertical="bottom"/>
    </xf>
    <xf numFmtId="0" fontId="0" fillId="4" borderId="48" applyNumberFormat="0" applyFont="1" applyFill="1" applyBorder="1" applyAlignment="1" applyProtection="0">
      <alignment vertical="bottom"/>
    </xf>
    <xf numFmtId="0" fontId="0" fillId="4" borderId="40" applyNumberFormat="0" applyFont="1" applyFill="1" applyBorder="1" applyAlignment="1" applyProtection="0">
      <alignment vertical="bottom"/>
    </xf>
    <xf numFmtId="0" fontId="0" fillId="4" borderId="1" applyNumberFormat="0" applyFont="1" applyFill="1" applyBorder="1" applyAlignment="1" applyProtection="0">
      <alignment vertical="bottom"/>
    </xf>
    <xf numFmtId="0" fontId="33" fillId="4" borderId="49" applyNumberFormat="0" applyFont="1" applyFill="1" applyBorder="1" applyAlignment="1" applyProtection="0">
      <alignment horizontal="center" vertical="center"/>
    </xf>
    <xf numFmtId="0" fontId="29" fillId="12" borderId="50" applyNumberFormat="0" applyFont="1" applyFill="1" applyBorder="1" applyAlignment="1" applyProtection="0">
      <alignment horizontal="center" vertical="bottom"/>
    </xf>
    <xf numFmtId="0" fontId="29" fillId="12" borderId="51" applyNumberFormat="0" applyFont="1" applyFill="1" applyBorder="1" applyAlignment="1" applyProtection="0">
      <alignment horizontal="center" vertical="bottom"/>
    </xf>
    <xf numFmtId="49" fontId="34" fillId="12" borderId="51" applyNumberFormat="1" applyFont="1" applyFill="1" applyBorder="1" applyAlignment="1" applyProtection="0">
      <alignment horizontal="center" vertical="center" wrapText="1"/>
    </xf>
    <xf numFmtId="49" fontId="34" fillId="12" borderId="52" applyNumberFormat="1" applyFont="1" applyFill="1" applyBorder="1" applyAlignment="1" applyProtection="0">
      <alignment horizontal="center" vertical="center" wrapText="1"/>
    </xf>
    <xf numFmtId="0" fontId="0" fillId="4" borderId="53" applyNumberFormat="0" applyFont="1" applyFill="1" applyBorder="1" applyAlignment="1" applyProtection="0">
      <alignment vertical="bottom"/>
    </xf>
    <xf numFmtId="0" fontId="29" fillId="12" borderId="54" applyNumberFormat="0" applyFont="1" applyFill="1" applyBorder="1" applyAlignment="1" applyProtection="0">
      <alignment horizontal="center" vertical="bottom"/>
    </xf>
    <xf numFmtId="0" fontId="29" fillId="12" borderId="4" applyNumberFormat="0" applyFont="1" applyFill="1" applyBorder="1" applyAlignment="1" applyProtection="0">
      <alignment horizontal="center" vertical="bottom"/>
    </xf>
    <xf numFmtId="49" fontId="34" fillId="12" borderId="4" applyNumberFormat="1" applyFont="1" applyFill="1" applyBorder="1" applyAlignment="1" applyProtection="0">
      <alignment horizontal="center" vertical="center" wrapText="1"/>
    </xf>
    <xf numFmtId="49" fontId="34" fillId="12" borderId="55" applyNumberFormat="1" applyFont="1" applyFill="1" applyBorder="1" applyAlignment="1" applyProtection="0">
      <alignment horizontal="center" vertical="center" wrapText="1"/>
    </xf>
    <xf numFmtId="14" fontId="34" fillId="12" borderId="4" applyNumberFormat="1" applyFont="1" applyFill="1" applyBorder="1" applyAlignment="1" applyProtection="0">
      <alignment horizontal="center" vertical="center" wrapText="1"/>
    </xf>
    <xf numFmtId="14" fontId="34" fillId="12" borderId="55" applyNumberFormat="1" applyFont="1" applyFill="1" applyBorder="1" applyAlignment="1" applyProtection="0">
      <alignment horizontal="center" vertical="center" wrapText="1"/>
    </xf>
    <xf numFmtId="0" fontId="29" fillId="12" borderId="56" applyNumberFormat="0" applyFont="1" applyFill="1" applyBorder="1" applyAlignment="1" applyProtection="0">
      <alignment horizontal="center" vertical="bottom"/>
    </xf>
    <xf numFmtId="0" fontId="29" fillId="12" borderId="57" applyNumberFormat="0" applyFont="1" applyFill="1" applyBorder="1" applyAlignment="1" applyProtection="0">
      <alignment horizontal="center" vertical="bottom"/>
    </xf>
    <xf numFmtId="49" fontId="34" fillId="12" borderId="57" applyNumberFormat="1" applyFont="1" applyFill="1" applyBorder="1" applyAlignment="1" applyProtection="0">
      <alignment horizontal="center" vertical="center" wrapText="1"/>
    </xf>
    <xf numFmtId="14" fontId="34" fillId="12" borderId="57" applyNumberFormat="1" applyFont="1" applyFill="1" applyBorder="1" applyAlignment="1" applyProtection="0">
      <alignment horizontal="center" vertical="center" wrapText="1"/>
    </xf>
    <xf numFmtId="14" fontId="34" fillId="12" borderId="58" applyNumberFormat="1" applyFont="1" applyFill="1" applyBorder="1" applyAlignment="1" applyProtection="0">
      <alignment horizontal="center" vertical="center" wrapText="1"/>
    </xf>
    <xf numFmtId="0" fontId="33" fillId="4" borderId="16" applyNumberFormat="0" applyFont="1" applyFill="1" applyBorder="1" applyAlignment="1" applyProtection="0">
      <alignment horizontal="center" vertical="center"/>
    </xf>
    <xf numFmtId="0" fontId="33" fillId="4" borderId="17" applyNumberFormat="0" applyFont="1" applyFill="1" applyBorder="1" applyAlignment="1" applyProtection="0">
      <alignment horizontal="center" vertical="center"/>
    </xf>
    <xf numFmtId="0" fontId="0" fillId="4" borderId="45" applyNumberFormat="0" applyFont="1" applyFill="1" applyBorder="1" applyAlignment="1" applyProtection="0">
      <alignment vertical="bottom"/>
    </xf>
    <xf numFmtId="14" fontId="0" fillId="4" borderId="45" applyNumberFormat="1" applyFont="1" applyFill="1" applyBorder="1" applyAlignment="1" applyProtection="0">
      <alignment vertical="bottom"/>
    </xf>
    <xf numFmtId="0" fontId="0" fillId="4" borderId="59" applyNumberFormat="0" applyFont="1" applyFill="1" applyBorder="1" applyAlignment="1" applyProtection="0">
      <alignment vertical="bottom"/>
    </xf>
    <xf numFmtId="0" fontId="35" fillId="4" borderId="59" applyNumberFormat="0" applyFont="1" applyFill="1" applyBorder="1" applyAlignment="1" applyProtection="0">
      <alignment vertical="bottom"/>
    </xf>
    <xf numFmtId="0" fontId="35" fillId="4" borderId="50" applyNumberFormat="0" applyFont="1" applyFill="1" applyBorder="1" applyAlignment="1" applyProtection="0">
      <alignment horizontal="center" vertical="center"/>
    </xf>
    <xf numFmtId="0" fontId="35" fillId="4" borderId="51" applyNumberFormat="0" applyFont="1" applyFill="1" applyBorder="1" applyAlignment="1" applyProtection="0">
      <alignment horizontal="center" vertical="center"/>
    </xf>
    <xf numFmtId="0" fontId="36" fillId="4" borderId="60" applyNumberFormat="0" applyFont="1" applyFill="1" applyBorder="1" applyAlignment="1" applyProtection="0">
      <alignment horizontal="center" vertical="center"/>
    </xf>
    <xf numFmtId="0" fontId="36" fillId="4" borderId="61" applyNumberFormat="0" applyFont="1" applyFill="1" applyBorder="1" applyAlignment="1" applyProtection="0">
      <alignment horizontal="center" vertical="center"/>
    </xf>
    <xf numFmtId="0" fontId="36" fillId="4" borderId="62" applyNumberFormat="0" applyFont="1" applyFill="1" applyBorder="1" applyAlignment="1" applyProtection="0">
      <alignment horizontal="center" vertical="center"/>
    </xf>
    <xf numFmtId="0" fontId="36" fillId="4" borderId="63" applyNumberFormat="0" applyFont="1" applyFill="1" applyBorder="1" applyAlignment="1" applyProtection="0">
      <alignment horizontal="center" vertical="center"/>
    </xf>
    <xf numFmtId="0" fontId="35" fillId="4" borderId="64" applyNumberFormat="0" applyFont="1" applyFill="1" applyBorder="1" applyAlignment="1" applyProtection="0">
      <alignment horizontal="center" vertical="center"/>
    </xf>
    <xf numFmtId="0" fontId="35" fillId="4" borderId="65" applyNumberFormat="0" applyFont="1" applyFill="1" applyBorder="1" applyAlignment="1" applyProtection="0">
      <alignment horizontal="center" vertical="center"/>
    </xf>
    <xf numFmtId="49" fontId="36" fillId="4" borderId="66" applyNumberFormat="1" applyFont="1" applyFill="1" applyBorder="1" applyAlignment="1" applyProtection="0">
      <alignment horizontal="center" vertical="center"/>
    </xf>
    <xf numFmtId="0" fontId="36" fillId="4" borderId="67" applyNumberFormat="0" applyFont="1" applyFill="1" applyBorder="1" applyAlignment="1" applyProtection="0">
      <alignment horizontal="center" vertical="center"/>
    </xf>
    <xf numFmtId="49" fontId="36" fillId="4" borderId="51" applyNumberFormat="1" applyFont="1" applyFill="1" applyBorder="1" applyAlignment="1" applyProtection="0">
      <alignment horizontal="center" vertical="center"/>
    </xf>
    <xf numFmtId="49" fontId="36" fillId="4" borderId="52" applyNumberFormat="1" applyFont="1" applyFill="1" applyBorder="1" applyAlignment="1" applyProtection="0">
      <alignment horizontal="center" vertical="center"/>
    </xf>
    <xf numFmtId="0" fontId="35" fillId="4" borderId="53" applyNumberFormat="0" applyFont="1" applyFill="1" applyBorder="1" applyAlignment="1" applyProtection="0">
      <alignment vertical="bottom"/>
    </xf>
    <xf numFmtId="0" fontId="35" fillId="4" borderId="56" applyNumberFormat="0" applyFont="1" applyFill="1" applyBorder="1" applyAlignment="1" applyProtection="0">
      <alignment horizontal="center" vertical="center"/>
    </xf>
    <xf numFmtId="0" fontId="35" fillId="4" borderId="57" applyNumberFormat="0" applyFont="1" applyFill="1" applyBorder="1" applyAlignment="1" applyProtection="0">
      <alignment horizontal="center" vertical="center"/>
    </xf>
    <xf numFmtId="49" fontId="36" fillId="4" borderId="60" applyNumberFormat="1" applyFont="1" applyFill="1" applyBorder="1" applyAlignment="1" applyProtection="0">
      <alignment horizontal="center" vertical="center"/>
    </xf>
    <xf numFmtId="49" fontId="36" fillId="4" borderId="62" applyNumberFormat="1" applyFont="1" applyFill="1" applyBorder="1" applyAlignment="1" applyProtection="0">
      <alignment horizontal="center" vertical="center"/>
    </xf>
    <xf numFmtId="49" fontId="36" fillId="4" borderId="63" applyNumberFormat="1" applyFont="1" applyFill="1" applyBorder="1" applyAlignment="1" applyProtection="0">
      <alignment horizontal="center" vertical="center"/>
    </xf>
    <xf numFmtId="0" fontId="35" fillId="4" borderId="68" applyNumberFormat="0" applyFont="1" applyFill="1" applyBorder="1" applyAlignment="1" applyProtection="0">
      <alignment horizontal="center" vertical="center"/>
    </xf>
    <xf numFmtId="0" fontId="35" fillId="4" borderId="69" applyNumberFormat="0" applyFont="1" applyFill="1" applyBorder="1" applyAlignment="1" applyProtection="0">
      <alignment horizontal="center" vertical="center"/>
    </xf>
    <xf numFmtId="49" fontId="36" fillId="4" borderId="57" applyNumberFormat="1" applyFont="1" applyFill="1" applyBorder="1" applyAlignment="1" applyProtection="0">
      <alignment horizontal="center" vertical="center"/>
    </xf>
    <xf numFmtId="49" fontId="36" fillId="4" borderId="58" applyNumberFormat="1" applyFont="1" applyFill="1" applyBorder="1" applyAlignment="1" applyProtection="0">
      <alignment horizontal="center" vertical="center"/>
    </xf>
    <xf numFmtId="49" fontId="37" fillId="13" borderId="50" applyNumberFormat="1" applyFont="1" applyFill="1" applyBorder="1" applyAlignment="1" applyProtection="0">
      <alignment horizontal="center" vertical="center"/>
    </xf>
    <xf numFmtId="0" fontId="37" fillId="13" borderId="51" applyNumberFormat="0" applyFont="1" applyFill="1" applyBorder="1" applyAlignment="1" applyProtection="0">
      <alignment horizontal="center" vertical="center"/>
    </xf>
    <xf numFmtId="0" fontId="37" fillId="13" borderId="52" applyNumberFormat="0" applyFont="1" applyFill="1" applyBorder="1" applyAlignment="1" applyProtection="0">
      <alignment horizontal="center" vertical="center"/>
    </xf>
    <xf numFmtId="49" fontId="37" fillId="13" borderId="70" applyNumberFormat="1" applyFont="1" applyFill="1" applyBorder="1" applyAlignment="1" applyProtection="0">
      <alignment horizontal="center" vertical="center"/>
    </xf>
    <xf numFmtId="0" fontId="37" fillId="13" borderId="62" applyNumberFormat="0" applyFont="1" applyFill="1" applyBorder="1" applyAlignment="1" applyProtection="0">
      <alignment horizontal="center" vertical="center"/>
    </xf>
    <xf numFmtId="0" fontId="37" fillId="13" borderId="63" applyNumberFormat="0" applyFont="1" applyFill="1" applyBorder="1" applyAlignment="1" applyProtection="0">
      <alignment horizontal="center" vertical="center"/>
    </xf>
    <xf numFmtId="49" fontId="35" fillId="4" borderId="53" applyNumberFormat="1" applyFont="1" applyFill="1" applyBorder="1" applyAlignment="1" applyProtection="0">
      <alignment vertical="bottom"/>
    </xf>
    <xf numFmtId="49" fontId="36" fillId="14" borderId="71" applyNumberFormat="1" applyFont="1" applyFill="1" applyBorder="1" applyAlignment="1" applyProtection="0">
      <alignment horizontal="left" vertical="center"/>
    </xf>
    <xf numFmtId="0" fontId="36" fillId="14" borderId="29" applyNumberFormat="0" applyFont="1" applyFill="1" applyBorder="1" applyAlignment="1" applyProtection="0">
      <alignment horizontal="left" vertical="center"/>
    </xf>
    <xf numFmtId="0" fontId="36" fillId="14" borderId="7" applyNumberFormat="0" applyFont="1" applyFill="1" applyBorder="1" applyAlignment="1" applyProtection="0">
      <alignment horizontal="left" vertical="center"/>
    </xf>
    <xf numFmtId="49" fontId="36" fillId="14" borderId="6" applyNumberFormat="1" applyFont="1" applyFill="1" applyBorder="1" applyAlignment="1" applyProtection="0">
      <alignment horizontal="center" vertical="center"/>
    </xf>
    <xf numFmtId="49" fontId="36" fillId="14" borderId="29" applyNumberFormat="1" applyFont="1" applyFill="1" applyBorder="1" applyAlignment="1" applyProtection="0">
      <alignment horizontal="center" vertical="center"/>
    </xf>
    <xf numFmtId="49" fontId="36" fillId="14" borderId="72" applyNumberFormat="1" applyFont="1" applyFill="1" applyBorder="1" applyAlignment="1" applyProtection="0">
      <alignment horizontal="center" vertical="center"/>
    </xf>
    <xf numFmtId="49" fontId="36" fillId="14" borderId="73" applyNumberFormat="1" applyFont="1" applyFill="1" applyBorder="1" applyAlignment="1" applyProtection="0">
      <alignment horizontal="left" vertical="center"/>
    </xf>
    <xf numFmtId="0" fontId="36" fillId="14" borderId="74" applyNumberFormat="0" applyFont="1" applyFill="1" applyBorder="1" applyAlignment="1" applyProtection="0">
      <alignment horizontal="left" vertical="center"/>
    </xf>
    <xf numFmtId="0" fontId="36" fillId="14" borderId="67" applyNumberFormat="0" applyFont="1" applyFill="1" applyBorder="1" applyAlignment="1" applyProtection="0">
      <alignment horizontal="left" vertical="center"/>
    </xf>
    <xf numFmtId="49" fontId="36" fillId="14" borderId="66" applyNumberFormat="1" applyFont="1" applyFill="1" applyBorder="1" applyAlignment="1" applyProtection="0">
      <alignment horizontal="center" vertical="center"/>
    </xf>
    <xf numFmtId="49" fontId="36" fillId="14" borderId="74" applyNumberFormat="1" applyFont="1" applyFill="1" applyBorder="1" applyAlignment="1" applyProtection="0">
      <alignment horizontal="center" vertical="center"/>
    </xf>
    <xf numFmtId="49" fontId="36" fillId="14" borderId="75" applyNumberFormat="1" applyFont="1" applyFill="1" applyBorder="1" applyAlignment="1" applyProtection="0">
      <alignment horizontal="center" vertical="center"/>
    </xf>
    <xf numFmtId="62" fontId="35" fillId="4" borderId="1" applyNumberFormat="1" applyFont="1" applyFill="1" applyBorder="1" applyAlignment="1" applyProtection="0">
      <alignment horizontal="center" vertical="center"/>
    </xf>
    <xf numFmtId="49" fontId="35" fillId="4" borderId="76" applyNumberFormat="1" applyFont="1" applyFill="1" applyBorder="1" applyAlignment="1" applyProtection="0">
      <alignment horizontal="left" vertical="center"/>
    </xf>
    <xf numFmtId="0" fontId="35" fillId="4" borderId="77" applyNumberFormat="0" applyFont="1" applyFill="1" applyBorder="1" applyAlignment="1" applyProtection="0">
      <alignment horizontal="left" vertical="center"/>
    </xf>
    <xf numFmtId="0" fontId="35" fillId="4" borderId="78" applyNumberFormat="0" applyFont="1" applyFill="1" applyBorder="1" applyAlignment="1" applyProtection="0">
      <alignment horizontal="left" vertical="center"/>
    </xf>
    <xf numFmtId="62" fontId="35" fillId="4" borderId="4" applyNumberFormat="1" applyFont="1" applyFill="1" applyBorder="1" applyAlignment="1" applyProtection="0">
      <alignment horizontal="center" vertical="center"/>
    </xf>
    <xf numFmtId="10" fontId="35" fillId="4" borderId="4" applyNumberFormat="1" applyFont="1" applyFill="1" applyBorder="1" applyAlignment="1" applyProtection="0">
      <alignment horizontal="center" vertical="center"/>
    </xf>
    <xf numFmtId="62" fontId="35" fillId="4" borderId="55" applyNumberFormat="1" applyFont="1" applyFill="1" applyBorder="1" applyAlignment="1" applyProtection="0">
      <alignment horizontal="center" vertical="center"/>
    </xf>
    <xf numFmtId="49" fontId="35" fillId="4" borderId="76" applyNumberFormat="1" applyFont="1" applyFill="1" applyBorder="1" applyAlignment="1" applyProtection="0">
      <alignment horizontal="left" vertical="bottom"/>
    </xf>
    <xf numFmtId="0" fontId="35" fillId="4" borderId="77" applyNumberFormat="0" applyFont="1" applyFill="1" applyBorder="1" applyAlignment="1" applyProtection="0">
      <alignment horizontal="left" vertical="bottom"/>
    </xf>
    <xf numFmtId="0" fontId="35" fillId="4" borderId="78" applyNumberFormat="0" applyFont="1" applyFill="1" applyBorder="1" applyAlignment="1" applyProtection="0">
      <alignment horizontal="left" vertical="bottom"/>
    </xf>
    <xf numFmtId="60" fontId="35" fillId="4" borderId="4" applyNumberFormat="1" applyFont="1" applyFill="1" applyBorder="1" applyAlignment="1" applyProtection="0">
      <alignment horizontal="center" vertical="center"/>
    </xf>
    <xf numFmtId="49" fontId="35" fillId="4" borderId="79" applyNumberFormat="1" applyFont="1" applyFill="1" applyBorder="1" applyAlignment="1" applyProtection="0">
      <alignment horizontal="left" vertical="bottom"/>
    </xf>
    <xf numFmtId="0" fontId="35" fillId="4" borderId="80" applyNumberFormat="0" applyFont="1" applyFill="1" applyBorder="1" applyAlignment="1" applyProtection="0">
      <alignment horizontal="left" vertical="bottom"/>
    </xf>
    <xf numFmtId="0" fontId="35" fillId="4" borderId="81" applyNumberFormat="0" applyFont="1" applyFill="1" applyBorder="1" applyAlignment="1" applyProtection="0">
      <alignment horizontal="left" vertical="bottom"/>
    </xf>
    <xf numFmtId="62" fontId="35" fillId="4" borderId="57" applyNumberFormat="1" applyFont="1" applyFill="1" applyBorder="1" applyAlignment="1" applyProtection="0">
      <alignment horizontal="center" vertical="center"/>
    </xf>
    <xf numFmtId="60" fontId="35" fillId="4" borderId="57" applyNumberFormat="1" applyFont="1" applyFill="1" applyBorder="1" applyAlignment="1" applyProtection="0">
      <alignment horizontal="center" vertical="center"/>
    </xf>
    <xf numFmtId="62" fontId="35" fillId="4" borderId="58" applyNumberFormat="1" applyFont="1" applyFill="1" applyBorder="1" applyAlignment="1" applyProtection="0">
      <alignment horizontal="center" vertical="center"/>
    </xf>
    <xf numFmtId="0" fontId="36" fillId="14" borderId="71" applyNumberFormat="0" applyFont="1" applyFill="1" applyBorder="1" applyAlignment="1" applyProtection="0">
      <alignment horizontal="left" vertical="center"/>
    </xf>
    <xf numFmtId="62" fontId="35" fillId="14" borderId="6" applyNumberFormat="1" applyFont="1" applyFill="1" applyBorder="1" applyAlignment="1" applyProtection="0">
      <alignment horizontal="center" vertical="center"/>
    </xf>
    <xf numFmtId="62" fontId="35" fillId="14" borderId="29" applyNumberFormat="1" applyFont="1" applyFill="1" applyBorder="1" applyAlignment="1" applyProtection="0">
      <alignment horizontal="center" vertical="center"/>
    </xf>
    <xf numFmtId="62" fontId="35" fillId="14" borderId="72" applyNumberFormat="1" applyFont="1" applyFill="1" applyBorder="1" applyAlignment="1" applyProtection="0">
      <alignment horizontal="center" vertical="center"/>
    </xf>
    <xf numFmtId="49" fontId="36" fillId="14" borderId="82" applyNumberFormat="1" applyFont="1" applyFill="1" applyBorder="1" applyAlignment="1" applyProtection="0">
      <alignment horizontal="left" vertical="center" wrapText="1"/>
    </xf>
    <xf numFmtId="0" fontId="36" fillId="14" borderId="45" applyNumberFormat="0" applyFont="1" applyFill="1" applyBorder="1" applyAlignment="1" applyProtection="0">
      <alignment horizontal="left" vertical="center" wrapText="1"/>
    </xf>
    <xf numFmtId="0" fontId="36" fillId="14" borderId="61" applyNumberFormat="0" applyFont="1" applyFill="1" applyBorder="1" applyAlignment="1" applyProtection="0">
      <alignment horizontal="left" vertical="center" wrapText="1"/>
    </xf>
    <xf numFmtId="62" fontId="36" fillId="14" borderId="62" applyNumberFormat="1" applyFont="1" applyFill="1" applyBorder="1" applyAlignment="1" applyProtection="0">
      <alignment horizontal="center" vertical="center"/>
    </xf>
    <xf numFmtId="62" fontId="36" fillId="14" borderId="63" applyNumberFormat="1" applyFont="1" applyFill="1" applyBorder="1" applyAlignment="1" applyProtection="0">
      <alignment horizontal="center" vertical="center"/>
    </xf>
    <xf numFmtId="0" fontId="36" fillId="14" borderId="73" applyNumberFormat="0" applyFont="1" applyFill="1" applyBorder="1" applyAlignment="1" applyProtection="0">
      <alignment horizontal="center" vertical="center"/>
    </xf>
    <xf numFmtId="0" fontId="36" fillId="14" borderId="74" applyNumberFormat="0" applyFont="1" applyFill="1" applyBorder="1" applyAlignment="1" applyProtection="0">
      <alignment horizontal="center" vertical="center"/>
    </xf>
    <xf numFmtId="0" fontId="36" fillId="14" borderId="75" applyNumberFormat="0" applyFont="1" applyFill="1" applyBorder="1" applyAlignment="1" applyProtection="0">
      <alignment horizontal="center" vertical="center"/>
    </xf>
    <xf numFmtId="49" fontId="36" fillId="14" borderId="6" applyNumberFormat="1" applyFont="1" applyFill="1" applyBorder="1" applyAlignment="1" applyProtection="0">
      <alignment horizontal="left" vertical="center"/>
    </xf>
    <xf numFmtId="49" fontId="36" fillId="14" borderId="7" applyNumberFormat="1" applyFont="1" applyFill="1" applyBorder="1" applyAlignment="1" applyProtection="0">
      <alignment horizontal="center" vertical="center"/>
    </xf>
    <xf numFmtId="0" fontId="0" fillId="4" borderId="83" applyNumberFormat="0" applyFont="1" applyFill="1" applyBorder="1" applyAlignment="1" applyProtection="0">
      <alignment vertical="bottom"/>
    </xf>
    <xf numFmtId="3" fontId="35" fillId="4" borderId="4" applyNumberFormat="1" applyFont="1" applyFill="1" applyBorder="1" applyAlignment="1" applyProtection="0">
      <alignment horizontal="center" vertical="bottom"/>
    </xf>
    <xf numFmtId="60" fontId="35" fillId="4" borderId="4" applyNumberFormat="1" applyFont="1" applyFill="1" applyBorder="1" applyAlignment="1" applyProtection="0">
      <alignment horizontal="center" vertical="bottom"/>
    </xf>
    <xf numFmtId="0" fontId="35" fillId="4" borderId="79" applyNumberFormat="0" applyFont="1" applyFill="1" applyBorder="1" applyAlignment="1" applyProtection="0">
      <alignment horizontal="left" vertical="center"/>
    </xf>
    <xf numFmtId="0" fontId="35" fillId="4" borderId="80" applyNumberFormat="0" applyFont="1" applyFill="1" applyBorder="1" applyAlignment="1" applyProtection="0">
      <alignment horizontal="left" vertical="center"/>
    </xf>
    <xf numFmtId="0" fontId="35" fillId="4" borderId="81" applyNumberFormat="0" applyFont="1" applyFill="1" applyBorder="1" applyAlignment="1" applyProtection="0">
      <alignment horizontal="left" vertical="center"/>
    </xf>
    <xf numFmtId="9" fontId="35" fillId="4" borderId="57" applyNumberFormat="1" applyFont="1" applyFill="1" applyBorder="1" applyAlignment="1" applyProtection="0">
      <alignment horizontal="center" vertical="center"/>
    </xf>
    <xf numFmtId="3" fontId="35" fillId="4" borderId="57" applyNumberFormat="1" applyFont="1" applyFill="1" applyBorder="1" applyAlignment="1" applyProtection="0">
      <alignment horizontal="center" vertical="bottom"/>
    </xf>
    <xf numFmtId="60" fontId="35" fillId="4" borderId="57" applyNumberFormat="1" applyFont="1" applyFill="1" applyBorder="1" applyAlignment="1" applyProtection="0">
      <alignment horizontal="center" vertical="bottom"/>
    </xf>
    <xf numFmtId="49" fontId="36" fillId="14" borderId="70" applyNumberFormat="1" applyFont="1" applyFill="1" applyBorder="1" applyAlignment="1" applyProtection="0">
      <alignment horizontal="left" vertical="center" wrapText="1"/>
    </xf>
    <xf numFmtId="0" fontId="36" fillId="14" borderId="62" applyNumberFormat="0" applyFont="1" applyFill="1" applyBorder="1" applyAlignment="1" applyProtection="0">
      <alignment horizontal="left" vertical="center" wrapText="1"/>
    </xf>
    <xf numFmtId="1" fontId="0" fillId="4" borderId="40" applyNumberFormat="1" applyFont="1" applyFill="1" applyBorder="1" applyAlignment="1" applyProtection="0">
      <alignment vertical="bottom"/>
    </xf>
    <xf numFmtId="63" fontId="0" fillId="4" borderId="1" applyNumberFormat="1" applyFont="1" applyFill="1" applyBorder="1" applyAlignment="1" applyProtection="0">
      <alignment vertical="bottom"/>
    </xf>
    <xf numFmtId="0" fontId="37" fillId="13" borderId="82" applyNumberFormat="0" applyFont="1" applyFill="1" applyBorder="1" applyAlignment="1" applyProtection="0">
      <alignment horizontal="center" vertical="center"/>
    </xf>
    <xf numFmtId="0" fontId="37" fillId="13" borderId="45" applyNumberFormat="0" applyFont="1" applyFill="1" applyBorder="1" applyAlignment="1" applyProtection="0">
      <alignment horizontal="center" vertical="center"/>
    </xf>
    <xf numFmtId="0" fontId="37" fillId="13" borderId="61" applyNumberFormat="0" applyFont="1" applyFill="1" applyBorder="1" applyAlignment="1" applyProtection="0">
      <alignment horizontal="center" vertical="center"/>
    </xf>
    <xf numFmtId="64" fontId="0" fillId="4" borderId="40" applyNumberFormat="1" applyFont="1" applyFill="1" applyBorder="1" applyAlignment="1" applyProtection="0">
      <alignment vertical="bottom"/>
    </xf>
    <xf numFmtId="62" fontId="0" fillId="4" borderId="40" applyNumberFormat="1" applyFont="1" applyFill="1" applyBorder="1" applyAlignment="1" applyProtection="0">
      <alignment vertical="bottom"/>
    </xf>
    <xf numFmtId="9" fontId="35" fillId="4" borderId="4" applyNumberFormat="1" applyFont="1" applyFill="1" applyBorder="1" applyAlignment="1" applyProtection="0">
      <alignment horizontal="center" vertical="center"/>
    </xf>
    <xf numFmtId="49" fontId="35" fillId="4" borderId="79" applyNumberFormat="1" applyFont="1" applyFill="1" applyBorder="1" applyAlignment="1" applyProtection="0">
      <alignment horizontal="left" vertical="center"/>
    </xf>
    <xf numFmtId="49" fontId="36" fillId="14" borderId="73" applyNumberFormat="1" applyFont="1" applyFill="1" applyBorder="1" applyAlignment="1" applyProtection="0">
      <alignment horizontal="left" vertical="center" wrapText="1"/>
    </xf>
    <xf numFmtId="0" fontId="36" fillId="14" borderId="74" applyNumberFormat="0" applyFont="1" applyFill="1" applyBorder="1" applyAlignment="1" applyProtection="0">
      <alignment horizontal="left" vertical="center" wrapText="1"/>
    </xf>
    <xf numFmtId="0" fontId="36" fillId="14" borderId="67" applyNumberFormat="0" applyFont="1" applyFill="1" applyBorder="1" applyAlignment="1" applyProtection="0">
      <alignment horizontal="left" vertical="center" wrapText="1"/>
    </xf>
    <xf numFmtId="62" fontId="36" fillId="14" borderId="51" applyNumberFormat="1" applyFont="1" applyFill="1" applyBorder="1" applyAlignment="1" applyProtection="0">
      <alignment horizontal="center" vertical="center"/>
    </xf>
    <xf numFmtId="9" fontId="36" fillId="14" borderId="51" applyNumberFormat="1" applyFont="1" applyFill="1" applyBorder="1" applyAlignment="1" applyProtection="0">
      <alignment horizontal="center" vertical="center"/>
    </xf>
    <xf numFmtId="62" fontId="36" fillId="14" borderId="52" applyNumberFormat="1" applyFont="1" applyFill="1" applyBorder="1" applyAlignment="1" applyProtection="0">
      <alignment horizontal="center" vertical="center"/>
    </xf>
    <xf numFmtId="10" fontId="35" fillId="4" borderId="57" applyNumberFormat="1" applyFont="1" applyFill="1" applyBorder="1" applyAlignment="1" applyProtection="0">
      <alignment horizontal="center" vertical="center"/>
    </xf>
    <xf numFmtId="0" fontId="36" fillId="14" borderId="82" applyNumberFormat="0" applyFont="1" applyFill="1" applyBorder="1" applyAlignment="1" applyProtection="0">
      <alignment horizontal="center" vertical="center"/>
    </xf>
    <xf numFmtId="0" fontId="36" fillId="14" borderId="45" applyNumberFormat="0" applyFont="1" applyFill="1" applyBorder="1" applyAlignment="1" applyProtection="0">
      <alignment horizontal="center" vertical="center"/>
    </xf>
    <xf numFmtId="0" fontId="36" fillId="14" borderId="84" applyNumberFormat="0" applyFont="1" applyFill="1" applyBorder="1" applyAlignment="1" applyProtection="0">
      <alignment horizontal="center" vertical="center"/>
    </xf>
    <xf numFmtId="0" fontId="35" fillId="4" borderId="1" applyNumberFormat="0" applyFont="1" applyFill="1" applyBorder="1" applyAlignment="1" applyProtection="0">
      <alignment vertical="bottom"/>
    </xf>
    <xf numFmtId="0" fontId="0" fillId="4" borderId="85" applyNumberFormat="0" applyFont="1" applyFill="1" applyBorder="1" applyAlignment="1" applyProtection="0">
      <alignment vertical="bottom"/>
    </xf>
    <xf numFmtId="3" fontId="38" fillId="4" borderId="85" applyNumberFormat="1" applyFont="1" applyFill="1" applyBorder="1" applyAlignment="1" applyProtection="0">
      <alignment horizontal="center" vertical="center"/>
    </xf>
    <xf numFmtId="3" fontId="38" fillId="4" borderId="1" applyNumberFormat="1" applyFont="1" applyFill="1" applyBorder="1" applyAlignment="1" applyProtection="0">
      <alignment horizontal="center" vertical="center"/>
    </xf>
    <xf numFmtId="62" fontId="0" fillId="4" borderId="36" applyNumberFormat="1" applyFont="1" applyFill="1" applyBorder="1" applyAlignment="1" applyProtection="0">
      <alignment vertical="bottom"/>
    </xf>
    <xf numFmtId="49" fontId="38" fillId="4" borderId="1" applyNumberFormat="1" applyFont="1" applyFill="1" applyBorder="1" applyAlignment="1" applyProtection="0">
      <alignment horizontal="center" vertical="center"/>
    </xf>
    <xf numFmtId="0" fontId="11" fillId="4" borderId="1" applyNumberFormat="0" applyFont="1" applyFill="1" applyBorder="1" applyAlignment="1" applyProtection="0">
      <alignment vertical="bottom"/>
    </xf>
    <xf numFmtId="65" fontId="0" fillId="4" borderId="1" applyNumberFormat="1" applyFont="1" applyFill="1" applyBorder="1" applyAlignment="1" applyProtection="0">
      <alignment vertical="bottom"/>
    </xf>
    <xf numFmtId="49" fontId="11" fillId="4" borderId="1" applyNumberFormat="1" applyFont="1" applyFill="1" applyBorder="1" applyAlignment="1" applyProtection="0">
      <alignment vertical="bottom"/>
    </xf>
    <xf numFmtId="62" fontId="11" fillId="4" borderId="1" applyNumberFormat="1" applyFont="1" applyFill="1" applyBorder="1" applyAlignment="1" applyProtection="0">
      <alignment vertical="bottom"/>
    </xf>
    <xf numFmtId="0" fontId="39" fillId="4" borderId="1" applyNumberFormat="0" applyFont="1" applyFill="1" applyBorder="1" applyAlignment="1" applyProtection="0">
      <alignment vertical="bottom"/>
    </xf>
    <xf numFmtId="0" fontId="12" fillId="4" borderId="1" applyNumberFormat="0" applyFont="1" applyFill="1" applyBorder="1" applyAlignment="1" applyProtection="0">
      <alignment vertical="bottom"/>
    </xf>
    <xf numFmtId="0" fontId="0" fillId="4" borderId="86" applyNumberFormat="0" applyFont="1" applyFill="1" applyBorder="1" applyAlignment="1" applyProtection="0">
      <alignment vertical="bottom"/>
    </xf>
    <xf numFmtId="0" fontId="0" fillId="4" borderId="87" applyNumberFormat="0" applyFont="1" applyFill="1" applyBorder="1" applyAlignment="1" applyProtection="0">
      <alignment vertical="bottom"/>
    </xf>
    <xf numFmtId="3" fontId="37" fillId="4" borderId="87" applyNumberFormat="1" applyFont="1" applyFill="1" applyBorder="1" applyAlignment="1" applyProtection="0">
      <alignment horizontal="center" vertical="center"/>
    </xf>
    <xf numFmtId="0" fontId="0" fillId="4" borderId="88" applyNumberFormat="0" applyFont="1" applyFill="1" applyBorder="1" applyAlignment="1" applyProtection="0">
      <alignment vertical="bottom"/>
    </xf>
    <xf numFmtId="0" fontId="35" fillId="4" borderId="1" applyNumberFormat="0" applyFont="1" applyFill="1" applyBorder="1" applyAlignment="1" applyProtection="0">
      <alignment vertical="center"/>
    </xf>
    <xf numFmtId="0" fontId="36" fillId="4" borderId="1" applyNumberFormat="0" applyFont="1" applyFill="1" applyBorder="1" applyAlignment="1" applyProtection="0">
      <alignment horizontal="center" vertical="center"/>
    </xf>
    <xf numFmtId="0" fontId="37" fillId="4" borderId="1" applyNumberFormat="0" applyFont="1" applyFill="1" applyBorder="1" applyAlignment="1" applyProtection="0">
      <alignment vertical="center"/>
    </xf>
    <xf numFmtId="0" fontId="35" fillId="4" borderId="1" applyNumberFormat="0" applyFont="1" applyFill="1" applyBorder="1" applyAlignment="1" applyProtection="0">
      <alignment horizontal="left" vertical="center"/>
    </xf>
    <xf numFmtId="62" fontId="36" fillId="4" borderId="1" applyNumberFormat="1" applyFont="1" applyFill="1" applyBorder="1" applyAlignment="1" applyProtection="0">
      <alignment horizontal="center" vertical="center"/>
    </xf>
    <xf numFmtId="9" fontId="35" fillId="4" borderId="1" applyNumberFormat="1"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e7e6e6"/>
      <rgbColor rgb="ffaaaaaa"/>
      <rgbColor rgb="ffffffff"/>
      <rgbColor rgb="ffffff00"/>
      <rgbColor rgb="ffbdd6ee"/>
      <rgbColor rgb="ffc5deb5"/>
      <rgbColor rgb="ffffc000"/>
      <rgbColor rgb="fffff2cb"/>
      <rgbColor rgb="ff763e18"/>
      <rgbColor rgb="ff44749f"/>
      <rgbColor rgb="ffc00000"/>
      <rgbColor rgb="ffdeeaf6"/>
      <rgbColor rgb="ff44546a"/>
      <rgbColor rgb="ffd9e2f3"/>
      <rgbColor rgb="fff2f2f2"/>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343307</xdr:colOff>
      <xdr:row>5</xdr:row>
      <xdr:rowOff>161432</xdr:rowOff>
    </xdr:from>
    <xdr:to>
      <xdr:col>3</xdr:col>
      <xdr:colOff>660807</xdr:colOff>
      <xdr:row>8</xdr:row>
      <xdr:rowOff>61870</xdr:rowOff>
    </xdr:to>
    <xdr:sp>
      <xdr:nvSpPr>
        <xdr:cNvPr id="2" name="Cilindro 1"/>
        <xdr:cNvSpPr/>
      </xdr:nvSpPr>
      <xdr:spPr>
        <a:xfrm>
          <a:off x="2299107" y="1234582"/>
          <a:ext cx="317501" cy="452889"/>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1893"/>
              </a:moveTo>
              <a:cubicBezTo>
                <a:pt x="21600" y="2938"/>
                <a:pt x="16765" y="3786"/>
                <a:pt x="10800" y="3786"/>
              </a:cubicBezTo>
              <a:cubicBezTo>
                <a:pt x="4835" y="3786"/>
                <a:pt x="0" y="2938"/>
                <a:pt x="0" y="1893"/>
              </a:cubicBezTo>
              <a:cubicBezTo>
                <a:pt x="0" y="847"/>
                <a:pt x="4835" y="0"/>
                <a:pt x="10800" y="0"/>
              </a:cubicBezTo>
              <a:cubicBezTo>
                <a:pt x="16765" y="0"/>
                <a:pt x="21600" y="847"/>
                <a:pt x="21600" y="1893"/>
              </a:cubicBezTo>
              <a:lnTo>
                <a:pt x="21600" y="19707"/>
              </a:lnTo>
              <a:cubicBezTo>
                <a:pt x="21600" y="20753"/>
                <a:pt x="16765" y="21600"/>
                <a:pt x="10800" y="21600"/>
              </a:cubicBezTo>
              <a:cubicBezTo>
                <a:pt x="4835" y="21600"/>
                <a:pt x="0" y="20753"/>
                <a:pt x="0" y="19707"/>
              </a:cubicBezTo>
              <a:lnTo>
                <a:pt x="0" y="1893"/>
              </a:lnTo>
            </a:path>
          </a:pathLst>
        </a:custGeom>
        <a:noFill/>
        <a:ln w="12700" cap="flat">
          <a:solidFill>
            <a:srgbClr val="32538F"/>
          </a:solidFill>
          <a:prstDash val="solid"/>
          <a:miter lim="800000"/>
        </a:ln>
        <a:effectLst/>
      </xdr:spPr>
      <xdr:txBody>
        <a:bodyPr/>
        <a:lstStyle/>
        <a:p>
          <a:pPr/>
        </a:p>
      </xdr:txBody>
    </xdr:sp>
    <xdr:clientData/>
  </xdr:twoCellAnchor>
  <xdr:twoCellAnchor>
    <xdr:from>
      <xdr:col>3</xdr:col>
      <xdr:colOff>329451</xdr:colOff>
      <xdr:row>21</xdr:row>
      <xdr:rowOff>24924</xdr:rowOff>
    </xdr:from>
    <xdr:to>
      <xdr:col>3</xdr:col>
      <xdr:colOff>646952</xdr:colOff>
      <xdr:row>23</xdr:row>
      <xdr:rowOff>105439</xdr:rowOff>
    </xdr:to>
    <xdr:sp>
      <xdr:nvSpPr>
        <xdr:cNvPr id="3" name="Cilindro 2"/>
        <xdr:cNvSpPr/>
      </xdr:nvSpPr>
      <xdr:spPr>
        <a:xfrm>
          <a:off x="2285251" y="4044474"/>
          <a:ext cx="317501" cy="54406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1576"/>
              </a:moveTo>
              <a:cubicBezTo>
                <a:pt x="21600" y="2446"/>
                <a:pt x="16765" y="3151"/>
                <a:pt x="10800" y="3151"/>
              </a:cubicBezTo>
              <a:cubicBezTo>
                <a:pt x="4835" y="3151"/>
                <a:pt x="0" y="2446"/>
                <a:pt x="0" y="1576"/>
              </a:cubicBezTo>
              <a:cubicBezTo>
                <a:pt x="0" y="705"/>
                <a:pt x="4835" y="0"/>
                <a:pt x="10800" y="0"/>
              </a:cubicBezTo>
              <a:cubicBezTo>
                <a:pt x="16765" y="0"/>
                <a:pt x="21600" y="705"/>
                <a:pt x="21600" y="1576"/>
              </a:cubicBezTo>
              <a:lnTo>
                <a:pt x="21600" y="20024"/>
              </a:lnTo>
              <a:cubicBezTo>
                <a:pt x="21600" y="20895"/>
                <a:pt x="16765" y="21600"/>
                <a:pt x="10800" y="21600"/>
              </a:cubicBezTo>
              <a:cubicBezTo>
                <a:pt x="4835" y="21600"/>
                <a:pt x="0" y="20895"/>
                <a:pt x="0" y="20024"/>
              </a:cubicBezTo>
              <a:lnTo>
                <a:pt x="0" y="1576"/>
              </a:lnTo>
            </a:path>
          </a:pathLst>
        </a:custGeom>
        <a:noFill/>
        <a:ln w="12700" cap="flat">
          <a:solidFill>
            <a:srgbClr val="32538F"/>
          </a:solidFill>
          <a:prstDash val="solid"/>
          <a:miter lim="800000"/>
        </a:ln>
        <a:effectLst/>
      </xdr:spPr>
      <xdr:txBody>
        <a:bodyPr/>
        <a:lstStyle/>
        <a:p>
          <a:pPr/>
        </a:p>
      </xdr:txBody>
    </xdr:sp>
    <xdr:clientData/>
  </xdr:twoCellAnchor>
  <xdr:twoCellAnchor>
    <xdr:from>
      <xdr:col>3</xdr:col>
      <xdr:colOff>444908</xdr:colOff>
      <xdr:row>12</xdr:row>
      <xdr:rowOff>104861</xdr:rowOff>
    </xdr:from>
    <xdr:to>
      <xdr:col>3</xdr:col>
      <xdr:colOff>559208</xdr:colOff>
      <xdr:row>18</xdr:row>
      <xdr:rowOff>35010</xdr:rowOff>
    </xdr:to>
    <xdr:sp>
      <xdr:nvSpPr>
        <xdr:cNvPr id="4" name="Cilindro 3"/>
        <xdr:cNvSpPr/>
      </xdr:nvSpPr>
      <xdr:spPr>
        <a:xfrm>
          <a:off x="2400708" y="2467061"/>
          <a:ext cx="114301" cy="1035050"/>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298"/>
              </a:moveTo>
              <a:cubicBezTo>
                <a:pt x="21600" y="463"/>
                <a:pt x="16765" y="596"/>
                <a:pt x="10800" y="596"/>
              </a:cubicBezTo>
              <a:cubicBezTo>
                <a:pt x="4835" y="596"/>
                <a:pt x="0" y="463"/>
                <a:pt x="0" y="298"/>
              </a:cubicBezTo>
              <a:cubicBezTo>
                <a:pt x="0" y="133"/>
                <a:pt x="4835" y="0"/>
                <a:pt x="10800" y="0"/>
              </a:cubicBezTo>
              <a:cubicBezTo>
                <a:pt x="16765" y="0"/>
                <a:pt x="21600" y="133"/>
                <a:pt x="21600" y="298"/>
              </a:cubicBezTo>
              <a:lnTo>
                <a:pt x="21600" y="21302"/>
              </a:lnTo>
              <a:cubicBezTo>
                <a:pt x="21600" y="21467"/>
                <a:pt x="16765" y="21600"/>
                <a:pt x="10800" y="21600"/>
              </a:cubicBezTo>
              <a:cubicBezTo>
                <a:pt x="4835" y="21600"/>
                <a:pt x="0" y="21467"/>
                <a:pt x="0" y="21302"/>
              </a:cubicBezTo>
              <a:lnTo>
                <a:pt x="0" y="298"/>
              </a:lnTo>
            </a:path>
          </a:pathLst>
        </a:custGeom>
        <a:noFill/>
        <a:ln w="12700" cap="flat">
          <a:solidFill>
            <a:srgbClr val="32538F"/>
          </a:solidFill>
          <a:prstDash val="solid"/>
          <a:miter lim="800000"/>
        </a:ln>
        <a:effectLst/>
      </xdr:spPr>
      <xdr:txBody>
        <a:bodyPr/>
        <a:lstStyle/>
        <a:p>
          <a:pPr/>
        </a:p>
      </xdr:txBody>
    </xdr:sp>
    <xdr:clientData/>
  </xdr:twoCellAnchor>
  <xdr:twoCellAnchor>
    <xdr:from>
      <xdr:col>5</xdr:col>
      <xdr:colOff>90713</xdr:colOff>
      <xdr:row>38</xdr:row>
      <xdr:rowOff>18233</xdr:rowOff>
    </xdr:from>
    <xdr:to>
      <xdr:col>6</xdr:col>
      <xdr:colOff>761998</xdr:colOff>
      <xdr:row>40</xdr:row>
      <xdr:rowOff>163195</xdr:rowOff>
    </xdr:to>
    <xdr:grpSp>
      <xdr:nvGrpSpPr>
        <xdr:cNvPr id="7" name="Rectángulo: esquinas superiores cortadas 5"/>
        <xdr:cNvGrpSpPr/>
      </xdr:nvGrpSpPr>
      <xdr:grpSpPr>
        <a:xfrm>
          <a:off x="4370613" y="7336608"/>
          <a:ext cx="1496786" cy="513263"/>
          <a:chOff x="0" y="-27123"/>
          <a:chExt cx="1496785" cy="513262"/>
        </a:xfrm>
      </xdr:grpSpPr>
      <xdr:sp>
        <xdr:nvSpPr>
          <xdr:cNvPr id="5" name="Shape"/>
          <xdr:cNvSpPr/>
        </xdr:nvSpPr>
        <xdr:spPr>
          <a:xfrm>
            <a:off x="-1" y="-1"/>
            <a:ext cx="1496787" cy="45901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9400" y="0"/>
                </a:moveTo>
                <a:lnTo>
                  <a:pt x="13343" y="589"/>
                </a:lnTo>
                <a:lnTo>
                  <a:pt x="21600" y="11389"/>
                </a:lnTo>
                <a:lnTo>
                  <a:pt x="21600" y="21600"/>
                </a:lnTo>
                <a:lnTo>
                  <a:pt x="0" y="21600"/>
                </a:lnTo>
                <a:lnTo>
                  <a:pt x="0" y="11389"/>
                </a:lnTo>
                <a:lnTo>
                  <a:pt x="9400" y="0"/>
                </a:lnTo>
                <a:close/>
              </a:path>
            </a:pathLst>
          </a:custGeom>
          <a:noFill/>
          <a:ln w="12700" cap="flat">
            <a:solidFill>
              <a:srgbClr val="32538F"/>
            </a:solidFill>
            <a:prstDash val="solid"/>
            <a:miter lim="800000"/>
          </a:ln>
          <a:effectLst/>
        </xdr:spPr>
        <xdr:txBody>
          <a:bodyPr/>
          <a:lstStyle/>
          <a:p>
            <a:pPr/>
          </a:p>
        </xdr:txBody>
      </xdr:sp>
      <xdr:sp>
        <xdr:nvSpPr>
          <xdr:cNvPr id="6" name="Cancha CNN…"/>
          <xdr:cNvSpPr txBox="1"/>
        </xdr:nvSpPr>
        <xdr:spPr>
          <a:xfrm>
            <a:off x="33020" y="-27124"/>
            <a:ext cx="1430745" cy="513263"/>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Cancha CNN</a:t>
            </a:r>
            <a:endParaRPr b="0" baseline="0" cap="none" i="0" spc="0" strike="noStrike" sz="1100" u="none">
              <a:solidFill>
                <a:srgbClr val="FFFFFF"/>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Puerto</a:t>
            </a:r>
          </a:p>
        </xdr:txBody>
      </xdr:sp>
    </xdr:grpSp>
    <xdr:clientData/>
  </xdr:twoCellAnchor>
  <xdr:twoCellAnchor>
    <xdr:from>
      <xdr:col>2</xdr:col>
      <xdr:colOff>549666</xdr:colOff>
      <xdr:row>33</xdr:row>
      <xdr:rowOff>178916</xdr:rowOff>
    </xdr:from>
    <xdr:to>
      <xdr:col>4</xdr:col>
      <xdr:colOff>499836</xdr:colOff>
      <xdr:row>36</xdr:row>
      <xdr:rowOff>40860</xdr:rowOff>
    </xdr:to>
    <xdr:sp>
      <xdr:nvSpPr>
        <xdr:cNvPr id="8" name="Rectángulo 6"/>
        <xdr:cNvSpPr/>
      </xdr:nvSpPr>
      <xdr:spPr>
        <a:xfrm>
          <a:off x="1679966" y="6503516"/>
          <a:ext cx="1601171" cy="487420"/>
        </a:xfrm>
        <a:prstGeom prst="rect">
          <a:avLst/>
        </a:prstGeom>
        <a:noFill/>
        <a:ln w="12700" cap="flat">
          <a:solidFill>
            <a:srgbClr val="32538F"/>
          </a:solidFill>
          <a:prstDash val="solid"/>
          <a:miter lim="8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Filtros CNN</a:t>
          </a:r>
        </a:p>
      </xdr:txBody>
    </xdr:sp>
    <xdr:clientData/>
  </xdr:twoCellAnchor>
  <xdr:twoCellAnchor>
    <xdr:from>
      <xdr:col>8</xdr:col>
      <xdr:colOff>707570</xdr:colOff>
      <xdr:row>25</xdr:row>
      <xdr:rowOff>50290</xdr:rowOff>
    </xdr:from>
    <xdr:to>
      <xdr:col>10</xdr:col>
      <xdr:colOff>737292</xdr:colOff>
      <xdr:row>28</xdr:row>
      <xdr:rowOff>58567</xdr:rowOff>
    </xdr:to>
    <xdr:grpSp>
      <xdr:nvGrpSpPr>
        <xdr:cNvPr id="11" name="Forma libre: forma 7"/>
        <xdr:cNvGrpSpPr/>
      </xdr:nvGrpSpPr>
      <xdr:grpSpPr>
        <a:xfrm>
          <a:off x="7463970" y="4901690"/>
          <a:ext cx="2188723" cy="560728"/>
          <a:chOff x="0" y="-22281"/>
          <a:chExt cx="2188721" cy="560727"/>
        </a:xfrm>
      </xdr:grpSpPr>
      <xdr:sp>
        <xdr:nvSpPr>
          <xdr:cNvPr id="9" name="Line"/>
          <xdr:cNvSpPr/>
        </xdr:nvSpPr>
        <xdr:spPr>
          <a:xfrm>
            <a:off x="-1" y="-1"/>
            <a:ext cx="2188723" cy="51616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1040"/>
                </a:moveTo>
                <a:lnTo>
                  <a:pt x="3549" y="2155"/>
                </a:lnTo>
                <a:lnTo>
                  <a:pt x="6775" y="21105"/>
                </a:lnTo>
                <a:lnTo>
                  <a:pt x="9728" y="20254"/>
                </a:lnTo>
                <a:lnTo>
                  <a:pt x="13696" y="21600"/>
                </a:lnTo>
                <a:lnTo>
                  <a:pt x="16214" y="0"/>
                </a:lnTo>
                <a:lnTo>
                  <a:pt x="21600" y="471"/>
                </a:lnTo>
              </a:path>
            </a:pathLst>
          </a:custGeom>
          <a:noFill/>
          <a:ln w="28575" cap="flat">
            <a:solidFill>
              <a:srgbClr val="32538F"/>
            </a:solidFill>
            <a:prstDash val="solid"/>
            <a:miter lim="800000"/>
          </a:ln>
          <a:effectLst/>
        </xdr:spPr>
        <xdr:txBody>
          <a:bodyPr/>
          <a:lstStyle/>
          <a:p>
            <a:pPr/>
          </a:p>
        </xdr:txBody>
      </xdr:sp>
      <xdr:sp>
        <xdr:nvSpPr>
          <xdr:cNvPr id="10" name="Piscina de…"/>
          <xdr:cNvSpPr txBox="1"/>
        </xdr:nvSpPr>
        <xdr:spPr>
          <a:xfrm>
            <a:off x="40957" y="-22282"/>
            <a:ext cx="2106807" cy="560728"/>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Piscina de </a:t>
            </a:r>
            <a:endParaRPr b="0" baseline="0" cap="none" i="0" spc="0" strike="noStrike" sz="1100" u="none">
              <a:solidFill>
                <a:srgbClr val="FFFFFF"/>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Emergencia</a:t>
            </a:r>
          </a:p>
        </xdr:txBody>
      </xdr:sp>
    </xdr:grpSp>
    <xdr:clientData/>
  </xdr:twoCellAnchor>
  <xdr:twoCellAnchor>
    <xdr:from>
      <xdr:col>3</xdr:col>
      <xdr:colOff>502057</xdr:colOff>
      <xdr:row>7</xdr:row>
      <xdr:rowOff>19576</xdr:rowOff>
    </xdr:from>
    <xdr:to>
      <xdr:col>3</xdr:col>
      <xdr:colOff>502058</xdr:colOff>
      <xdr:row>15</xdr:row>
      <xdr:rowOff>69935</xdr:rowOff>
    </xdr:to>
    <xdr:cxnSp>
      <xdr:nvCxnSpPr>
        <xdr:cNvPr id="12" name="Conector recto de flecha 9"/>
        <xdr:cNvCxnSpPr>
          <a:stCxn id="2" idx="0"/>
          <a:endCxn id="4" idx="0"/>
        </xdr:cNvCxnSpPr>
      </xdr:nvCxnSpPr>
      <xdr:spPr>
        <a:xfrm>
          <a:off x="2457857" y="1461026"/>
          <a:ext cx="2" cy="1523560"/>
        </a:xfrm>
        <a:prstGeom prst="straightConnector1">
          <a:avLst/>
        </a:prstGeom>
        <a:ln w="6350" cap="flat">
          <a:solidFill>
            <a:schemeClr val="accent1"/>
          </a:solidFill>
          <a:prstDash val="solid"/>
          <a:miter lim="800000"/>
          <a:tailEnd type="triangle" w="med" len="med"/>
        </a:ln>
        <a:effectLst/>
      </xdr:spPr>
    </xdr:cxnSp>
    <xdr:clientData/>
  </xdr:twoCellAnchor>
  <xdr:twoCellAnchor>
    <xdr:from>
      <xdr:col>3</xdr:col>
      <xdr:colOff>488201</xdr:colOff>
      <xdr:row>15</xdr:row>
      <xdr:rowOff>69935</xdr:rowOff>
    </xdr:from>
    <xdr:to>
      <xdr:col>3</xdr:col>
      <xdr:colOff>502058</xdr:colOff>
      <xdr:row>22</xdr:row>
      <xdr:rowOff>112806</xdr:rowOff>
    </xdr:to>
    <xdr:cxnSp>
      <xdr:nvCxnSpPr>
        <xdr:cNvPr id="13" name="Conector recto de flecha 10"/>
        <xdr:cNvCxnSpPr>
          <a:stCxn id="4" idx="0"/>
          <a:endCxn id="3" idx="0"/>
        </xdr:cNvCxnSpPr>
      </xdr:nvCxnSpPr>
      <xdr:spPr>
        <a:xfrm flipH="1">
          <a:off x="2444001" y="2984585"/>
          <a:ext cx="13858" cy="1331922"/>
        </a:xfrm>
        <a:prstGeom prst="straightConnector1">
          <a:avLst/>
        </a:prstGeom>
        <a:ln w="6350" cap="flat">
          <a:solidFill>
            <a:schemeClr val="accent1"/>
          </a:solidFill>
          <a:prstDash val="solid"/>
          <a:miter lim="800000"/>
          <a:tailEnd type="triangle" w="med" len="med"/>
        </a:ln>
        <a:effectLst/>
      </xdr:spPr>
    </xdr:cxnSp>
    <xdr:clientData/>
  </xdr:twoCellAnchor>
  <xdr:twoCellAnchor>
    <xdr:from>
      <xdr:col>3</xdr:col>
      <xdr:colOff>496454</xdr:colOff>
      <xdr:row>1</xdr:row>
      <xdr:rowOff>127001</xdr:rowOff>
    </xdr:from>
    <xdr:to>
      <xdr:col>3</xdr:col>
      <xdr:colOff>502057</xdr:colOff>
      <xdr:row>5</xdr:row>
      <xdr:rowOff>161433</xdr:rowOff>
    </xdr:to>
    <xdr:sp>
      <xdr:nvSpPr>
        <xdr:cNvPr id="14" name="Conector recto de flecha 14"/>
        <xdr:cNvSpPr/>
      </xdr:nvSpPr>
      <xdr:spPr>
        <a:xfrm>
          <a:off x="2452254" y="317501"/>
          <a:ext cx="5604" cy="917083"/>
        </a:xfrm>
        <a:prstGeom prst="line">
          <a:avLst/>
        </a:pr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3</xdr:col>
      <xdr:colOff>486225</xdr:colOff>
      <xdr:row>23</xdr:row>
      <xdr:rowOff>111839</xdr:rowOff>
    </xdr:from>
    <xdr:to>
      <xdr:col>3</xdr:col>
      <xdr:colOff>487698</xdr:colOff>
      <xdr:row>28</xdr:row>
      <xdr:rowOff>5542</xdr:rowOff>
    </xdr:to>
    <xdr:sp>
      <xdr:nvSpPr>
        <xdr:cNvPr id="51" name="Conector recto de flecha 17"/>
        <xdr:cNvSpPr/>
      </xdr:nvSpPr>
      <xdr:spPr>
        <a:xfrm>
          <a:off x="2442025" y="4594939"/>
          <a:ext cx="1474" cy="814454"/>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0"/>
              </a:moveTo>
              <a:lnTo>
                <a:pt x="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3</xdr:col>
      <xdr:colOff>493564</xdr:colOff>
      <xdr:row>30</xdr:row>
      <xdr:rowOff>83426</xdr:rowOff>
    </xdr:from>
    <xdr:to>
      <xdr:col>3</xdr:col>
      <xdr:colOff>517116</xdr:colOff>
      <xdr:row>34</xdr:row>
      <xdr:rowOff>20204</xdr:rowOff>
    </xdr:to>
    <xdr:sp>
      <xdr:nvSpPr>
        <xdr:cNvPr id="52" name="Conector recto de flecha 23"/>
        <xdr:cNvSpPr/>
      </xdr:nvSpPr>
      <xdr:spPr>
        <a:xfrm>
          <a:off x="2449364" y="5855576"/>
          <a:ext cx="23553" cy="673379"/>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3</xdr:col>
      <xdr:colOff>497535</xdr:colOff>
      <xdr:row>35</xdr:row>
      <xdr:rowOff>244929</xdr:rowOff>
    </xdr:from>
    <xdr:to>
      <xdr:col>5</xdr:col>
      <xdr:colOff>90712</xdr:colOff>
      <xdr:row>40</xdr:row>
      <xdr:rowOff>136070</xdr:rowOff>
    </xdr:to>
    <xdr:sp>
      <xdr:nvSpPr>
        <xdr:cNvPr id="17" name="Conector: angular 29"/>
        <xdr:cNvSpPr/>
      </xdr:nvSpPr>
      <xdr:spPr>
        <a:xfrm flipH="1" rot="16200000">
          <a:off x="2969516" y="6421648"/>
          <a:ext cx="884917" cy="1917278"/>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5846" y="0"/>
              </a:lnTo>
              <a:lnTo>
                <a:pt x="5846" y="62"/>
              </a:lnTo>
              <a:lnTo>
                <a:pt x="21600" y="62"/>
              </a:lnTo>
              <a:lnTo>
                <a:pt x="2160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9</xdr:col>
      <xdr:colOff>208643</xdr:colOff>
      <xdr:row>41</xdr:row>
      <xdr:rowOff>54429</xdr:rowOff>
    </xdr:from>
    <xdr:to>
      <xdr:col>9</xdr:col>
      <xdr:colOff>580573</xdr:colOff>
      <xdr:row>43</xdr:row>
      <xdr:rowOff>9073</xdr:rowOff>
    </xdr:to>
    <xdr:sp>
      <xdr:nvSpPr>
        <xdr:cNvPr id="18" name="Elipse 31"/>
        <xdr:cNvSpPr/>
      </xdr:nvSpPr>
      <xdr:spPr>
        <a:xfrm>
          <a:off x="8298543" y="7925254"/>
          <a:ext cx="371931" cy="322945"/>
        </a:xfrm>
        <a:prstGeom prst="ellipse">
          <a:avLst/>
        </a:prstGeom>
        <a:noFill/>
        <a:ln w="12700" cap="flat">
          <a:solidFill>
            <a:srgbClr val="32538F"/>
          </a:solidFill>
          <a:prstDash val="solid"/>
          <a:miter lim="800000"/>
        </a:ln>
        <a:effectLst/>
      </xdr:spPr>
      <xdr:txBody>
        <a:bodyPr/>
        <a:lstStyle/>
        <a:p>
          <a:pPr/>
        </a:p>
      </xdr:txBody>
    </xdr:sp>
    <xdr:clientData/>
  </xdr:twoCellAnchor>
  <xdr:twoCellAnchor>
    <xdr:from>
      <xdr:col>8</xdr:col>
      <xdr:colOff>988786</xdr:colOff>
      <xdr:row>31</xdr:row>
      <xdr:rowOff>166006</xdr:rowOff>
    </xdr:from>
    <xdr:to>
      <xdr:col>10</xdr:col>
      <xdr:colOff>244929</xdr:colOff>
      <xdr:row>34</xdr:row>
      <xdr:rowOff>99783</xdr:rowOff>
    </xdr:to>
    <xdr:sp>
      <xdr:nvSpPr>
        <xdr:cNvPr id="19" name="Triángulo isósceles 38"/>
        <xdr:cNvSpPr/>
      </xdr:nvSpPr>
      <xdr:spPr>
        <a:xfrm>
          <a:off x="7745186" y="6122306"/>
          <a:ext cx="1415144" cy="486228"/>
        </a:xfrm>
        <a:prstGeom prst="triangle">
          <a:avLst/>
        </a:prstGeom>
        <a:noFill/>
        <a:ln w="12700" cap="flat">
          <a:solidFill>
            <a:srgbClr val="32538F"/>
          </a:solidFill>
          <a:prstDash val="solid"/>
          <a:miter lim="800000"/>
        </a:ln>
        <a:effectLst/>
      </xdr:spPr>
      <xdr:txBody>
        <a:bodyPr/>
        <a:lstStyle/>
        <a:p>
          <a:pPr/>
        </a:p>
      </xdr:txBody>
    </xdr:sp>
    <xdr:clientData/>
  </xdr:twoCellAnchor>
  <xdr:twoCellAnchor>
    <xdr:from>
      <xdr:col>9</xdr:col>
      <xdr:colOff>362857</xdr:colOff>
      <xdr:row>33</xdr:row>
      <xdr:rowOff>121858</xdr:rowOff>
    </xdr:from>
    <xdr:to>
      <xdr:col>9</xdr:col>
      <xdr:colOff>394608</xdr:colOff>
      <xdr:row>42</xdr:row>
      <xdr:rowOff>31751</xdr:rowOff>
    </xdr:to>
    <xdr:cxnSp>
      <xdr:nvCxnSpPr>
        <xdr:cNvPr id="20" name="Conector recto de flecha 39"/>
        <xdr:cNvCxnSpPr>
          <a:stCxn id="19" idx="0"/>
          <a:endCxn id="18" idx="0"/>
        </xdr:cNvCxnSpPr>
      </xdr:nvCxnSpPr>
      <xdr:spPr>
        <a:xfrm>
          <a:off x="8452757" y="6446458"/>
          <a:ext cx="31752" cy="1640269"/>
        </a:xfrm>
        <a:prstGeom prst="straightConnector1">
          <a:avLst/>
        </a:prstGeom>
        <a:ln w="6350" cap="flat">
          <a:solidFill>
            <a:schemeClr val="accent1"/>
          </a:solidFill>
          <a:prstDash val="solid"/>
          <a:miter lim="800000"/>
          <a:tailEnd type="triangle" w="med" len="med"/>
        </a:ln>
        <a:effectLst/>
      </xdr:spPr>
    </xdr:cxnSp>
    <xdr:clientData/>
  </xdr:twoCellAnchor>
  <xdr:twoCellAnchor>
    <xdr:from>
      <xdr:col>9</xdr:col>
      <xdr:colOff>389063</xdr:colOff>
      <xdr:row>28</xdr:row>
      <xdr:rowOff>25212</xdr:rowOff>
    </xdr:from>
    <xdr:to>
      <xdr:col>9</xdr:col>
      <xdr:colOff>447807</xdr:colOff>
      <xdr:row>31</xdr:row>
      <xdr:rowOff>176306</xdr:rowOff>
    </xdr:to>
    <xdr:sp>
      <xdr:nvSpPr>
        <xdr:cNvPr id="53" name="Conector recto de flecha 40"/>
        <xdr:cNvSpPr/>
      </xdr:nvSpPr>
      <xdr:spPr>
        <a:xfrm>
          <a:off x="8478963" y="5429062"/>
          <a:ext cx="58745" cy="70354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0"/>
              </a:moveTo>
              <a:lnTo>
                <a:pt x="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9</xdr:col>
      <xdr:colOff>34184</xdr:colOff>
      <xdr:row>46</xdr:row>
      <xdr:rowOff>52293</xdr:rowOff>
    </xdr:from>
    <xdr:to>
      <xdr:col>10</xdr:col>
      <xdr:colOff>17832</xdr:colOff>
      <xdr:row>50</xdr:row>
      <xdr:rowOff>82177</xdr:rowOff>
    </xdr:to>
    <xdr:pic>
      <xdr:nvPicPr>
        <xdr:cNvPr id="22" name="Imagen 49" descr="Imagen 49"/>
        <xdr:cNvPicPr>
          <a:picLocks noChangeAspect="1"/>
        </xdr:cNvPicPr>
      </xdr:nvPicPr>
      <xdr:blipFill>
        <a:blip r:embed="rId1">
          <a:extLst/>
        </a:blip>
        <a:stretch>
          <a:fillRect/>
        </a:stretch>
      </xdr:blipFill>
      <xdr:spPr>
        <a:xfrm>
          <a:off x="8124084" y="8843868"/>
          <a:ext cx="809149" cy="766485"/>
        </a:xfrm>
        <a:prstGeom prst="rect">
          <a:avLst/>
        </a:prstGeom>
        <a:ln w="12700" cap="flat">
          <a:noFill/>
          <a:miter lim="400000"/>
        </a:ln>
        <a:effectLst/>
      </xdr:spPr>
    </xdr:pic>
    <xdr:clientData/>
  </xdr:twoCellAnchor>
  <xdr:twoCellAnchor>
    <xdr:from>
      <xdr:col>9</xdr:col>
      <xdr:colOff>401106</xdr:colOff>
      <xdr:row>43</xdr:row>
      <xdr:rowOff>15442</xdr:rowOff>
    </xdr:from>
    <xdr:to>
      <xdr:col>9</xdr:col>
      <xdr:colOff>423921</xdr:colOff>
      <xdr:row>46</xdr:row>
      <xdr:rowOff>52293</xdr:rowOff>
    </xdr:to>
    <xdr:sp>
      <xdr:nvSpPr>
        <xdr:cNvPr id="54" name="Conector recto de flecha 50"/>
        <xdr:cNvSpPr/>
      </xdr:nvSpPr>
      <xdr:spPr>
        <a:xfrm>
          <a:off x="8491006" y="8254567"/>
          <a:ext cx="22816" cy="58930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60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16</xdr:col>
      <xdr:colOff>236904</xdr:colOff>
      <xdr:row>5</xdr:row>
      <xdr:rowOff>34431</xdr:rowOff>
    </xdr:from>
    <xdr:to>
      <xdr:col>16</xdr:col>
      <xdr:colOff>554404</xdr:colOff>
      <xdr:row>7</xdr:row>
      <xdr:rowOff>119597</xdr:rowOff>
    </xdr:to>
    <xdr:sp>
      <xdr:nvSpPr>
        <xdr:cNvPr id="24" name="Cilindro 55"/>
        <xdr:cNvSpPr/>
      </xdr:nvSpPr>
      <xdr:spPr>
        <a:xfrm>
          <a:off x="14511704" y="1107581"/>
          <a:ext cx="317501" cy="45346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1890"/>
              </a:moveTo>
              <a:cubicBezTo>
                <a:pt x="21600" y="2935"/>
                <a:pt x="16765" y="3781"/>
                <a:pt x="10800" y="3781"/>
              </a:cubicBezTo>
              <a:cubicBezTo>
                <a:pt x="4835" y="3781"/>
                <a:pt x="0" y="2935"/>
                <a:pt x="0" y="1890"/>
              </a:cubicBezTo>
              <a:cubicBezTo>
                <a:pt x="0" y="846"/>
                <a:pt x="4835" y="0"/>
                <a:pt x="10800" y="0"/>
              </a:cubicBezTo>
              <a:cubicBezTo>
                <a:pt x="16765" y="0"/>
                <a:pt x="21600" y="846"/>
                <a:pt x="21600" y="1890"/>
              </a:cubicBezTo>
              <a:lnTo>
                <a:pt x="21600" y="19710"/>
              </a:lnTo>
              <a:cubicBezTo>
                <a:pt x="21600" y="20754"/>
                <a:pt x="16765" y="21600"/>
                <a:pt x="10800" y="21600"/>
              </a:cubicBezTo>
              <a:cubicBezTo>
                <a:pt x="4835" y="21600"/>
                <a:pt x="0" y="20754"/>
                <a:pt x="0" y="19710"/>
              </a:cubicBezTo>
              <a:lnTo>
                <a:pt x="0" y="1890"/>
              </a:lnTo>
            </a:path>
          </a:pathLst>
        </a:custGeom>
        <a:noFill/>
        <a:ln w="12700" cap="flat">
          <a:solidFill>
            <a:srgbClr val="32538F"/>
          </a:solidFill>
          <a:prstDash val="solid"/>
          <a:miter lim="800000"/>
        </a:ln>
        <a:effectLst/>
      </xdr:spPr>
      <xdr:txBody>
        <a:bodyPr/>
        <a:lstStyle/>
        <a:p>
          <a:pPr/>
        </a:p>
      </xdr:txBody>
    </xdr:sp>
    <xdr:clientData/>
  </xdr:twoCellAnchor>
  <xdr:twoCellAnchor>
    <xdr:from>
      <xdr:col>16</xdr:col>
      <xdr:colOff>223062</xdr:colOff>
      <xdr:row>20</xdr:row>
      <xdr:rowOff>134606</xdr:rowOff>
    </xdr:from>
    <xdr:to>
      <xdr:col>16</xdr:col>
      <xdr:colOff>540562</xdr:colOff>
      <xdr:row>23</xdr:row>
      <xdr:rowOff>30394</xdr:rowOff>
    </xdr:to>
    <xdr:sp>
      <xdr:nvSpPr>
        <xdr:cNvPr id="25" name="Cilindro 56"/>
        <xdr:cNvSpPr/>
      </xdr:nvSpPr>
      <xdr:spPr>
        <a:xfrm>
          <a:off x="14497862" y="3970006"/>
          <a:ext cx="317501" cy="543489"/>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1577"/>
              </a:moveTo>
              <a:cubicBezTo>
                <a:pt x="21600" y="2448"/>
                <a:pt x="16765" y="3155"/>
                <a:pt x="10800" y="3155"/>
              </a:cubicBezTo>
              <a:cubicBezTo>
                <a:pt x="4835" y="3155"/>
                <a:pt x="0" y="2448"/>
                <a:pt x="0" y="1577"/>
              </a:cubicBezTo>
              <a:cubicBezTo>
                <a:pt x="0" y="706"/>
                <a:pt x="4835" y="0"/>
                <a:pt x="10800" y="0"/>
              </a:cubicBezTo>
              <a:cubicBezTo>
                <a:pt x="16765" y="0"/>
                <a:pt x="21600" y="706"/>
                <a:pt x="21600" y="1577"/>
              </a:cubicBezTo>
              <a:lnTo>
                <a:pt x="21600" y="20023"/>
              </a:lnTo>
              <a:cubicBezTo>
                <a:pt x="21600" y="20894"/>
                <a:pt x="16765" y="21600"/>
                <a:pt x="10800" y="21600"/>
              </a:cubicBezTo>
              <a:cubicBezTo>
                <a:pt x="4835" y="21600"/>
                <a:pt x="0" y="20894"/>
                <a:pt x="0" y="20023"/>
              </a:cubicBezTo>
              <a:lnTo>
                <a:pt x="0" y="1577"/>
              </a:lnTo>
            </a:path>
          </a:pathLst>
        </a:custGeom>
        <a:noFill/>
        <a:ln w="12700" cap="flat">
          <a:solidFill>
            <a:srgbClr val="32538F"/>
          </a:solidFill>
          <a:prstDash val="solid"/>
          <a:miter lim="800000"/>
        </a:ln>
        <a:effectLst/>
      </xdr:spPr>
      <xdr:txBody>
        <a:bodyPr/>
        <a:lstStyle/>
        <a:p>
          <a:pPr/>
        </a:p>
      </xdr:txBody>
    </xdr:sp>
    <xdr:clientData/>
  </xdr:twoCellAnchor>
  <xdr:twoCellAnchor>
    <xdr:from>
      <xdr:col>16</xdr:col>
      <xdr:colOff>338514</xdr:colOff>
      <xdr:row>11</xdr:row>
      <xdr:rowOff>90714</xdr:rowOff>
    </xdr:from>
    <xdr:to>
      <xdr:col>16</xdr:col>
      <xdr:colOff>489856</xdr:colOff>
      <xdr:row>16</xdr:row>
      <xdr:rowOff>76243</xdr:rowOff>
    </xdr:to>
    <xdr:sp>
      <xdr:nvSpPr>
        <xdr:cNvPr id="26" name="Cilindro 57"/>
        <xdr:cNvSpPr/>
      </xdr:nvSpPr>
      <xdr:spPr>
        <a:xfrm>
          <a:off x="14613314" y="2268764"/>
          <a:ext cx="151343" cy="906280"/>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451"/>
              </a:moveTo>
              <a:cubicBezTo>
                <a:pt x="21600" y="700"/>
                <a:pt x="16765" y="902"/>
                <a:pt x="10800" y="902"/>
              </a:cubicBezTo>
              <a:cubicBezTo>
                <a:pt x="4835" y="902"/>
                <a:pt x="0" y="700"/>
                <a:pt x="0" y="451"/>
              </a:cubicBezTo>
              <a:cubicBezTo>
                <a:pt x="0" y="202"/>
                <a:pt x="4835" y="0"/>
                <a:pt x="10800" y="0"/>
              </a:cubicBezTo>
              <a:cubicBezTo>
                <a:pt x="16765" y="0"/>
                <a:pt x="21600" y="202"/>
                <a:pt x="21600" y="451"/>
              </a:cubicBezTo>
              <a:lnTo>
                <a:pt x="21600" y="21149"/>
              </a:lnTo>
              <a:cubicBezTo>
                <a:pt x="21600" y="21398"/>
                <a:pt x="16765" y="21600"/>
                <a:pt x="10800" y="21600"/>
              </a:cubicBezTo>
              <a:cubicBezTo>
                <a:pt x="4835" y="21600"/>
                <a:pt x="0" y="21398"/>
                <a:pt x="0" y="21149"/>
              </a:cubicBezTo>
              <a:lnTo>
                <a:pt x="0" y="451"/>
              </a:lnTo>
            </a:path>
          </a:pathLst>
        </a:custGeom>
        <a:noFill/>
        <a:ln w="12700" cap="flat">
          <a:solidFill>
            <a:srgbClr val="32538F"/>
          </a:solidFill>
          <a:prstDash val="solid"/>
          <a:miter lim="800000"/>
        </a:ln>
        <a:effectLst/>
      </xdr:spPr>
      <xdr:txBody>
        <a:bodyPr/>
        <a:lstStyle/>
        <a:p>
          <a:pPr/>
        </a:p>
      </xdr:txBody>
    </xdr:sp>
    <xdr:clientData/>
  </xdr:twoCellAnchor>
  <xdr:twoCellAnchor>
    <xdr:from>
      <xdr:col>13</xdr:col>
      <xdr:colOff>54430</xdr:colOff>
      <xdr:row>37</xdr:row>
      <xdr:rowOff>152263</xdr:rowOff>
    </xdr:from>
    <xdr:to>
      <xdr:col>15</xdr:col>
      <xdr:colOff>111445</xdr:colOff>
      <xdr:row>41</xdr:row>
      <xdr:rowOff>1951</xdr:rowOff>
    </xdr:to>
    <xdr:grpSp>
      <xdr:nvGrpSpPr>
        <xdr:cNvPr id="29" name="Rectángulo: esquinas superiores cortadas 5"/>
        <xdr:cNvGrpSpPr/>
      </xdr:nvGrpSpPr>
      <xdr:grpSpPr>
        <a:xfrm>
          <a:off x="11446330" y="7286488"/>
          <a:ext cx="1835016" cy="586289"/>
          <a:chOff x="0" y="-31886"/>
          <a:chExt cx="1835015" cy="586287"/>
        </a:xfrm>
      </xdr:grpSpPr>
      <xdr:sp>
        <xdr:nvSpPr>
          <xdr:cNvPr id="27" name="Shape"/>
          <xdr:cNvSpPr/>
        </xdr:nvSpPr>
        <xdr:spPr>
          <a:xfrm>
            <a:off x="0" y="0"/>
            <a:ext cx="1835016" cy="522516"/>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9400" y="0"/>
                </a:moveTo>
                <a:lnTo>
                  <a:pt x="13343" y="589"/>
                </a:lnTo>
                <a:lnTo>
                  <a:pt x="21600" y="11389"/>
                </a:lnTo>
                <a:lnTo>
                  <a:pt x="21600" y="21600"/>
                </a:lnTo>
                <a:lnTo>
                  <a:pt x="0" y="21600"/>
                </a:lnTo>
                <a:lnTo>
                  <a:pt x="0" y="11389"/>
                </a:lnTo>
                <a:lnTo>
                  <a:pt x="9400" y="0"/>
                </a:lnTo>
                <a:close/>
              </a:path>
            </a:pathLst>
          </a:custGeom>
          <a:noFill/>
          <a:ln w="12700" cap="flat">
            <a:solidFill>
              <a:srgbClr val="32538F"/>
            </a:solidFill>
            <a:prstDash val="solid"/>
            <a:miter lim="800000"/>
          </a:ln>
          <a:effectLst/>
        </xdr:spPr>
        <xdr:txBody>
          <a:bodyPr/>
          <a:lstStyle/>
          <a:p>
            <a:pPr/>
          </a:p>
        </xdr:txBody>
      </xdr:sp>
      <xdr:sp>
        <xdr:nvSpPr>
          <xdr:cNvPr id="28" name="Cancha PM…"/>
          <xdr:cNvSpPr txBox="1"/>
        </xdr:nvSpPr>
        <xdr:spPr>
          <a:xfrm>
            <a:off x="33020" y="-31887"/>
            <a:ext cx="1768975" cy="586289"/>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Cancha PM </a:t>
            </a:r>
            <a:endParaRPr b="0" baseline="0" cap="none" i="0" spc="0" strike="noStrike" sz="1100" u="none">
              <a:solidFill>
                <a:srgbClr val="FFFFFF"/>
              </a:solidFill>
              <a:uFillTx/>
              <a:latin typeface="Calibri"/>
              <a:ea typeface="Calibri"/>
              <a:cs typeface="Calibri"/>
              <a:sym typeface="Calibri"/>
            </a:endParaRPr>
          </a:p>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Puerto</a:t>
            </a:r>
          </a:p>
        </xdr:txBody>
      </xdr:sp>
    </xdr:grpSp>
    <xdr:clientData/>
  </xdr:twoCellAnchor>
  <xdr:twoCellAnchor>
    <xdr:from>
      <xdr:col>15</xdr:col>
      <xdr:colOff>544293</xdr:colOff>
      <xdr:row>34</xdr:row>
      <xdr:rowOff>69884</xdr:rowOff>
    </xdr:from>
    <xdr:to>
      <xdr:col>17</xdr:col>
      <xdr:colOff>206906</xdr:colOff>
      <xdr:row>36</xdr:row>
      <xdr:rowOff>184095</xdr:rowOff>
    </xdr:to>
    <xdr:grpSp>
      <xdr:nvGrpSpPr>
        <xdr:cNvPr id="32" name="Rectángulo 60"/>
        <xdr:cNvGrpSpPr/>
      </xdr:nvGrpSpPr>
      <xdr:grpSpPr>
        <a:xfrm>
          <a:off x="13714193" y="6578634"/>
          <a:ext cx="1593014" cy="555537"/>
          <a:chOff x="0" y="-29880"/>
          <a:chExt cx="1593012" cy="555536"/>
        </a:xfrm>
      </xdr:grpSpPr>
      <xdr:sp>
        <xdr:nvSpPr>
          <xdr:cNvPr id="30" name="Shape"/>
          <xdr:cNvSpPr/>
        </xdr:nvSpPr>
        <xdr:spPr>
          <a:xfrm>
            <a:off x="0" y="0"/>
            <a:ext cx="1593013" cy="495776"/>
          </a:xfrm>
          <a:custGeom>
            <a:avLst/>
            <a:gdLst/>
            <a:ahLst/>
            <a:cxnLst>
              <a:cxn ang="0">
                <a:pos x="wd2" y="hd2"/>
              </a:cxn>
              <a:cxn ang="5400000">
                <a:pos x="wd2" y="hd2"/>
              </a:cxn>
              <a:cxn ang="10800000">
                <a:pos x="wd2" y="hd2"/>
              </a:cxn>
              <a:cxn ang="16200000">
                <a:pos x="wd2" y="hd2"/>
              </a:cxn>
            </a:cxnLst>
            <a:rect l="0" t="0" r="r" b="b"/>
            <a:pathLst>
              <a:path w="21600" h="21585" fill="norm" stroke="1" extrusionOk="0">
                <a:moveTo>
                  <a:pt x="114" y="420"/>
                </a:moveTo>
                <a:lnTo>
                  <a:pt x="6770" y="323"/>
                </a:lnTo>
                <a:cubicBezTo>
                  <a:pt x="8815" y="253"/>
                  <a:pt x="9913" y="-15"/>
                  <a:pt x="12385" y="1"/>
                </a:cubicBezTo>
                <a:lnTo>
                  <a:pt x="21600" y="420"/>
                </a:lnTo>
                <a:lnTo>
                  <a:pt x="21600" y="21263"/>
                </a:lnTo>
                <a:lnTo>
                  <a:pt x="11559" y="21585"/>
                </a:lnTo>
                <a:lnTo>
                  <a:pt x="114" y="21263"/>
                </a:lnTo>
                <a:lnTo>
                  <a:pt x="0" y="11276"/>
                </a:lnTo>
                <a:lnTo>
                  <a:pt x="114" y="420"/>
                </a:lnTo>
                <a:close/>
              </a:path>
            </a:pathLst>
          </a:custGeom>
          <a:noFill/>
          <a:ln w="12700" cap="flat">
            <a:solidFill>
              <a:srgbClr val="32538F"/>
            </a:solidFill>
            <a:prstDash val="solid"/>
            <a:miter lim="800000"/>
          </a:ln>
          <a:effectLst/>
        </xdr:spPr>
        <xdr:txBody>
          <a:bodyPr/>
          <a:lstStyle/>
          <a:p>
            <a:pPr/>
          </a:p>
        </xdr:txBody>
      </xdr:sp>
      <xdr:sp>
        <xdr:nvSpPr>
          <xdr:cNvPr id="31" name="Filtros Magnetita"/>
          <xdr:cNvSpPr txBox="1"/>
        </xdr:nvSpPr>
        <xdr:spPr>
          <a:xfrm>
            <a:off x="33019" y="-29881"/>
            <a:ext cx="1526974" cy="555537"/>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ctr">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Filtros Magnetita</a:t>
            </a:r>
          </a:p>
        </xdr:txBody>
      </xdr:sp>
    </xdr:grpSp>
    <xdr:clientData/>
  </xdr:twoCellAnchor>
  <xdr:twoCellAnchor>
    <xdr:from>
      <xdr:col>16</xdr:col>
      <xdr:colOff>395654</xdr:colOff>
      <xdr:row>6</xdr:row>
      <xdr:rowOff>77014</xdr:rowOff>
    </xdr:from>
    <xdr:to>
      <xdr:col>16</xdr:col>
      <xdr:colOff>414185</xdr:colOff>
      <xdr:row>13</xdr:row>
      <xdr:rowOff>175553</xdr:rowOff>
    </xdr:to>
    <xdr:cxnSp>
      <xdr:nvCxnSpPr>
        <xdr:cNvPr id="33" name="Conector recto de flecha 61"/>
        <xdr:cNvCxnSpPr>
          <a:stCxn id="24" idx="0"/>
          <a:endCxn id="26" idx="0"/>
        </xdr:cNvCxnSpPr>
      </xdr:nvCxnSpPr>
      <xdr:spPr>
        <a:xfrm>
          <a:off x="14670454" y="1334314"/>
          <a:ext cx="18532" cy="1387590"/>
        </a:xfrm>
        <a:prstGeom prst="straightConnector1">
          <a:avLst/>
        </a:prstGeom>
        <a:ln w="6350" cap="flat">
          <a:solidFill>
            <a:schemeClr val="accent1"/>
          </a:solidFill>
          <a:prstDash val="solid"/>
          <a:miter lim="800000"/>
          <a:tailEnd type="triangle" w="med" len="med"/>
        </a:ln>
        <a:effectLst/>
      </xdr:spPr>
    </xdr:cxnSp>
    <xdr:clientData/>
  </xdr:twoCellAnchor>
  <xdr:twoCellAnchor>
    <xdr:from>
      <xdr:col>16</xdr:col>
      <xdr:colOff>381812</xdr:colOff>
      <xdr:row>13</xdr:row>
      <xdr:rowOff>175553</xdr:rowOff>
    </xdr:from>
    <xdr:to>
      <xdr:col>16</xdr:col>
      <xdr:colOff>414185</xdr:colOff>
      <xdr:row>22</xdr:row>
      <xdr:rowOff>38050</xdr:rowOff>
    </xdr:to>
    <xdr:cxnSp>
      <xdr:nvCxnSpPr>
        <xdr:cNvPr id="34" name="Conector recto de flecha 62"/>
        <xdr:cNvCxnSpPr>
          <a:stCxn id="26" idx="0"/>
          <a:endCxn id="25" idx="0"/>
        </xdr:cNvCxnSpPr>
      </xdr:nvCxnSpPr>
      <xdr:spPr>
        <a:xfrm flipH="1">
          <a:off x="14656612" y="2721903"/>
          <a:ext cx="32374" cy="1519848"/>
        </a:xfrm>
        <a:prstGeom prst="straightConnector1">
          <a:avLst/>
        </a:prstGeom>
        <a:ln w="6350" cap="flat">
          <a:solidFill>
            <a:schemeClr val="accent1"/>
          </a:solidFill>
          <a:prstDash val="solid"/>
          <a:miter lim="800000"/>
          <a:tailEnd type="triangle" w="med" len="med"/>
        </a:ln>
        <a:effectLst/>
      </xdr:spPr>
    </xdr:cxnSp>
    <xdr:clientData/>
  </xdr:twoCellAnchor>
  <xdr:twoCellAnchor>
    <xdr:from>
      <xdr:col>16</xdr:col>
      <xdr:colOff>390052</xdr:colOff>
      <xdr:row>0</xdr:row>
      <xdr:rowOff>190499</xdr:rowOff>
    </xdr:from>
    <xdr:to>
      <xdr:col>16</xdr:col>
      <xdr:colOff>395654</xdr:colOff>
      <xdr:row>5</xdr:row>
      <xdr:rowOff>34430</xdr:rowOff>
    </xdr:to>
    <xdr:sp>
      <xdr:nvSpPr>
        <xdr:cNvPr id="35" name="Conector recto de flecha 63"/>
        <xdr:cNvSpPr/>
      </xdr:nvSpPr>
      <xdr:spPr>
        <a:xfrm>
          <a:off x="14664852" y="190499"/>
          <a:ext cx="5603" cy="917082"/>
        </a:xfrm>
        <a:prstGeom prst="line">
          <a:avLst/>
        </a:pr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16</xdr:col>
      <xdr:colOff>352355</xdr:colOff>
      <xdr:row>23</xdr:row>
      <xdr:rowOff>36536</xdr:rowOff>
    </xdr:from>
    <xdr:to>
      <xdr:col>16</xdr:col>
      <xdr:colOff>374547</xdr:colOff>
      <xdr:row>27</xdr:row>
      <xdr:rowOff>148870</xdr:rowOff>
    </xdr:to>
    <xdr:sp>
      <xdr:nvSpPr>
        <xdr:cNvPr id="55" name="Conector recto de flecha 64"/>
        <xdr:cNvSpPr/>
      </xdr:nvSpPr>
      <xdr:spPr>
        <a:xfrm>
          <a:off x="14627155" y="4519636"/>
          <a:ext cx="22193" cy="848935"/>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0"/>
              </a:moveTo>
              <a:lnTo>
                <a:pt x="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16</xdr:col>
      <xdr:colOff>258131</xdr:colOff>
      <xdr:row>30</xdr:row>
      <xdr:rowOff>42508</xdr:rowOff>
    </xdr:from>
    <xdr:to>
      <xdr:col>16</xdr:col>
      <xdr:colOff>327169</xdr:colOff>
      <xdr:row>34</xdr:row>
      <xdr:rowOff>93910</xdr:rowOff>
    </xdr:to>
    <xdr:sp>
      <xdr:nvSpPr>
        <xdr:cNvPr id="56" name="Conector recto de flecha 65"/>
        <xdr:cNvSpPr/>
      </xdr:nvSpPr>
      <xdr:spPr>
        <a:xfrm>
          <a:off x="14532931" y="5814658"/>
          <a:ext cx="69039" cy="788003"/>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1600" y="0"/>
              </a:moveTo>
              <a:lnTo>
                <a:pt x="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14</xdr:col>
      <xdr:colOff>583179</xdr:colOff>
      <xdr:row>36</xdr:row>
      <xdr:rowOff>145143</xdr:rowOff>
    </xdr:from>
    <xdr:to>
      <xdr:col>16</xdr:col>
      <xdr:colOff>390182</xdr:colOff>
      <xdr:row>40</xdr:row>
      <xdr:rowOff>154214</xdr:rowOff>
    </xdr:to>
    <xdr:sp>
      <xdr:nvSpPr>
        <xdr:cNvPr id="38" name="Conector: angular 66"/>
        <xdr:cNvSpPr/>
      </xdr:nvSpPr>
      <xdr:spPr>
        <a:xfrm flipH="1">
          <a:off x="12800579" y="7095218"/>
          <a:ext cx="1864404" cy="74567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1" y="0"/>
              </a:moveTo>
              <a:lnTo>
                <a:pt x="0" y="0"/>
              </a:lnTo>
              <a:lnTo>
                <a:pt x="0" y="21600"/>
              </a:lnTo>
              <a:lnTo>
                <a:pt x="2160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15</xdr:col>
      <xdr:colOff>872503</xdr:colOff>
      <xdr:row>27</xdr:row>
      <xdr:rowOff>121804</xdr:rowOff>
    </xdr:from>
    <xdr:to>
      <xdr:col>17</xdr:col>
      <xdr:colOff>99786</xdr:colOff>
      <xdr:row>30</xdr:row>
      <xdr:rowOff>75655</xdr:rowOff>
    </xdr:to>
    <xdr:grpSp>
      <xdr:nvGrpSpPr>
        <xdr:cNvPr id="41" name="Forma libre: forma 70"/>
        <xdr:cNvGrpSpPr/>
      </xdr:nvGrpSpPr>
      <xdr:grpSpPr>
        <a:xfrm>
          <a:off x="14042403" y="5341504"/>
          <a:ext cx="1157684" cy="506302"/>
          <a:chOff x="0" y="-26669"/>
          <a:chExt cx="1157682" cy="506301"/>
        </a:xfrm>
      </xdr:grpSpPr>
      <xdr:sp>
        <xdr:nvSpPr>
          <xdr:cNvPr id="39" name="Line"/>
          <xdr:cNvSpPr/>
        </xdr:nvSpPr>
        <xdr:spPr>
          <a:xfrm>
            <a:off x="0" y="-1"/>
            <a:ext cx="1157683" cy="452964"/>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184" y="0"/>
                </a:moveTo>
                <a:cubicBezTo>
                  <a:pt x="192" y="2999"/>
                  <a:pt x="199" y="5999"/>
                  <a:pt x="207" y="8998"/>
                </a:cubicBezTo>
                <a:lnTo>
                  <a:pt x="11350" y="21600"/>
                </a:lnTo>
                <a:lnTo>
                  <a:pt x="21600" y="8743"/>
                </a:lnTo>
                <a:lnTo>
                  <a:pt x="21600" y="319"/>
                </a:lnTo>
                <a:lnTo>
                  <a:pt x="10792" y="319"/>
                </a:lnTo>
                <a:lnTo>
                  <a:pt x="0" y="342"/>
                </a:lnTo>
              </a:path>
            </a:pathLst>
          </a:custGeom>
          <a:noFill/>
          <a:ln w="12700" cap="flat">
            <a:solidFill>
              <a:srgbClr val="32538F"/>
            </a:solidFill>
            <a:prstDash val="solid"/>
            <a:miter lim="800000"/>
          </a:ln>
          <a:effectLst/>
        </xdr:spPr>
        <xdr:txBody>
          <a:bodyPr/>
          <a:lstStyle/>
          <a:p>
            <a:pPr/>
          </a:p>
        </xdr:txBody>
      </xdr:sp>
      <xdr:sp>
        <xdr:nvSpPr>
          <xdr:cNvPr id="40" name="Espesador PM"/>
          <xdr:cNvSpPr txBox="1"/>
        </xdr:nvSpPr>
        <xdr:spPr>
          <a:xfrm>
            <a:off x="33020" y="-26670"/>
            <a:ext cx="1091642" cy="50630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Espesador PM</a:t>
            </a:r>
          </a:p>
        </xdr:txBody>
      </xdr:sp>
    </xdr:grpSp>
    <xdr:clientData/>
  </xdr:twoCellAnchor>
  <xdr:twoCellAnchor>
    <xdr:from>
      <xdr:col>2</xdr:col>
      <xdr:colOff>536841</xdr:colOff>
      <xdr:row>27</xdr:row>
      <xdr:rowOff>162830</xdr:rowOff>
    </xdr:from>
    <xdr:to>
      <xdr:col>4</xdr:col>
      <xdr:colOff>434797</xdr:colOff>
      <xdr:row>30</xdr:row>
      <xdr:rowOff>113551</xdr:rowOff>
    </xdr:to>
    <xdr:grpSp>
      <xdr:nvGrpSpPr>
        <xdr:cNvPr id="44" name="Forma libre: forma 77"/>
        <xdr:cNvGrpSpPr/>
      </xdr:nvGrpSpPr>
      <xdr:grpSpPr>
        <a:xfrm>
          <a:off x="1667141" y="5382530"/>
          <a:ext cx="1548957" cy="503172"/>
          <a:chOff x="0" y="-26465"/>
          <a:chExt cx="1548956" cy="503171"/>
        </a:xfrm>
      </xdr:grpSpPr>
      <xdr:sp>
        <xdr:nvSpPr>
          <xdr:cNvPr id="42" name="Line"/>
          <xdr:cNvSpPr/>
        </xdr:nvSpPr>
        <xdr:spPr>
          <a:xfrm>
            <a:off x="0" y="0"/>
            <a:ext cx="1548957" cy="45024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184" y="0"/>
                </a:moveTo>
                <a:cubicBezTo>
                  <a:pt x="192" y="2999"/>
                  <a:pt x="199" y="5999"/>
                  <a:pt x="207" y="8998"/>
                </a:cubicBezTo>
                <a:lnTo>
                  <a:pt x="11350" y="21600"/>
                </a:lnTo>
                <a:lnTo>
                  <a:pt x="21600" y="8743"/>
                </a:lnTo>
                <a:lnTo>
                  <a:pt x="21600" y="319"/>
                </a:lnTo>
                <a:lnTo>
                  <a:pt x="10792" y="319"/>
                </a:lnTo>
                <a:lnTo>
                  <a:pt x="0" y="342"/>
                </a:lnTo>
              </a:path>
            </a:pathLst>
          </a:custGeom>
          <a:noFill/>
          <a:ln w="12700" cap="flat">
            <a:solidFill>
              <a:srgbClr val="32538F"/>
            </a:solidFill>
            <a:prstDash val="solid"/>
            <a:miter lim="800000"/>
          </a:ln>
          <a:effectLst/>
        </xdr:spPr>
        <xdr:txBody>
          <a:bodyPr/>
          <a:lstStyle/>
          <a:p>
            <a:pPr/>
          </a:p>
        </xdr:txBody>
      </xdr:sp>
      <xdr:sp>
        <xdr:nvSpPr>
          <xdr:cNvPr id="43" name="Espesador CNN"/>
          <xdr:cNvSpPr txBox="1"/>
        </xdr:nvSpPr>
        <xdr:spPr>
          <a:xfrm>
            <a:off x="33019" y="-26466"/>
            <a:ext cx="1482918" cy="50317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45719" tIns="45719" rIns="45719" bIns="45719" numCol="1" anchor="t">
            <a:noAutofit/>
          </a:bodyPr>
          <a:lstStyle/>
          <a:p>
            <a:pPr marL="0" marR="0" indent="0" algn="ctr" defTabSz="914400" latinLnBrk="0">
              <a:lnSpc>
                <a:spcPct val="100000"/>
              </a:lnSpc>
              <a:spcBef>
                <a:spcPts val="0"/>
              </a:spcBef>
              <a:spcAft>
                <a:spcPts val="0"/>
              </a:spcAft>
              <a:buClrTx/>
              <a:buSzTx/>
              <a:buFontTx/>
              <a:buNone/>
              <a:tabLst/>
              <a:defRPr b="0" baseline="0" cap="none" i="0" spc="0" strike="noStrike" sz="1100" u="none">
                <a:solidFill>
                  <a:srgbClr val="44546A"/>
                </a:solidFill>
                <a:uFillTx/>
                <a:latin typeface="Calibri"/>
                <a:ea typeface="Calibri"/>
                <a:cs typeface="Calibri"/>
                <a:sym typeface="Calibri"/>
              </a:defRPr>
            </a:pPr>
            <a:r>
              <a:rPr b="0" baseline="0" cap="none" i="0" spc="0" strike="noStrike" sz="1100" u="none">
                <a:solidFill>
                  <a:srgbClr val="44546A"/>
                </a:solidFill>
                <a:uFillTx/>
                <a:latin typeface="Calibri"/>
                <a:ea typeface="Calibri"/>
                <a:cs typeface="Calibri"/>
                <a:sym typeface="Calibri"/>
              </a:rPr>
              <a:t>Espesador CNN</a:t>
            </a:r>
          </a:p>
        </xdr:txBody>
      </xdr:sp>
    </xdr:grpSp>
    <xdr:clientData/>
  </xdr:twoCellAnchor>
  <xdr:twoCellAnchor>
    <xdr:from>
      <xdr:col>6</xdr:col>
      <xdr:colOff>594360</xdr:colOff>
      <xdr:row>39</xdr:row>
      <xdr:rowOff>89535</xdr:rowOff>
    </xdr:from>
    <xdr:to>
      <xdr:col>9</xdr:col>
      <xdr:colOff>201930</xdr:colOff>
      <xdr:row>42</xdr:row>
      <xdr:rowOff>31115</xdr:rowOff>
    </xdr:to>
    <xdr:sp>
      <xdr:nvSpPr>
        <xdr:cNvPr id="57" name="Conector: angular 94"/>
        <xdr:cNvSpPr/>
      </xdr:nvSpPr>
      <xdr:spPr>
        <a:xfrm>
          <a:off x="5699759" y="7592059"/>
          <a:ext cx="2592071" cy="49403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1270" y="0"/>
              </a:moveTo>
              <a:lnTo>
                <a:pt x="3387" y="0"/>
              </a:lnTo>
              <a:lnTo>
                <a:pt x="3387" y="15825"/>
              </a:lnTo>
              <a:lnTo>
                <a:pt x="0" y="15825"/>
              </a:lnTo>
              <a:lnTo>
                <a:pt x="0" y="21600"/>
              </a:lnTo>
              <a:lnTo>
                <a:pt x="2160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9</xdr:col>
      <xdr:colOff>586740</xdr:colOff>
      <xdr:row>39</xdr:row>
      <xdr:rowOff>76835</xdr:rowOff>
    </xdr:from>
    <xdr:to>
      <xdr:col>15</xdr:col>
      <xdr:colOff>345440</xdr:colOff>
      <xdr:row>42</xdr:row>
      <xdr:rowOff>31115</xdr:rowOff>
    </xdr:to>
    <xdr:sp>
      <xdr:nvSpPr>
        <xdr:cNvPr id="58" name="Conector: angular 103"/>
        <xdr:cNvSpPr/>
      </xdr:nvSpPr>
      <xdr:spPr>
        <a:xfrm>
          <a:off x="8676640" y="7579359"/>
          <a:ext cx="4838700" cy="50673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20466" y="0"/>
              </a:moveTo>
              <a:lnTo>
                <a:pt x="21600" y="0"/>
              </a:lnTo>
              <a:lnTo>
                <a:pt x="21600" y="16349"/>
              </a:lnTo>
              <a:lnTo>
                <a:pt x="1134" y="16349"/>
              </a:lnTo>
              <a:lnTo>
                <a:pt x="1134" y="21600"/>
              </a:lnTo>
              <a:lnTo>
                <a:pt x="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3</xdr:col>
      <xdr:colOff>652780</xdr:colOff>
      <xdr:row>22</xdr:row>
      <xdr:rowOff>111760</xdr:rowOff>
    </xdr:from>
    <xdr:to>
      <xdr:col>8</xdr:col>
      <xdr:colOff>767080</xdr:colOff>
      <xdr:row>26</xdr:row>
      <xdr:rowOff>146050</xdr:rowOff>
    </xdr:to>
    <xdr:sp>
      <xdr:nvSpPr>
        <xdr:cNvPr id="59" name="Conector: angular 149"/>
        <xdr:cNvSpPr/>
      </xdr:nvSpPr>
      <xdr:spPr>
        <a:xfrm>
          <a:off x="2608579" y="4315459"/>
          <a:ext cx="4914901" cy="866141"/>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9059" y="0"/>
              </a:lnTo>
              <a:lnTo>
                <a:pt x="9059" y="21600"/>
              </a:lnTo>
              <a:lnTo>
                <a:pt x="2160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11</xdr:col>
      <xdr:colOff>69273</xdr:colOff>
      <xdr:row>21</xdr:row>
      <xdr:rowOff>174864</xdr:rowOff>
    </xdr:from>
    <xdr:to>
      <xdr:col>16</xdr:col>
      <xdr:colOff>223062</xdr:colOff>
      <xdr:row>25</xdr:row>
      <xdr:rowOff>34635</xdr:rowOff>
    </xdr:to>
    <xdr:sp>
      <xdr:nvSpPr>
        <xdr:cNvPr id="48" name="Conector: angular 151"/>
        <xdr:cNvSpPr/>
      </xdr:nvSpPr>
      <xdr:spPr>
        <a:xfrm flipV="1" rot="10800000">
          <a:off x="9810173" y="4194414"/>
          <a:ext cx="4687690" cy="69162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9819" y="0"/>
              </a:lnTo>
              <a:lnTo>
                <a:pt x="9819" y="21600"/>
              </a:lnTo>
              <a:lnTo>
                <a:pt x="2160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4</xdr:col>
      <xdr:colOff>434796</xdr:colOff>
      <xdr:row>29</xdr:row>
      <xdr:rowOff>3125</xdr:rowOff>
    </xdr:from>
    <xdr:to>
      <xdr:col>15</xdr:col>
      <xdr:colOff>523349</xdr:colOff>
      <xdr:row>34</xdr:row>
      <xdr:rowOff>67861</xdr:rowOff>
    </xdr:to>
    <xdr:sp>
      <xdr:nvSpPr>
        <xdr:cNvPr id="49" name="Conector: angular 51"/>
        <xdr:cNvSpPr/>
      </xdr:nvSpPr>
      <xdr:spPr>
        <a:xfrm>
          <a:off x="3216096" y="5591125"/>
          <a:ext cx="10477155" cy="985487"/>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0941" y="0"/>
              </a:lnTo>
              <a:lnTo>
                <a:pt x="20941" y="21600"/>
              </a:lnTo>
              <a:lnTo>
                <a:pt x="2160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twoCellAnchor>
    <xdr:from>
      <xdr:col>5</xdr:col>
      <xdr:colOff>635008</xdr:colOff>
      <xdr:row>35</xdr:row>
      <xdr:rowOff>226786</xdr:rowOff>
    </xdr:from>
    <xdr:to>
      <xdr:col>15</xdr:col>
      <xdr:colOff>517089</xdr:colOff>
      <xdr:row>38</xdr:row>
      <xdr:rowOff>18142</xdr:rowOff>
    </xdr:to>
    <xdr:sp>
      <xdr:nvSpPr>
        <xdr:cNvPr id="50" name="Conector: angular 101"/>
        <xdr:cNvSpPr/>
      </xdr:nvSpPr>
      <xdr:spPr>
        <a:xfrm flipH="1">
          <a:off x="4914908" y="6919686"/>
          <a:ext cx="8772082" cy="416832"/>
        </a:xfrm>
        <a:custGeom>
          <a:avLst/>
          <a:gdLst/>
          <a:ahLst/>
          <a:cxnLst>
            <a:cxn ang="0">
              <a:pos x="wd2" y="hd2"/>
            </a:cxn>
            <a:cxn ang="5400000">
              <a:pos x="wd2" y="hd2"/>
            </a:cxn>
            <a:cxn ang="10800000">
              <a:pos x="wd2" y="hd2"/>
            </a:cxn>
            <a:cxn ang="16200000">
              <a:pos x="wd2" y="hd2"/>
            </a:cxn>
          </a:cxnLst>
          <a:rect l="0" t="0" r="r" b="b"/>
          <a:pathLst>
            <a:path w="21600" h="21600" fill="norm" stroke="1" extrusionOk="0">
              <a:moveTo>
                <a:pt x="0" y="0"/>
              </a:moveTo>
              <a:lnTo>
                <a:pt x="21527" y="0"/>
              </a:lnTo>
              <a:lnTo>
                <a:pt x="21527" y="21600"/>
              </a:lnTo>
              <a:lnTo>
                <a:pt x="21600" y="21600"/>
              </a:lnTo>
            </a:path>
          </a:pathLst>
        </a:custGeom>
        <a:noFill/>
        <a:ln w="6350" cap="flat">
          <a:solidFill>
            <a:schemeClr val="accent1"/>
          </a:solidFill>
          <a:prstDash val="solid"/>
          <a:miter lim="800000"/>
          <a:tailEnd type="triangle" w="med" len="med"/>
        </a:ln>
        <a:effectLst/>
      </xdr:spPr>
      <xdr:txBody>
        <a:bodyPr/>
        <a:lstStyle/>
        <a:p>
          <a:pP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3</xdr:col>
      <xdr:colOff>372573</xdr:colOff>
      <xdr:row>1</xdr:row>
      <xdr:rowOff>86211</xdr:rowOff>
    </xdr:from>
    <xdr:to>
      <xdr:col>4</xdr:col>
      <xdr:colOff>425450</xdr:colOff>
      <xdr:row>4</xdr:row>
      <xdr:rowOff>77399</xdr:rowOff>
    </xdr:to>
    <xdr:pic>
      <xdr:nvPicPr>
        <xdr:cNvPr id="61" name="Imagen 1" descr="Imagen 1"/>
        <xdr:cNvPicPr>
          <a:picLocks noChangeAspect="1"/>
        </xdr:cNvPicPr>
      </xdr:nvPicPr>
      <xdr:blipFill>
        <a:blip r:embed="rId1">
          <a:extLst/>
        </a:blip>
        <a:stretch>
          <a:fillRect/>
        </a:stretch>
      </xdr:blipFill>
      <xdr:spPr>
        <a:xfrm>
          <a:off x="753572" y="257661"/>
          <a:ext cx="1005378" cy="518239"/>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5.xml.rels><?xml version="1.0" encoding="UTF-8"?>
<Relationships xmlns="http://schemas.openxmlformats.org/package/2006/relationships"><Relationship Id="rId1" Type="http://schemas.openxmlformats.org/officeDocument/2006/relationships/drawing" Target="../drawings/drawing1.xml"/></Relationships>

</file>

<file path=xl/worksheets/_rels/sheet7.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10</v>
      </c>
      <c r="C11" s="3"/>
      <c r="D11" s="3"/>
    </row>
    <row r="12">
      <c r="B12" s="4"/>
      <c r="C12" t="s" s="4">
        <v>5</v>
      </c>
      <c r="D12" t="s" s="5">
        <v>10</v>
      </c>
    </row>
    <row r="13">
      <c r="B13" t="s" s="3">
        <v>12</v>
      </c>
      <c r="C13" s="3"/>
      <c r="D13" s="3"/>
    </row>
    <row r="14">
      <c r="B14" s="4"/>
      <c r="C14" t="s" s="4">
        <v>5</v>
      </c>
      <c r="D14" t="s" s="5">
        <v>12</v>
      </c>
    </row>
    <row r="15">
      <c r="B15" t="s" s="3">
        <v>52</v>
      </c>
      <c r="C15" s="3"/>
      <c r="D15" s="3"/>
    </row>
    <row r="16">
      <c r="B16" s="4"/>
      <c r="C16" t="s" s="4">
        <v>5</v>
      </c>
      <c r="D16" t="s" s="5">
        <v>52</v>
      </c>
    </row>
    <row r="17">
      <c r="B17" t="s" s="3">
        <v>79</v>
      </c>
      <c r="C17" s="3"/>
      <c r="D17" s="3"/>
    </row>
    <row r="18">
      <c r="B18" s="4"/>
      <c r="C18" t="s" s="4">
        <v>5</v>
      </c>
      <c r="D18" t="s" s="5">
        <v>79</v>
      </c>
    </row>
    <row r="19">
      <c r="B19" t="s" s="3">
        <v>92</v>
      </c>
      <c r="C19" s="3"/>
      <c r="D19" s="3"/>
    </row>
    <row r="20">
      <c r="B20" s="4"/>
      <c r="C20" t="s" s="4">
        <v>5</v>
      </c>
      <c r="D20" t="s" s="5">
        <v>92</v>
      </c>
    </row>
  </sheetData>
  <mergeCells count="1">
    <mergeCell ref="B3:D3"/>
  </mergeCells>
  <hyperlinks>
    <hyperlink ref="D10" location="'Utilidad'!R1C1" tooltip="" display="Utilidad"/>
    <hyperlink ref="D12" location="'Datos Extra'!R1C1" tooltip="" display="Datos Extra"/>
    <hyperlink ref="D14" location="'Flujos'!R1C1" tooltip="" display="Flujos"/>
    <hyperlink ref="D16" location="'Diag Proceso Balance'!R1C1" tooltip="" display="Diag Proceso Balance"/>
    <hyperlink ref="D18" location="'Hoja1'!R1C1" tooltip="" display="Hoja1"/>
    <hyperlink ref="D20" location="'Report'!R1C1" tooltip="" display="Report"/>
  </hyperlinks>
</worksheet>
</file>

<file path=xl/worksheets/sheet2.xml><?xml version="1.0" encoding="utf-8"?>
<worksheet xmlns:r="http://schemas.openxmlformats.org/officeDocument/2006/relationships" xmlns="http://schemas.openxmlformats.org/spreadsheetml/2006/main">
  <dimension ref="A1:BB141"/>
  <sheetViews>
    <sheetView workbookViewId="0" showGridLines="0" defaultGridColor="1"/>
  </sheetViews>
  <sheetFormatPr defaultColWidth="10.8333" defaultRowHeight="14.5" customHeight="1" outlineLevelRow="0" outlineLevelCol="0"/>
  <cols>
    <col min="1" max="1" width="10.6719" style="6" customWidth="1"/>
    <col min="2" max="2" width="11.8516" style="6" customWidth="1"/>
    <col min="3" max="4" width="7.17188" style="6" customWidth="1"/>
    <col min="5" max="5" width="3.85156" style="6" customWidth="1"/>
    <col min="6" max="6" width="38" style="6" customWidth="1"/>
    <col min="7" max="14" width="13.5" style="6" customWidth="1"/>
    <col min="15" max="15" width="18.3516" style="6" customWidth="1"/>
    <col min="16" max="17" width="13.5" style="6" customWidth="1"/>
    <col min="18" max="21" width="10.8516" style="6" customWidth="1"/>
    <col min="22" max="22" width="19.5" style="6" customWidth="1"/>
    <col min="23" max="24" width="10.8516" style="6" customWidth="1"/>
    <col min="25" max="25" width="18.1719" style="6" customWidth="1"/>
    <col min="26" max="54" width="10.8516" style="6" customWidth="1"/>
    <col min="55" max="16384" width="10.8516" style="6" customWidth="1"/>
  </cols>
  <sheetData>
    <row r="1" ht="21" customHeight="1">
      <c r="A1" s="7">
        <v>179498</v>
      </c>
      <c r="B1" s="7">
        <v>179498</v>
      </c>
      <c r="C1" s="8">
        <v>66.05</v>
      </c>
      <c r="D1" s="8">
        <v>65.68992881699999</v>
      </c>
      <c r="E1" s="9">
        <v>0</v>
      </c>
      <c r="F1" s="10"/>
      <c r="G1" s="11"/>
      <c r="H1" s="11"/>
      <c r="I1" s="11"/>
      <c r="J1" s="11"/>
      <c r="K1" s="11"/>
      <c r="L1" s="11"/>
      <c r="M1" s="11"/>
      <c r="N1" s="12"/>
      <c r="O1" s="12"/>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row>
    <row r="2" ht="13.75" customHeight="1">
      <c r="A2" s="14">
        <v>-1732</v>
      </c>
      <c r="B2" s="14">
        <v>-1732</v>
      </c>
      <c r="C2" s="15">
        <v>65.52</v>
      </c>
      <c r="D2" s="15">
        <v>65.514753308</v>
      </c>
      <c r="E2" s="9">
        <v>0</v>
      </c>
      <c r="F2" s="10"/>
      <c r="G2" s="16"/>
      <c r="H2" s="16"/>
      <c r="I2" s="16"/>
      <c r="J2" s="16"/>
      <c r="K2" s="16"/>
      <c r="L2" s="16"/>
      <c r="M2" s="16"/>
      <c r="N2" s="17"/>
      <c r="O2" s="17"/>
      <c r="P2" s="18"/>
      <c r="Q2" s="18"/>
      <c r="R2" s="18"/>
      <c r="S2" s="18"/>
      <c r="T2" s="19"/>
      <c r="U2" s="13"/>
      <c r="V2" s="13"/>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row>
    <row r="3" ht="13" customHeight="1">
      <c r="A3" s="14">
        <v>181230</v>
      </c>
      <c r="B3" s="14">
        <v>181230</v>
      </c>
      <c r="C3" s="15">
        <v>65.52</v>
      </c>
      <c r="D3" s="15">
        <v>65.688254679</v>
      </c>
      <c r="E3" s="9">
        <v>0</v>
      </c>
      <c r="F3" s="21"/>
      <c r="G3" s="22"/>
      <c r="H3" s="22"/>
      <c r="I3" s="22"/>
      <c r="J3" s="22"/>
      <c r="K3" s="22"/>
      <c r="L3" s="22"/>
      <c r="M3" s="22"/>
      <c r="N3" s="23"/>
      <c r="O3" s="23"/>
      <c r="P3" s="24"/>
      <c r="Q3" s="24"/>
      <c r="R3" s="24"/>
      <c r="S3" s="24"/>
      <c r="T3" s="24"/>
      <c r="U3" s="13"/>
      <c r="V3" s="13"/>
      <c r="W3" s="25"/>
      <c r="X3" s="25"/>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row>
    <row r="4" ht="13" customHeight="1">
      <c r="A4" s="14">
        <v>0</v>
      </c>
      <c r="B4" s="14">
        <v>0</v>
      </c>
      <c r="C4" s="15">
        <v>0</v>
      </c>
      <c r="D4" s="15">
        <v>0</v>
      </c>
      <c r="E4" s="9">
        <v>0</v>
      </c>
      <c r="F4" s="21"/>
      <c r="G4" s="22"/>
      <c r="H4" s="22"/>
      <c r="I4" s="22"/>
      <c r="J4" s="22"/>
      <c r="K4" s="22"/>
      <c r="L4" s="22"/>
      <c r="M4" s="22"/>
      <c r="N4" s="23"/>
      <c r="O4" s="23"/>
      <c r="P4" s="24"/>
      <c r="Q4" s="24"/>
      <c r="R4" s="24"/>
      <c r="S4" s="24"/>
      <c r="T4" s="24"/>
      <c r="U4" s="13"/>
      <c r="V4" s="13"/>
      <c r="W4" s="25"/>
      <c r="X4" s="25"/>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row>
    <row r="5" ht="13" customHeight="1">
      <c r="A5" s="14">
        <v>181230</v>
      </c>
      <c r="B5" s="14">
        <v>181230</v>
      </c>
      <c r="C5" s="15">
        <v>65.52</v>
      </c>
      <c r="D5" s="15">
        <v>65.688254679</v>
      </c>
      <c r="E5" s="9">
        <v>0</v>
      </c>
      <c r="F5" s="21"/>
      <c r="G5" s="22"/>
      <c r="H5" s="22"/>
      <c r="I5" s="22"/>
      <c r="J5" s="22"/>
      <c r="K5" s="22"/>
      <c r="L5" s="22"/>
      <c r="M5" s="22"/>
      <c r="N5" s="23"/>
      <c r="O5" s="23"/>
      <c r="P5" s="24"/>
      <c r="Q5" s="24"/>
      <c r="R5" s="24"/>
      <c r="S5" s="24"/>
      <c r="T5" s="24"/>
      <c r="U5" s="13"/>
      <c r="V5" s="13"/>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row>
    <row r="6" ht="13" customHeight="1">
      <c r="A6" s="14">
        <v>1906</v>
      </c>
      <c r="B6" s="14">
        <v>1906</v>
      </c>
      <c r="C6" s="15">
        <v>65.52</v>
      </c>
      <c r="D6" s="15">
        <v>65.524048007</v>
      </c>
      <c r="E6" s="9">
        <v>0</v>
      </c>
      <c r="F6" s="21"/>
      <c r="G6" s="22"/>
      <c r="H6" s="22"/>
      <c r="I6" s="22"/>
      <c r="J6" s="22"/>
      <c r="K6" s="22"/>
      <c r="L6" s="22"/>
      <c r="M6" s="22"/>
      <c r="N6" s="23"/>
      <c r="O6" s="23"/>
      <c r="P6" s="24"/>
      <c r="Q6" s="24"/>
      <c r="R6" s="24"/>
      <c r="S6" s="24"/>
      <c r="T6" s="24"/>
      <c r="U6" s="13"/>
      <c r="V6" s="13"/>
      <c r="W6" s="25"/>
      <c r="X6" s="25"/>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row>
    <row r="7" ht="13" customHeight="1">
      <c r="A7" s="14">
        <v>177417</v>
      </c>
      <c r="B7" s="14">
        <v>179324</v>
      </c>
      <c r="C7" s="15">
        <v>66.40000000000001</v>
      </c>
      <c r="D7" s="15">
        <v>65.69</v>
      </c>
      <c r="E7" s="9">
        <v>0</v>
      </c>
      <c r="F7" s="21"/>
      <c r="G7" s="22"/>
      <c r="H7" s="22"/>
      <c r="I7" s="22"/>
      <c r="J7" s="22"/>
      <c r="K7" s="22"/>
      <c r="L7" s="22"/>
      <c r="M7" s="22"/>
      <c r="N7" s="23"/>
      <c r="O7" s="23"/>
      <c r="P7" s="24"/>
      <c r="Q7" s="24"/>
      <c r="R7" s="24"/>
      <c r="S7" s="24"/>
      <c r="T7" s="24"/>
      <c r="U7" s="13"/>
      <c r="V7" s="13"/>
      <c r="W7" s="25"/>
      <c r="X7" s="25"/>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row>
    <row r="8" ht="13" customHeight="1">
      <c r="A8" s="9">
        <v>0</v>
      </c>
      <c r="B8" s="9">
        <v>0</v>
      </c>
      <c r="C8" s="15">
        <v>0</v>
      </c>
      <c r="D8" s="15">
        <v>0</v>
      </c>
      <c r="E8" s="9">
        <v>0</v>
      </c>
      <c r="F8" s="21"/>
      <c r="G8" s="22"/>
      <c r="H8" s="22"/>
      <c r="I8" s="22"/>
      <c r="J8" s="22"/>
      <c r="K8" s="22"/>
      <c r="L8" s="22"/>
      <c r="M8" s="22"/>
      <c r="N8" s="23"/>
      <c r="O8" s="23"/>
      <c r="P8" s="24"/>
      <c r="Q8" s="24"/>
      <c r="R8" s="24"/>
      <c r="S8" s="24"/>
      <c r="T8" s="24"/>
      <c r="U8" s="13"/>
      <c r="V8" s="13"/>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row>
    <row r="9" ht="13" customHeight="1">
      <c r="A9" s="14">
        <v>179324</v>
      </c>
      <c r="B9" s="14">
        <v>179324</v>
      </c>
      <c r="C9" s="15">
        <v>65.69</v>
      </c>
      <c r="D9" s="15">
        <v>65.69</v>
      </c>
      <c r="E9" s="9">
        <v>0</v>
      </c>
      <c r="F9" s="21"/>
      <c r="G9" s="22"/>
      <c r="H9" s="22"/>
      <c r="I9" s="22"/>
      <c r="J9" s="22"/>
      <c r="K9" s="22"/>
      <c r="L9" s="22"/>
      <c r="M9" s="22"/>
      <c r="N9" s="23"/>
      <c r="O9" s="23"/>
      <c r="P9" s="24"/>
      <c r="Q9" s="24"/>
      <c r="R9" s="24"/>
      <c r="S9" s="24"/>
      <c r="T9" s="24"/>
      <c r="U9" s="13"/>
      <c r="V9" s="13"/>
      <c r="W9" s="25"/>
      <c r="X9" s="25"/>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row>
    <row r="10" ht="13" customHeight="1">
      <c r="A10" s="14">
        <v>0</v>
      </c>
      <c r="B10" s="14">
        <v>0</v>
      </c>
      <c r="C10" s="15">
        <v>0</v>
      </c>
      <c r="D10" s="15">
        <v>0</v>
      </c>
      <c r="E10" s="9">
        <v>0</v>
      </c>
      <c r="F10" s="21"/>
      <c r="G10" s="22"/>
      <c r="H10" s="22"/>
      <c r="I10" s="22"/>
      <c r="J10" s="22"/>
      <c r="K10" s="22"/>
      <c r="L10" s="22"/>
      <c r="M10" s="22"/>
      <c r="N10" s="24"/>
      <c r="O10" s="24"/>
      <c r="P10" s="24"/>
      <c r="Q10" s="24"/>
      <c r="R10" s="24"/>
      <c r="S10" s="24"/>
      <c r="T10" s="24"/>
      <c r="U10" s="13"/>
      <c r="V10" s="13"/>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row>
    <row r="11" ht="13" customHeight="1">
      <c r="A11" s="9">
        <v>0</v>
      </c>
      <c r="B11" s="9">
        <v>0</v>
      </c>
      <c r="C11" s="15">
        <v>0</v>
      </c>
      <c r="D11" s="15">
        <v>0</v>
      </c>
      <c r="E11" s="9">
        <v>0</v>
      </c>
      <c r="F11" s="21"/>
      <c r="G11" s="22"/>
      <c r="H11" s="22"/>
      <c r="I11" s="22"/>
      <c r="J11" s="22"/>
      <c r="K11" s="22"/>
      <c r="L11" s="22"/>
      <c r="M11" s="22"/>
      <c r="N11" s="24"/>
      <c r="O11" s="24"/>
      <c r="P11" s="24"/>
      <c r="Q11" s="24"/>
      <c r="R11" s="24"/>
      <c r="S11" s="24"/>
      <c r="T11" s="24"/>
      <c r="U11" s="13"/>
      <c r="V11" s="13"/>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row>
    <row r="12" ht="13" customHeight="1">
      <c r="A12" s="26">
        <v>13055</v>
      </c>
      <c r="B12" s="26">
        <v>13056</v>
      </c>
      <c r="C12" s="15">
        <v>65.64</v>
      </c>
      <c r="D12" s="15">
        <v>66.32674938700001</v>
      </c>
      <c r="E12" s="9">
        <v>0</v>
      </c>
      <c r="F12" s="21"/>
      <c r="G12" s="22"/>
      <c r="H12" s="22"/>
      <c r="I12" s="22"/>
      <c r="J12" s="22"/>
      <c r="K12" s="22"/>
      <c r="L12" s="22"/>
      <c r="M12" s="22"/>
      <c r="N12" s="24"/>
      <c r="O12" s="24"/>
      <c r="P12" s="24"/>
      <c r="Q12" s="24"/>
      <c r="R12" s="24"/>
      <c r="S12" s="24"/>
      <c r="T12" s="24"/>
      <c r="U12" s="13"/>
      <c r="V12" s="13"/>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row>
    <row r="13" ht="13" customHeight="1">
      <c r="A13" s="27">
        <v>166268</v>
      </c>
      <c r="B13" s="27">
        <v>166268</v>
      </c>
      <c r="C13" s="28">
        <v>65.64</v>
      </c>
      <c r="D13" s="28">
        <v>65.64</v>
      </c>
      <c r="E13" s="9">
        <v>0</v>
      </c>
      <c r="F13" s="21"/>
      <c r="G13" s="22"/>
      <c r="H13" s="22"/>
      <c r="I13" s="22"/>
      <c r="J13" s="22"/>
      <c r="K13" s="22"/>
      <c r="L13" s="22"/>
      <c r="M13" s="22"/>
      <c r="N13" s="24"/>
      <c r="O13" s="24"/>
      <c r="P13" s="24"/>
      <c r="Q13" s="24"/>
      <c r="R13" s="24"/>
      <c r="S13" s="24"/>
      <c r="T13" s="24"/>
      <c r="U13" s="13"/>
      <c r="V13" s="13"/>
      <c r="W13" s="25"/>
      <c r="X13" s="25"/>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row>
    <row r="14" ht="13" customHeight="1">
      <c r="A14" s="7">
        <v>49366</v>
      </c>
      <c r="B14" s="7">
        <v>49366</v>
      </c>
      <c r="C14" s="8">
        <v>66.53</v>
      </c>
      <c r="D14" s="8">
        <v>66.156524053</v>
      </c>
      <c r="E14" s="9">
        <v>0</v>
      </c>
      <c r="F14" s="21"/>
      <c r="G14" s="22"/>
      <c r="H14" s="22"/>
      <c r="I14" s="22"/>
      <c r="J14" s="22"/>
      <c r="K14" s="22"/>
      <c r="L14" s="22"/>
      <c r="M14" s="22"/>
      <c r="N14" s="24"/>
      <c r="O14" s="24"/>
      <c r="P14" s="24"/>
      <c r="Q14" s="24"/>
      <c r="R14" s="24"/>
      <c r="S14" s="24"/>
      <c r="T14" s="24"/>
      <c r="U14" s="13"/>
      <c r="V14" s="13"/>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row>
    <row r="15" ht="13" customHeight="1">
      <c r="A15" s="14">
        <v>-2483</v>
      </c>
      <c r="B15" s="14">
        <v>-2483</v>
      </c>
      <c r="C15" s="15">
        <v>65.77</v>
      </c>
      <c r="D15" s="15">
        <v>65.752721888</v>
      </c>
      <c r="E15" s="9">
        <v>0</v>
      </c>
      <c r="F15" s="21"/>
      <c r="G15" s="22"/>
      <c r="H15" s="22"/>
      <c r="I15" s="22"/>
      <c r="J15" s="22"/>
      <c r="K15" s="22"/>
      <c r="L15" s="22"/>
      <c r="M15" s="22"/>
      <c r="N15" s="24"/>
      <c r="O15" s="24"/>
      <c r="P15" s="24"/>
      <c r="Q15" s="24"/>
      <c r="R15" s="24"/>
      <c r="S15" s="24"/>
      <c r="T15" s="24"/>
      <c r="U15" s="13"/>
      <c r="V15" s="13"/>
      <c r="W15" s="25"/>
      <c r="X15" s="25"/>
      <c r="Y15" s="25"/>
      <c r="Z15" s="25"/>
      <c r="AA15" s="25"/>
      <c r="AB15" s="2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row>
    <row r="16" ht="13" customHeight="1">
      <c r="A16" s="14">
        <v>51849</v>
      </c>
      <c r="B16" s="14">
        <v>51849</v>
      </c>
      <c r="C16" s="15">
        <v>65.77</v>
      </c>
      <c r="D16" s="15">
        <v>66.13718634599999</v>
      </c>
      <c r="E16" s="9">
        <v>0</v>
      </c>
      <c r="F16" s="21"/>
      <c r="G16" s="22"/>
      <c r="H16" s="22"/>
      <c r="I16" s="22"/>
      <c r="J16" s="22"/>
      <c r="K16" s="22"/>
      <c r="L16" s="22"/>
      <c r="M16" s="22"/>
      <c r="N16" s="24"/>
      <c r="O16" s="24"/>
      <c r="P16" s="24"/>
      <c r="Q16" s="24"/>
      <c r="R16" s="24"/>
      <c r="S16" s="24"/>
      <c r="T16" s="24"/>
      <c r="U16" s="13"/>
      <c r="V16" s="13"/>
      <c r="W16" s="25"/>
      <c r="X16" s="25"/>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row>
    <row r="17" ht="13" customHeight="1">
      <c r="A17" s="14">
        <v>-7700</v>
      </c>
      <c r="B17" s="14">
        <v>-7699.9115773</v>
      </c>
      <c r="C17" s="15">
        <v>65.77</v>
      </c>
      <c r="D17" s="15">
        <v>65.766740619</v>
      </c>
      <c r="E17" s="9">
        <v>0</v>
      </c>
      <c r="F17" s="21"/>
      <c r="G17" s="22"/>
      <c r="H17" s="22"/>
      <c r="I17" s="22"/>
      <c r="J17" s="22"/>
      <c r="K17" s="22"/>
      <c r="L17" s="22"/>
      <c r="M17" s="22"/>
      <c r="N17" s="24"/>
      <c r="O17" s="24"/>
      <c r="P17" s="24"/>
      <c r="Q17" s="24"/>
      <c r="R17" s="24"/>
      <c r="S17" s="24"/>
      <c r="T17" s="24"/>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row>
    <row r="18" ht="13" customHeight="1">
      <c r="A18" s="14">
        <v>59549</v>
      </c>
      <c r="B18" s="14">
        <v>59548.911577</v>
      </c>
      <c r="C18" s="15">
        <v>65.77</v>
      </c>
      <c r="D18" s="15">
        <v>66.089286234</v>
      </c>
      <c r="E18" s="9">
        <v>0</v>
      </c>
      <c r="F18" s="21"/>
      <c r="G18" s="22"/>
      <c r="H18" s="22"/>
      <c r="I18" s="22"/>
      <c r="J18" s="22"/>
      <c r="K18" s="22"/>
      <c r="L18" s="22"/>
      <c r="M18" s="22"/>
      <c r="N18" s="24"/>
      <c r="O18" s="24"/>
      <c r="P18" s="24"/>
      <c r="Q18" s="24"/>
      <c r="R18" s="24"/>
      <c r="S18" s="24"/>
      <c r="T18" s="24"/>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row>
    <row r="19" ht="13" customHeight="1">
      <c r="A19" s="14">
        <v>-1846</v>
      </c>
      <c r="B19" s="14">
        <v>-1846.0884227</v>
      </c>
      <c r="C19" s="15">
        <v>65.77</v>
      </c>
      <c r="D19" s="15">
        <v>65.78045582</v>
      </c>
      <c r="E19" s="9">
        <v>0</v>
      </c>
      <c r="F19" s="29"/>
      <c r="G19" s="22"/>
      <c r="H19" s="22"/>
      <c r="I19" s="22"/>
      <c r="J19" s="22"/>
      <c r="K19" s="22"/>
      <c r="L19" s="22"/>
      <c r="M19" s="22"/>
      <c r="N19" s="24"/>
      <c r="O19" s="24"/>
      <c r="P19" s="24"/>
      <c r="Q19" s="24"/>
      <c r="R19" s="24"/>
      <c r="S19" s="24"/>
      <c r="T19" s="24"/>
      <c r="U19" s="13"/>
      <c r="V19" s="13"/>
      <c r="W19" s="13"/>
      <c r="X19" s="13"/>
      <c r="Y19" s="13"/>
      <c r="Z19" s="13"/>
      <c r="AA19" s="13"/>
      <c r="AB19" s="13"/>
      <c r="AC19" s="13"/>
      <c r="AD19" s="13"/>
      <c r="AE19" s="13"/>
      <c r="AF19" s="30"/>
      <c r="AG19" s="13"/>
      <c r="AH19" s="13"/>
      <c r="AI19" s="13"/>
      <c r="AJ19" s="13"/>
      <c r="AK19" s="13"/>
      <c r="AL19" s="13"/>
      <c r="AM19" s="13"/>
      <c r="AN19" s="13"/>
      <c r="AO19" s="13"/>
      <c r="AP19" s="13"/>
      <c r="AQ19" s="13"/>
      <c r="AR19" s="13"/>
      <c r="AS19" s="13"/>
      <c r="AT19" s="13"/>
      <c r="AU19" s="13"/>
      <c r="AV19" s="13"/>
      <c r="AW19" s="13"/>
      <c r="AX19" s="13"/>
      <c r="AY19" s="13"/>
      <c r="AZ19" s="13"/>
      <c r="BA19" s="13"/>
      <c r="BB19" s="13"/>
    </row>
    <row r="20" ht="13" customHeight="1">
      <c r="A20" s="14">
        <v>61395</v>
      </c>
      <c r="B20" s="14">
        <v>61395</v>
      </c>
      <c r="C20" s="15">
        <v>65.77</v>
      </c>
      <c r="D20" s="15">
        <v>66.08</v>
      </c>
      <c r="E20" s="9">
        <v>0</v>
      </c>
      <c r="F20" s="21"/>
      <c r="G20" s="22"/>
      <c r="H20" s="22"/>
      <c r="I20" s="22"/>
      <c r="J20" s="22"/>
      <c r="K20" s="22"/>
      <c r="L20" s="22"/>
      <c r="M20" s="22"/>
      <c r="N20" s="24"/>
      <c r="O20" s="24"/>
      <c r="P20" s="24"/>
      <c r="Q20" s="24"/>
      <c r="R20" s="24"/>
      <c r="S20" s="24"/>
      <c r="T20" s="24"/>
      <c r="U20" s="13"/>
      <c r="V20" s="13"/>
      <c r="W20" s="13"/>
      <c r="X20" s="13"/>
      <c r="Y20" s="13"/>
      <c r="Z20" s="13"/>
      <c r="AA20" s="13"/>
      <c r="AB20" s="13"/>
      <c r="AC20" s="13"/>
      <c r="AD20" s="31"/>
      <c r="AE20" s="30"/>
      <c r="AF20" s="30"/>
      <c r="AG20" s="13"/>
      <c r="AH20" s="13"/>
      <c r="AI20" s="13"/>
      <c r="AJ20" s="13"/>
      <c r="AK20" s="13"/>
      <c r="AL20" s="13"/>
      <c r="AM20" s="13"/>
      <c r="AN20" s="13"/>
      <c r="AO20" s="13"/>
      <c r="AP20" s="13"/>
      <c r="AQ20" s="13"/>
      <c r="AR20" s="13"/>
      <c r="AS20" s="13"/>
      <c r="AT20" s="13"/>
      <c r="AU20" s="13"/>
      <c r="AV20" s="13"/>
      <c r="AW20" s="13"/>
      <c r="AX20" s="13"/>
      <c r="AY20" s="13"/>
      <c r="AZ20" s="13"/>
      <c r="BA20" s="13"/>
      <c r="BB20" s="13"/>
    </row>
    <row r="21" ht="13" customHeight="1">
      <c r="A21" s="9">
        <v>0</v>
      </c>
      <c r="B21" s="9">
        <v>0</v>
      </c>
      <c r="C21" s="15">
        <v>0</v>
      </c>
      <c r="D21" s="15">
        <v>0</v>
      </c>
      <c r="E21" s="9">
        <v>0</v>
      </c>
      <c r="F21" s="21"/>
      <c r="G21" s="22"/>
      <c r="H21" s="22"/>
      <c r="I21" s="22"/>
      <c r="J21" s="22"/>
      <c r="K21" s="22"/>
      <c r="L21" s="22"/>
      <c r="M21" s="22"/>
      <c r="N21" s="24"/>
      <c r="O21" s="24"/>
      <c r="P21" s="24"/>
      <c r="Q21" s="24"/>
      <c r="R21" s="24"/>
      <c r="S21" s="24"/>
      <c r="T21" s="24"/>
      <c r="U21" s="13"/>
      <c r="V21" s="13"/>
      <c r="W21" s="13"/>
      <c r="X21" s="13"/>
      <c r="Y21" s="13"/>
      <c r="Z21" s="13"/>
      <c r="AA21" s="13"/>
      <c r="AB21" s="13"/>
      <c r="AC21" s="13"/>
      <c r="AD21" s="31"/>
      <c r="AE21" s="30"/>
      <c r="AF21" s="30"/>
      <c r="AG21" s="13"/>
      <c r="AH21" s="13"/>
      <c r="AI21" s="13"/>
      <c r="AJ21" s="13"/>
      <c r="AK21" s="13"/>
      <c r="AL21" s="13"/>
      <c r="AM21" s="13"/>
      <c r="AN21" s="13"/>
      <c r="AO21" s="13"/>
      <c r="AP21" s="13"/>
      <c r="AQ21" s="13"/>
      <c r="AR21" s="13"/>
      <c r="AS21" s="13"/>
      <c r="AT21" s="13"/>
      <c r="AU21" s="13"/>
      <c r="AV21" s="13"/>
      <c r="AW21" s="13"/>
      <c r="AX21" s="13"/>
      <c r="AY21" s="13"/>
      <c r="AZ21" s="13"/>
      <c r="BA21" s="13"/>
      <c r="BB21" s="13"/>
    </row>
    <row r="22" ht="13" customHeight="1">
      <c r="A22" s="14">
        <v>61395</v>
      </c>
      <c r="B22" s="14">
        <v>61395</v>
      </c>
      <c r="C22" s="15">
        <v>65.77</v>
      </c>
      <c r="D22" s="15">
        <v>66.08</v>
      </c>
      <c r="E22" s="9">
        <v>0</v>
      </c>
      <c r="F22" s="21"/>
      <c r="G22" s="22"/>
      <c r="H22" s="22"/>
      <c r="I22" s="22"/>
      <c r="J22" s="22"/>
      <c r="K22" s="22"/>
      <c r="L22" s="22"/>
      <c r="M22" s="22"/>
      <c r="N22" s="24"/>
      <c r="O22" s="24"/>
      <c r="P22" s="24"/>
      <c r="Q22" s="24"/>
      <c r="R22" s="24"/>
      <c r="S22" s="24"/>
      <c r="T22" s="24"/>
      <c r="U22" s="13"/>
      <c r="V22" s="13"/>
      <c r="W22" s="13"/>
      <c r="X22" s="13"/>
      <c r="Y22" s="13"/>
      <c r="Z22" s="13"/>
      <c r="AA22" s="13"/>
      <c r="AB22" s="13"/>
      <c r="AC22" s="13"/>
      <c r="AD22" s="31"/>
      <c r="AE22" s="30"/>
      <c r="AF22" s="30"/>
      <c r="AG22" s="13"/>
      <c r="AH22" s="13"/>
      <c r="AI22" s="13"/>
      <c r="AJ22" s="13"/>
      <c r="AK22" s="13"/>
      <c r="AL22" s="13"/>
      <c r="AM22" s="13"/>
      <c r="AN22" s="13"/>
      <c r="AO22" s="13"/>
      <c r="AP22" s="13"/>
      <c r="AQ22" s="13"/>
      <c r="AR22" s="13"/>
      <c r="AS22" s="13"/>
      <c r="AT22" s="13"/>
      <c r="AU22" s="13"/>
      <c r="AV22" s="13"/>
      <c r="AW22" s="13"/>
      <c r="AX22" s="13"/>
      <c r="AY22" s="13"/>
      <c r="AZ22" s="13"/>
      <c r="BA22" s="13"/>
      <c r="BB22" s="13"/>
    </row>
    <row r="23" ht="12.75" customHeight="1">
      <c r="A23" s="14">
        <v>0</v>
      </c>
      <c r="B23" s="14">
        <v>0</v>
      </c>
      <c r="C23" s="15">
        <v>0</v>
      </c>
      <c r="D23" s="15">
        <v>0</v>
      </c>
      <c r="E23" s="9">
        <v>0</v>
      </c>
      <c r="F23" s="21"/>
      <c r="G23" s="22"/>
      <c r="H23" s="22"/>
      <c r="I23" s="22"/>
      <c r="J23" s="22"/>
      <c r="K23" s="22"/>
      <c r="L23" s="22"/>
      <c r="M23" s="22"/>
      <c r="N23" s="24"/>
      <c r="O23" s="24"/>
      <c r="P23" s="24"/>
      <c r="Q23" s="24"/>
      <c r="R23" s="24"/>
      <c r="S23" s="24"/>
      <c r="T23" s="24"/>
      <c r="U23" s="13"/>
      <c r="V23" s="13"/>
      <c r="W23" s="13"/>
      <c r="X23" s="13"/>
      <c r="Y23" s="13"/>
      <c r="Z23" s="13"/>
      <c r="AA23" s="13"/>
      <c r="AB23" s="13"/>
      <c r="AC23" s="13"/>
      <c r="AD23" s="31"/>
      <c r="AE23" s="30"/>
      <c r="AF23" s="30"/>
      <c r="AG23" s="13"/>
      <c r="AH23" s="13"/>
      <c r="AI23" s="13"/>
      <c r="AJ23" s="13"/>
      <c r="AK23" s="13"/>
      <c r="AL23" s="13"/>
      <c r="AM23" s="13"/>
      <c r="AN23" s="13"/>
      <c r="AO23" s="13"/>
      <c r="AP23" s="13"/>
      <c r="AQ23" s="13"/>
      <c r="AR23" s="13"/>
      <c r="AS23" s="13"/>
      <c r="AT23" s="13"/>
      <c r="AU23" s="13"/>
      <c r="AV23" s="13"/>
      <c r="AW23" s="13"/>
      <c r="AX23" s="13"/>
      <c r="AY23" s="13"/>
      <c r="AZ23" s="13"/>
      <c r="BA23" s="13"/>
      <c r="BB23" s="13"/>
    </row>
    <row r="24" ht="13" customHeight="1">
      <c r="A24" s="14">
        <v>61395</v>
      </c>
      <c r="B24" s="14">
        <v>61395</v>
      </c>
      <c r="C24" s="15">
        <v>66.08</v>
      </c>
      <c r="D24" s="15">
        <v>66.08</v>
      </c>
      <c r="E24" s="9">
        <v>0</v>
      </c>
      <c r="F24" s="21"/>
      <c r="G24" s="22"/>
      <c r="H24" s="22"/>
      <c r="I24" s="22"/>
      <c r="J24" s="22"/>
      <c r="K24" s="22"/>
      <c r="L24" s="22"/>
      <c r="M24" s="22"/>
      <c r="N24" s="24"/>
      <c r="O24" s="24"/>
      <c r="P24" s="24"/>
      <c r="Q24" s="24"/>
      <c r="R24" s="24"/>
      <c r="S24" s="24"/>
      <c r="T24" s="24"/>
      <c r="U24" s="13"/>
      <c r="V24" s="13"/>
      <c r="W24" s="13"/>
      <c r="X24" s="13"/>
      <c r="Y24" s="13"/>
      <c r="Z24" s="13"/>
      <c r="AA24" s="13"/>
      <c r="AB24" s="13"/>
      <c r="AC24" s="13"/>
      <c r="AD24" s="31"/>
      <c r="AE24" s="30"/>
      <c r="AF24" s="30"/>
      <c r="AG24" s="13"/>
      <c r="AH24" s="13"/>
      <c r="AI24" s="13"/>
      <c r="AJ24" s="13"/>
      <c r="AK24" s="13"/>
      <c r="AL24" s="13"/>
      <c r="AM24" s="13"/>
      <c r="AN24" s="13"/>
      <c r="AO24" s="13"/>
      <c r="AP24" s="13"/>
      <c r="AQ24" s="13"/>
      <c r="AR24" s="13"/>
      <c r="AS24" s="13"/>
      <c r="AT24" s="13"/>
      <c r="AU24" s="13"/>
      <c r="AV24" s="13"/>
      <c r="AW24" s="13"/>
      <c r="AX24" s="13"/>
      <c r="AY24" s="13"/>
      <c r="AZ24" s="13"/>
      <c r="BA24" s="13"/>
      <c r="BB24" s="13"/>
    </row>
    <row r="25" ht="13" customHeight="1">
      <c r="A25" s="9">
        <v>0</v>
      </c>
      <c r="B25" s="9">
        <v>0</v>
      </c>
      <c r="C25" s="15">
        <v>0</v>
      </c>
      <c r="D25" s="15">
        <v>0</v>
      </c>
      <c r="E25" s="9">
        <v>0</v>
      </c>
      <c r="F25" s="21"/>
      <c r="G25" s="22"/>
      <c r="H25" s="22"/>
      <c r="I25" s="22"/>
      <c r="J25" s="22"/>
      <c r="K25" s="22"/>
      <c r="L25" s="22"/>
      <c r="M25" s="22"/>
      <c r="N25" s="24"/>
      <c r="O25" s="24"/>
      <c r="P25" s="24"/>
      <c r="Q25" s="24"/>
      <c r="R25" s="24"/>
      <c r="S25" s="24"/>
      <c r="T25" s="24"/>
      <c r="U25" s="13"/>
      <c r="V25" s="13"/>
      <c r="W25" s="13"/>
      <c r="X25" s="13"/>
      <c r="Y25" s="13"/>
      <c r="Z25" s="13"/>
      <c r="AA25" s="13"/>
      <c r="AB25" s="13"/>
      <c r="AC25" s="13"/>
      <c r="AD25" s="31"/>
      <c r="AE25" s="30"/>
      <c r="AF25" s="30"/>
      <c r="AG25" s="13"/>
      <c r="AH25" s="13"/>
      <c r="AI25" s="13"/>
      <c r="AJ25" s="13"/>
      <c r="AK25" s="13"/>
      <c r="AL25" s="13"/>
      <c r="AM25" s="13"/>
      <c r="AN25" s="13"/>
      <c r="AO25" s="13"/>
      <c r="AP25" s="13"/>
      <c r="AQ25" s="13"/>
      <c r="AR25" s="13"/>
      <c r="AS25" s="13"/>
      <c r="AT25" s="13"/>
      <c r="AU25" s="13"/>
      <c r="AV25" s="13"/>
      <c r="AW25" s="13"/>
      <c r="AX25" s="13"/>
      <c r="AY25" s="13"/>
      <c r="AZ25" s="13"/>
      <c r="BA25" s="13"/>
      <c r="BB25" s="13"/>
    </row>
    <row r="26" ht="13" customHeight="1">
      <c r="A26" s="26">
        <v>11739</v>
      </c>
      <c r="B26" s="26">
        <v>11739</v>
      </c>
      <c r="C26" s="15">
        <v>66.08</v>
      </c>
      <c r="D26" s="15">
        <v>67.941201124</v>
      </c>
      <c r="E26" s="9">
        <v>0</v>
      </c>
      <c r="F26" s="21"/>
      <c r="G26" s="22"/>
      <c r="H26" s="22"/>
      <c r="I26" s="22"/>
      <c r="J26" s="22"/>
      <c r="K26" s="22"/>
      <c r="L26" s="22"/>
      <c r="M26" s="22"/>
      <c r="N26" s="24"/>
      <c r="O26" s="24"/>
      <c r="P26" s="24"/>
      <c r="Q26" s="24"/>
      <c r="R26" s="24"/>
      <c r="S26" s="24"/>
      <c r="T26" s="24"/>
      <c r="U26" s="13"/>
      <c r="V26" s="13"/>
      <c r="W26" s="13"/>
      <c r="X26" s="13"/>
      <c r="Y26" s="13"/>
      <c r="Z26" s="13"/>
      <c r="AA26" s="13"/>
      <c r="AB26" s="13"/>
      <c r="AC26" s="13"/>
      <c r="AD26" s="31"/>
      <c r="AE26" s="30"/>
      <c r="AF26" s="30"/>
      <c r="AG26" s="13"/>
      <c r="AH26" s="13"/>
      <c r="AI26" s="13"/>
      <c r="AJ26" s="13"/>
      <c r="AK26" s="13"/>
      <c r="AL26" s="13"/>
      <c r="AM26" s="13"/>
      <c r="AN26" s="13"/>
      <c r="AO26" s="13"/>
      <c r="AP26" s="13"/>
      <c r="AQ26" s="13"/>
      <c r="AR26" s="13"/>
      <c r="AS26" s="13"/>
      <c r="AT26" s="13"/>
      <c r="AU26" s="13"/>
      <c r="AV26" s="13"/>
      <c r="AW26" s="13"/>
      <c r="AX26" s="13"/>
      <c r="AY26" s="13"/>
      <c r="AZ26" s="13"/>
      <c r="BA26" s="13"/>
      <c r="BB26" s="13"/>
    </row>
    <row r="27" ht="13" customHeight="1">
      <c r="A27" s="27">
        <v>49656</v>
      </c>
      <c r="B27" s="27">
        <v>49656</v>
      </c>
      <c r="C27" s="28">
        <v>65.64</v>
      </c>
      <c r="D27" s="28">
        <v>65.64</v>
      </c>
      <c r="E27" s="9">
        <v>0</v>
      </c>
      <c r="F27" s="21"/>
      <c r="G27" s="22"/>
      <c r="H27" s="22"/>
      <c r="I27" s="22"/>
      <c r="J27" s="22"/>
      <c r="K27" s="22"/>
      <c r="L27" s="22"/>
      <c r="M27" s="22"/>
      <c r="N27" s="24"/>
      <c r="O27" s="24"/>
      <c r="P27" s="24"/>
      <c r="Q27" s="24"/>
      <c r="R27" s="24"/>
      <c r="S27" s="24"/>
      <c r="T27" s="24"/>
      <c r="U27" s="13"/>
      <c r="V27" s="13"/>
      <c r="W27" s="13"/>
      <c r="X27" s="13"/>
      <c r="Y27" s="13"/>
      <c r="Z27" s="13"/>
      <c r="AA27" s="13"/>
      <c r="AB27" s="13"/>
      <c r="AC27" s="13"/>
      <c r="AD27" s="31"/>
      <c r="AE27" s="30"/>
      <c r="AF27" s="30"/>
      <c r="AG27" s="13"/>
      <c r="AH27" s="13"/>
      <c r="AI27" s="13"/>
      <c r="AJ27" s="13"/>
      <c r="AK27" s="13"/>
      <c r="AL27" s="13"/>
      <c r="AM27" s="13"/>
      <c r="AN27" s="13"/>
      <c r="AO27" s="13"/>
      <c r="AP27" s="13"/>
      <c r="AQ27" s="13"/>
      <c r="AR27" s="13"/>
      <c r="AS27" s="13"/>
      <c r="AT27" s="13"/>
      <c r="AU27" s="13"/>
      <c r="AV27" s="13"/>
      <c r="AW27" s="13"/>
      <c r="AX27" s="13"/>
      <c r="AY27" s="13"/>
      <c r="AZ27" s="13"/>
      <c r="BA27" s="13"/>
      <c r="BB27" s="13"/>
    </row>
    <row r="28" ht="13" customHeight="1">
      <c r="A28" s="14">
        <v>-2778</v>
      </c>
      <c r="B28" s="14">
        <v>-2778</v>
      </c>
      <c r="C28" s="15">
        <v>65.64</v>
      </c>
      <c r="D28" s="15">
        <v>65.66362851</v>
      </c>
      <c r="E28" s="9">
        <v>0</v>
      </c>
      <c r="F28" s="21"/>
      <c r="G28" s="22"/>
      <c r="H28" s="22"/>
      <c r="I28" s="22"/>
      <c r="J28" s="22"/>
      <c r="K28" s="22"/>
      <c r="L28" s="22"/>
      <c r="M28" s="22"/>
      <c r="N28" s="24"/>
      <c r="O28" s="24"/>
      <c r="P28" s="24"/>
      <c r="Q28" s="24"/>
      <c r="R28" s="24"/>
      <c r="S28" s="24"/>
      <c r="T28" s="24"/>
      <c r="U28" s="13"/>
      <c r="V28" s="13"/>
      <c r="W28" s="13"/>
      <c r="X28" s="13"/>
      <c r="Y28" s="13"/>
      <c r="Z28" s="13"/>
      <c r="AA28" s="13"/>
      <c r="AB28" s="13"/>
      <c r="AC28" s="13"/>
      <c r="AD28" s="31"/>
      <c r="AE28" s="30"/>
      <c r="AF28" s="30"/>
      <c r="AG28" s="13"/>
      <c r="AH28" s="13"/>
      <c r="AI28" s="13"/>
      <c r="AJ28" s="13"/>
      <c r="AK28" s="13"/>
      <c r="AL28" s="13"/>
      <c r="AM28" s="13"/>
      <c r="AN28" s="13"/>
      <c r="AO28" s="13"/>
      <c r="AP28" s="13"/>
      <c r="AQ28" s="13"/>
      <c r="AR28" s="13"/>
      <c r="AS28" s="13"/>
      <c r="AT28" s="13"/>
      <c r="AU28" s="13"/>
      <c r="AV28" s="13"/>
      <c r="AW28" s="13"/>
      <c r="AX28" s="13"/>
      <c r="AY28" s="13"/>
      <c r="AZ28" s="13"/>
      <c r="BA28" s="13"/>
      <c r="BB28" s="13"/>
    </row>
    <row r="29" ht="13" customHeight="1">
      <c r="A29" s="14">
        <v>2778</v>
      </c>
      <c r="B29" s="14">
        <v>2778</v>
      </c>
      <c r="C29" s="15">
        <v>65.64</v>
      </c>
      <c r="D29" s="15">
        <v>65.66362851</v>
      </c>
      <c r="E29" s="9">
        <v>0</v>
      </c>
      <c r="F29" s="21"/>
      <c r="G29" s="22"/>
      <c r="H29" s="22"/>
      <c r="I29" s="22"/>
      <c r="J29" s="22"/>
      <c r="K29" s="22"/>
      <c r="L29" s="22"/>
      <c r="M29" s="22"/>
      <c r="N29" s="24"/>
      <c r="O29" s="24"/>
      <c r="P29" s="24"/>
      <c r="Q29" s="24"/>
      <c r="R29" s="24"/>
      <c r="S29" s="24"/>
      <c r="T29" s="24"/>
      <c r="U29" s="13"/>
      <c r="V29" s="13"/>
      <c r="W29" s="13"/>
      <c r="X29" s="13"/>
      <c r="Y29" s="13"/>
      <c r="Z29" s="13"/>
      <c r="AA29" s="13"/>
      <c r="AB29" s="13"/>
      <c r="AC29" s="13"/>
      <c r="AD29" s="31"/>
      <c r="AE29" s="30"/>
      <c r="AF29" s="30"/>
      <c r="AG29" s="13"/>
      <c r="AH29" s="13"/>
      <c r="AI29" s="13"/>
      <c r="AJ29" s="13"/>
      <c r="AK29" s="13"/>
      <c r="AL29" s="13"/>
      <c r="AM29" s="13"/>
      <c r="AN29" s="13"/>
      <c r="AO29" s="13"/>
      <c r="AP29" s="13"/>
      <c r="AQ29" s="13"/>
      <c r="AR29" s="13"/>
      <c r="AS29" s="13"/>
      <c r="AT29" s="13"/>
      <c r="AU29" s="13"/>
      <c r="AV29" s="13"/>
      <c r="AW29" s="13"/>
      <c r="AX29" s="13"/>
      <c r="AY29" s="13"/>
      <c r="AZ29" s="13"/>
      <c r="BA29" s="13"/>
      <c r="BB29" s="13"/>
    </row>
    <row r="30" ht="13" customHeight="1">
      <c r="A30" s="14">
        <v>0</v>
      </c>
      <c r="B30" s="14">
        <v>0</v>
      </c>
      <c r="C30" s="15">
        <v>0</v>
      </c>
      <c r="D30" s="15">
        <v>0</v>
      </c>
      <c r="E30" s="9">
        <v>0</v>
      </c>
      <c r="F30" s="21"/>
      <c r="G30" s="22"/>
      <c r="H30" s="22"/>
      <c r="I30" s="22"/>
      <c r="J30" s="22"/>
      <c r="K30" s="22"/>
      <c r="L30" s="22"/>
      <c r="M30" s="22"/>
      <c r="N30" s="24"/>
      <c r="O30" s="24"/>
      <c r="P30" s="24"/>
      <c r="Q30" s="24"/>
      <c r="R30" s="24"/>
      <c r="S30" s="24"/>
      <c r="T30" s="24"/>
      <c r="U30" s="13"/>
      <c r="V30" s="13"/>
      <c r="W30" s="13"/>
      <c r="X30" s="13"/>
      <c r="Y30" s="13"/>
      <c r="Z30" s="13"/>
      <c r="AA30" s="13"/>
      <c r="AB30" s="13"/>
      <c r="AC30" s="13"/>
      <c r="AD30" s="31"/>
      <c r="AE30" s="30"/>
      <c r="AF30" s="30"/>
      <c r="AG30" s="13"/>
      <c r="AH30" s="13"/>
      <c r="AI30" s="13"/>
      <c r="AJ30" s="13"/>
      <c r="AK30" s="13"/>
      <c r="AL30" s="13"/>
      <c r="AM30" s="13"/>
      <c r="AN30" s="13"/>
      <c r="AO30" s="13"/>
      <c r="AP30" s="13"/>
      <c r="AQ30" s="13"/>
      <c r="AR30" s="13"/>
      <c r="AS30" s="13"/>
      <c r="AT30" s="13"/>
      <c r="AU30" s="13"/>
      <c r="AV30" s="13"/>
      <c r="AW30" s="13"/>
      <c r="AX30" s="13"/>
      <c r="AY30" s="13"/>
      <c r="AZ30" s="13"/>
      <c r="BA30" s="13"/>
      <c r="BB30" s="13"/>
    </row>
    <row r="31" ht="13" customHeight="1">
      <c r="A31" s="14">
        <v>2778</v>
      </c>
      <c r="B31" s="14">
        <v>2778</v>
      </c>
      <c r="C31" s="15">
        <v>65.64</v>
      </c>
      <c r="D31" s="15">
        <v>65.66362851</v>
      </c>
      <c r="E31" s="9">
        <v>0</v>
      </c>
      <c r="F31" s="21"/>
      <c r="G31" s="22"/>
      <c r="H31" s="22"/>
      <c r="I31" s="22"/>
      <c r="J31" s="22"/>
      <c r="K31" s="22"/>
      <c r="L31" s="22"/>
      <c r="M31" s="22"/>
      <c r="N31" s="24"/>
      <c r="O31" s="24"/>
      <c r="P31" s="24"/>
      <c r="Q31" s="24"/>
      <c r="R31" s="24"/>
      <c r="S31" s="24"/>
      <c r="T31" s="24"/>
      <c r="U31" s="13"/>
      <c r="V31" s="13"/>
      <c r="W31" s="13"/>
      <c r="X31" s="13"/>
      <c r="Y31" s="13"/>
      <c r="Z31" s="13"/>
      <c r="AA31" s="13"/>
      <c r="AB31" s="13"/>
      <c r="AC31" s="13"/>
      <c r="AD31" s="31"/>
      <c r="AE31" s="30"/>
      <c r="AF31" s="30"/>
      <c r="AG31" s="13"/>
      <c r="AH31" s="13"/>
      <c r="AI31" s="13"/>
      <c r="AJ31" s="13"/>
      <c r="AK31" s="13"/>
      <c r="AL31" s="13"/>
      <c r="AM31" s="13"/>
      <c r="AN31" s="13"/>
      <c r="AO31" s="13"/>
      <c r="AP31" s="13"/>
      <c r="AQ31" s="13"/>
      <c r="AR31" s="13"/>
      <c r="AS31" s="13"/>
      <c r="AT31" s="13"/>
      <c r="AU31" s="13"/>
      <c r="AV31" s="13"/>
      <c r="AW31" s="13"/>
      <c r="AX31" s="13"/>
      <c r="AY31" s="13"/>
      <c r="AZ31" s="13"/>
      <c r="BA31" s="13"/>
      <c r="BB31" s="13"/>
    </row>
    <row r="32" ht="13" customHeight="1">
      <c r="A32" s="32">
        <v>218703</v>
      </c>
      <c r="B32" s="32">
        <v>218703</v>
      </c>
      <c r="C32" s="15">
        <v>65.64</v>
      </c>
      <c r="D32" s="15">
        <v>65.64</v>
      </c>
      <c r="E32" s="9">
        <v>0</v>
      </c>
      <c r="F32" s="21"/>
      <c r="G32" s="22"/>
      <c r="H32" s="22"/>
      <c r="I32" s="22"/>
      <c r="J32" s="22"/>
      <c r="K32" s="22"/>
      <c r="L32" s="22"/>
      <c r="M32" s="22"/>
      <c r="N32" s="24"/>
      <c r="O32" s="24"/>
      <c r="P32" s="24"/>
      <c r="Q32" s="24"/>
      <c r="R32" s="24"/>
      <c r="S32" s="24"/>
      <c r="T32" s="24"/>
      <c r="U32" s="13"/>
      <c r="V32" s="13"/>
      <c r="W32" s="13"/>
      <c r="X32" s="13"/>
      <c r="Y32" s="13"/>
      <c r="Z32" s="13"/>
      <c r="AA32" s="13"/>
      <c r="AB32" s="13"/>
      <c r="AC32" s="13"/>
      <c r="AD32" s="31"/>
      <c r="AE32" s="30"/>
      <c r="AF32" s="30"/>
      <c r="AG32" s="13"/>
      <c r="AH32" s="13"/>
      <c r="AI32" s="13"/>
      <c r="AJ32" s="13"/>
      <c r="AK32" s="13"/>
      <c r="AL32" s="13"/>
      <c r="AM32" s="13"/>
      <c r="AN32" s="13"/>
      <c r="AO32" s="13"/>
      <c r="AP32" s="13"/>
      <c r="AQ32" s="13"/>
      <c r="AR32" s="13"/>
      <c r="AS32" s="13"/>
      <c r="AT32" s="13"/>
      <c r="AU32" s="13"/>
      <c r="AV32" s="13"/>
      <c r="AW32" s="13"/>
      <c r="AX32" s="13"/>
      <c r="AY32" s="13"/>
      <c r="AZ32" s="13"/>
      <c r="BA32" s="13"/>
      <c r="BB32" s="13"/>
    </row>
    <row r="33" ht="13" customHeight="1">
      <c r="A33" s="11"/>
      <c r="B33" s="11"/>
      <c r="C33" s="11"/>
      <c r="D33" s="11"/>
      <c r="E33" s="11"/>
      <c r="F33" s="21"/>
      <c r="G33" s="22"/>
      <c r="H33" s="22"/>
      <c r="I33" s="22"/>
      <c r="J33" s="22"/>
      <c r="K33" s="22"/>
      <c r="L33" s="22"/>
      <c r="M33" s="22"/>
      <c r="N33" s="24"/>
      <c r="O33" s="24"/>
      <c r="P33" s="24"/>
      <c r="Q33" s="24"/>
      <c r="R33" s="24"/>
      <c r="S33" s="24"/>
      <c r="T33" s="24"/>
      <c r="U33" s="13"/>
      <c r="V33" s="13"/>
      <c r="W33" s="13"/>
      <c r="X33" s="13"/>
      <c r="Y33" s="13"/>
      <c r="Z33" s="13"/>
      <c r="AA33" s="13"/>
      <c r="AB33" s="13"/>
      <c r="AC33" s="13"/>
      <c r="AD33" s="31"/>
      <c r="AE33" s="30"/>
      <c r="AF33" s="30"/>
      <c r="AG33" s="13"/>
      <c r="AH33" s="13"/>
      <c r="AI33" s="13"/>
      <c r="AJ33" s="13"/>
      <c r="AK33" s="13"/>
      <c r="AL33" s="13"/>
      <c r="AM33" s="13"/>
      <c r="AN33" s="13"/>
      <c r="AO33" s="13"/>
      <c r="AP33" s="13"/>
      <c r="AQ33" s="13"/>
      <c r="AR33" s="13"/>
      <c r="AS33" s="13"/>
      <c r="AT33" s="13"/>
      <c r="AU33" s="13"/>
      <c r="AV33" s="13"/>
      <c r="AW33" s="13"/>
      <c r="AX33" s="13"/>
      <c r="AY33" s="13"/>
      <c r="AZ33" s="13"/>
      <c r="BA33" s="13"/>
      <c r="BB33" s="13"/>
    </row>
    <row r="34" ht="13" customHeight="1">
      <c r="A34" s="11"/>
      <c r="B34" s="11"/>
      <c r="C34" s="11"/>
      <c r="D34" s="11"/>
      <c r="E34" s="11"/>
      <c r="F34" s="21"/>
      <c r="G34" s="22"/>
      <c r="H34" s="22"/>
      <c r="I34" s="22"/>
      <c r="J34" s="22"/>
      <c r="K34" s="22"/>
      <c r="L34" s="22"/>
      <c r="M34" s="22"/>
      <c r="N34" s="24"/>
      <c r="O34" s="24"/>
      <c r="P34" s="24"/>
      <c r="Q34" s="24"/>
      <c r="R34" s="24"/>
      <c r="S34" s="24"/>
      <c r="T34" s="24"/>
      <c r="U34" s="13"/>
      <c r="V34" s="13"/>
      <c r="W34" s="13"/>
      <c r="X34" s="13"/>
      <c r="Y34" s="13"/>
      <c r="Z34" s="13"/>
      <c r="AA34" s="13"/>
      <c r="AB34" s="13"/>
      <c r="AC34" s="13"/>
      <c r="AD34" s="31"/>
      <c r="AE34" s="30"/>
      <c r="AF34" s="30"/>
      <c r="AG34" s="13"/>
      <c r="AH34" s="13"/>
      <c r="AI34" s="13"/>
      <c r="AJ34" s="13"/>
      <c r="AK34" s="13"/>
      <c r="AL34" s="13"/>
      <c r="AM34" s="13"/>
      <c r="AN34" s="13"/>
      <c r="AO34" s="13"/>
      <c r="AP34" s="13"/>
      <c r="AQ34" s="13"/>
      <c r="AR34" s="13"/>
      <c r="AS34" s="13"/>
      <c r="AT34" s="13"/>
      <c r="AU34" s="13"/>
      <c r="AV34" s="13"/>
      <c r="AW34" s="13"/>
      <c r="AX34" s="13"/>
      <c r="AY34" s="13"/>
      <c r="AZ34" s="13"/>
      <c r="BA34" s="13"/>
      <c r="BB34" s="13"/>
    </row>
    <row r="35" ht="13.55" customHeight="1">
      <c r="A35" s="11"/>
      <c r="B35" s="11"/>
      <c r="C35" s="11"/>
      <c r="D35" s="11"/>
      <c r="E35" s="11"/>
      <c r="F35" s="21"/>
      <c r="G35" s="11"/>
      <c r="H35" s="11"/>
      <c r="I35" s="11"/>
      <c r="J35" s="11"/>
      <c r="K35" s="11"/>
      <c r="L35" s="11"/>
      <c r="M35" s="11"/>
      <c r="N35" s="13"/>
      <c r="O35" s="13"/>
      <c r="P35" s="13"/>
      <c r="Q35" s="13"/>
      <c r="R35" s="13"/>
      <c r="S35" s="13"/>
      <c r="T35" s="13"/>
      <c r="U35" s="13"/>
      <c r="V35" s="13"/>
      <c r="W35" s="13"/>
      <c r="X35" s="13"/>
      <c r="Y35" s="13"/>
      <c r="Z35" s="13"/>
      <c r="AA35" s="13"/>
      <c r="AB35" s="13"/>
      <c r="AC35" s="13"/>
      <c r="AD35" s="31"/>
      <c r="AE35" s="30"/>
      <c r="AF35" s="30"/>
      <c r="AG35" s="13"/>
      <c r="AH35" s="13"/>
      <c r="AI35" s="13"/>
      <c r="AJ35" s="13"/>
      <c r="AK35" s="13"/>
      <c r="AL35" s="13"/>
      <c r="AM35" s="13"/>
      <c r="AN35" s="13"/>
      <c r="AO35" s="13"/>
      <c r="AP35" s="13"/>
      <c r="AQ35" s="13"/>
      <c r="AR35" s="13"/>
      <c r="AS35" s="13"/>
      <c r="AT35" s="13"/>
      <c r="AU35" s="13"/>
      <c r="AV35" s="13"/>
      <c r="AW35" s="13"/>
      <c r="AX35" s="13"/>
      <c r="AY35" s="13"/>
      <c r="AZ35" s="13"/>
      <c r="BA35" s="13"/>
      <c r="BB35" s="13"/>
    </row>
    <row r="36" ht="38.5" customHeight="1">
      <c r="A36" s="11"/>
      <c r="B36" s="11"/>
      <c r="C36" s="11"/>
      <c r="D36" s="11"/>
      <c r="E36" s="11"/>
      <c r="F36" s="21"/>
      <c r="G36" s="33"/>
      <c r="H36" s="33"/>
      <c r="I36" s="11"/>
      <c r="J36" t="s" s="34">
        <v>6</v>
      </c>
      <c r="K36" s="35"/>
      <c r="L36" s="35"/>
      <c r="M36" s="11"/>
      <c r="N36" s="36"/>
      <c r="O36" s="36"/>
      <c r="P36" s="24"/>
      <c r="Q36" s="24"/>
      <c r="R36" s="20"/>
      <c r="S36" s="20"/>
      <c r="T36" s="13"/>
      <c r="U36" s="13"/>
      <c r="V36" s="13"/>
      <c r="W36" s="13"/>
      <c r="X36" s="13"/>
      <c r="Y36" s="13"/>
      <c r="Z36" s="13"/>
      <c r="AA36" s="13"/>
      <c r="AB36" s="13"/>
      <c r="AC36" s="13"/>
      <c r="AD36" s="37"/>
      <c r="AE36" s="30"/>
      <c r="AF36" s="30"/>
      <c r="AG36" s="13"/>
      <c r="AH36" s="13"/>
      <c r="AI36" s="13"/>
      <c r="AJ36" s="13"/>
      <c r="AK36" s="13"/>
      <c r="AL36" s="13"/>
      <c r="AM36" s="13"/>
      <c r="AN36" s="13"/>
      <c r="AO36" s="13"/>
      <c r="AP36" s="13"/>
      <c r="AQ36" s="13"/>
      <c r="AR36" s="13"/>
      <c r="AS36" s="13"/>
      <c r="AT36" s="13"/>
      <c r="AU36" s="13"/>
      <c r="AV36" s="13"/>
      <c r="AW36" s="13"/>
      <c r="AX36" s="13"/>
      <c r="AY36" s="13"/>
      <c r="AZ36" s="13"/>
      <c r="BA36" s="13"/>
      <c r="BB36" s="13"/>
    </row>
    <row r="37" ht="13.55" customHeight="1">
      <c r="A37" s="13"/>
      <c r="B37" s="13"/>
      <c r="C37" s="13"/>
      <c r="D37" s="13"/>
      <c r="E37" s="11"/>
      <c r="F37" s="21"/>
      <c r="G37" s="22"/>
      <c r="H37" s="22"/>
      <c r="I37" s="22"/>
      <c r="J37" t="s" s="38">
        <v>7</v>
      </c>
      <c r="K37" t="s" s="38">
        <v>8</v>
      </c>
      <c r="L37" t="s" s="38">
        <v>9</v>
      </c>
      <c r="M37" s="11"/>
      <c r="N37" s="24"/>
      <c r="O37" s="24"/>
      <c r="P37" s="39"/>
      <c r="Q37" s="13"/>
      <c r="R37" s="39"/>
      <c r="S37" s="13"/>
      <c r="T37" s="40"/>
      <c r="U37" s="13"/>
      <c r="V37" s="13"/>
      <c r="W37" s="13"/>
      <c r="X37" s="30"/>
      <c r="Y37" s="13"/>
      <c r="Z37" s="13"/>
      <c r="AA37" s="13"/>
      <c r="AB37" s="13"/>
      <c r="AC37" s="13"/>
      <c r="AD37" s="31"/>
      <c r="AE37" s="30"/>
      <c r="AF37" s="30"/>
      <c r="AG37" s="13"/>
      <c r="AH37" s="13"/>
      <c r="AI37" s="13"/>
      <c r="AJ37" s="13"/>
      <c r="AK37" s="13"/>
      <c r="AL37" s="13"/>
      <c r="AM37" s="13"/>
      <c r="AN37" s="13"/>
      <c r="AO37" s="13"/>
      <c r="AP37" s="13"/>
      <c r="AQ37" s="13"/>
      <c r="AR37" s="13"/>
      <c r="AS37" s="13"/>
      <c r="AT37" s="13"/>
      <c r="AU37" s="13"/>
      <c r="AV37" s="13"/>
      <c r="AW37" s="13"/>
      <c r="AX37" s="13"/>
      <c r="AY37" s="13"/>
      <c r="AZ37" s="13"/>
      <c r="BA37" s="13"/>
      <c r="BB37" s="13"/>
    </row>
    <row r="38" ht="24" customHeight="1">
      <c r="A38" s="13"/>
      <c r="B38" s="13"/>
      <c r="C38" s="13"/>
      <c r="D38" s="13"/>
      <c r="E38" s="11"/>
      <c r="F38" s="41"/>
      <c r="G38" s="26"/>
      <c r="H38" s="42"/>
      <c r="I38" s="11"/>
      <c r="J38" s="7">
        <f>B1</f>
        <v>179498</v>
      </c>
      <c r="K38" s="8">
        <f>IF(D1&gt;1,D1/100,D1)</f>
        <v>0.656899288170</v>
      </c>
      <c r="L38" s="14">
        <f>J38*K38</f>
        <v>117912.108427939</v>
      </c>
      <c r="M38" s="26"/>
      <c r="N38" s="43"/>
      <c r="O38" s="43"/>
      <c r="P38" s="40"/>
      <c r="Q38" s="44"/>
      <c r="R38" s="45"/>
      <c r="S38" s="44"/>
      <c r="T38" s="13"/>
      <c r="U38" s="13"/>
      <c r="V38" s="18"/>
      <c r="W38" s="30"/>
      <c r="X38" s="30"/>
      <c r="Y38" s="13"/>
      <c r="Z38" s="13"/>
      <c r="AA38" s="13"/>
      <c r="AB38" s="13"/>
      <c r="AC38" s="13"/>
      <c r="AD38" s="31"/>
      <c r="AE38" s="30"/>
      <c r="AF38" s="30"/>
      <c r="AG38" s="13"/>
      <c r="AH38" s="13"/>
      <c r="AI38" s="13"/>
      <c r="AJ38" s="13"/>
      <c r="AK38" s="13"/>
      <c r="AL38" s="13"/>
      <c r="AM38" s="13"/>
      <c r="AN38" s="13"/>
      <c r="AO38" s="13"/>
      <c r="AP38" s="13"/>
      <c r="AQ38" s="13"/>
      <c r="AR38" s="13"/>
      <c r="AS38" s="13"/>
      <c r="AT38" s="13"/>
      <c r="AU38" s="13"/>
      <c r="AV38" s="13"/>
      <c r="AW38" s="13"/>
      <c r="AX38" s="13"/>
      <c r="AY38" s="13"/>
      <c r="AZ38" s="13"/>
      <c r="BA38" s="13"/>
      <c r="BB38" s="13"/>
    </row>
    <row r="39" ht="24" customHeight="1">
      <c r="A39" s="13"/>
      <c r="B39" s="13"/>
      <c r="C39" s="30"/>
      <c r="D39" s="30"/>
      <c r="E39" s="11"/>
      <c r="F39" s="21"/>
      <c r="G39" s="26"/>
      <c r="H39" s="15"/>
      <c r="I39" s="11"/>
      <c r="J39" s="7">
        <f>B2</f>
        <v>-1732</v>
      </c>
      <c r="K39" s="8">
        <f>IF(D2&gt;1,D2/100,D2)</f>
        <v>0.655147533080</v>
      </c>
      <c r="L39" s="14">
        <f>J39*K39</f>
        <v>-1134.715527294560</v>
      </c>
      <c r="M39" s="11"/>
      <c r="N39" s="43"/>
      <c r="O39" s="43"/>
      <c r="P39" s="45"/>
      <c r="Q39" s="44"/>
      <c r="R39" s="45"/>
      <c r="S39" s="44"/>
      <c r="T39" s="13"/>
      <c r="U39" s="13"/>
      <c r="V39" s="18"/>
      <c r="W39" s="30"/>
      <c r="X39" s="30"/>
      <c r="Y39" s="13"/>
      <c r="Z39" s="13"/>
      <c r="AA39" s="13"/>
      <c r="AB39" s="13"/>
      <c r="AC39" s="13"/>
      <c r="AD39" s="31"/>
      <c r="AE39" s="30"/>
      <c r="AF39" s="30"/>
      <c r="AG39" s="13"/>
      <c r="AH39" s="13"/>
      <c r="AI39" s="13"/>
      <c r="AJ39" s="13"/>
      <c r="AK39" s="13"/>
      <c r="AL39" s="13"/>
      <c r="AM39" s="13"/>
      <c r="AN39" s="13"/>
      <c r="AO39" s="13"/>
      <c r="AP39" s="13"/>
      <c r="AQ39" s="13"/>
      <c r="AR39" s="13"/>
      <c r="AS39" s="13"/>
      <c r="AT39" s="13"/>
      <c r="AU39" s="13"/>
      <c r="AV39" s="13"/>
      <c r="AW39" s="13"/>
      <c r="AX39" s="13"/>
      <c r="AY39" s="13"/>
      <c r="AZ39" s="13"/>
      <c r="BA39" s="13"/>
      <c r="BB39" s="13"/>
    </row>
    <row r="40" ht="24" customHeight="1">
      <c r="A40" s="13"/>
      <c r="B40" s="13"/>
      <c r="C40" s="30"/>
      <c r="D40" s="30"/>
      <c r="E40" s="11"/>
      <c r="F40" s="21"/>
      <c r="G40" s="26"/>
      <c r="H40" s="42"/>
      <c r="I40" s="15"/>
      <c r="J40" s="7">
        <f>B3</f>
        <v>181230</v>
      </c>
      <c r="K40" s="8">
        <f>IF(D3&gt;1,D3/100,D3)</f>
        <v>0.656882546790</v>
      </c>
      <c r="L40" s="14">
        <f>J40*K40</f>
        <v>119046.823954752</v>
      </c>
      <c r="M40" s="11"/>
      <c r="N40" s="43"/>
      <c r="O40" s="43"/>
      <c r="P40" s="45"/>
      <c r="Q40" s="44"/>
      <c r="R40" s="45"/>
      <c r="S40" s="44"/>
      <c r="T40" s="13"/>
      <c r="U40" s="13"/>
      <c r="V40" s="18"/>
      <c r="W40" s="30"/>
      <c r="X40" s="30"/>
      <c r="Y40" s="13"/>
      <c r="Z40" s="13"/>
      <c r="AA40" s="13"/>
      <c r="AB40" s="13"/>
      <c r="AC40" s="13"/>
      <c r="AD40" s="31"/>
      <c r="AE40" s="30"/>
      <c r="AF40" s="30"/>
      <c r="AG40" s="13"/>
      <c r="AH40" s="13"/>
      <c r="AI40" s="13"/>
      <c r="AJ40" s="13"/>
      <c r="AK40" s="13"/>
      <c r="AL40" s="13"/>
      <c r="AM40" s="13"/>
      <c r="AN40" s="13"/>
      <c r="AO40" s="13"/>
      <c r="AP40" s="13"/>
      <c r="AQ40" s="13"/>
      <c r="AR40" s="13"/>
      <c r="AS40" s="13"/>
      <c r="AT40" s="13"/>
      <c r="AU40" s="13"/>
      <c r="AV40" s="13"/>
      <c r="AW40" s="13"/>
      <c r="AX40" s="13"/>
      <c r="AY40" s="13"/>
      <c r="AZ40" s="13"/>
      <c r="BA40" s="13"/>
      <c r="BB40" s="13"/>
    </row>
    <row r="41" ht="24" customHeight="1">
      <c r="A41" s="13"/>
      <c r="B41" s="13"/>
      <c r="C41" s="30"/>
      <c r="D41" s="30"/>
      <c r="E41" s="11"/>
      <c r="F41" s="21"/>
      <c r="G41" s="26"/>
      <c r="H41" s="15"/>
      <c r="I41" s="11"/>
      <c r="J41" s="7">
        <f>B4</f>
        <v>0</v>
      </c>
      <c r="K41" s="8">
        <f>IF(D4&gt;1,D4/100,D4)</f>
        <v>0</v>
      </c>
      <c r="L41" s="14">
        <f>J41*K41</f>
        <v>0</v>
      </c>
      <c r="M41" s="11"/>
      <c r="N41" s="43"/>
      <c r="O41" s="43"/>
      <c r="P41" s="45"/>
      <c r="Q41" s="44"/>
      <c r="R41" s="45"/>
      <c r="S41" s="44"/>
      <c r="T41" s="13"/>
      <c r="U41" s="13"/>
      <c r="V41" s="18"/>
      <c r="W41" s="30"/>
      <c r="X41" s="30"/>
      <c r="Y41" s="13"/>
      <c r="Z41" s="13"/>
      <c r="AA41" s="13"/>
      <c r="AB41" s="13"/>
      <c r="AC41" s="13"/>
      <c r="AD41" s="31"/>
      <c r="AE41" s="30"/>
      <c r="AF41" s="30"/>
      <c r="AG41" s="13"/>
      <c r="AH41" s="13"/>
      <c r="AI41" s="13"/>
      <c r="AJ41" s="13"/>
      <c r="AK41" s="13"/>
      <c r="AL41" s="13"/>
      <c r="AM41" s="13"/>
      <c r="AN41" s="13"/>
      <c r="AO41" s="13"/>
      <c r="AP41" s="13"/>
      <c r="AQ41" s="13"/>
      <c r="AR41" s="13"/>
      <c r="AS41" s="13"/>
      <c r="AT41" s="13"/>
      <c r="AU41" s="13"/>
      <c r="AV41" s="13"/>
      <c r="AW41" s="13"/>
      <c r="AX41" s="13"/>
      <c r="AY41" s="13"/>
      <c r="AZ41" s="13"/>
      <c r="BA41" s="13"/>
      <c r="BB41" s="13"/>
    </row>
    <row r="42" ht="24" customHeight="1">
      <c r="A42" s="13"/>
      <c r="B42" s="13"/>
      <c r="C42" s="30"/>
      <c r="D42" s="30"/>
      <c r="E42" s="11"/>
      <c r="F42" s="21"/>
      <c r="G42" s="26"/>
      <c r="H42" s="15"/>
      <c r="I42" s="11"/>
      <c r="J42" s="7">
        <f>B5</f>
        <v>181230</v>
      </c>
      <c r="K42" s="8">
        <f>IF(D5&gt;1,D5/100,D5)</f>
        <v>0.656882546790</v>
      </c>
      <c r="L42" s="14">
        <f>J42*K42</f>
        <v>119046.823954752</v>
      </c>
      <c r="M42" s="11"/>
      <c r="N42" s="43"/>
      <c r="O42" s="43"/>
      <c r="P42" s="45"/>
      <c r="Q42" s="44"/>
      <c r="R42" s="45"/>
      <c r="S42" s="44"/>
      <c r="T42" s="13"/>
      <c r="U42" s="13"/>
      <c r="V42" s="18"/>
      <c r="W42" s="30"/>
      <c r="X42" s="30"/>
      <c r="Y42" s="13"/>
      <c r="Z42" s="13"/>
      <c r="AA42" s="13"/>
      <c r="AB42" s="13"/>
      <c r="AC42" s="13"/>
      <c r="AD42" s="31"/>
      <c r="AE42" s="30"/>
      <c r="AF42" s="30"/>
      <c r="AG42" s="13"/>
      <c r="AH42" s="13"/>
      <c r="AI42" s="13"/>
      <c r="AJ42" s="13"/>
      <c r="AK42" s="13"/>
      <c r="AL42" s="13"/>
      <c r="AM42" s="13"/>
      <c r="AN42" s="13"/>
      <c r="AO42" s="13"/>
      <c r="AP42" s="13"/>
      <c r="AQ42" s="13"/>
      <c r="AR42" s="13"/>
      <c r="AS42" s="13"/>
      <c r="AT42" s="13"/>
      <c r="AU42" s="13"/>
      <c r="AV42" s="13"/>
      <c r="AW42" s="13"/>
      <c r="AX42" s="13"/>
      <c r="AY42" s="13"/>
      <c r="AZ42" s="13"/>
      <c r="BA42" s="13"/>
      <c r="BB42" s="13"/>
    </row>
    <row r="43" ht="24" customHeight="1">
      <c r="A43" s="13"/>
      <c r="B43" s="13"/>
      <c r="C43" s="30"/>
      <c r="D43" s="30"/>
      <c r="E43" s="11"/>
      <c r="F43" s="21"/>
      <c r="G43" s="26"/>
      <c r="H43" s="15"/>
      <c r="I43" s="11"/>
      <c r="J43" s="7">
        <f>B6</f>
        <v>1906</v>
      </c>
      <c r="K43" s="8">
        <f>IF(D6&gt;1,D6/100,D6)</f>
        <v>0.655240480070</v>
      </c>
      <c r="L43" s="14">
        <f>J43*K43</f>
        <v>1248.888355013420</v>
      </c>
      <c r="M43" s="11"/>
      <c r="N43" s="43"/>
      <c r="O43" s="43"/>
      <c r="P43" s="45"/>
      <c r="Q43" s="44"/>
      <c r="R43" s="45"/>
      <c r="S43" s="44"/>
      <c r="T43" s="13"/>
      <c r="U43" s="13"/>
      <c r="V43" s="18"/>
      <c r="W43" s="30"/>
      <c r="X43" s="30"/>
      <c r="Y43" s="13"/>
      <c r="Z43" s="13"/>
      <c r="AA43" s="13"/>
      <c r="AB43" s="13"/>
      <c r="AC43" s="13"/>
      <c r="AD43" s="31"/>
      <c r="AE43" s="30"/>
      <c r="AF43" s="30"/>
      <c r="AG43" s="13"/>
      <c r="AH43" s="13"/>
      <c r="AI43" s="13"/>
      <c r="AJ43" s="13"/>
      <c r="AK43" s="13"/>
      <c r="AL43" s="13"/>
      <c r="AM43" s="13"/>
      <c r="AN43" s="13"/>
      <c r="AO43" s="13"/>
      <c r="AP43" s="13"/>
      <c r="AQ43" s="13"/>
      <c r="AR43" s="13"/>
      <c r="AS43" s="13"/>
      <c r="AT43" s="13"/>
      <c r="AU43" s="13"/>
      <c r="AV43" s="13"/>
      <c r="AW43" s="13"/>
      <c r="AX43" s="13"/>
      <c r="AY43" s="13"/>
      <c r="AZ43" s="13"/>
      <c r="BA43" s="13"/>
      <c r="BB43" s="13"/>
    </row>
    <row r="44" ht="24" customHeight="1">
      <c r="A44" s="13"/>
      <c r="B44" s="13"/>
      <c r="C44" s="30"/>
      <c r="D44" s="30"/>
      <c r="E44" s="11"/>
      <c r="F44" s="21"/>
      <c r="G44" s="26"/>
      <c r="H44" s="15"/>
      <c r="I44" s="11"/>
      <c r="J44" s="7">
        <f>B7</f>
        <v>179324</v>
      </c>
      <c r="K44" s="8">
        <f>IF(D7&gt;1,D7/100,D7)</f>
        <v>0.6569</v>
      </c>
      <c r="L44" s="14">
        <f>J44*K44</f>
        <v>117797.9356</v>
      </c>
      <c r="M44" s="14"/>
      <c r="N44" s="43"/>
      <c r="O44" s="43"/>
      <c r="P44" s="43"/>
      <c r="Q44" s="44"/>
      <c r="R44" s="45"/>
      <c r="S44" s="44"/>
      <c r="T44" s="13"/>
      <c r="U44" s="13"/>
      <c r="V44" s="18"/>
      <c r="W44" s="30"/>
      <c r="X44" s="30"/>
      <c r="Y44" s="13"/>
      <c r="Z44" s="13"/>
      <c r="AA44" s="13"/>
      <c r="AB44" s="13"/>
      <c r="AC44" s="13"/>
      <c r="AD44" s="31"/>
      <c r="AE44" s="30"/>
      <c r="AF44" s="30"/>
      <c r="AG44" s="13"/>
      <c r="AH44" s="13"/>
      <c r="AI44" s="13"/>
      <c r="AJ44" s="13"/>
      <c r="AK44" s="13"/>
      <c r="AL44" s="13"/>
      <c r="AM44" s="13"/>
      <c r="AN44" s="13"/>
      <c r="AO44" s="13"/>
      <c r="AP44" s="13"/>
      <c r="AQ44" s="13"/>
      <c r="AR44" s="13"/>
      <c r="AS44" s="13"/>
      <c r="AT44" s="13"/>
      <c r="AU44" s="13"/>
      <c r="AV44" s="13"/>
      <c r="AW44" s="13"/>
      <c r="AX44" s="13"/>
      <c r="AY44" s="13"/>
      <c r="AZ44" s="13"/>
      <c r="BA44" s="13"/>
      <c r="BB44" s="13"/>
    </row>
    <row r="45" ht="24" customHeight="1">
      <c r="A45" s="13"/>
      <c r="B45" s="13"/>
      <c r="C45" s="30"/>
      <c r="D45" s="30"/>
      <c r="E45" s="11"/>
      <c r="F45" s="21"/>
      <c r="G45" s="26"/>
      <c r="H45" s="15"/>
      <c r="I45" s="11"/>
      <c r="J45" s="7">
        <f>B8</f>
        <v>0</v>
      </c>
      <c r="K45" s="8">
        <f>IF(D8&gt;1,D8/100,D8)</f>
        <v>0</v>
      </c>
      <c r="L45" s="14">
        <f>J45*K45</f>
        <v>0</v>
      </c>
      <c r="M45" s="14"/>
      <c r="N45" s="43"/>
      <c r="O45" s="43"/>
      <c r="P45" s="45"/>
      <c r="Q45" s="44"/>
      <c r="R45" s="45"/>
      <c r="S45" s="44"/>
      <c r="T45" s="13"/>
      <c r="U45" s="13"/>
      <c r="V45" s="18"/>
      <c r="W45" s="30"/>
      <c r="X45" s="30"/>
      <c r="Y45" s="13"/>
      <c r="Z45" s="13"/>
      <c r="AA45" s="13"/>
      <c r="AB45" s="13"/>
      <c r="AC45" s="13"/>
      <c r="AD45" s="31"/>
      <c r="AE45" s="30"/>
      <c r="AF45" s="30"/>
      <c r="AG45" s="13"/>
      <c r="AH45" s="13"/>
      <c r="AI45" s="13"/>
      <c r="AJ45" s="13"/>
      <c r="AK45" s="13"/>
      <c r="AL45" s="13"/>
      <c r="AM45" s="13"/>
      <c r="AN45" s="13"/>
      <c r="AO45" s="13"/>
      <c r="AP45" s="13"/>
      <c r="AQ45" s="13"/>
      <c r="AR45" s="13"/>
      <c r="AS45" s="13"/>
      <c r="AT45" s="13"/>
      <c r="AU45" s="13"/>
      <c r="AV45" s="13"/>
      <c r="AW45" s="13"/>
      <c r="AX45" s="13"/>
      <c r="AY45" s="13"/>
      <c r="AZ45" s="13"/>
      <c r="BA45" s="13"/>
      <c r="BB45" s="13"/>
    </row>
    <row r="46" ht="24" customHeight="1">
      <c r="A46" s="13"/>
      <c r="B46" s="13"/>
      <c r="C46" s="30"/>
      <c r="D46" s="30"/>
      <c r="E46" s="11"/>
      <c r="F46" s="21"/>
      <c r="G46" s="26"/>
      <c r="H46" s="42"/>
      <c r="I46" s="14"/>
      <c r="J46" s="7">
        <f>B9</f>
        <v>179324</v>
      </c>
      <c r="K46" s="8">
        <f>IF(D9&gt;1,D9/100,D9)</f>
        <v>0.6569</v>
      </c>
      <c r="L46" s="14">
        <f>J46*K46</f>
        <v>117797.9356</v>
      </c>
      <c r="M46" s="26"/>
      <c r="N46" s="43"/>
      <c r="O46" s="43"/>
      <c r="P46" s="45"/>
      <c r="Q46" s="44"/>
      <c r="R46" s="45"/>
      <c r="S46" s="44"/>
      <c r="T46" s="13"/>
      <c r="U46" s="13"/>
      <c r="V46" s="18"/>
      <c r="W46" s="30"/>
      <c r="X46" s="30"/>
      <c r="Y46" s="13"/>
      <c r="Z46" s="13"/>
      <c r="AA46" s="13"/>
      <c r="AB46" s="13"/>
      <c r="AC46" s="13"/>
      <c r="AD46" s="31"/>
      <c r="AE46" s="30"/>
      <c r="AF46" s="30"/>
      <c r="AG46" s="13"/>
      <c r="AH46" s="13"/>
      <c r="AI46" s="13"/>
      <c r="AJ46" s="13"/>
      <c r="AK46" s="13"/>
      <c r="AL46" s="13"/>
      <c r="AM46" s="13"/>
      <c r="AN46" s="13"/>
      <c r="AO46" s="13"/>
      <c r="AP46" s="13"/>
      <c r="AQ46" s="13"/>
      <c r="AR46" s="13"/>
      <c r="AS46" s="13"/>
      <c r="AT46" s="13"/>
      <c r="AU46" s="13"/>
      <c r="AV46" s="13"/>
      <c r="AW46" s="13"/>
      <c r="AX46" s="13"/>
      <c r="AY46" s="13"/>
      <c r="AZ46" s="13"/>
      <c r="BA46" s="13"/>
      <c r="BB46" s="13"/>
    </row>
    <row r="47" ht="24" customHeight="1">
      <c r="A47" s="13"/>
      <c r="B47" s="13"/>
      <c r="C47" s="30"/>
      <c r="D47" s="30"/>
      <c r="E47" s="11"/>
      <c r="F47" s="21"/>
      <c r="G47" s="26"/>
      <c r="H47" s="15"/>
      <c r="I47" s="11"/>
      <c r="J47" s="7">
        <f>B10</f>
        <v>0</v>
      </c>
      <c r="K47" s="8">
        <f>IF(D10&gt;1,D10/100,D10)</f>
        <v>0</v>
      </c>
      <c r="L47" s="14">
        <f>J47*K47</f>
        <v>0</v>
      </c>
      <c r="M47" s="14"/>
      <c r="N47" s="43"/>
      <c r="O47" s="43"/>
      <c r="P47" s="45"/>
      <c r="Q47" s="44"/>
      <c r="R47" s="45"/>
      <c r="S47" s="44"/>
      <c r="T47" s="13"/>
      <c r="U47" s="13"/>
      <c r="V47" s="18"/>
      <c r="W47" s="30"/>
      <c r="X47" s="30"/>
      <c r="Y47" s="13"/>
      <c r="Z47" s="13"/>
      <c r="AA47" s="13"/>
      <c r="AB47" s="13"/>
      <c r="AC47" s="13"/>
      <c r="AD47" s="31"/>
      <c r="AE47" s="30"/>
      <c r="AF47" s="30"/>
      <c r="AG47" s="13"/>
      <c r="AH47" s="13"/>
      <c r="AI47" s="13"/>
      <c r="AJ47" s="13"/>
      <c r="AK47" s="13"/>
      <c r="AL47" s="13"/>
      <c r="AM47" s="13"/>
      <c r="AN47" s="13"/>
      <c r="AO47" s="13"/>
      <c r="AP47" s="13"/>
      <c r="AQ47" s="13"/>
      <c r="AR47" s="13"/>
      <c r="AS47" s="13"/>
      <c r="AT47" s="13"/>
      <c r="AU47" s="13"/>
      <c r="AV47" s="13"/>
      <c r="AW47" s="13"/>
      <c r="AX47" s="13"/>
      <c r="AY47" s="13"/>
      <c r="AZ47" s="13"/>
      <c r="BA47" s="13"/>
      <c r="BB47" s="13"/>
    </row>
    <row r="48" ht="24" customHeight="1">
      <c r="A48" s="13"/>
      <c r="B48" s="13"/>
      <c r="C48" s="30"/>
      <c r="D48" s="30"/>
      <c r="E48" s="11"/>
      <c r="F48" s="21"/>
      <c r="G48" s="26"/>
      <c r="H48" s="15"/>
      <c r="I48" s="11"/>
      <c r="J48" s="7">
        <f>B11</f>
        <v>0</v>
      </c>
      <c r="K48" s="8">
        <f>IF(D11&gt;1,D11/100,D11)</f>
        <v>0</v>
      </c>
      <c r="L48" s="14">
        <f>J48*K48</f>
        <v>0</v>
      </c>
      <c r="M48" s="11"/>
      <c r="N48" s="43"/>
      <c r="O48" s="43"/>
      <c r="P48" s="45"/>
      <c r="Q48" s="44"/>
      <c r="R48" s="45"/>
      <c r="S48" s="44"/>
      <c r="T48" s="13"/>
      <c r="U48" s="13"/>
      <c r="V48" s="18"/>
      <c r="W48" s="30"/>
      <c r="X48" s="30"/>
      <c r="Y48" s="13"/>
      <c r="Z48" s="13"/>
      <c r="AA48" s="13"/>
      <c r="AB48" s="13"/>
      <c r="AC48" s="13"/>
      <c r="AD48" s="31"/>
      <c r="AE48" s="30"/>
      <c r="AF48" s="30"/>
      <c r="AG48" s="13"/>
      <c r="AH48" s="13"/>
      <c r="AI48" s="13"/>
      <c r="AJ48" s="13"/>
      <c r="AK48" s="13"/>
      <c r="AL48" s="13"/>
      <c r="AM48" s="13"/>
      <c r="AN48" s="13"/>
      <c r="AO48" s="13"/>
      <c r="AP48" s="13"/>
      <c r="AQ48" s="13"/>
      <c r="AR48" s="13"/>
      <c r="AS48" s="13"/>
      <c r="AT48" s="13"/>
      <c r="AU48" s="13"/>
      <c r="AV48" s="13"/>
      <c r="AW48" s="13"/>
      <c r="AX48" s="13"/>
      <c r="AY48" s="13"/>
      <c r="AZ48" s="13"/>
      <c r="BA48" s="13"/>
      <c r="BB48" s="13"/>
    </row>
    <row r="49" ht="24" customHeight="1">
      <c r="A49" s="13"/>
      <c r="B49" s="13"/>
      <c r="C49" s="30"/>
      <c r="D49" s="30"/>
      <c r="E49" s="11"/>
      <c r="F49" s="21"/>
      <c r="G49" s="26"/>
      <c r="H49" s="42"/>
      <c r="I49" s="11"/>
      <c r="J49" s="7">
        <f>B12</f>
        <v>13056</v>
      </c>
      <c r="K49" s="8">
        <f>IF(D12&gt;1,D12/100,D12)</f>
        <v>0.6632674938699999</v>
      </c>
      <c r="L49" s="14">
        <f>J49*K49</f>
        <v>8659.620399966720</v>
      </c>
      <c r="M49" s="11"/>
      <c r="N49" s="43"/>
      <c r="O49" s="43"/>
      <c r="P49" s="45"/>
      <c r="Q49" s="44"/>
      <c r="R49" s="45"/>
      <c r="S49" s="44"/>
      <c r="T49" s="13"/>
      <c r="U49" s="13"/>
      <c r="V49" s="18"/>
      <c r="W49" s="30"/>
      <c r="X49" s="30"/>
      <c r="Y49" s="13"/>
      <c r="Z49" s="13"/>
      <c r="AA49" s="13"/>
      <c r="AB49" s="13"/>
      <c r="AC49" s="13"/>
      <c r="AD49" s="31"/>
      <c r="AE49" s="30"/>
      <c r="AF49" s="30"/>
      <c r="AG49" s="13"/>
      <c r="AH49" s="13"/>
      <c r="AI49" s="13"/>
      <c r="AJ49" s="13"/>
      <c r="AK49" s="13"/>
      <c r="AL49" s="13"/>
      <c r="AM49" s="13"/>
      <c r="AN49" s="13"/>
      <c r="AO49" s="13"/>
      <c r="AP49" s="13"/>
      <c r="AQ49" s="13"/>
      <c r="AR49" s="13"/>
      <c r="AS49" s="13"/>
      <c r="AT49" s="13"/>
      <c r="AU49" s="13"/>
      <c r="AV49" s="13"/>
      <c r="AW49" s="13"/>
      <c r="AX49" s="13"/>
      <c r="AY49" s="13"/>
      <c r="AZ49" s="13"/>
      <c r="BA49" s="13"/>
      <c r="BB49" s="13"/>
    </row>
    <row r="50" ht="24" customHeight="1">
      <c r="A50" s="13"/>
      <c r="B50" s="13"/>
      <c r="C50" s="30"/>
      <c r="D50" s="30"/>
      <c r="E50" s="11"/>
      <c r="F50" s="46"/>
      <c r="G50" s="26"/>
      <c r="H50" s="47"/>
      <c r="I50" s="48"/>
      <c r="J50" s="7">
        <f>B13</f>
        <v>166268</v>
      </c>
      <c r="K50" s="8">
        <f>IF(D13&gt;1,D13/100,D13)</f>
        <v>0.6564</v>
      </c>
      <c r="L50" s="14">
        <f>J50*K50</f>
        <v>109138.3152</v>
      </c>
      <c r="M50" s="11"/>
      <c r="N50" s="43"/>
      <c r="O50" s="43"/>
      <c r="P50" s="45"/>
      <c r="Q50" s="44"/>
      <c r="R50" s="45"/>
      <c r="S50" s="44"/>
      <c r="T50" s="13"/>
      <c r="U50" s="13"/>
      <c r="V50" s="18"/>
      <c r="W50" s="30"/>
      <c r="X50" s="30"/>
      <c r="Y50" s="13"/>
      <c r="Z50" s="13"/>
      <c r="AA50" s="13"/>
      <c r="AB50" s="13"/>
      <c r="AC50" s="13"/>
      <c r="AD50" s="31"/>
      <c r="AE50" s="30"/>
      <c r="AF50" s="30"/>
      <c r="AG50" s="13"/>
      <c r="AH50" s="13"/>
      <c r="AI50" s="13"/>
      <c r="AJ50" s="13"/>
      <c r="AK50" s="13"/>
      <c r="AL50" s="13"/>
      <c r="AM50" s="13"/>
      <c r="AN50" s="13"/>
      <c r="AO50" s="13"/>
      <c r="AP50" s="13"/>
      <c r="AQ50" s="13"/>
      <c r="AR50" s="13"/>
      <c r="AS50" s="13"/>
      <c r="AT50" s="13"/>
      <c r="AU50" s="13"/>
      <c r="AV50" s="13"/>
      <c r="AW50" s="13"/>
      <c r="AX50" s="13"/>
      <c r="AY50" s="13"/>
      <c r="AZ50" s="13"/>
      <c r="BA50" s="13"/>
      <c r="BB50" s="13"/>
    </row>
    <row r="51" ht="24" customHeight="1">
      <c r="A51" s="13"/>
      <c r="B51" s="13"/>
      <c r="C51" s="30"/>
      <c r="D51" s="30"/>
      <c r="E51" s="11"/>
      <c r="F51" s="41"/>
      <c r="G51" s="26"/>
      <c r="H51" s="42"/>
      <c r="I51" s="11"/>
      <c r="J51" s="7">
        <f>B14</f>
        <v>49366</v>
      </c>
      <c r="K51" s="8">
        <f>IF(D14&gt;1,D14/100,D14)</f>
        <v>0.661565240530</v>
      </c>
      <c r="L51" s="14">
        <f>J51*K51</f>
        <v>32658.829664004</v>
      </c>
      <c r="M51" s="11"/>
      <c r="N51" s="43"/>
      <c r="O51" s="43"/>
      <c r="P51" s="45"/>
      <c r="Q51" s="44"/>
      <c r="R51" s="45"/>
      <c r="S51" s="44"/>
      <c r="T51" s="13"/>
      <c r="U51" s="13"/>
      <c r="V51" s="19"/>
      <c r="W51" s="30"/>
      <c r="X51" s="30"/>
      <c r="Y51" s="13"/>
      <c r="Z51" s="13"/>
      <c r="AA51" s="13"/>
      <c r="AB51" s="13"/>
      <c r="AC51" s="13"/>
      <c r="AD51" s="31"/>
      <c r="AE51" s="30"/>
      <c r="AF51" s="30"/>
      <c r="AG51" s="13"/>
      <c r="AH51" s="13"/>
      <c r="AI51" s="13"/>
      <c r="AJ51" s="13"/>
      <c r="AK51" s="13"/>
      <c r="AL51" s="13"/>
      <c r="AM51" s="13"/>
      <c r="AN51" s="13"/>
      <c r="AO51" s="13"/>
      <c r="AP51" s="13"/>
      <c r="AQ51" s="13"/>
      <c r="AR51" s="13"/>
      <c r="AS51" s="13"/>
      <c r="AT51" s="13"/>
      <c r="AU51" s="13"/>
      <c r="AV51" s="13"/>
      <c r="AW51" s="13"/>
      <c r="AX51" s="13"/>
      <c r="AY51" s="13"/>
      <c r="AZ51" s="13"/>
      <c r="BA51" s="13"/>
      <c r="BB51" s="13"/>
    </row>
    <row r="52" ht="24" customHeight="1">
      <c r="A52" s="13"/>
      <c r="B52" s="13"/>
      <c r="C52" s="30"/>
      <c r="D52" s="30"/>
      <c r="E52" s="11"/>
      <c r="F52" s="21"/>
      <c r="G52" s="26"/>
      <c r="H52" s="15"/>
      <c r="I52" s="11"/>
      <c r="J52" s="7">
        <f>B15</f>
        <v>-2483</v>
      </c>
      <c r="K52" s="8">
        <f>IF(D15&gt;1,D15/100,D15)</f>
        <v>0.657527218880</v>
      </c>
      <c r="L52" s="14">
        <f>J52*K52</f>
        <v>-1632.640084479040</v>
      </c>
      <c r="M52" s="11"/>
      <c r="N52" s="43"/>
      <c r="O52" s="43"/>
      <c r="P52" s="45"/>
      <c r="Q52" s="44"/>
      <c r="R52" s="45"/>
      <c r="S52" s="44"/>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row>
    <row r="53" ht="24" customHeight="1">
      <c r="A53" s="13"/>
      <c r="B53" s="13"/>
      <c r="C53" s="30"/>
      <c r="D53" s="30"/>
      <c r="E53" s="11"/>
      <c r="F53" s="21"/>
      <c r="G53" s="26"/>
      <c r="H53" s="15"/>
      <c r="I53" s="11"/>
      <c r="J53" s="7">
        <f>B16</f>
        <v>51849</v>
      </c>
      <c r="K53" s="8">
        <f>IF(D16&gt;1,D16/100,D16)</f>
        <v>0.661371863460</v>
      </c>
      <c r="L53" s="14">
        <f>J53*K53</f>
        <v>34291.4697485375</v>
      </c>
      <c r="M53" s="14"/>
      <c r="N53" s="43"/>
      <c r="O53" s="43"/>
      <c r="P53" s="45"/>
      <c r="Q53" s="44"/>
      <c r="R53" s="45"/>
      <c r="S53" s="44"/>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row>
    <row r="54" ht="24" customHeight="1">
      <c r="A54" s="13"/>
      <c r="B54" s="13"/>
      <c r="C54" s="30"/>
      <c r="D54" s="30"/>
      <c r="E54" s="11"/>
      <c r="F54" s="21"/>
      <c r="G54" s="26"/>
      <c r="H54" s="15"/>
      <c r="I54" s="11"/>
      <c r="J54" s="7">
        <f>B17</f>
        <v>-7699.9115773</v>
      </c>
      <c r="K54" s="8">
        <f>IF(D17&gt;1,D17/100,D17)</f>
        <v>0.657667406190</v>
      </c>
      <c r="L54" s="14">
        <f>J54*K54</f>
        <v>-5063.980874935240</v>
      </c>
      <c r="M54" s="11"/>
      <c r="N54" s="43"/>
      <c r="O54" s="43"/>
      <c r="P54" s="45"/>
      <c r="Q54" s="44"/>
      <c r="R54" s="45"/>
      <c r="S54" s="44"/>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row>
    <row r="55" ht="24" customHeight="1">
      <c r="A55" s="13"/>
      <c r="B55" s="13"/>
      <c r="C55" s="30"/>
      <c r="D55" s="30"/>
      <c r="E55" s="11"/>
      <c r="F55" s="21"/>
      <c r="G55" s="26"/>
      <c r="H55" s="15"/>
      <c r="I55" s="11"/>
      <c r="J55" s="7">
        <f>B18</f>
        <v>59548.911577</v>
      </c>
      <c r="K55" s="8">
        <f>IF(D18&gt;1,D18/100,D18)</f>
        <v>0.660892862340</v>
      </c>
      <c r="L55" s="14">
        <f>J55*K55</f>
        <v>39355.4506213551</v>
      </c>
      <c r="M55" s="11"/>
      <c r="N55" s="43"/>
      <c r="O55" s="43"/>
      <c r="P55" s="45"/>
      <c r="Q55" s="44"/>
      <c r="R55" s="45"/>
      <c r="S55" s="44"/>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row>
    <row r="56" ht="24" customHeight="1">
      <c r="A56" s="13"/>
      <c r="B56" s="13"/>
      <c r="C56" s="30"/>
      <c r="D56" s="30"/>
      <c r="E56" s="11"/>
      <c r="F56" s="21"/>
      <c r="G56" s="26"/>
      <c r="H56" s="15"/>
      <c r="I56" s="11"/>
      <c r="J56" s="7">
        <f>B19</f>
        <v>-1846.0884227</v>
      </c>
      <c r="K56" s="8">
        <f>IF(D19&gt;1,D19/100,D19)</f>
        <v>0.6578045581999999</v>
      </c>
      <c r="L56" s="14">
        <f>J56*K56</f>
        <v>-1214.365379292310</v>
      </c>
      <c r="M56" s="11"/>
      <c r="N56" s="43"/>
      <c r="O56" s="43"/>
      <c r="P56" s="45"/>
      <c r="Q56" s="44"/>
      <c r="R56" s="45"/>
      <c r="S56" s="44"/>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row>
    <row r="57" ht="24" customHeight="1">
      <c r="A57" s="13"/>
      <c r="B57" s="13"/>
      <c r="C57" s="30"/>
      <c r="D57" s="30"/>
      <c r="E57" s="11"/>
      <c r="F57" s="21"/>
      <c r="G57" s="26"/>
      <c r="H57" s="15"/>
      <c r="I57" s="11"/>
      <c r="J57" s="7">
        <f>B20</f>
        <v>61395</v>
      </c>
      <c r="K57" s="8">
        <f>IF(D20&gt;1,D20/100,D20)</f>
        <v>0.6608000000000001</v>
      </c>
      <c r="L57" s="14">
        <f>J57*K57</f>
        <v>40569.816</v>
      </c>
      <c r="M57" s="11"/>
      <c r="N57" s="43"/>
      <c r="O57" s="43"/>
      <c r="P57" s="45"/>
      <c r="Q57" s="44"/>
      <c r="R57" s="45"/>
      <c r="S57" s="44"/>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row>
    <row r="58" ht="24" customHeight="1">
      <c r="A58" s="13"/>
      <c r="B58" s="13"/>
      <c r="C58" s="30"/>
      <c r="D58" s="30"/>
      <c r="E58" s="11"/>
      <c r="F58" s="21"/>
      <c r="G58" s="26"/>
      <c r="H58" s="15"/>
      <c r="I58" s="11"/>
      <c r="J58" s="7">
        <f>B21</f>
        <v>0</v>
      </c>
      <c r="K58" s="8">
        <f>IF(D21&gt;1,D21/100,D21)</f>
        <v>0</v>
      </c>
      <c r="L58" s="14">
        <f>J58*K58</f>
        <v>0</v>
      </c>
      <c r="M58" s="11"/>
      <c r="N58" s="43"/>
      <c r="O58" s="43"/>
      <c r="P58" s="45"/>
      <c r="Q58" s="44"/>
      <c r="R58" s="45"/>
      <c r="S58" s="44"/>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row>
    <row r="59" ht="24" customHeight="1">
      <c r="A59" s="13"/>
      <c r="B59" s="13"/>
      <c r="C59" s="30"/>
      <c r="D59" s="30"/>
      <c r="E59" s="11"/>
      <c r="F59" s="21"/>
      <c r="G59" s="26"/>
      <c r="H59" s="15"/>
      <c r="I59" s="11"/>
      <c r="J59" s="7">
        <f>B22</f>
        <v>61395</v>
      </c>
      <c r="K59" s="8">
        <f>IF(D22&gt;1,D22/100,D22)</f>
        <v>0.6608000000000001</v>
      </c>
      <c r="L59" s="14">
        <f>J59*K59</f>
        <v>40569.816</v>
      </c>
      <c r="M59" s="14"/>
      <c r="N59" s="43"/>
      <c r="O59" s="43"/>
      <c r="P59" s="45"/>
      <c r="Q59" s="44"/>
      <c r="R59" s="45"/>
      <c r="S59" s="44"/>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row>
    <row r="60" ht="24" customHeight="1">
      <c r="A60" s="13"/>
      <c r="B60" s="13"/>
      <c r="C60" s="30"/>
      <c r="D60" s="30"/>
      <c r="E60" s="11"/>
      <c r="F60" s="21"/>
      <c r="G60" s="26"/>
      <c r="H60" s="15"/>
      <c r="I60" s="11"/>
      <c r="J60" s="7">
        <f>B23</f>
        <v>0</v>
      </c>
      <c r="K60" s="8">
        <f>IF(D23&gt;1,D23/100,D23)</f>
        <v>0</v>
      </c>
      <c r="L60" s="14">
        <f>J60*K60</f>
        <v>0</v>
      </c>
      <c r="M60" s="11"/>
      <c r="N60" s="43"/>
      <c r="O60" s="43"/>
      <c r="P60" s="45"/>
      <c r="Q60" s="44"/>
      <c r="R60" s="45"/>
      <c r="S60" s="44"/>
      <c r="T60" s="13"/>
      <c r="U60" s="45"/>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row>
    <row r="61" ht="24" customHeight="1">
      <c r="A61" s="13"/>
      <c r="B61" s="13"/>
      <c r="C61" s="30"/>
      <c r="D61" s="30"/>
      <c r="E61" s="11"/>
      <c r="F61" s="21"/>
      <c r="G61" s="26"/>
      <c r="H61" s="42"/>
      <c r="I61" s="11"/>
      <c r="J61" s="7">
        <f>B24</f>
        <v>61395</v>
      </c>
      <c r="K61" s="8">
        <f>IF(D24&gt;1,D24/100,D24)</f>
        <v>0.6608000000000001</v>
      </c>
      <c r="L61" s="14">
        <f>J61*K61</f>
        <v>40569.816</v>
      </c>
      <c r="M61" s="14"/>
      <c r="N61" s="43"/>
      <c r="O61" s="43"/>
      <c r="P61" s="45"/>
      <c r="Q61" s="44"/>
      <c r="R61" s="45"/>
      <c r="S61" s="44"/>
      <c r="T61" s="13"/>
      <c r="U61" s="45"/>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row>
    <row r="62" ht="24" customHeight="1">
      <c r="A62" s="13"/>
      <c r="B62" s="13"/>
      <c r="C62" s="30"/>
      <c r="D62" s="30"/>
      <c r="E62" s="11"/>
      <c r="F62" s="21"/>
      <c r="G62" s="26"/>
      <c r="H62" s="15"/>
      <c r="I62" s="14"/>
      <c r="J62" s="7">
        <f>B25</f>
        <v>0</v>
      </c>
      <c r="K62" s="8">
        <f>IF(D25&gt;1,D25/100,D25)</f>
        <v>0</v>
      </c>
      <c r="L62" s="14">
        <f>J62*K62</f>
        <v>0</v>
      </c>
      <c r="M62" s="14"/>
      <c r="N62" s="43"/>
      <c r="O62" s="43"/>
      <c r="P62" s="45"/>
      <c r="Q62" s="44"/>
      <c r="R62" s="45"/>
      <c r="S62" s="44"/>
      <c r="T62" s="13"/>
      <c r="U62" s="45"/>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row>
    <row r="63" ht="24" customHeight="1">
      <c r="A63" s="13"/>
      <c r="B63" s="13"/>
      <c r="C63" s="30"/>
      <c r="D63" s="30"/>
      <c r="E63" s="11"/>
      <c r="F63" s="21"/>
      <c r="G63" s="26"/>
      <c r="H63" s="15"/>
      <c r="I63" s="11"/>
      <c r="J63" s="7">
        <f>B26</f>
        <v>11739</v>
      </c>
      <c r="K63" s="8">
        <f>IF(D26&gt;1,D26/100,D26)</f>
        <v>0.6794120112399999</v>
      </c>
      <c r="L63" s="14">
        <f>J63*K63</f>
        <v>7975.617599946360</v>
      </c>
      <c r="M63" s="14"/>
      <c r="N63" s="43"/>
      <c r="O63" s="43"/>
      <c r="P63" s="45"/>
      <c r="Q63" s="44"/>
      <c r="R63" s="45"/>
      <c r="S63" s="44"/>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row>
    <row r="64" ht="24" customHeight="1">
      <c r="A64" s="13"/>
      <c r="B64" s="13"/>
      <c r="C64" s="30"/>
      <c r="D64" s="30"/>
      <c r="E64" s="11"/>
      <c r="F64" s="46"/>
      <c r="G64" s="26"/>
      <c r="H64" s="47"/>
      <c r="I64" s="48"/>
      <c r="J64" s="7">
        <f>B27</f>
        <v>49656</v>
      </c>
      <c r="K64" s="8">
        <f>IF(D27&gt;1,D27/100,D27)</f>
        <v>0.6564</v>
      </c>
      <c r="L64" s="14">
        <f>J64*K64</f>
        <v>32594.1984</v>
      </c>
      <c r="M64" s="11"/>
      <c r="N64" s="43"/>
      <c r="O64" s="43"/>
      <c r="P64" s="45"/>
      <c r="Q64" s="44"/>
      <c r="R64" s="45"/>
      <c r="S64" s="44"/>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row>
    <row r="65" ht="24" customHeight="1">
      <c r="A65" s="13"/>
      <c r="B65" s="13"/>
      <c r="C65" s="30"/>
      <c r="D65" s="30"/>
      <c r="E65" s="11"/>
      <c r="F65" s="21"/>
      <c r="G65" s="26"/>
      <c r="H65" s="15"/>
      <c r="I65" s="11"/>
      <c r="J65" s="7">
        <f>B28</f>
        <v>-2778</v>
      </c>
      <c r="K65" s="8">
        <f>IF(D28&gt;1,D28/100,D28)</f>
        <v>0.6566362851000001</v>
      </c>
      <c r="L65" s="14">
        <f>J65*K65</f>
        <v>-1824.1356000078</v>
      </c>
      <c r="M65" s="11"/>
      <c r="N65" s="43"/>
      <c r="O65" s="43"/>
      <c r="P65" s="45"/>
      <c r="Q65" s="44"/>
      <c r="R65" s="45"/>
      <c r="S65" s="44"/>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row>
    <row r="66" ht="24" customHeight="1">
      <c r="A66" s="13"/>
      <c r="B66" s="13"/>
      <c r="C66" s="30"/>
      <c r="D66" s="30"/>
      <c r="E66" s="11"/>
      <c r="F66" s="21"/>
      <c r="G66" s="26"/>
      <c r="H66" s="15"/>
      <c r="I66" s="14"/>
      <c r="J66" s="7">
        <f>B29</f>
        <v>2778</v>
      </c>
      <c r="K66" s="8">
        <f>IF(D29&gt;1,D29/100,D29)</f>
        <v>0.6566362851000001</v>
      </c>
      <c r="L66" s="14">
        <f>J66*K66</f>
        <v>1824.1356000078</v>
      </c>
      <c r="M66" s="11"/>
      <c r="N66" s="43"/>
      <c r="O66" s="43"/>
      <c r="P66" s="45"/>
      <c r="Q66" s="44"/>
      <c r="R66" s="45"/>
      <c r="S66" s="44"/>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row>
    <row r="67" ht="24" customHeight="1">
      <c r="A67" s="13"/>
      <c r="B67" s="30"/>
      <c r="C67" s="30"/>
      <c r="D67" s="30"/>
      <c r="E67" s="11"/>
      <c r="F67" s="21"/>
      <c r="G67" s="26"/>
      <c r="H67" s="15"/>
      <c r="I67" s="11"/>
      <c r="J67" s="7">
        <f>B30</f>
        <v>0</v>
      </c>
      <c r="K67" s="8">
        <f>IF(D30&gt;1,D30/100,D30)</f>
        <v>0</v>
      </c>
      <c r="L67" s="14">
        <f>J67*K67</f>
        <v>0</v>
      </c>
      <c r="M67" s="11"/>
      <c r="N67" s="43"/>
      <c r="O67" s="43"/>
      <c r="P67" s="45"/>
      <c r="Q67" s="44"/>
      <c r="R67" s="45"/>
      <c r="S67" s="44"/>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row>
    <row r="68" ht="24" customHeight="1">
      <c r="A68" s="13"/>
      <c r="B68" s="13"/>
      <c r="C68" s="13"/>
      <c r="D68" s="13"/>
      <c r="E68" s="11"/>
      <c r="F68" s="21"/>
      <c r="G68" s="26"/>
      <c r="H68" s="15"/>
      <c r="I68" s="11"/>
      <c r="J68" s="7">
        <f>B31</f>
        <v>2778</v>
      </c>
      <c r="K68" s="8">
        <f>IF(D31&gt;1,D31/100,D31)</f>
        <v>0.6566362851000001</v>
      </c>
      <c r="L68" s="14">
        <f>J68*K68</f>
        <v>1824.1356000078</v>
      </c>
      <c r="M68" s="11"/>
      <c r="N68" s="43"/>
      <c r="O68" s="43"/>
      <c r="P68" s="45"/>
      <c r="Q68" s="44"/>
      <c r="R68" s="45"/>
      <c r="S68" s="44"/>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row>
    <row r="69" ht="24" customHeight="1">
      <c r="A69" s="13"/>
      <c r="B69" s="13"/>
      <c r="C69" s="13"/>
      <c r="D69" s="13"/>
      <c r="E69" s="11"/>
      <c r="F69" s="49"/>
      <c r="G69" s="26"/>
      <c r="H69" s="15"/>
      <c r="I69" s="11"/>
      <c r="J69" s="7">
        <f>B32</f>
        <v>218703</v>
      </c>
      <c r="K69" s="8">
        <f>IF(D32&gt;1,D32/100,D32)</f>
        <v>0.6564</v>
      </c>
      <c r="L69" s="14">
        <f>J69*K69</f>
        <v>143556.6492</v>
      </c>
      <c r="M69" s="11"/>
      <c r="N69" s="43"/>
      <c r="O69" s="43"/>
      <c r="P69" s="45"/>
      <c r="Q69" s="44"/>
      <c r="R69" s="45"/>
      <c r="S69" s="44"/>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row>
    <row r="70" ht="13.55" customHeight="1">
      <c r="A70" s="13"/>
      <c r="B70" s="13"/>
      <c r="C70" s="13"/>
      <c r="D70" s="13"/>
      <c r="E70" s="11"/>
      <c r="F70" s="10"/>
      <c r="G70" s="11"/>
      <c r="H70" s="11"/>
      <c r="I70" s="11"/>
      <c r="J70" s="11"/>
      <c r="K70" s="11"/>
      <c r="L70" s="11"/>
      <c r="M70" s="11"/>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row>
    <row r="71" ht="13.55" customHeight="1">
      <c r="A71" s="13"/>
      <c r="B71" s="13"/>
      <c r="C71" s="13"/>
      <c r="D71" s="13"/>
      <c r="E71" s="11"/>
      <c r="F71" s="10"/>
      <c r="G71" s="11"/>
      <c r="H71" s="11"/>
      <c r="I71" s="11"/>
      <c r="J71" s="11"/>
      <c r="K71" s="11"/>
      <c r="L71" s="11"/>
      <c r="M71" s="11"/>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row>
    <row r="72" ht="13.55" customHeight="1">
      <c r="A72" s="13"/>
      <c r="B72" s="13"/>
      <c r="C72" s="13"/>
      <c r="D72" s="13"/>
      <c r="E72" s="11"/>
      <c r="F72" s="10"/>
      <c r="G72" s="22"/>
      <c r="H72" s="22"/>
      <c r="I72" s="11"/>
      <c r="J72" s="22"/>
      <c r="K72" s="22"/>
      <c r="L72" s="11"/>
      <c r="M72" s="11"/>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row>
    <row r="73" ht="13.55" customHeight="1">
      <c r="A73" s="13"/>
      <c r="B73" s="13"/>
      <c r="C73" s="13"/>
      <c r="D73" s="13"/>
      <c r="E73" s="11"/>
      <c r="F73" s="10"/>
      <c r="G73" s="22"/>
      <c r="H73" s="22"/>
      <c r="I73" s="11"/>
      <c r="J73" s="22"/>
      <c r="K73" s="22"/>
      <c r="L73" s="11"/>
      <c r="M73" s="11"/>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row>
    <row r="74" ht="18.5" customHeight="1">
      <c r="A74" s="13"/>
      <c r="B74" s="13"/>
      <c r="C74" s="13"/>
      <c r="D74" s="13"/>
      <c r="E74" s="11"/>
      <c r="F74" s="46"/>
      <c r="G74" s="11"/>
      <c r="H74" s="11"/>
      <c r="I74" s="11"/>
      <c r="J74" s="14"/>
      <c r="K74" s="15"/>
      <c r="L74" s="11"/>
      <c r="M74" s="11"/>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row>
    <row r="75" ht="13.55" customHeight="1">
      <c r="A75" s="13"/>
      <c r="B75" s="13"/>
      <c r="C75" s="13"/>
      <c r="D75" s="13"/>
      <c r="E75" s="11"/>
      <c r="F75" s="21"/>
      <c r="G75" s="11"/>
      <c r="H75" s="11"/>
      <c r="I75" s="11"/>
      <c r="J75" s="14"/>
      <c r="K75" s="15"/>
      <c r="L75" s="11"/>
      <c r="M75" s="11"/>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row>
    <row r="76" ht="13.55" customHeight="1">
      <c r="A76" s="13"/>
      <c r="B76" s="13"/>
      <c r="C76" s="13"/>
      <c r="D76" s="13"/>
      <c r="E76" s="11"/>
      <c r="F76" s="21"/>
      <c r="G76" s="11"/>
      <c r="H76" s="11"/>
      <c r="I76" s="11"/>
      <c r="J76" s="14"/>
      <c r="K76" s="15"/>
      <c r="L76" s="11"/>
      <c r="M76" s="11"/>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row>
    <row r="77" ht="13.55" customHeight="1">
      <c r="A77" s="13"/>
      <c r="B77" s="13"/>
      <c r="C77" s="13"/>
      <c r="D77" s="13"/>
      <c r="E77" s="11"/>
      <c r="F77" s="21"/>
      <c r="G77" s="11"/>
      <c r="H77" s="11"/>
      <c r="I77" s="11"/>
      <c r="J77" s="14"/>
      <c r="K77" s="15"/>
      <c r="L77" s="11"/>
      <c r="M77" s="11"/>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row>
    <row r="78" ht="13.55" customHeight="1">
      <c r="A78" s="13"/>
      <c r="B78" s="13"/>
      <c r="C78" s="13"/>
      <c r="D78" s="13"/>
      <c r="E78" s="11"/>
      <c r="F78" s="21"/>
      <c r="G78" s="11"/>
      <c r="H78" s="11"/>
      <c r="I78" s="11"/>
      <c r="J78" s="14"/>
      <c r="K78" s="15"/>
      <c r="L78" s="11"/>
      <c r="M78" s="11"/>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row>
    <row r="79" ht="13.55" customHeight="1">
      <c r="A79" s="13"/>
      <c r="B79" s="13"/>
      <c r="C79" s="13"/>
      <c r="D79" s="13"/>
      <c r="E79" s="11"/>
      <c r="F79" s="21"/>
      <c r="G79" s="11"/>
      <c r="H79" s="11"/>
      <c r="I79" s="11"/>
      <c r="J79" s="14"/>
      <c r="K79" s="15"/>
      <c r="L79" s="11"/>
      <c r="M79" s="11"/>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row>
    <row r="80" ht="13.55" customHeight="1">
      <c r="A80" s="13"/>
      <c r="B80" s="13"/>
      <c r="C80" s="13"/>
      <c r="D80" s="13"/>
      <c r="E80" s="11"/>
      <c r="F80" s="21"/>
      <c r="G80" s="11"/>
      <c r="H80" s="11"/>
      <c r="I80" s="11"/>
      <c r="J80" s="14"/>
      <c r="K80" s="15"/>
      <c r="L80" s="11"/>
      <c r="M80" s="11"/>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row>
    <row r="81" ht="13.55" customHeight="1">
      <c r="A81" s="13"/>
      <c r="B81" s="13"/>
      <c r="C81" s="13"/>
      <c r="D81" s="13"/>
      <c r="E81" s="11"/>
      <c r="F81" s="21"/>
      <c r="G81" s="11"/>
      <c r="H81" s="11"/>
      <c r="I81" s="11"/>
      <c r="J81" s="14"/>
      <c r="K81" s="15"/>
      <c r="L81" s="11"/>
      <c r="M81" s="11"/>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row>
    <row r="82" ht="13.55" customHeight="1">
      <c r="A82" s="13"/>
      <c r="B82" s="13"/>
      <c r="C82" s="13"/>
      <c r="D82" s="13"/>
      <c r="E82" s="11"/>
      <c r="F82" s="21"/>
      <c r="G82" s="11"/>
      <c r="H82" s="11"/>
      <c r="I82" s="11"/>
      <c r="J82" s="14"/>
      <c r="K82" s="15"/>
      <c r="L82" s="11"/>
      <c r="M82" s="11"/>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row>
    <row r="83" ht="13.55" customHeight="1">
      <c r="A83" s="13"/>
      <c r="B83" s="13"/>
      <c r="C83" s="13"/>
      <c r="D83" s="13"/>
      <c r="E83" s="13"/>
      <c r="F83" s="31"/>
      <c r="G83" s="13"/>
      <c r="H83" s="13"/>
      <c r="I83" s="13"/>
      <c r="J83" s="30"/>
      <c r="K83" s="45"/>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row>
    <row r="84" ht="13.55" customHeight="1">
      <c r="A84" s="13"/>
      <c r="B84" s="13"/>
      <c r="C84" s="13"/>
      <c r="D84" s="13"/>
      <c r="E84" s="13"/>
      <c r="F84" s="31"/>
      <c r="G84" s="13"/>
      <c r="H84" s="13"/>
      <c r="I84" s="13"/>
      <c r="J84" s="30"/>
      <c r="K84" s="45"/>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row>
    <row r="85" ht="13.55" customHeight="1">
      <c r="A85" s="13"/>
      <c r="B85" s="13"/>
      <c r="C85" s="13"/>
      <c r="D85" s="13"/>
      <c r="E85" s="13"/>
      <c r="F85" s="50"/>
      <c r="G85" s="13"/>
      <c r="H85" s="13"/>
      <c r="I85" s="13"/>
      <c r="J85" s="30"/>
      <c r="K85" s="45"/>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row>
    <row r="86" ht="15.5" customHeight="1">
      <c r="A86" s="13"/>
      <c r="B86" s="13"/>
      <c r="C86" s="13"/>
      <c r="D86" s="13"/>
      <c r="E86" s="13"/>
      <c r="F86" s="51"/>
      <c r="G86" s="13"/>
      <c r="H86" s="13"/>
      <c r="I86" s="13"/>
      <c r="J86" s="30"/>
      <c r="K86" s="45"/>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row>
    <row r="87" ht="15.5" customHeight="1">
      <c r="A87" s="13"/>
      <c r="B87" s="13"/>
      <c r="C87" s="13"/>
      <c r="D87" s="13"/>
      <c r="E87" s="13"/>
      <c r="F87" s="51"/>
      <c r="G87" s="13"/>
      <c r="H87" s="13"/>
      <c r="I87" s="13"/>
      <c r="J87" s="30"/>
      <c r="K87" s="45"/>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row>
    <row r="88" ht="13.55" customHeight="1">
      <c r="A88" s="13"/>
      <c r="B88" s="13"/>
      <c r="C88" s="13"/>
      <c r="D88" s="13"/>
      <c r="E88" s="13"/>
      <c r="F88" s="31"/>
      <c r="G88" s="13"/>
      <c r="H88" s="13"/>
      <c r="I88" s="13"/>
      <c r="J88" s="30"/>
      <c r="K88" s="45"/>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row>
    <row r="89" ht="13.55" customHeight="1">
      <c r="A89" s="13"/>
      <c r="B89" s="13"/>
      <c r="C89" s="13"/>
      <c r="D89" s="13"/>
      <c r="E89" s="13"/>
      <c r="F89" s="31"/>
      <c r="G89" s="13"/>
      <c r="H89" s="13"/>
      <c r="I89" s="13"/>
      <c r="J89" s="30"/>
      <c r="K89" s="45"/>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row>
    <row r="90" ht="13.55" customHeight="1">
      <c r="A90" s="13"/>
      <c r="B90" s="13"/>
      <c r="C90" s="13"/>
      <c r="D90" s="13"/>
      <c r="E90" s="13"/>
      <c r="F90" s="37"/>
      <c r="G90" s="13"/>
      <c r="H90" s="13"/>
      <c r="I90" s="13"/>
      <c r="J90" s="30"/>
      <c r="K90" s="45"/>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row>
    <row r="91" ht="13.55" customHeight="1">
      <c r="A91" s="13"/>
      <c r="B91" s="13"/>
      <c r="C91" s="13"/>
      <c r="D91" s="13"/>
      <c r="E91" s="13"/>
      <c r="F91" s="31"/>
      <c r="G91" s="13"/>
      <c r="H91" s="13"/>
      <c r="I91" s="13"/>
      <c r="J91" s="30"/>
      <c r="K91" s="45"/>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row>
    <row r="92" ht="13.55" customHeight="1">
      <c r="A92" s="13"/>
      <c r="B92" s="13"/>
      <c r="C92" s="13"/>
      <c r="D92" s="13"/>
      <c r="E92" s="13"/>
      <c r="F92" s="31"/>
      <c r="G92" s="13"/>
      <c r="H92" s="13"/>
      <c r="I92" s="13"/>
      <c r="J92" s="30"/>
      <c r="K92" s="45"/>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row>
    <row r="93" ht="13.55" customHeight="1">
      <c r="A93" s="13"/>
      <c r="B93" s="13"/>
      <c r="C93" s="13"/>
      <c r="D93" s="13"/>
      <c r="E93" s="13"/>
      <c r="F93" s="31"/>
      <c r="G93" s="13"/>
      <c r="H93" s="13"/>
      <c r="I93" s="13"/>
      <c r="J93" s="30"/>
      <c r="K93" s="45"/>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row>
    <row r="94" ht="13.55" customHeight="1">
      <c r="A94" s="13"/>
      <c r="B94" s="13"/>
      <c r="C94" s="13"/>
      <c r="D94" s="13"/>
      <c r="E94" s="13"/>
      <c r="F94" s="31"/>
      <c r="G94" s="13"/>
      <c r="H94" s="13"/>
      <c r="I94" s="13"/>
      <c r="J94" s="30"/>
      <c r="K94" s="45"/>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row>
    <row r="95" ht="13.55" customHeight="1">
      <c r="A95" s="13"/>
      <c r="B95" s="13"/>
      <c r="C95" s="13"/>
      <c r="D95" s="13"/>
      <c r="E95" s="13"/>
      <c r="F95" s="31"/>
      <c r="G95" s="13"/>
      <c r="H95" s="13"/>
      <c r="I95" s="13"/>
      <c r="J95" s="30"/>
      <c r="K95" s="45"/>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row>
    <row r="96" ht="13.55" customHeight="1">
      <c r="A96" s="13"/>
      <c r="B96" s="13"/>
      <c r="C96" s="13"/>
      <c r="D96" s="13"/>
      <c r="E96" s="13"/>
      <c r="F96" s="31"/>
      <c r="G96" s="13"/>
      <c r="H96" s="13"/>
      <c r="I96" s="13"/>
      <c r="J96" s="30"/>
      <c r="K96" s="45"/>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row>
    <row r="97" ht="13.55" customHeight="1">
      <c r="A97" s="13"/>
      <c r="B97" s="13"/>
      <c r="C97" s="13"/>
      <c r="D97" s="13"/>
      <c r="E97" s="13"/>
      <c r="F97" s="31"/>
      <c r="G97" s="13"/>
      <c r="H97" s="13"/>
      <c r="I97" s="13"/>
      <c r="J97" s="30"/>
      <c r="K97" s="45"/>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row>
    <row r="98" ht="13.55" customHeight="1">
      <c r="A98" s="13"/>
      <c r="B98" s="13"/>
      <c r="C98" s="13"/>
      <c r="D98" s="13"/>
      <c r="E98" s="13"/>
      <c r="F98" s="31"/>
      <c r="G98" s="13"/>
      <c r="H98" s="13"/>
      <c r="I98" s="13"/>
      <c r="J98" s="30"/>
      <c r="K98" s="45"/>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row>
    <row r="99" ht="13.55" customHeight="1">
      <c r="A99" s="13"/>
      <c r="B99" s="13"/>
      <c r="C99" s="13"/>
      <c r="D99" s="13"/>
      <c r="E99" s="13"/>
      <c r="F99" s="50"/>
      <c r="G99" s="13"/>
      <c r="H99" s="13"/>
      <c r="I99" s="13"/>
      <c r="J99" s="30"/>
      <c r="K99" s="45"/>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row>
    <row r="100" ht="15.5" customHeight="1">
      <c r="A100" s="13"/>
      <c r="B100" s="13"/>
      <c r="C100" s="13"/>
      <c r="D100" s="13"/>
      <c r="E100" s="13"/>
      <c r="F100" s="51"/>
      <c r="G100" s="13"/>
      <c r="H100" s="13"/>
      <c r="I100" s="13"/>
      <c r="J100" s="30"/>
      <c r="K100" s="45"/>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row>
    <row r="101" ht="13.55" customHeight="1">
      <c r="A101" s="13"/>
      <c r="B101" s="13"/>
      <c r="C101" s="13"/>
      <c r="D101" s="13"/>
      <c r="E101" s="13"/>
      <c r="F101" s="31"/>
      <c r="G101" s="13"/>
      <c r="H101" s="13"/>
      <c r="I101" s="13"/>
      <c r="J101" s="30"/>
      <c r="K101" s="45"/>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row>
    <row r="102" ht="13.55" customHeight="1">
      <c r="A102" s="13"/>
      <c r="B102" s="13"/>
      <c r="C102" s="13"/>
      <c r="D102" s="13"/>
      <c r="E102" s="13"/>
      <c r="F102" s="31"/>
      <c r="G102" s="13"/>
      <c r="H102" s="13"/>
      <c r="I102" s="13"/>
      <c r="J102" s="30"/>
      <c r="K102" s="45"/>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row>
    <row r="103" ht="13.55" customHeight="1">
      <c r="A103" s="13"/>
      <c r="B103" s="13"/>
      <c r="C103" s="13"/>
      <c r="D103" s="13"/>
      <c r="E103" s="13"/>
      <c r="F103" s="31"/>
      <c r="G103" s="13"/>
      <c r="H103" s="13"/>
      <c r="I103" s="13"/>
      <c r="J103" s="30"/>
      <c r="K103" s="45"/>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row>
    <row r="104" ht="13.55" customHeight="1">
      <c r="A104" s="13"/>
      <c r="B104" s="13"/>
      <c r="C104" s="13"/>
      <c r="D104" s="13"/>
      <c r="E104" s="13"/>
      <c r="F104" s="31"/>
      <c r="G104" s="13"/>
      <c r="H104" s="13"/>
      <c r="I104" s="13"/>
      <c r="J104" s="30"/>
      <c r="K104" s="45"/>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row>
    <row r="105" ht="15.5" customHeight="1">
      <c r="A105" s="13"/>
      <c r="B105" s="13"/>
      <c r="C105" s="13"/>
      <c r="D105" s="13"/>
      <c r="E105" s="13"/>
      <c r="F105" s="51"/>
      <c r="G105" s="13"/>
      <c r="H105" s="13"/>
      <c r="I105" s="13"/>
      <c r="J105" s="30"/>
      <c r="K105" s="45"/>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row>
    <row r="106" ht="13.55" customHeight="1">
      <c r="A106" s="13"/>
      <c r="B106" s="13"/>
      <c r="C106" s="13"/>
      <c r="D106" s="13"/>
      <c r="E106" s="13"/>
      <c r="F106" s="25"/>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row>
    <row r="107" ht="13.55" customHeight="1">
      <c r="A107" s="13"/>
      <c r="B107" s="13"/>
      <c r="C107" s="13"/>
      <c r="D107" s="13"/>
      <c r="E107" s="13"/>
      <c r="F107" s="25"/>
      <c r="G107" s="24"/>
      <c r="H107" s="24"/>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row>
    <row r="108" ht="13.55" customHeight="1">
      <c r="A108" s="13"/>
      <c r="B108" s="13"/>
      <c r="C108" s="13"/>
      <c r="D108" s="13"/>
      <c r="E108" s="13"/>
      <c r="F108" s="25"/>
      <c r="G108" s="24"/>
      <c r="H108" s="24"/>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row>
    <row r="109" ht="13.55" customHeight="1">
      <c r="A109" s="13"/>
      <c r="B109" s="13"/>
      <c r="C109" s="13"/>
      <c r="D109" s="13"/>
      <c r="E109" s="13"/>
      <c r="F109" s="31"/>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row>
    <row r="110" ht="13.55" customHeight="1">
      <c r="A110" s="13"/>
      <c r="B110" s="13"/>
      <c r="C110" s="13"/>
      <c r="D110" s="13"/>
      <c r="E110" s="13"/>
      <c r="F110" s="31"/>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row>
    <row r="111" ht="13.55" customHeight="1">
      <c r="A111" s="13"/>
      <c r="B111" s="13"/>
      <c r="C111" s="13"/>
      <c r="D111" s="13"/>
      <c r="E111" s="13"/>
      <c r="F111" s="31"/>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row>
    <row r="112" ht="13.55" customHeight="1">
      <c r="A112" s="13"/>
      <c r="B112" s="13"/>
      <c r="C112" s="13"/>
      <c r="D112" s="13"/>
      <c r="E112" s="13"/>
      <c r="F112" s="31"/>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row>
    <row r="113" ht="13.55" customHeight="1">
      <c r="A113" s="13"/>
      <c r="B113" s="13"/>
      <c r="C113" s="13"/>
      <c r="D113" s="13"/>
      <c r="E113" s="13"/>
      <c r="F113" s="31"/>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row>
    <row r="114" ht="13.55" customHeight="1">
      <c r="A114" s="13"/>
      <c r="B114" s="13"/>
      <c r="C114" s="13"/>
      <c r="D114" s="13"/>
      <c r="E114" s="13"/>
      <c r="F114" s="31"/>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row>
    <row r="115" ht="13.55" customHeight="1">
      <c r="A115" s="13"/>
      <c r="B115" s="13"/>
      <c r="C115" s="13"/>
      <c r="D115" s="13"/>
      <c r="E115" s="13"/>
      <c r="F115" s="31"/>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row>
    <row r="116" ht="13.55" customHeight="1">
      <c r="A116" s="13"/>
      <c r="B116" s="13"/>
      <c r="C116" s="13"/>
      <c r="D116" s="13"/>
      <c r="E116" s="13"/>
      <c r="F116" s="31"/>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row>
    <row r="117" ht="13.55" customHeight="1">
      <c r="A117" s="13"/>
      <c r="B117" s="13"/>
      <c r="C117" s="13"/>
      <c r="D117" s="13"/>
      <c r="E117" s="13"/>
      <c r="F117" s="31"/>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row>
    <row r="118" ht="13.55" customHeight="1">
      <c r="A118" s="13"/>
      <c r="B118" s="13"/>
      <c r="C118" s="13"/>
      <c r="D118" s="13"/>
      <c r="E118" s="13"/>
      <c r="F118" s="31"/>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row>
    <row r="119" ht="13.55" customHeight="1">
      <c r="A119" s="13"/>
      <c r="B119" s="13"/>
      <c r="C119" s="13"/>
      <c r="D119" s="13"/>
      <c r="E119" s="13"/>
      <c r="F119" s="31"/>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row>
    <row r="120" ht="13.55" customHeight="1">
      <c r="A120" s="13"/>
      <c r="B120" s="13"/>
      <c r="C120" s="13"/>
      <c r="D120" s="13"/>
      <c r="E120" s="13"/>
      <c r="F120" s="31"/>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row>
    <row r="121" ht="13.55" customHeight="1">
      <c r="A121" s="13"/>
      <c r="B121" s="13"/>
      <c r="C121" s="13"/>
      <c r="D121" s="13"/>
      <c r="E121" s="13"/>
      <c r="F121" s="31"/>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row>
    <row r="122" ht="13.55" customHeight="1">
      <c r="A122" s="13"/>
      <c r="B122" s="13"/>
      <c r="C122" s="13"/>
      <c r="D122" s="13"/>
      <c r="E122" s="13"/>
      <c r="F122" s="31"/>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row>
    <row r="123" ht="13.55" customHeight="1">
      <c r="A123" s="13"/>
      <c r="B123" s="13"/>
      <c r="C123" s="13"/>
      <c r="D123" s="13"/>
      <c r="E123" s="13"/>
      <c r="F123" s="31"/>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row>
    <row r="124" ht="13.55" customHeight="1">
      <c r="A124" s="13"/>
      <c r="B124" s="13"/>
      <c r="C124" s="13"/>
      <c r="D124" s="13"/>
      <c r="E124" s="13"/>
      <c r="F124" s="31"/>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row>
    <row r="125" ht="13.55" customHeight="1">
      <c r="A125" s="13"/>
      <c r="B125" s="13"/>
      <c r="C125" s="13"/>
      <c r="D125" s="13"/>
      <c r="E125" s="13"/>
      <c r="F125" s="37"/>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row>
    <row r="126" ht="13.55" customHeight="1">
      <c r="A126" s="13"/>
      <c r="B126" s="13"/>
      <c r="C126" s="13"/>
      <c r="D126" s="13"/>
      <c r="E126" s="13"/>
      <c r="F126" s="31"/>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row>
    <row r="127" ht="13.55" customHeight="1">
      <c r="A127" s="13"/>
      <c r="B127" s="13"/>
      <c r="C127" s="13"/>
      <c r="D127" s="13"/>
      <c r="E127" s="13"/>
      <c r="F127" s="31"/>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row>
    <row r="128" ht="13.55" customHeight="1">
      <c r="A128" s="13"/>
      <c r="B128" s="13"/>
      <c r="C128" s="13"/>
      <c r="D128" s="13"/>
      <c r="E128" s="13"/>
      <c r="F128" s="31"/>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row>
    <row r="129" ht="13.55" customHeight="1">
      <c r="A129" s="13"/>
      <c r="B129" s="13"/>
      <c r="C129" s="13"/>
      <c r="D129" s="13"/>
      <c r="E129" s="13"/>
      <c r="F129" s="31"/>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row>
    <row r="130" ht="13.55" customHeight="1">
      <c r="A130" s="13"/>
      <c r="B130" s="13"/>
      <c r="C130" s="13"/>
      <c r="D130" s="13"/>
      <c r="E130" s="13"/>
      <c r="F130" s="31"/>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row>
    <row r="131" ht="13.55" customHeight="1">
      <c r="A131" s="13"/>
      <c r="B131" s="13"/>
      <c r="C131" s="13"/>
      <c r="D131" s="13"/>
      <c r="E131" s="13"/>
      <c r="F131" s="31"/>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row>
    <row r="132" ht="13.55" customHeight="1">
      <c r="A132" s="13"/>
      <c r="B132" s="13"/>
      <c r="C132" s="13"/>
      <c r="D132" s="13"/>
      <c r="E132" s="13"/>
      <c r="F132" s="31"/>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row>
    <row r="133" ht="13.55" customHeight="1">
      <c r="A133" s="13"/>
      <c r="B133" s="13"/>
      <c r="C133" s="13"/>
      <c r="D133" s="13"/>
      <c r="E133" s="13"/>
      <c r="F133" s="31"/>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row>
    <row r="134" ht="13.55" customHeight="1">
      <c r="A134" s="13"/>
      <c r="B134" s="13"/>
      <c r="C134" s="13"/>
      <c r="D134" s="13"/>
      <c r="E134" s="13"/>
      <c r="F134" s="31"/>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row>
    <row r="135" ht="13.55" customHeight="1">
      <c r="A135" s="13"/>
      <c r="B135" s="13"/>
      <c r="C135" s="13"/>
      <c r="D135" s="13"/>
      <c r="E135" s="13"/>
      <c r="F135" s="31"/>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row>
    <row r="136" ht="13.55" customHeight="1">
      <c r="A136" s="13"/>
      <c r="B136" s="13"/>
      <c r="C136" s="13"/>
      <c r="D136" s="13"/>
      <c r="E136" s="13"/>
      <c r="F136" s="31"/>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row>
    <row r="137" ht="13.55" customHeight="1">
      <c r="A137" s="13"/>
      <c r="B137" s="13"/>
      <c r="C137" s="13"/>
      <c r="D137" s="13"/>
      <c r="E137" s="13"/>
      <c r="F137" s="31"/>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row>
    <row r="138" ht="13.55" customHeight="1">
      <c r="A138" s="13"/>
      <c r="B138" s="13"/>
      <c r="C138" s="13"/>
      <c r="D138" s="13"/>
      <c r="E138" s="13"/>
      <c r="F138" s="31"/>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row>
    <row r="139" ht="13.55" customHeight="1">
      <c r="A139" s="13"/>
      <c r="B139" s="13"/>
      <c r="C139" s="13"/>
      <c r="D139" s="13"/>
      <c r="E139" s="13"/>
      <c r="F139" s="31"/>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row>
    <row r="140" ht="13.55" customHeight="1">
      <c r="A140" s="13"/>
      <c r="B140" s="13"/>
      <c r="C140" s="13"/>
      <c r="D140" s="13"/>
      <c r="E140" s="13"/>
      <c r="F140" s="31"/>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row>
    <row r="141" ht="18.5" customHeight="1">
      <c r="A141" s="13"/>
      <c r="B141" s="13"/>
      <c r="C141" s="13"/>
      <c r="D141" s="13"/>
      <c r="E141" s="13"/>
      <c r="F141" s="52"/>
      <c r="G141" s="53"/>
      <c r="H141" s="5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row>
  </sheetData>
  <mergeCells count="8">
    <mergeCell ref="G107:H107"/>
    <mergeCell ref="J36:L36"/>
    <mergeCell ref="P36:Q36"/>
    <mergeCell ref="R36:S36"/>
    <mergeCell ref="N36:O36"/>
    <mergeCell ref="G36:H36"/>
    <mergeCell ref="G72:H72"/>
    <mergeCell ref="J72:K7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10.8333" defaultRowHeight="14.5" customHeight="1" outlineLevelRow="0" outlineLevelCol="0"/>
  <cols>
    <col min="1" max="5" width="10.8516" style="54" customWidth="1"/>
    <col min="6" max="16384" width="10.8516" style="54" customWidth="1"/>
  </cols>
  <sheetData>
    <row r="1" ht="13.55" customHeight="1">
      <c r="A1" t="s" s="55">
        <v>11</v>
      </c>
      <c r="B1" s="56">
        <v>1</v>
      </c>
      <c r="C1" s="56">
        <v>0.01</v>
      </c>
      <c r="D1" s="56">
        <v>0.01</v>
      </c>
      <c r="E1" s="13"/>
    </row>
    <row r="2" ht="13.55" customHeight="1">
      <c r="A2" s="13"/>
      <c r="B2" s="13"/>
      <c r="C2" s="13"/>
      <c r="D2" s="13"/>
      <c r="E2" s="13"/>
    </row>
    <row r="3" ht="13.55" customHeight="1">
      <c r="A3" s="13"/>
      <c r="B3" s="13"/>
      <c r="C3" s="13"/>
      <c r="D3" s="13"/>
      <c r="E3" s="13"/>
    </row>
    <row r="4" ht="13.55" customHeight="1">
      <c r="A4" s="13"/>
      <c r="B4" s="13"/>
      <c r="C4" s="13"/>
      <c r="D4" s="13"/>
      <c r="E4" s="13"/>
    </row>
    <row r="5" ht="13.55" customHeight="1">
      <c r="A5" s="13"/>
      <c r="B5" s="13"/>
      <c r="C5" s="13"/>
      <c r="D5" s="13"/>
      <c r="E5" s="13"/>
    </row>
    <row r="6" ht="13.55" customHeight="1">
      <c r="A6" s="13"/>
      <c r="B6" s="13"/>
      <c r="C6" s="13"/>
      <c r="D6" s="13"/>
      <c r="E6" s="13"/>
    </row>
    <row r="7" ht="13.55" customHeight="1">
      <c r="A7" s="13"/>
      <c r="B7" s="13"/>
      <c r="C7" s="13"/>
      <c r="D7" s="13"/>
      <c r="E7" s="13"/>
    </row>
    <row r="8" ht="13.55" customHeight="1">
      <c r="A8" s="13"/>
      <c r="B8" s="13"/>
      <c r="C8" s="13"/>
      <c r="D8" s="13"/>
      <c r="E8" s="13"/>
    </row>
    <row r="9" ht="13.55" customHeight="1">
      <c r="A9" s="13"/>
      <c r="B9" s="13"/>
      <c r="C9" s="13"/>
      <c r="D9" s="13"/>
      <c r="E9" s="13"/>
    </row>
    <row r="10" ht="13.55" customHeight="1">
      <c r="A10" s="13"/>
      <c r="B10" s="13"/>
      <c r="C10" s="13"/>
      <c r="D10" s="13"/>
      <c r="E10" s="1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N35"/>
  <sheetViews>
    <sheetView workbookViewId="0" showGridLines="0" defaultGridColor="1"/>
  </sheetViews>
  <sheetFormatPr defaultColWidth="10.8333" defaultRowHeight="14.5" customHeight="1" outlineLevelRow="0" outlineLevelCol="0"/>
  <cols>
    <col min="1" max="1" width="34.1719" style="57" customWidth="1"/>
    <col min="2" max="2" width="27" style="57" customWidth="1"/>
    <col min="3" max="5" width="10.8516" style="57" customWidth="1"/>
    <col min="6" max="6" width="35.8516" style="57" customWidth="1"/>
    <col min="7" max="12" width="10.8516" style="57" customWidth="1"/>
    <col min="13" max="13" width="16.5" style="57" customWidth="1"/>
    <col min="14" max="14" width="16.8516" style="57" customWidth="1"/>
    <col min="15" max="16384" width="10.8516" style="57" customWidth="1"/>
  </cols>
  <sheetData>
    <row r="1" ht="13.55" customHeight="1">
      <c r="A1" s="13"/>
      <c r="B1" s="58"/>
      <c r="C1" s="58"/>
      <c r="D1" s="58"/>
      <c r="E1" s="13"/>
      <c r="F1" s="58"/>
      <c r="G1" s="58"/>
      <c r="H1" s="58"/>
      <c r="I1" s="13"/>
      <c r="J1" s="58"/>
      <c r="K1" s="58"/>
      <c r="L1" s="13"/>
      <c r="M1" s="58"/>
      <c r="N1" s="58"/>
    </row>
    <row r="2" ht="18.5" customHeight="1">
      <c r="A2" s="59"/>
      <c r="B2" t="s" s="60">
        <v>13</v>
      </c>
      <c r="C2" s="61"/>
      <c r="D2" s="61"/>
      <c r="E2" s="62"/>
      <c r="F2" t="s" s="60">
        <v>14</v>
      </c>
      <c r="G2" s="61"/>
      <c r="H2" s="61"/>
      <c r="I2" s="62"/>
      <c r="J2" t="s" s="63">
        <v>15</v>
      </c>
      <c r="K2" s="64"/>
      <c r="L2" s="65"/>
      <c r="M2" t="s" s="66">
        <v>16</v>
      </c>
      <c r="N2" t="s" s="67">
        <v>17</v>
      </c>
    </row>
    <row r="3" ht="18.5" customHeight="1">
      <c r="A3" s="59"/>
      <c r="B3" t="s" s="68">
        <v>12</v>
      </c>
      <c r="C3" t="s" s="68">
        <v>7</v>
      </c>
      <c r="D3" t="s" s="68">
        <v>8</v>
      </c>
      <c r="E3" s="62"/>
      <c r="F3" t="s" s="68">
        <v>12</v>
      </c>
      <c r="G3" t="s" s="68">
        <v>7</v>
      </c>
      <c r="H3" t="s" s="68">
        <v>8</v>
      </c>
      <c r="I3" s="62"/>
      <c r="J3" t="s" s="69">
        <v>18</v>
      </c>
      <c r="K3" t="s" s="69">
        <v>19</v>
      </c>
      <c r="L3" s="70"/>
      <c r="M3" s="71"/>
      <c r="N3" s="72"/>
    </row>
    <row r="4" ht="18.5" customHeight="1">
      <c r="A4" s="59"/>
      <c r="B4" t="s" s="68">
        <v>20</v>
      </c>
      <c r="C4" s="73">
        <f>'Utilidad'!A1</f>
        <v>179498</v>
      </c>
      <c r="D4" s="74">
        <f>IF('Utilidad'!C1&gt;1,'Utilidad'!C1/100,'Utilidad'!C1)</f>
        <v>0.6605</v>
      </c>
      <c r="E4" s="62"/>
      <c r="F4" t="s" s="68">
        <v>20</v>
      </c>
      <c r="G4" s="73">
        <f>'Utilidad'!B1</f>
        <v>179498</v>
      </c>
      <c r="H4" s="74">
        <f>IF('Utilidad'!D1&gt;1,'Utilidad'!D1/100,'Utilidad'!D1)</f>
        <v>0.656899288170</v>
      </c>
      <c r="I4" s="62"/>
      <c r="J4" s="75">
        <f>IF(C4&lt;&gt;0,(G4-C4)/C4,ABS(G4-C4))</f>
        <v>0</v>
      </c>
      <c r="K4" s="75">
        <f>IF(D4&lt;&gt;0,(H4-D4)/D4,0)</f>
        <v>-0.0054514940651022</v>
      </c>
      <c r="L4" s="76"/>
      <c r="M4" s="77">
        <f>IF(J4&lt;&gt;"",ABS(J4),0)</f>
        <v>0</v>
      </c>
      <c r="N4" s="78">
        <f>IF(J4&lt;&gt;"",ABS(K4),0)</f>
        <v>0.0054514940651022</v>
      </c>
    </row>
    <row r="5" ht="18.5" customHeight="1">
      <c r="A5" s="59"/>
      <c r="B5" t="s" s="68">
        <v>21</v>
      </c>
      <c r="C5" s="73">
        <f>'Utilidad'!A2</f>
        <v>-1732</v>
      </c>
      <c r="D5" s="74">
        <f>IF('Utilidad'!C2&gt;1,'Utilidad'!C2/100,'Utilidad'!C2)</f>
        <v>0.6552</v>
      </c>
      <c r="E5" s="62"/>
      <c r="F5" t="s" s="68">
        <v>21</v>
      </c>
      <c r="G5" s="73">
        <f>'Utilidad'!B2</f>
        <v>-1732</v>
      </c>
      <c r="H5" s="74">
        <f>IF('Utilidad'!D2&gt;1,'Utilidad'!D2/100,'Utilidad'!D2)</f>
        <v>0.655147533080</v>
      </c>
      <c r="I5" s="62"/>
      <c r="J5" s="75">
        <f>IF(C5&lt;&gt;0,(G5-C5)/C5,ABS(G5-C5))</f>
        <v>0</v>
      </c>
      <c r="K5" s="75">
        <f>IF(D5&lt;&gt;0,(H5-D5)/D5,0)</f>
        <v>-8.00777167277167e-05</v>
      </c>
      <c r="L5" s="76"/>
      <c r="M5" s="77">
        <f>IF(J5&lt;&gt;"",ABS(J5),0)</f>
        <v>0</v>
      </c>
      <c r="N5" s="78">
        <f>IF(J5&lt;&gt;"",ABS(K5),0)</f>
        <v>8.00777167277167e-05</v>
      </c>
    </row>
    <row r="6" ht="18.5" customHeight="1">
      <c r="A6" s="59"/>
      <c r="B6" t="s" s="68">
        <v>22</v>
      </c>
      <c r="C6" s="73">
        <f>'Utilidad'!A3</f>
        <v>181230</v>
      </c>
      <c r="D6" s="74">
        <f>IF('Utilidad'!C3&gt;1,'Utilidad'!C3/100,'Utilidad'!C3)</f>
        <v>0.6552</v>
      </c>
      <c r="E6" s="62"/>
      <c r="F6" t="s" s="68">
        <v>22</v>
      </c>
      <c r="G6" s="73">
        <f>'Utilidad'!B3</f>
        <v>181230</v>
      </c>
      <c r="H6" s="74">
        <f>IF('Utilidad'!D3&gt;1,'Utilidad'!D3/100,'Utilidad'!D3)</f>
        <v>0.656882546790</v>
      </c>
      <c r="I6" s="62"/>
      <c r="J6" s="75">
        <f>IF(C6&lt;&gt;0,(G6-C6)/C6,ABS(G6-C6))</f>
        <v>0</v>
      </c>
      <c r="K6" s="75">
        <f>IF(D6&lt;&gt;0,(H6-D6)/D6,0)</f>
        <v>0.00256798960622711</v>
      </c>
      <c r="L6" s="76"/>
      <c r="M6" s="77">
        <f>IF(J6&lt;&gt;"",ABS(J6),0)</f>
        <v>0</v>
      </c>
      <c r="N6" s="78">
        <f>IF(J6&lt;&gt;"",ABS(K6),0)</f>
        <v>0.00256798960622711</v>
      </c>
    </row>
    <row r="7" ht="18.5" customHeight="1">
      <c r="A7" s="59"/>
      <c r="B7" t="s" s="68">
        <v>23</v>
      </c>
      <c r="C7" s="73">
        <f>'Utilidad'!A4</f>
        <v>0</v>
      </c>
      <c r="D7" s="74">
        <f>IF('Utilidad'!C4&gt;1,'Utilidad'!C4/100,'Utilidad'!C4)</f>
        <v>0</v>
      </c>
      <c r="E7" s="62"/>
      <c r="F7" t="s" s="68">
        <v>23</v>
      </c>
      <c r="G7" s="73">
        <f>'Utilidad'!B4</f>
        <v>0</v>
      </c>
      <c r="H7" s="74">
        <f>IF('Utilidad'!D4&gt;1,'Utilidad'!D4/100,'Utilidad'!D4)</f>
        <v>0</v>
      </c>
      <c r="I7" s="62"/>
      <c r="J7" s="75">
        <f>IF(C7&lt;&gt;0,(G7-C7)/C7,ABS(G7-C7))</f>
        <v>0</v>
      </c>
      <c r="K7" s="75">
        <f>IF(D7&lt;&gt;0,(H7-D7)/D7,0)</f>
        <v>0</v>
      </c>
      <c r="L7" s="76"/>
      <c r="M7" s="77">
        <f>IF(J7&lt;&gt;"",ABS(J7),0)</f>
        <v>0</v>
      </c>
      <c r="N7" s="78">
        <f>IF(J7&lt;&gt;"",ABS(K7),0)</f>
        <v>0</v>
      </c>
    </row>
    <row r="8" ht="18.5" customHeight="1">
      <c r="A8" s="59"/>
      <c r="B8" t="s" s="68">
        <v>24</v>
      </c>
      <c r="C8" s="73">
        <f>'Utilidad'!A5</f>
        <v>181230</v>
      </c>
      <c r="D8" s="74">
        <f>IF('Utilidad'!C5&gt;1,'Utilidad'!C5/100,'Utilidad'!C5)</f>
        <v>0.6552</v>
      </c>
      <c r="E8" s="62"/>
      <c r="F8" t="s" s="68">
        <v>24</v>
      </c>
      <c r="G8" s="73">
        <f>'Utilidad'!B5</f>
        <v>181230</v>
      </c>
      <c r="H8" s="74">
        <f>IF('Utilidad'!D5&gt;1,'Utilidad'!D5/100,'Utilidad'!D5)</f>
        <v>0.656882546790</v>
      </c>
      <c r="I8" s="62"/>
      <c r="J8" s="75">
        <f>IF(C8&lt;&gt;0,(G8-C8)/C8,ABS(G8-C8))</f>
        <v>0</v>
      </c>
      <c r="K8" s="75">
        <f>IF(D8&lt;&gt;0,(H8-D8)/D8,0)</f>
        <v>0.00256798960622711</v>
      </c>
      <c r="L8" s="76"/>
      <c r="M8" s="77">
        <f>IF(J8&lt;&gt;"",ABS(J8),0)</f>
        <v>0</v>
      </c>
      <c r="N8" s="78">
        <f>IF(J8&lt;&gt;"",ABS(K8),0)</f>
        <v>0.00256798960622711</v>
      </c>
    </row>
    <row r="9" ht="18.5" customHeight="1">
      <c r="A9" s="59"/>
      <c r="B9" t="s" s="68">
        <v>25</v>
      </c>
      <c r="C9" s="73">
        <f>'Utilidad'!A6</f>
        <v>1906</v>
      </c>
      <c r="D9" s="74">
        <f>IF('Utilidad'!C6&gt;1,'Utilidad'!C6/100,'Utilidad'!C6)</f>
        <v>0.6552</v>
      </c>
      <c r="E9" s="62"/>
      <c r="F9" t="s" s="68">
        <v>25</v>
      </c>
      <c r="G9" s="73">
        <f>'Utilidad'!B6</f>
        <v>1906</v>
      </c>
      <c r="H9" s="74">
        <f>IF('Utilidad'!D6&gt;1,'Utilidad'!D6/100,'Utilidad'!D6)</f>
        <v>0.655240480070</v>
      </c>
      <c r="I9" s="62"/>
      <c r="J9" s="75">
        <f>IF(C9&lt;&gt;0,(G9-C9)/C9,ABS(G9-C9))</f>
        <v>0</v>
      </c>
      <c r="K9" s="75">
        <f>IF(D9&lt;&gt;0,(H9-D9)/D9,0)</f>
        <v>6.17827686202686e-05</v>
      </c>
      <c r="L9" s="76"/>
      <c r="M9" s="77">
        <f>IF(J9&lt;&gt;"",ABS(J9),0)</f>
        <v>0</v>
      </c>
      <c r="N9" s="78">
        <f>IF(J9&lt;&gt;"",ABS(K9),0)</f>
        <v>6.17827686202686e-05</v>
      </c>
    </row>
    <row r="10" ht="18.5" customHeight="1">
      <c r="A10" s="59"/>
      <c r="B10" t="s" s="68">
        <v>26</v>
      </c>
      <c r="C10" s="73">
        <f>'Utilidad'!A7</f>
        <v>177417</v>
      </c>
      <c r="D10" s="74">
        <f>IF('Utilidad'!C7&gt;1,'Utilidad'!C7/100,'Utilidad'!C7)</f>
        <v>0.664</v>
      </c>
      <c r="E10" s="62"/>
      <c r="F10" t="s" s="68">
        <v>26</v>
      </c>
      <c r="G10" s="73">
        <f>'Utilidad'!B7</f>
        <v>179324</v>
      </c>
      <c r="H10" s="74">
        <f>IF('Utilidad'!D7&gt;1,'Utilidad'!D7/100,'Utilidad'!D7)</f>
        <v>0.6569</v>
      </c>
      <c r="I10" s="62"/>
      <c r="J10" s="75">
        <f>IF(C10&lt;&gt;0,(G10-C10)/C10,ABS(G10-C10))</f>
        <v>0.0107486881189514</v>
      </c>
      <c r="K10" s="75">
        <f>IF(D10&lt;&gt;0,(H10-D10)/D10,0)</f>
        <v>-0.0106927710843373</v>
      </c>
      <c r="L10" s="76"/>
      <c r="M10" s="77">
        <f>IF(J10&lt;&gt;"",ABS(J10),0)</f>
        <v>0.0107486881189514</v>
      </c>
      <c r="N10" s="78">
        <f>IF(J10&lt;&gt;"",ABS(K10),0)</f>
        <v>0.0106927710843373</v>
      </c>
    </row>
    <row r="11" ht="18.5" customHeight="1">
      <c r="A11" s="59"/>
      <c r="B11" t="s" s="68">
        <v>27</v>
      </c>
      <c r="C11" s="73">
        <f>'Utilidad'!A8</f>
        <v>0</v>
      </c>
      <c r="D11" s="74">
        <f>IF('Utilidad'!C8&gt;1,'Utilidad'!C8/100,'Utilidad'!C8)</f>
        <v>0</v>
      </c>
      <c r="E11" s="62"/>
      <c r="F11" t="s" s="68">
        <v>27</v>
      </c>
      <c r="G11" s="73">
        <f>'Utilidad'!B8</f>
        <v>0</v>
      </c>
      <c r="H11" s="74">
        <f>IF('Utilidad'!D8&gt;1,'Utilidad'!D8/100,'Utilidad'!D8)</f>
        <v>0</v>
      </c>
      <c r="I11" s="62"/>
      <c r="J11" s="75">
        <f>IF(C11&lt;&gt;0,(G11-C11)/C11,ABS(G11-C11))</f>
        <v>0</v>
      </c>
      <c r="K11" s="75">
        <f>IF(D11&lt;&gt;0,(H11-D11)/D11,0)</f>
        <v>0</v>
      </c>
      <c r="L11" s="76"/>
      <c r="M11" s="77">
        <f>IF(J11&lt;&gt;"",ABS(J11),0)</f>
        <v>0</v>
      </c>
      <c r="N11" s="78">
        <f>IF(J11&lt;&gt;"",ABS(K11),0)</f>
        <v>0</v>
      </c>
    </row>
    <row r="12" ht="18.5" customHeight="1">
      <c r="A12" s="59"/>
      <c r="B12" t="s" s="68">
        <v>28</v>
      </c>
      <c r="C12" s="73">
        <f>'Utilidad'!A9</f>
        <v>179324</v>
      </c>
      <c r="D12" s="74">
        <f>IF('Utilidad'!C9&gt;1,'Utilidad'!C9/100,'Utilidad'!C9)</f>
        <v>0.6569</v>
      </c>
      <c r="E12" s="62"/>
      <c r="F12" t="s" s="68">
        <v>28</v>
      </c>
      <c r="G12" s="73">
        <f>'Utilidad'!B9</f>
        <v>179324</v>
      </c>
      <c r="H12" s="74">
        <f>IF('Utilidad'!D9&gt;1,'Utilidad'!D9/100,'Utilidad'!D9)</f>
        <v>0.6569</v>
      </c>
      <c r="I12" s="62"/>
      <c r="J12" s="75">
        <f>IF(C12&lt;&gt;0,(G12-C12)/C12,ABS(G12-C12))</f>
        <v>0</v>
      </c>
      <c r="K12" s="75">
        <f>IF(D12&lt;&gt;0,(H12-D12)/D12,0)</f>
        <v>0</v>
      </c>
      <c r="L12" s="76"/>
      <c r="M12" s="77">
        <f>IF(J12&lt;&gt;"",ABS(J12),0)</f>
        <v>0</v>
      </c>
      <c r="N12" s="78">
        <f>IF(J12&lt;&gt;"",ABS(K12),0)</f>
        <v>0</v>
      </c>
    </row>
    <row r="13" ht="18.5" customHeight="1">
      <c r="A13" s="59"/>
      <c r="B13" t="s" s="68">
        <v>29</v>
      </c>
      <c r="C13" s="73">
        <f>'Utilidad'!A10</f>
        <v>0</v>
      </c>
      <c r="D13" s="74">
        <f>IF('Utilidad'!C10&gt;1,'Utilidad'!C10/100,'Utilidad'!C10)</f>
        <v>0</v>
      </c>
      <c r="E13" s="62"/>
      <c r="F13" t="s" s="68">
        <v>29</v>
      </c>
      <c r="G13" s="73">
        <f>'Utilidad'!B10</f>
        <v>0</v>
      </c>
      <c r="H13" s="74">
        <f>IF('Utilidad'!D10&gt;1,'Utilidad'!D10/100,'Utilidad'!D10)</f>
        <v>0</v>
      </c>
      <c r="I13" s="62"/>
      <c r="J13" s="75">
        <f>IF(C13&lt;&gt;0,(G13-C13)/C13,ABS(G13-C13))</f>
        <v>0</v>
      </c>
      <c r="K13" s="75">
        <f>IF(D13&lt;&gt;0,(H13-D13)/D13,0)</f>
        <v>0</v>
      </c>
      <c r="L13" s="76"/>
      <c r="M13" s="77">
        <f>IF(J13&lt;&gt;"",ABS(J13),0)</f>
        <v>0</v>
      </c>
      <c r="N13" s="78">
        <f>IF(J13&lt;&gt;"",ABS(K13),0)</f>
        <v>0</v>
      </c>
    </row>
    <row r="14" ht="18.5" customHeight="1">
      <c r="A14" s="59"/>
      <c r="B14" t="s" s="68">
        <v>30</v>
      </c>
      <c r="C14" s="73">
        <f>'Utilidad'!A11</f>
        <v>0</v>
      </c>
      <c r="D14" s="74">
        <f>IF('Utilidad'!C11&gt;1,'Utilidad'!C11/100,'Utilidad'!C11)</f>
        <v>0</v>
      </c>
      <c r="E14" s="62"/>
      <c r="F14" t="s" s="68">
        <v>30</v>
      </c>
      <c r="G14" s="73">
        <f>'Utilidad'!B11</f>
        <v>0</v>
      </c>
      <c r="H14" s="74">
        <f>IF('Utilidad'!D11&gt;1,'Utilidad'!D11/100,'Utilidad'!D11)</f>
        <v>0</v>
      </c>
      <c r="I14" s="62"/>
      <c r="J14" s="75">
        <f>IF(C14&lt;&gt;0,(G14-C14)/C14,ABS(G14-C14))</f>
        <v>0</v>
      </c>
      <c r="K14" s="75">
        <f>IF(D14&lt;&gt;0,(H14-D14)/D14,0)</f>
        <v>0</v>
      </c>
      <c r="L14" s="76"/>
      <c r="M14" s="77">
        <f>IF(J14&lt;&gt;"",ABS(J14),0)</f>
        <v>0</v>
      </c>
      <c r="N14" s="78">
        <f>IF(J14&lt;&gt;"",ABS(K14),0)</f>
        <v>0</v>
      </c>
    </row>
    <row r="15" ht="18.5" customHeight="1">
      <c r="A15" s="59"/>
      <c r="B15" t="s" s="68">
        <v>31</v>
      </c>
      <c r="C15" s="73">
        <f>'Utilidad'!A12</f>
        <v>13055</v>
      </c>
      <c r="D15" s="74">
        <f>IF('Utilidad'!C12&gt;1,'Utilidad'!C12/100,'Utilidad'!C12)</f>
        <v>0.6564</v>
      </c>
      <c r="E15" s="62"/>
      <c r="F15" t="s" s="68">
        <v>31</v>
      </c>
      <c r="G15" s="73">
        <f>'Utilidad'!B12</f>
        <v>13056</v>
      </c>
      <c r="H15" s="74">
        <f>IF('Utilidad'!D12&gt;1,'Utilidad'!D12/100,'Utilidad'!D12)</f>
        <v>0.6632674938699999</v>
      </c>
      <c r="I15" s="62"/>
      <c r="J15" s="75">
        <f>IF(C15&lt;&gt;0,(G15-C15)/C15,ABS(G15-C15))</f>
        <v>7.659900421294519e-05</v>
      </c>
      <c r="K15" s="75">
        <f>IF(D15&lt;&gt;0,(H15-D15)/D15,0)</f>
        <v>0.0104623611669714</v>
      </c>
      <c r="L15" s="76"/>
      <c r="M15" s="77">
        <f>IF(J15&lt;&gt;"",ABS(J15),0)</f>
        <v>7.659900421294519e-05</v>
      </c>
      <c r="N15" s="78">
        <f>IF(J15&lt;&gt;"",ABS(K15),0)</f>
        <v>0.0104623611669714</v>
      </c>
    </row>
    <row r="16" ht="18.5" customHeight="1">
      <c r="A16" s="59"/>
      <c r="B16" t="s" s="68">
        <v>32</v>
      </c>
      <c r="C16" s="73">
        <f>'Utilidad'!A13</f>
        <v>166268</v>
      </c>
      <c r="D16" s="74">
        <f>IF('Utilidad'!C13&gt;1,'Utilidad'!C13/100,'Utilidad'!C13)</f>
        <v>0.6564</v>
      </c>
      <c r="E16" s="62"/>
      <c r="F16" t="s" s="68">
        <v>32</v>
      </c>
      <c r="G16" s="73">
        <f>'Utilidad'!B13</f>
        <v>166268</v>
      </c>
      <c r="H16" s="74">
        <f>IF('Utilidad'!D13&gt;1,'Utilidad'!D13/100,'Utilidad'!D13)</f>
        <v>0.6564</v>
      </c>
      <c r="I16" s="62"/>
      <c r="J16" s="75">
        <f>IF(C16&lt;&gt;0,(G16-C16)/C16,ABS(G16-C16))</f>
        <v>0</v>
      </c>
      <c r="K16" s="75">
        <f>IF(D16&lt;&gt;0,(H16-D16)/D16,0)</f>
        <v>0</v>
      </c>
      <c r="L16" s="76"/>
      <c r="M16" s="77">
        <f>IF(J16&lt;&gt;"",ABS(J16),0)</f>
        <v>0</v>
      </c>
      <c r="N16" s="78">
        <f>IF(J16&lt;&gt;"",ABS(K16),0)</f>
        <v>0</v>
      </c>
    </row>
    <row r="17" ht="18.5" customHeight="1">
      <c r="A17" s="59"/>
      <c r="B17" t="s" s="68">
        <v>33</v>
      </c>
      <c r="C17" s="73">
        <f>'Utilidad'!A14</f>
        <v>49366</v>
      </c>
      <c r="D17" s="74">
        <f>IF('Utilidad'!C14&gt;1,'Utilidad'!C14/100,'Utilidad'!C14)</f>
        <v>0.6653</v>
      </c>
      <c r="E17" s="62"/>
      <c r="F17" t="s" s="68">
        <v>33</v>
      </c>
      <c r="G17" s="73">
        <f>'Utilidad'!B14</f>
        <v>49366</v>
      </c>
      <c r="H17" s="74">
        <f>IF('Utilidad'!D14&gt;1,'Utilidad'!D14/100,'Utilidad'!D14)</f>
        <v>0.661565240530</v>
      </c>
      <c r="I17" s="62"/>
      <c r="J17" s="75">
        <f>IF(C17&lt;&gt;0,(G17-C17)/C17,ABS(G17-C17))</f>
        <v>0</v>
      </c>
      <c r="K17" s="75">
        <f>IF(D17&lt;&gt;0,(H17-D17)/D17,0)</f>
        <v>-0.00561364718172253</v>
      </c>
      <c r="L17" s="76"/>
      <c r="M17" s="77">
        <f>IF(J17&lt;&gt;"",ABS(J17),0)</f>
        <v>0</v>
      </c>
      <c r="N17" s="78">
        <f>IF(J17&lt;&gt;"",ABS(K17),0)</f>
        <v>0.00561364718172253</v>
      </c>
    </row>
    <row r="18" ht="18.5" customHeight="1">
      <c r="A18" s="59"/>
      <c r="B18" t="s" s="68">
        <v>34</v>
      </c>
      <c r="C18" s="73">
        <f>'Utilidad'!A15</f>
        <v>-2483</v>
      </c>
      <c r="D18" s="74">
        <f>IF('Utilidad'!C15&gt;1,'Utilidad'!C15/100,'Utilidad'!C15)</f>
        <v>0.6577</v>
      </c>
      <c r="E18" s="62"/>
      <c r="F18" t="s" s="68">
        <v>34</v>
      </c>
      <c r="G18" s="73">
        <f>'Utilidad'!B15</f>
        <v>-2483</v>
      </c>
      <c r="H18" s="74">
        <f>IF('Utilidad'!D15&gt;1,'Utilidad'!D15/100,'Utilidad'!D15)</f>
        <v>0.657527218880</v>
      </c>
      <c r="I18" s="62"/>
      <c r="J18" s="75">
        <f>IF(C18&lt;&gt;0,(G18-C18)/C18,ABS(G18-C18))</f>
        <v>0</v>
      </c>
      <c r="K18" s="75">
        <f>IF(D18&lt;&gt;0,(H18-D18)/D18,0)</f>
        <v>-0.000262705063098677</v>
      </c>
      <c r="L18" s="76"/>
      <c r="M18" s="77">
        <f>IF(J18&lt;&gt;"",ABS(J18),0)</f>
        <v>0</v>
      </c>
      <c r="N18" s="78">
        <f>IF(J18&lt;&gt;"",ABS(K18),0)</f>
        <v>0.000262705063098677</v>
      </c>
    </row>
    <row r="19" ht="18.5" customHeight="1">
      <c r="A19" s="59"/>
      <c r="B19" t="s" s="68">
        <v>35</v>
      </c>
      <c r="C19" s="73">
        <f>'Utilidad'!A16</f>
        <v>51849</v>
      </c>
      <c r="D19" s="74">
        <f>IF('Utilidad'!C16&gt;1,'Utilidad'!C16/100,'Utilidad'!C16)</f>
        <v>0.6577</v>
      </c>
      <c r="E19" s="62"/>
      <c r="F19" t="s" s="68">
        <v>35</v>
      </c>
      <c r="G19" s="73">
        <f>'Utilidad'!B16</f>
        <v>51849</v>
      </c>
      <c r="H19" s="74">
        <f>IF('Utilidad'!D16&gt;1,'Utilidad'!D16/100,'Utilidad'!D16)</f>
        <v>0.661371863460</v>
      </c>
      <c r="I19" s="62"/>
      <c r="J19" s="75">
        <f>IF(C19&lt;&gt;0,(G19-C19)/C19,ABS(G19-C19))</f>
        <v>0</v>
      </c>
      <c r="K19" s="75">
        <f>IF(D19&lt;&gt;0,(H19-D19)/D19,0)</f>
        <v>0.00558288499315797</v>
      </c>
      <c r="L19" s="76"/>
      <c r="M19" s="77">
        <f>IF(J19&lt;&gt;"",ABS(J19),0)</f>
        <v>0</v>
      </c>
      <c r="N19" s="78">
        <f>IF(J19&lt;&gt;"",ABS(K19),0)</f>
        <v>0.00558288499315797</v>
      </c>
    </row>
    <row r="20" ht="18.5" customHeight="1">
      <c r="A20" s="59"/>
      <c r="B20" t="s" s="68">
        <v>36</v>
      </c>
      <c r="C20" s="73">
        <f>'Utilidad'!A17</f>
        <v>-7700</v>
      </c>
      <c r="D20" s="74">
        <f>IF('Utilidad'!C17&gt;1,'Utilidad'!C17/100,'Utilidad'!C17)</f>
        <v>0.6577</v>
      </c>
      <c r="E20" s="62"/>
      <c r="F20" t="s" s="68">
        <v>36</v>
      </c>
      <c r="G20" s="73">
        <f>'Utilidad'!B17</f>
        <v>-7699.9115773</v>
      </c>
      <c r="H20" s="74">
        <f>IF('Utilidad'!D17&gt;1,'Utilidad'!D17/100,'Utilidad'!D17)</f>
        <v>0.657667406190</v>
      </c>
      <c r="I20" s="62"/>
      <c r="J20" s="75">
        <f>IF(C20&lt;&gt;0,(G20-C20)/C20,ABS(G20-C20))</f>
        <v>-1.14834675324675e-05</v>
      </c>
      <c r="K20" s="75">
        <f>IF(D20&lt;&gt;0,(H20-D20)/D20,0)</f>
        <v>-4.95572601490041e-05</v>
      </c>
      <c r="L20" s="76"/>
      <c r="M20" s="77">
        <f>IF(J20&lt;&gt;"",ABS(J20),0)</f>
        <v>1.14834675324675e-05</v>
      </c>
      <c r="N20" s="78">
        <f>IF(J20&lt;&gt;"",ABS(K20),0)</f>
        <v>4.95572601490041e-05</v>
      </c>
    </row>
    <row r="21" ht="18.5" customHeight="1">
      <c r="A21" s="59"/>
      <c r="B21" t="s" s="68">
        <v>37</v>
      </c>
      <c r="C21" s="73">
        <f>'Utilidad'!A18</f>
        <v>59549</v>
      </c>
      <c r="D21" s="74">
        <f>IF('Utilidad'!C18&gt;1,'Utilidad'!C18/100,'Utilidad'!C18)</f>
        <v>0.6577</v>
      </c>
      <c r="E21" s="62"/>
      <c r="F21" t="s" s="68">
        <v>37</v>
      </c>
      <c r="G21" s="73">
        <f>'Utilidad'!B18</f>
        <v>59548.911577</v>
      </c>
      <c r="H21" s="74">
        <f>IF('Utilidad'!D18&gt;1,'Utilidad'!D18/100,'Utilidad'!D18)</f>
        <v>0.660892862340</v>
      </c>
      <c r="I21" s="62"/>
      <c r="J21" s="75">
        <f>IF(C21&lt;&gt;0,(G21-C21)/C21,ABS(G21-C21))</f>
        <v>-1.48487799963056e-06</v>
      </c>
      <c r="K21" s="75">
        <f>IF(D21&lt;&gt;0,(H21-D21)/D21,0)</f>
        <v>0.00485458771476357</v>
      </c>
      <c r="L21" s="76"/>
      <c r="M21" s="77">
        <f>IF(J21&lt;&gt;"",ABS(J21),0)</f>
        <v>1.48487799963056e-06</v>
      </c>
      <c r="N21" s="78">
        <f>IF(J21&lt;&gt;"",ABS(K21),0)</f>
        <v>0.00485458771476357</v>
      </c>
    </row>
    <row r="22" ht="18.5" customHeight="1">
      <c r="A22" s="59"/>
      <c r="B22" t="s" s="68">
        <v>38</v>
      </c>
      <c r="C22" s="73">
        <f>'Utilidad'!A19</f>
        <v>-1846</v>
      </c>
      <c r="D22" s="74">
        <f>IF('Utilidad'!C19&gt;1,'Utilidad'!C19/100,'Utilidad'!C19)</f>
        <v>0.6577</v>
      </c>
      <c r="E22" s="62"/>
      <c r="F22" t="s" s="68">
        <v>38</v>
      </c>
      <c r="G22" s="73">
        <f>'Utilidad'!B19</f>
        <v>-1846.0884227</v>
      </c>
      <c r="H22" s="74">
        <f>IF('Utilidad'!D19&gt;1,'Utilidad'!D19/100,'Utilidad'!D19)</f>
        <v>0.6578045581999999</v>
      </c>
      <c r="I22" s="62"/>
      <c r="J22" s="75">
        <f>IF(C22&lt;&gt;0,(G22-C22)/C22,ABS(G22-C22))</f>
        <v>4.78996208017335e-05</v>
      </c>
      <c r="K22" s="75">
        <f>IF(D22&lt;&gt;0,(H22-D22)/D22,0)</f>
        <v>0.000158975520754143</v>
      </c>
      <c r="L22" s="76"/>
      <c r="M22" s="77">
        <f>IF(J22&lt;&gt;"",ABS(J22),0)</f>
        <v>4.78996208017335e-05</v>
      </c>
      <c r="N22" s="78">
        <f>IF(J22&lt;&gt;"",ABS(K22),0)</f>
        <v>0.000158975520754143</v>
      </c>
    </row>
    <row r="23" ht="18.5" customHeight="1">
      <c r="A23" s="59"/>
      <c r="B23" t="s" s="68">
        <v>39</v>
      </c>
      <c r="C23" s="73">
        <f>'Utilidad'!A20</f>
        <v>61395</v>
      </c>
      <c r="D23" s="74">
        <f>IF('Utilidad'!C20&gt;1,'Utilidad'!C20/100,'Utilidad'!C20)</f>
        <v>0.6577</v>
      </c>
      <c r="E23" s="62"/>
      <c r="F23" t="s" s="68">
        <v>39</v>
      </c>
      <c r="G23" s="73">
        <f>'Utilidad'!B20</f>
        <v>61395</v>
      </c>
      <c r="H23" s="74">
        <f>IF('Utilidad'!D20&gt;1,'Utilidad'!D20/100,'Utilidad'!D20)</f>
        <v>0.6608000000000001</v>
      </c>
      <c r="I23" s="62"/>
      <c r="J23" s="75">
        <f>IF(C23&lt;&gt;0,(G23-C23)/C23,ABS(G23-C23))</f>
        <v>0</v>
      </c>
      <c r="K23" s="75">
        <f>IF(D23&lt;&gt;0,(H23-D23)/D23,0)</f>
        <v>0.00471339516496883</v>
      </c>
      <c r="L23" s="76"/>
      <c r="M23" s="77">
        <f>IF(J23&lt;&gt;"",ABS(J23),0)</f>
        <v>0</v>
      </c>
      <c r="N23" s="78">
        <f>IF(J23&lt;&gt;"",ABS(K23),0)</f>
        <v>0.00471339516496883</v>
      </c>
    </row>
    <row r="24" ht="18.5" customHeight="1">
      <c r="A24" s="59"/>
      <c r="B24" t="s" s="68">
        <v>40</v>
      </c>
      <c r="C24" s="73">
        <f>'Utilidad'!A21</f>
        <v>0</v>
      </c>
      <c r="D24" s="74">
        <f>IF('Utilidad'!C21&gt;1,'Utilidad'!C21/100,'Utilidad'!C21)</f>
        <v>0</v>
      </c>
      <c r="E24" s="62"/>
      <c r="F24" t="s" s="68">
        <v>40</v>
      </c>
      <c r="G24" s="73">
        <f>'Utilidad'!B21</f>
        <v>0</v>
      </c>
      <c r="H24" s="74">
        <f>IF('Utilidad'!D21&gt;1,'Utilidad'!D21/100,'Utilidad'!D21)</f>
        <v>0</v>
      </c>
      <c r="I24" s="62"/>
      <c r="J24" s="75">
        <f>IF(C24&lt;&gt;0,(G24-C24)/C24,ABS(G24-C24))</f>
        <v>0</v>
      </c>
      <c r="K24" s="75">
        <f>IF(D24&lt;&gt;0,(H24-D24)/D24,0)</f>
        <v>0</v>
      </c>
      <c r="L24" s="76"/>
      <c r="M24" s="77">
        <f>IF(J24&lt;&gt;"",ABS(J24),0)</f>
        <v>0</v>
      </c>
      <c r="N24" s="78">
        <f>IF(J24&lt;&gt;"",ABS(K24),0)</f>
        <v>0</v>
      </c>
    </row>
    <row r="25" ht="18.5" customHeight="1">
      <c r="A25" s="59"/>
      <c r="B25" t="s" s="68">
        <v>41</v>
      </c>
      <c r="C25" s="73">
        <f>'Utilidad'!A22</f>
        <v>61395</v>
      </c>
      <c r="D25" s="74">
        <f>IF('Utilidad'!C22&gt;1,'Utilidad'!C22/100,'Utilidad'!C22)</f>
        <v>0.6577</v>
      </c>
      <c r="E25" s="62"/>
      <c r="F25" t="s" s="68">
        <v>41</v>
      </c>
      <c r="G25" s="73">
        <f>'Utilidad'!B22</f>
        <v>61395</v>
      </c>
      <c r="H25" s="74">
        <f>IF('Utilidad'!D22&gt;1,'Utilidad'!D22/100,'Utilidad'!D22)</f>
        <v>0.6608000000000001</v>
      </c>
      <c r="I25" s="62"/>
      <c r="J25" s="75">
        <f>IF(C25&lt;&gt;0,(G25-C25)/C25,ABS(G25-C25))</f>
        <v>0</v>
      </c>
      <c r="K25" s="75">
        <f>IF(D25&lt;&gt;0,(H25-D25)/D25,0)</f>
        <v>0.00471339516496883</v>
      </c>
      <c r="L25" s="76"/>
      <c r="M25" s="77">
        <f>IF(J25&lt;&gt;"",ABS(J25),0)</f>
        <v>0</v>
      </c>
      <c r="N25" s="78">
        <f>IF(J25&lt;&gt;"",ABS(K25),0)</f>
        <v>0.00471339516496883</v>
      </c>
    </row>
    <row r="26" ht="18.5" customHeight="1">
      <c r="A26" s="59"/>
      <c r="B26" t="s" s="68">
        <v>42</v>
      </c>
      <c r="C26" s="73">
        <f>'Utilidad'!A23</f>
        <v>0</v>
      </c>
      <c r="D26" s="74">
        <f>IF('Utilidad'!C23&gt;1,'Utilidad'!C23/100,'Utilidad'!C23)</f>
        <v>0</v>
      </c>
      <c r="E26" s="62"/>
      <c r="F26" t="s" s="68">
        <v>42</v>
      </c>
      <c r="G26" s="73">
        <f>'Utilidad'!B23</f>
        <v>0</v>
      </c>
      <c r="H26" s="74">
        <f>IF('Utilidad'!D23&gt;1,'Utilidad'!D23/100,'Utilidad'!D23)</f>
        <v>0</v>
      </c>
      <c r="I26" s="62"/>
      <c r="J26" s="75">
        <f>IF(C26&lt;&gt;0,(G26-C26)/C26,ABS(G26-C26))</f>
        <v>0</v>
      </c>
      <c r="K26" s="75">
        <f>IF(D26&lt;&gt;0,(H26-D26)/D26,0)</f>
        <v>0</v>
      </c>
      <c r="L26" s="76"/>
      <c r="M26" s="77">
        <f>IF(J26&lt;&gt;"",ABS(J26),0)</f>
        <v>0</v>
      </c>
      <c r="N26" s="78">
        <f>IF(J26&lt;&gt;"",ABS(K26),0)</f>
        <v>0</v>
      </c>
    </row>
    <row r="27" ht="18.5" customHeight="1">
      <c r="A27" s="59"/>
      <c r="B27" t="s" s="68">
        <v>43</v>
      </c>
      <c r="C27" s="73">
        <f>'Utilidad'!A24</f>
        <v>61395</v>
      </c>
      <c r="D27" s="74">
        <f>IF('Utilidad'!C24&gt;1,'Utilidad'!C24/100,'Utilidad'!C24)</f>
        <v>0.6608000000000001</v>
      </c>
      <c r="E27" s="62"/>
      <c r="F27" t="s" s="68">
        <v>43</v>
      </c>
      <c r="G27" s="73">
        <f>'Utilidad'!B24</f>
        <v>61395</v>
      </c>
      <c r="H27" s="74">
        <f>IF('Utilidad'!D24&gt;1,'Utilidad'!D24/100,'Utilidad'!D24)</f>
        <v>0.6608000000000001</v>
      </c>
      <c r="I27" s="62"/>
      <c r="J27" s="75">
        <f>IF(C27&lt;&gt;0,(G27-C27)/C27,ABS(G27-C27))</f>
        <v>0</v>
      </c>
      <c r="K27" s="75">
        <f>IF(D27&lt;&gt;0,(H27-D27)/D27,0)</f>
        <v>0</v>
      </c>
      <c r="L27" s="76"/>
      <c r="M27" s="77">
        <f>IF(J27&lt;&gt;"",ABS(J27),0)</f>
        <v>0</v>
      </c>
      <c r="N27" s="78">
        <f>IF(J27&lt;&gt;"",ABS(K27),0)</f>
        <v>0</v>
      </c>
    </row>
    <row r="28" ht="18.5" customHeight="1">
      <c r="A28" s="59"/>
      <c r="B28" t="s" s="68">
        <v>44</v>
      </c>
      <c r="C28" s="73">
        <f>'Utilidad'!A25</f>
        <v>0</v>
      </c>
      <c r="D28" s="74">
        <f>IF('Utilidad'!C25&gt;1,'Utilidad'!C25/100,'Utilidad'!C25)</f>
        <v>0</v>
      </c>
      <c r="E28" s="62"/>
      <c r="F28" t="s" s="68">
        <v>44</v>
      </c>
      <c r="G28" s="73">
        <f>'Utilidad'!B25</f>
        <v>0</v>
      </c>
      <c r="H28" s="74">
        <f>IF('Utilidad'!D25&gt;1,'Utilidad'!D25/100,'Utilidad'!D25)</f>
        <v>0</v>
      </c>
      <c r="I28" s="62"/>
      <c r="J28" s="75">
        <f>IF(C28&lt;&gt;0,(G28-C28)/C28,ABS(G28-C28))</f>
        <v>0</v>
      </c>
      <c r="K28" s="75">
        <f>IF(D28&lt;&gt;0,(H28-D28)/D28,0)</f>
        <v>0</v>
      </c>
      <c r="L28" s="76"/>
      <c r="M28" s="77">
        <f>IF(J28&lt;&gt;"",ABS(J28),0)</f>
        <v>0</v>
      </c>
      <c r="N28" s="78">
        <f>IF(J28&lt;&gt;"",ABS(K28),0)</f>
        <v>0</v>
      </c>
    </row>
    <row r="29" ht="18.5" customHeight="1">
      <c r="A29" s="59"/>
      <c r="B29" t="s" s="68">
        <v>45</v>
      </c>
      <c r="C29" s="73">
        <f>'Utilidad'!A26</f>
        <v>11739</v>
      </c>
      <c r="D29" s="74">
        <f>IF('Utilidad'!C26&gt;1,'Utilidad'!C26/100,'Utilidad'!C26)</f>
        <v>0.6608000000000001</v>
      </c>
      <c r="E29" s="62"/>
      <c r="F29" t="s" s="68">
        <v>45</v>
      </c>
      <c r="G29" s="73">
        <f>'Utilidad'!B26</f>
        <v>11739</v>
      </c>
      <c r="H29" s="74">
        <f>IF('Utilidad'!D26&gt;1,'Utilidad'!D26/100,'Utilidad'!D26)</f>
        <v>0.6794120112399999</v>
      </c>
      <c r="I29" s="62"/>
      <c r="J29" s="75">
        <f>IF(C29&lt;&gt;0,(G29-C29)/C29,ABS(G29-C29))</f>
        <v>0</v>
      </c>
      <c r="K29" s="75">
        <f>IF(D29&lt;&gt;0,(H29-D29)/D29,0)</f>
        <v>0.0281658765738499</v>
      </c>
      <c r="L29" s="76"/>
      <c r="M29" s="77">
        <f>IF(J29&lt;&gt;"",ABS(J29),0)</f>
        <v>0</v>
      </c>
      <c r="N29" s="78">
        <f>IF(J29&lt;&gt;"",ABS(K29),0)</f>
        <v>0.0281658765738499</v>
      </c>
    </row>
    <row r="30" ht="18.5" customHeight="1">
      <c r="A30" s="59"/>
      <c r="B30" t="s" s="68">
        <v>46</v>
      </c>
      <c r="C30" s="73">
        <f>'Utilidad'!A27</f>
        <v>49656</v>
      </c>
      <c r="D30" s="74">
        <f>IF('Utilidad'!C27&gt;1,'Utilidad'!C27/100,'Utilidad'!C27)</f>
        <v>0.6564</v>
      </c>
      <c r="E30" s="62"/>
      <c r="F30" t="s" s="68">
        <v>46</v>
      </c>
      <c r="G30" s="73">
        <f>'Utilidad'!B27</f>
        <v>49656</v>
      </c>
      <c r="H30" s="74">
        <f>IF('Utilidad'!D27&gt;1,'Utilidad'!D27/100,'Utilidad'!D27)</f>
        <v>0.6564</v>
      </c>
      <c r="I30" s="62"/>
      <c r="J30" s="75">
        <f>IF(C30&lt;&gt;0,(G30-C30)/C30,ABS(G30-C30))</f>
        <v>0</v>
      </c>
      <c r="K30" s="75">
        <f>IF(D30&lt;&gt;0,(H30-D30)/D30,0)</f>
        <v>0</v>
      </c>
      <c r="L30" s="76"/>
      <c r="M30" s="77">
        <f>IF(J30&lt;&gt;"",ABS(J30),0)</f>
        <v>0</v>
      </c>
      <c r="N30" s="78">
        <f>IF(J30&lt;&gt;"",ABS(K30),0)</f>
        <v>0</v>
      </c>
    </row>
    <row r="31" ht="18.5" customHeight="1">
      <c r="A31" s="59"/>
      <c r="B31" t="s" s="68">
        <v>47</v>
      </c>
      <c r="C31" s="73">
        <f>'Utilidad'!A28</f>
        <v>-2778</v>
      </c>
      <c r="D31" s="74">
        <f>IF('Utilidad'!C28&gt;1,'Utilidad'!C28/100,'Utilidad'!C28)</f>
        <v>0.6564</v>
      </c>
      <c r="E31" s="62"/>
      <c r="F31" t="s" s="68">
        <v>47</v>
      </c>
      <c r="G31" s="73">
        <f>'Utilidad'!B28</f>
        <v>-2778</v>
      </c>
      <c r="H31" s="74">
        <f>IF('Utilidad'!D28&gt;1,'Utilidad'!D28/100,'Utilidad'!D28)</f>
        <v>0.6566362851000001</v>
      </c>
      <c r="I31" s="62"/>
      <c r="J31" s="75">
        <f>IF(C31&lt;&gt;0,(G31-C31)/C31,ABS(G31-C31))</f>
        <v>0</v>
      </c>
      <c r="K31" s="75">
        <f>IF(D31&lt;&gt;0,(H31-D31)/D31,0)</f>
        <v>0.000359971206581353</v>
      </c>
      <c r="L31" s="76"/>
      <c r="M31" s="77">
        <f>IF(J31&lt;&gt;"",ABS(J31),0)</f>
        <v>0</v>
      </c>
      <c r="N31" s="78">
        <f>IF(J31&lt;&gt;"",ABS(K31),0)</f>
        <v>0.000359971206581353</v>
      </c>
    </row>
    <row r="32" ht="18.5" customHeight="1">
      <c r="A32" s="59"/>
      <c r="B32" t="s" s="68">
        <v>48</v>
      </c>
      <c r="C32" s="73">
        <f>'Utilidad'!A29</f>
        <v>2778</v>
      </c>
      <c r="D32" s="74">
        <f>IF('Utilidad'!C29&gt;1,'Utilidad'!C29/100,'Utilidad'!C29)</f>
        <v>0.6564</v>
      </c>
      <c r="E32" s="62"/>
      <c r="F32" t="s" s="68">
        <v>48</v>
      </c>
      <c r="G32" s="73">
        <f>'Utilidad'!B29</f>
        <v>2778</v>
      </c>
      <c r="H32" s="74">
        <f>IF('Utilidad'!D29&gt;1,'Utilidad'!D29/100,'Utilidad'!D29)</f>
        <v>0.6566362851000001</v>
      </c>
      <c r="I32" s="62"/>
      <c r="J32" s="75">
        <f>IF(C32&lt;&gt;0,(G32-C32)/C32,ABS(G32-C32))</f>
        <v>0</v>
      </c>
      <c r="K32" s="75">
        <f>IF(D32&lt;&gt;0,(H32-D32)/D32,0)</f>
        <v>0.000359971206581353</v>
      </c>
      <c r="L32" s="76"/>
      <c r="M32" s="77">
        <f>IF(J32&lt;&gt;"",ABS(J32),0)</f>
        <v>0</v>
      </c>
      <c r="N32" s="78">
        <f>IF(J32&lt;&gt;"",ABS(K32),0)</f>
        <v>0.000359971206581353</v>
      </c>
    </row>
    <row r="33" ht="18.5" customHeight="1">
      <c r="A33" s="59"/>
      <c r="B33" t="s" s="68">
        <v>49</v>
      </c>
      <c r="C33" s="73">
        <f>'Utilidad'!A30</f>
        <v>0</v>
      </c>
      <c r="D33" s="74">
        <f>IF('Utilidad'!C30&gt;1,'Utilidad'!C30/100,'Utilidad'!C30)</f>
        <v>0</v>
      </c>
      <c r="E33" s="62"/>
      <c r="F33" t="s" s="68">
        <v>49</v>
      </c>
      <c r="G33" s="73">
        <f>'Utilidad'!B30</f>
        <v>0</v>
      </c>
      <c r="H33" s="74">
        <f>IF('Utilidad'!D30&gt;1,'Utilidad'!D30/100,'Utilidad'!D30)</f>
        <v>0</v>
      </c>
      <c r="I33" s="62"/>
      <c r="J33" s="75">
        <f>IF(C33&lt;&gt;0,(G33-C33)/C33,ABS(G33-C33))</f>
        <v>0</v>
      </c>
      <c r="K33" s="75">
        <f>IF(D33&lt;&gt;0,(H33-D33)/D33,0)</f>
        <v>0</v>
      </c>
      <c r="L33" s="76"/>
      <c r="M33" s="77">
        <f>IF(J33&lt;&gt;"",ABS(J33),0)</f>
        <v>0</v>
      </c>
      <c r="N33" s="78">
        <f>IF(J33&lt;&gt;"",ABS(K33),0)</f>
        <v>0</v>
      </c>
    </row>
    <row r="34" ht="18.5" customHeight="1">
      <c r="A34" s="59"/>
      <c r="B34" t="s" s="68">
        <v>50</v>
      </c>
      <c r="C34" s="73">
        <f>'Utilidad'!A31</f>
        <v>2778</v>
      </c>
      <c r="D34" s="74">
        <f>IF('Utilidad'!C31&gt;1,'Utilidad'!C31/100,'Utilidad'!C31)</f>
        <v>0.6564</v>
      </c>
      <c r="E34" s="62"/>
      <c r="F34" t="s" s="68">
        <v>50</v>
      </c>
      <c r="G34" s="73">
        <f>'Utilidad'!B31</f>
        <v>2778</v>
      </c>
      <c r="H34" s="74">
        <f>IF('Utilidad'!D31&gt;1,'Utilidad'!D31/100,'Utilidad'!D31)</f>
        <v>0.6566362851000001</v>
      </c>
      <c r="I34" s="62"/>
      <c r="J34" s="75">
        <f>IF(C34&lt;&gt;0,(G34-C34)/C34,ABS(G34-C34))</f>
        <v>0</v>
      </c>
      <c r="K34" s="75">
        <f>IF(D34&lt;&gt;0,(H34-D34)/D34,0)</f>
        <v>0.000359971206581353</v>
      </c>
      <c r="L34" s="76"/>
      <c r="M34" s="77">
        <f>IF(J34&lt;&gt;"",ABS(J34),0)</f>
        <v>0</v>
      </c>
      <c r="N34" s="78">
        <f>IF(J34&lt;&gt;"",ABS(K34),0)</f>
        <v>0.000359971206581353</v>
      </c>
    </row>
    <row r="35" ht="18.5" customHeight="1">
      <c r="A35" s="59"/>
      <c r="B35" t="s" s="68">
        <v>51</v>
      </c>
      <c r="C35" s="73">
        <f>'Utilidad'!A32</f>
        <v>218703</v>
      </c>
      <c r="D35" s="74">
        <f>IF('Utilidad'!C32&gt;1,'Utilidad'!C32/100,'Utilidad'!C32)</f>
        <v>0.6564</v>
      </c>
      <c r="E35" s="62"/>
      <c r="F35" t="s" s="68">
        <v>51</v>
      </c>
      <c r="G35" s="73">
        <f>'Utilidad'!B32</f>
        <v>218703</v>
      </c>
      <c r="H35" s="74">
        <f>IF('Utilidad'!D32&gt;1,'Utilidad'!D32/100,'Utilidad'!D32)</f>
        <v>0.6564</v>
      </c>
      <c r="I35" s="62"/>
      <c r="J35" s="75">
        <f>IF(C35&lt;&gt;0,(G35-C35)/C35,ABS(G35-C35))</f>
        <v>0</v>
      </c>
      <c r="K35" s="75">
        <f>IF(D35&lt;&gt;0,(H35-D35)/D35,0)</f>
        <v>0</v>
      </c>
      <c r="L35" s="76"/>
      <c r="M35" s="77">
        <f>IF(J35&lt;&gt;"",ABS(J35),0)</f>
        <v>0</v>
      </c>
      <c r="N35" s="78">
        <f>IF(J35&lt;&gt;"",ABS(K35),0)</f>
        <v>0</v>
      </c>
    </row>
  </sheetData>
  <mergeCells count="3">
    <mergeCell ref="B2:D2"/>
    <mergeCell ref="F2:H2"/>
    <mergeCell ref="J2:K2"/>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S90"/>
  <sheetViews>
    <sheetView workbookViewId="0" showGridLines="0" defaultGridColor="1"/>
  </sheetViews>
  <sheetFormatPr defaultColWidth="10.8333" defaultRowHeight="14.5" customHeight="1" outlineLevelRow="0" outlineLevelCol="0"/>
  <cols>
    <col min="1" max="1" width="4" style="79" customWidth="1"/>
    <col min="2" max="4" width="10.8516" style="79" customWidth="1"/>
    <col min="5" max="5" width="19.6719" style="79" customWidth="1"/>
    <col min="6" max="8" width="10.8516" style="79" customWidth="1"/>
    <col min="9" max="9" width="17.5" style="79" customWidth="1"/>
    <col min="10" max="14" width="10.8516" style="79" customWidth="1"/>
    <col min="15" max="15" width="12.5" style="79" customWidth="1"/>
    <col min="16" max="16" width="14.5" style="79" customWidth="1"/>
    <col min="17" max="19" width="10.8516" style="79" customWidth="1"/>
    <col min="20" max="16384" width="10.8516" style="79" customWidth="1"/>
  </cols>
  <sheetData>
    <row r="1" ht="15" customHeight="1">
      <c r="A1" s="80"/>
      <c r="B1" s="81"/>
      <c r="C1" s="81"/>
      <c r="D1" s="81"/>
      <c r="E1" s="81"/>
      <c r="F1" s="81"/>
      <c r="G1" s="81"/>
      <c r="H1" s="81"/>
      <c r="I1" s="81"/>
      <c r="J1" s="81"/>
      <c r="K1" s="81"/>
      <c r="L1" s="81"/>
      <c r="M1" s="81"/>
      <c r="N1" s="81"/>
      <c r="O1" s="81"/>
      <c r="P1" s="81"/>
      <c r="Q1" s="81"/>
      <c r="R1" s="81"/>
      <c r="S1" s="82"/>
    </row>
    <row r="2" ht="14.5" customHeight="1">
      <c r="A2" s="83"/>
      <c r="B2" s="84"/>
      <c r="C2" s="85"/>
      <c r="D2" s="85"/>
      <c r="E2" s="85"/>
      <c r="F2" s="85"/>
      <c r="G2" s="85"/>
      <c r="H2" s="85"/>
      <c r="I2" s="85"/>
      <c r="J2" s="85"/>
      <c r="K2" s="85"/>
      <c r="L2" s="85"/>
      <c r="M2" s="85"/>
      <c r="N2" s="85"/>
      <c r="O2" s="85"/>
      <c r="P2" s="85"/>
      <c r="Q2" s="85"/>
      <c r="R2" s="85"/>
      <c r="S2" s="86"/>
    </row>
    <row r="3" ht="21" customHeight="1">
      <c r="A3" s="83"/>
      <c r="B3" s="87"/>
      <c r="C3" t="s" s="88">
        <v>20</v>
      </c>
      <c r="D3" s="89"/>
      <c r="E3" s="90">
        <f>'Utilidad'!J38</f>
        <v>179498</v>
      </c>
      <c r="F3" s="89"/>
      <c r="G3" s="89"/>
      <c r="H3" s="89"/>
      <c r="I3" s="89"/>
      <c r="J3" s="89"/>
      <c r="K3" s="89"/>
      <c r="L3" s="89"/>
      <c r="M3" s="89"/>
      <c r="N3" s="89"/>
      <c r="O3" s="89"/>
      <c r="P3" t="s" s="88">
        <v>33</v>
      </c>
      <c r="Q3" s="89"/>
      <c r="R3" s="90">
        <f>'Utilidad'!J51</f>
        <v>49366</v>
      </c>
      <c r="S3" s="91"/>
    </row>
    <row r="4" ht="15.5" customHeight="1">
      <c r="A4" s="83"/>
      <c r="B4" s="87"/>
      <c r="C4" s="89"/>
      <c r="D4" s="89"/>
      <c r="E4" s="92">
        <f>'Utilidad'!K38</f>
        <v>0.656899288170</v>
      </c>
      <c r="F4" s="89"/>
      <c r="G4" s="89"/>
      <c r="H4" s="89"/>
      <c r="I4" s="89"/>
      <c r="J4" s="89"/>
      <c r="K4" s="89"/>
      <c r="L4" s="89"/>
      <c r="M4" s="89"/>
      <c r="N4" s="89"/>
      <c r="O4" s="89"/>
      <c r="P4" s="93"/>
      <c r="Q4" s="89"/>
      <c r="R4" s="92">
        <f>'Utilidad'!K51</f>
        <v>0.661565240530</v>
      </c>
      <c r="S4" s="91"/>
    </row>
    <row r="5" ht="18.5" customHeight="1">
      <c r="A5" s="83"/>
      <c r="B5" s="87"/>
      <c r="C5" s="89"/>
      <c r="D5" s="89"/>
      <c r="E5" s="94">
        <f>'Utilidad'!L38</f>
        <v>117912.108427939</v>
      </c>
      <c r="F5" s="89"/>
      <c r="G5" s="89"/>
      <c r="H5" s="89"/>
      <c r="I5" s="89"/>
      <c r="J5" s="89"/>
      <c r="K5" s="89"/>
      <c r="L5" s="89"/>
      <c r="M5" s="89"/>
      <c r="N5" s="89"/>
      <c r="O5" s="89"/>
      <c r="P5" s="93"/>
      <c r="Q5" s="89"/>
      <c r="R5" s="94">
        <f>'Utilidad'!L51</f>
        <v>32658.829664004</v>
      </c>
      <c r="S5" s="91"/>
    </row>
    <row r="6" ht="14.5" customHeight="1">
      <c r="A6" s="83"/>
      <c r="B6" s="87"/>
      <c r="C6" s="89"/>
      <c r="D6" s="89"/>
      <c r="E6" s="89"/>
      <c r="F6" s="89"/>
      <c r="G6" s="89"/>
      <c r="H6" s="89"/>
      <c r="I6" s="89"/>
      <c r="J6" s="89"/>
      <c r="K6" s="89"/>
      <c r="L6" s="89"/>
      <c r="M6" s="89"/>
      <c r="N6" s="89"/>
      <c r="O6" s="89"/>
      <c r="P6" s="93"/>
      <c r="Q6" s="89"/>
      <c r="R6" s="95">
        <f>R3-R9</f>
        <v>-2483</v>
      </c>
      <c r="S6" s="91"/>
    </row>
    <row r="7" ht="14.5" customHeight="1">
      <c r="A7" s="83"/>
      <c r="B7" s="87"/>
      <c r="C7" s="89"/>
      <c r="D7" s="89"/>
      <c r="E7" s="95">
        <f>E3-E10</f>
        <v>-1732</v>
      </c>
      <c r="F7" s="89"/>
      <c r="G7" s="89"/>
      <c r="H7" s="89"/>
      <c r="I7" s="89"/>
      <c r="J7" s="89"/>
      <c r="K7" s="89"/>
      <c r="L7" s="89"/>
      <c r="M7" s="89"/>
      <c r="N7" s="89"/>
      <c r="O7" s="89"/>
      <c r="P7" s="93"/>
      <c r="Q7" s="89"/>
      <c r="R7" s="96">
        <f>'Utilidad'!K52</f>
        <v>0.657527218880</v>
      </c>
      <c r="S7" s="91"/>
    </row>
    <row r="8" ht="14.5" customHeight="1">
      <c r="A8" s="83"/>
      <c r="B8" s="87"/>
      <c r="C8" t="s" s="97">
        <v>53</v>
      </c>
      <c r="D8" s="89"/>
      <c r="E8" s="96">
        <f>'Utilidad'!K39</f>
        <v>0.655147533080</v>
      </c>
      <c r="F8" s="89"/>
      <c r="G8" s="89"/>
      <c r="H8" s="89"/>
      <c r="I8" s="89"/>
      <c r="J8" s="89"/>
      <c r="K8" s="89"/>
      <c r="L8" s="89"/>
      <c r="M8" s="89"/>
      <c r="N8" s="89"/>
      <c r="O8" s="89"/>
      <c r="P8" t="s" s="98">
        <v>54</v>
      </c>
      <c r="Q8" s="89"/>
      <c r="R8" s="99">
        <f>'Utilidad'!L52</f>
        <v>-1632.640084479040</v>
      </c>
      <c r="S8" s="91"/>
    </row>
    <row r="9" ht="14.5" customHeight="1">
      <c r="A9" s="83"/>
      <c r="B9" s="87"/>
      <c r="C9" s="89"/>
      <c r="D9" s="89"/>
      <c r="E9" s="99">
        <f>'Utilidad'!L39</f>
        <v>-1134.715527294560</v>
      </c>
      <c r="F9" s="89"/>
      <c r="G9" s="89"/>
      <c r="H9" s="89"/>
      <c r="I9" s="89"/>
      <c r="J9" s="89"/>
      <c r="K9" s="89"/>
      <c r="L9" s="89"/>
      <c r="M9" s="89"/>
      <c r="N9" s="89"/>
      <c r="O9" s="89"/>
      <c r="P9" s="93"/>
      <c r="Q9" s="89"/>
      <c r="R9" s="100">
        <f>'Utilidad'!J53</f>
        <v>51849</v>
      </c>
      <c r="S9" s="91"/>
    </row>
    <row r="10" ht="14.5" customHeight="1">
      <c r="A10" s="83"/>
      <c r="B10" s="87"/>
      <c r="C10" s="89"/>
      <c r="D10" s="89"/>
      <c r="E10" s="100">
        <f>'Utilidad'!J40</f>
        <v>181230</v>
      </c>
      <c r="F10" s="89"/>
      <c r="G10" s="101"/>
      <c r="H10" s="89"/>
      <c r="I10" s="89"/>
      <c r="J10" s="89"/>
      <c r="K10" s="89"/>
      <c r="L10" s="89"/>
      <c r="M10" s="89"/>
      <c r="N10" s="89"/>
      <c r="O10" s="89"/>
      <c r="P10" s="93"/>
      <c r="Q10" s="89"/>
      <c r="R10" s="96">
        <f>'Utilidad'!K53</f>
        <v>0.661371863460</v>
      </c>
      <c r="S10" s="91"/>
    </row>
    <row r="11" ht="14.5" customHeight="1">
      <c r="A11" s="83"/>
      <c r="B11" s="87"/>
      <c r="C11" s="89"/>
      <c r="D11" s="89"/>
      <c r="E11" s="96">
        <f>'Utilidad'!K40</f>
        <v>0.656882546790</v>
      </c>
      <c r="F11" s="89"/>
      <c r="G11" s="89"/>
      <c r="H11" s="89"/>
      <c r="I11" s="89"/>
      <c r="J11" s="89"/>
      <c r="K11" s="89"/>
      <c r="L11" s="89"/>
      <c r="M11" s="89"/>
      <c r="N11" s="89"/>
      <c r="O11" s="89"/>
      <c r="P11" s="93"/>
      <c r="Q11" s="89"/>
      <c r="R11" s="102">
        <f>'Utilidad'!L53</f>
        <v>34291.4697485375</v>
      </c>
      <c r="S11" s="91"/>
    </row>
    <row r="12" ht="14.5" customHeight="1">
      <c r="A12" s="83"/>
      <c r="B12" s="87"/>
      <c r="C12" t="s" s="103">
        <v>55</v>
      </c>
      <c r="D12" s="89"/>
      <c r="E12" s="102">
        <f>'Utilidad'!L40</f>
        <v>119046.823954752</v>
      </c>
      <c r="F12" s="89"/>
      <c r="G12" s="89"/>
      <c r="H12" s="89"/>
      <c r="I12" s="89"/>
      <c r="J12" s="89"/>
      <c r="K12" s="89"/>
      <c r="L12" s="89"/>
      <c r="M12" s="89"/>
      <c r="N12" s="89"/>
      <c r="O12" s="89"/>
      <c r="P12" t="s" s="98">
        <v>56</v>
      </c>
      <c r="Q12" s="89"/>
      <c r="R12" s="89"/>
      <c r="S12" s="91"/>
    </row>
    <row r="13" ht="14.5" customHeight="1">
      <c r="A13" s="83"/>
      <c r="B13" s="87"/>
      <c r="C13" s="89"/>
      <c r="D13" s="89"/>
      <c r="E13" s="89"/>
      <c r="F13" s="89"/>
      <c r="G13" s="89"/>
      <c r="H13" s="89"/>
      <c r="I13" s="89"/>
      <c r="J13" s="89"/>
      <c r="K13" s="89"/>
      <c r="L13" s="89"/>
      <c r="M13" s="89"/>
      <c r="N13" s="89"/>
      <c r="O13" s="89"/>
      <c r="P13" s="89"/>
      <c r="Q13" s="89"/>
      <c r="R13" s="95">
        <f>R9-R18</f>
        <v>-7699.911577</v>
      </c>
      <c r="S13" s="91"/>
    </row>
    <row r="14" ht="14.5" customHeight="1">
      <c r="A14" s="83"/>
      <c r="B14" s="87"/>
      <c r="C14" s="89"/>
      <c r="D14" s="89"/>
      <c r="E14" s="95">
        <f>E10-E19</f>
        <v>0</v>
      </c>
      <c r="F14" s="89"/>
      <c r="G14" s="89"/>
      <c r="H14" s="89"/>
      <c r="I14" s="89"/>
      <c r="J14" s="89"/>
      <c r="K14" s="89"/>
      <c r="L14" s="89"/>
      <c r="M14" s="89"/>
      <c r="N14" s="89"/>
      <c r="O14" s="89"/>
      <c r="P14" s="89"/>
      <c r="Q14" s="89"/>
      <c r="R14" s="96">
        <f>'Utilidad'!K54</f>
        <v>0.657667406190</v>
      </c>
      <c r="S14" s="91"/>
    </row>
    <row r="15" ht="14.5" customHeight="1">
      <c r="A15" s="83"/>
      <c r="B15" s="87"/>
      <c r="C15" s="89"/>
      <c r="D15" s="89"/>
      <c r="E15" s="96">
        <f>'Utilidad'!K41</f>
        <v>0</v>
      </c>
      <c r="F15" s="89"/>
      <c r="G15" s="89"/>
      <c r="H15" s="89"/>
      <c r="I15" s="89"/>
      <c r="J15" s="89"/>
      <c r="K15" s="89"/>
      <c r="L15" s="89"/>
      <c r="M15" s="89"/>
      <c r="N15" s="89"/>
      <c r="O15" s="89"/>
      <c r="P15" s="89"/>
      <c r="Q15" s="89"/>
      <c r="R15" s="104">
        <f>'Utilidad'!L54</f>
        <v>-5063.980874935240</v>
      </c>
      <c r="S15" s="91"/>
    </row>
    <row r="16" ht="14.5" customHeight="1">
      <c r="A16" s="83"/>
      <c r="B16" s="87"/>
      <c r="C16" s="89"/>
      <c r="D16" s="89"/>
      <c r="E16" s="104">
        <f>'Utilidad'!L41</f>
        <v>0</v>
      </c>
      <c r="F16" s="89"/>
      <c r="G16" s="89"/>
      <c r="H16" s="89"/>
      <c r="I16" s="89"/>
      <c r="J16" s="89"/>
      <c r="K16" s="89"/>
      <c r="L16" s="89"/>
      <c r="M16" s="89"/>
      <c r="N16" s="89"/>
      <c r="O16" s="89"/>
      <c r="P16" s="89"/>
      <c r="Q16" s="89"/>
      <c r="R16" s="89"/>
      <c r="S16" s="91"/>
    </row>
    <row r="17" ht="14.5" customHeight="1">
      <c r="A17" s="83"/>
      <c r="B17" s="87"/>
      <c r="C17" s="89"/>
      <c r="D17" s="89"/>
      <c r="E17" s="89"/>
      <c r="F17" s="89"/>
      <c r="G17" s="89"/>
      <c r="H17" s="89"/>
      <c r="I17" s="89"/>
      <c r="J17" s="89"/>
      <c r="K17" s="89"/>
      <c r="L17" s="89"/>
      <c r="M17" s="89"/>
      <c r="N17" s="89"/>
      <c r="O17" s="89"/>
      <c r="P17" s="89"/>
      <c r="Q17" s="89"/>
      <c r="R17" s="89"/>
      <c r="S17" s="91"/>
    </row>
    <row r="18" ht="14.5" customHeight="1">
      <c r="A18" s="83"/>
      <c r="B18" s="87"/>
      <c r="C18" s="89"/>
      <c r="D18" s="89"/>
      <c r="E18" s="89"/>
      <c r="F18" s="89"/>
      <c r="G18" s="89"/>
      <c r="H18" s="89"/>
      <c r="I18" s="89"/>
      <c r="J18" s="89"/>
      <c r="K18" s="89"/>
      <c r="L18" s="89"/>
      <c r="M18" s="89"/>
      <c r="N18" s="89"/>
      <c r="O18" s="89"/>
      <c r="P18" s="89"/>
      <c r="Q18" s="89"/>
      <c r="R18" s="100">
        <f>'Utilidad'!J55</f>
        <v>59548.911577</v>
      </c>
      <c r="S18" s="91"/>
    </row>
    <row r="19" ht="14.5" customHeight="1">
      <c r="A19" s="83"/>
      <c r="B19" s="87"/>
      <c r="C19" s="89"/>
      <c r="D19" s="89"/>
      <c r="E19" s="100">
        <f>'Utilidad'!J42</f>
        <v>181230</v>
      </c>
      <c r="F19" s="89"/>
      <c r="G19" s="89"/>
      <c r="H19" s="89"/>
      <c r="I19" s="89"/>
      <c r="J19" s="89"/>
      <c r="K19" s="89"/>
      <c r="L19" s="89"/>
      <c r="M19" s="89"/>
      <c r="N19" s="89"/>
      <c r="O19" s="89"/>
      <c r="P19" s="89"/>
      <c r="Q19" s="89"/>
      <c r="R19" s="96">
        <f>'Utilidad'!K53</f>
        <v>0.661371863460</v>
      </c>
      <c r="S19" s="91"/>
    </row>
    <row r="20" ht="14.5" customHeight="1">
      <c r="A20" s="83"/>
      <c r="B20" s="87"/>
      <c r="C20" s="89"/>
      <c r="D20" s="89"/>
      <c r="E20" s="96">
        <f>'Utilidad'!K42</f>
        <v>0.656882546790</v>
      </c>
      <c r="F20" s="89"/>
      <c r="G20" s="89"/>
      <c r="H20" s="89"/>
      <c r="I20" s="89"/>
      <c r="J20" s="89"/>
      <c r="K20" s="89"/>
      <c r="L20" s="89"/>
      <c r="M20" s="89"/>
      <c r="N20" s="89"/>
      <c r="O20" s="89"/>
      <c r="P20" s="89"/>
      <c r="Q20" s="89"/>
      <c r="R20" s="102">
        <f>'Utilidad'!L55</f>
        <v>39355.4506213551</v>
      </c>
      <c r="S20" s="91"/>
    </row>
    <row r="21" ht="14.5" customHeight="1">
      <c r="A21" s="83"/>
      <c r="B21" s="87"/>
      <c r="C21" s="89"/>
      <c r="D21" s="89"/>
      <c r="E21" s="102">
        <f>'Utilidad'!L42</f>
        <v>119046.823954752</v>
      </c>
      <c r="F21" s="89"/>
      <c r="G21" s="89"/>
      <c r="H21" s="89"/>
      <c r="I21" s="89"/>
      <c r="J21" s="89"/>
      <c r="K21" s="89"/>
      <c r="L21" s="89"/>
      <c r="M21" s="89"/>
      <c r="N21" s="89"/>
      <c r="O21" s="89"/>
      <c r="P21" s="89"/>
      <c r="Q21" s="89"/>
      <c r="R21" s="89"/>
      <c r="S21" s="91"/>
    </row>
    <row r="22" ht="14.5" customHeight="1">
      <c r="A22" s="83"/>
      <c r="B22" s="87"/>
      <c r="C22" s="89"/>
      <c r="D22" s="89"/>
      <c r="E22" s="95">
        <f>E19-E25</f>
        <v>1906</v>
      </c>
      <c r="F22" s="89"/>
      <c r="G22" s="105">
        <f>'Utilidad'!J45</f>
        <v>0</v>
      </c>
      <c r="H22" s="89"/>
      <c r="I22" s="89"/>
      <c r="J22" s="89"/>
      <c r="K22" s="89"/>
      <c r="L22" s="89"/>
      <c r="M22" s="89"/>
      <c r="N22" s="105">
        <f>'Utilidad'!J58</f>
        <v>0</v>
      </c>
      <c r="O22" s="89"/>
      <c r="P22" t="s" s="103">
        <v>57</v>
      </c>
      <c r="Q22" s="89"/>
      <c r="R22" s="95">
        <f>R18-R25</f>
        <v>-1846.088423</v>
      </c>
      <c r="S22" s="91"/>
    </row>
    <row r="23" ht="22" customHeight="1">
      <c r="A23" s="83"/>
      <c r="B23" s="87"/>
      <c r="C23" s="89"/>
      <c r="D23" s="89"/>
      <c r="E23" s="96">
        <f>'Utilidad'!K43</f>
        <v>0.655240480070</v>
      </c>
      <c r="F23" s="89"/>
      <c r="G23" s="106">
        <f>'Utilidad'!K45</f>
        <v>0</v>
      </c>
      <c r="H23" s="89"/>
      <c r="I23" s="89"/>
      <c r="J23" s="89"/>
      <c r="K23" s="89"/>
      <c r="L23" s="89"/>
      <c r="M23" s="89"/>
      <c r="N23" s="106">
        <f>'Utilidad'!K58</f>
        <v>0</v>
      </c>
      <c r="O23" s="89"/>
      <c r="P23" s="89"/>
      <c r="Q23" s="89"/>
      <c r="R23" s="96">
        <f>'Utilidad'!K56</f>
        <v>0.6578045581999999</v>
      </c>
      <c r="S23" s="91"/>
    </row>
    <row r="24" ht="14.5" customHeight="1">
      <c r="A24" s="83"/>
      <c r="B24" s="87"/>
      <c r="C24" s="89"/>
      <c r="D24" s="89"/>
      <c r="E24" s="104">
        <f>'Utilidad'!L43</f>
        <v>1248.888355013420</v>
      </c>
      <c r="F24" s="89"/>
      <c r="G24" s="107">
        <f>'Utilidad'!L45</f>
        <v>0</v>
      </c>
      <c r="H24" s="89"/>
      <c r="I24" s="89"/>
      <c r="J24" s="89"/>
      <c r="K24" s="89"/>
      <c r="L24" s="89"/>
      <c r="M24" s="89"/>
      <c r="N24" s="107">
        <f>'Utilidad'!L58</f>
        <v>0</v>
      </c>
      <c r="O24" s="89"/>
      <c r="P24" s="89"/>
      <c r="Q24" s="89"/>
      <c r="R24" s="104">
        <f>'Utilidad'!L56</f>
        <v>-1214.365379292310</v>
      </c>
      <c r="S24" s="91"/>
    </row>
    <row r="25" ht="14.5" customHeight="1">
      <c r="A25" s="83"/>
      <c r="B25" s="87"/>
      <c r="C25" t="s" s="97">
        <v>58</v>
      </c>
      <c r="D25" s="89"/>
      <c r="E25" s="100">
        <f>'Utilidad'!J44</f>
        <v>179324</v>
      </c>
      <c r="F25" s="89"/>
      <c r="G25" s="89"/>
      <c r="H25" s="89"/>
      <c r="I25" s="89"/>
      <c r="J25" s="89"/>
      <c r="K25" s="89"/>
      <c r="L25" s="89"/>
      <c r="M25" s="89"/>
      <c r="N25" s="89"/>
      <c r="O25" s="89"/>
      <c r="P25" s="89"/>
      <c r="Q25" s="89"/>
      <c r="R25" s="100">
        <f>'Utilidad'!J57</f>
        <v>61395</v>
      </c>
      <c r="S25" s="91"/>
    </row>
    <row r="26" ht="14.5" customHeight="1">
      <c r="A26" s="83"/>
      <c r="B26" s="87"/>
      <c r="C26" s="89"/>
      <c r="D26" s="89"/>
      <c r="E26" s="96">
        <f>'Utilidad'!K44</f>
        <v>0.6569</v>
      </c>
      <c r="F26" s="89"/>
      <c r="G26" s="89"/>
      <c r="H26" s="89"/>
      <c r="I26" s="89"/>
      <c r="J26" s="89"/>
      <c r="K26" s="89"/>
      <c r="L26" s="89"/>
      <c r="M26" s="89"/>
      <c r="N26" s="89"/>
      <c r="O26" s="89"/>
      <c r="P26" s="89"/>
      <c r="Q26" s="89"/>
      <c r="R26" s="96">
        <f>'Utilidad'!K57</f>
        <v>0.6608000000000001</v>
      </c>
      <c r="S26" s="91"/>
    </row>
    <row r="27" ht="14.5" customHeight="1">
      <c r="A27" s="83"/>
      <c r="B27" s="87"/>
      <c r="C27" s="89"/>
      <c r="D27" s="89"/>
      <c r="E27" s="102">
        <f>'Utilidad'!L44</f>
        <v>117797.9356</v>
      </c>
      <c r="F27" s="89"/>
      <c r="G27" s="89"/>
      <c r="H27" s="89"/>
      <c r="I27" s="89"/>
      <c r="J27" s="89"/>
      <c r="K27" s="108">
        <f>G22+N22-K29</f>
        <v>-2778</v>
      </c>
      <c r="L27" s="89"/>
      <c r="M27" s="89"/>
      <c r="N27" s="89"/>
      <c r="O27" s="89"/>
      <c r="P27" s="89"/>
      <c r="Q27" s="89"/>
      <c r="R27" s="102">
        <f>'Utilidad'!L57</f>
        <v>40569.816</v>
      </c>
      <c r="S27" s="91"/>
    </row>
    <row r="28" ht="14.5" customHeight="1">
      <c r="A28" s="83"/>
      <c r="B28" s="87"/>
      <c r="C28" s="89"/>
      <c r="D28" s="89"/>
      <c r="E28" s="89"/>
      <c r="F28" s="89"/>
      <c r="G28" s="89"/>
      <c r="H28" s="89"/>
      <c r="I28" s="89"/>
      <c r="J28" s="89"/>
      <c r="K28" s="89"/>
      <c r="L28" s="89"/>
      <c r="M28" s="89"/>
      <c r="N28" s="89"/>
      <c r="O28" s="89"/>
      <c r="P28" s="89"/>
      <c r="Q28" s="89"/>
      <c r="R28" s="89"/>
      <c r="S28" s="91"/>
    </row>
    <row r="29" ht="14.5" customHeight="1">
      <c r="A29" s="83"/>
      <c r="B29" s="87"/>
      <c r="C29" s="89"/>
      <c r="D29" s="89"/>
      <c r="E29" s="89"/>
      <c r="F29" s="89"/>
      <c r="G29" s="105">
        <f>'Utilidad'!J48</f>
        <v>0</v>
      </c>
      <c r="H29" s="89"/>
      <c r="I29" s="89"/>
      <c r="J29" s="89"/>
      <c r="K29" s="100">
        <f>'Utilidad'!J66</f>
        <v>2778</v>
      </c>
      <c r="L29" s="89"/>
      <c r="M29" s="89"/>
      <c r="N29" s="89"/>
      <c r="O29" s="89"/>
      <c r="P29" s="89"/>
      <c r="Q29" s="89"/>
      <c r="R29" s="89"/>
      <c r="S29" s="91"/>
    </row>
    <row r="30" ht="14.5" customHeight="1">
      <c r="A30" s="83"/>
      <c r="B30" s="87"/>
      <c r="C30" s="89"/>
      <c r="D30" s="89"/>
      <c r="E30" s="89"/>
      <c r="F30" s="89"/>
      <c r="G30" s="106">
        <f>'Utilidad'!K48</f>
        <v>0</v>
      </c>
      <c r="H30" s="89"/>
      <c r="I30" s="89"/>
      <c r="J30" s="89"/>
      <c r="K30" s="96">
        <f>'Utilidad'!K66</f>
        <v>0.6566362851000001</v>
      </c>
      <c r="L30" s="89"/>
      <c r="M30" s="89"/>
      <c r="N30" s="89"/>
      <c r="O30" s="89"/>
      <c r="P30" s="89"/>
      <c r="Q30" s="89"/>
      <c r="R30" s="100">
        <f>'Utilidad'!J59</f>
        <v>61395</v>
      </c>
      <c r="S30" s="91"/>
    </row>
    <row r="31" ht="14.5" customHeight="1">
      <c r="A31" s="83"/>
      <c r="B31" s="87"/>
      <c r="C31" s="89"/>
      <c r="D31" s="89"/>
      <c r="E31" s="100">
        <f>'Utilidad'!J46</f>
        <v>179324</v>
      </c>
      <c r="F31" s="89"/>
      <c r="G31" s="107">
        <f>'Utilidad'!L48</f>
        <v>0</v>
      </c>
      <c r="H31" s="89"/>
      <c r="I31" s="89"/>
      <c r="J31" s="89"/>
      <c r="K31" s="102">
        <f>'Utilidad'!L66</f>
        <v>1824.1356000078</v>
      </c>
      <c r="L31" s="89"/>
      <c r="M31" s="89"/>
      <c r="N31" s="89"/>
      <c r="O31" s="89"/>
      <c r="P31" s="89"/>
      <c r="Q31" s="89"/>
      <c r="R31" s="96">
        <f>'Utilidad'!K59</f>
        <v>0.6608000000000001</v>
      </c>
      <c r="S31" s="91"/>
    </row>
    <row r="32" ht="14.5" customHeight="1">
      <c r="A32" s="83"/>
      <c r="B32" s="87"/>
      <c r="C32" s="89"/>
      <c r="D32" s="89"/>
      <c r="E32" s="96">
        <f>'Utilidad'!K46</f>
        <v>0.6569</v>
      </c>
      <c r="F32" s="89"/>
      <c r="G32" s="89"/>
      <c r="H32" s="89"/>
      <c r="I32" t="s" s="109">
        <v>59</v>
      </c>
      <c r="J32" s="89"/>
      <c r="K32" s="89"/>
      <c r="L32" s="89"/>
      <c r="M32" s="89"/>
      <c r="N32" s="89"/>
      <c r="O32" s="89"/>
      <c r="P32" s="89"/>
      <c r="Q32" s="89"/>
      <c r="R32" s="102">
        <f>'Utilidad'!L59</f>
        <v>40569.816</v>
      </c>
      <c r="S32" s="91"/>
    </row>
    <row r="33" ht="14.5" customHeight="1">
      <c r="A33" s="83"/>
      <c r="B33" s="87"/>
      <c r="C33" s="89"/>
      <c r="D33" s="89"/>
      <c r="E33" s="102">
        <f>'Utilidad'!L46</f>
        <v>117797.9356</v>
      </c>
      <c r="F33" s="89"/>
      <c r="G33" s="89"/>
      <c r="H33" s="89"/>
      <c r="I33" s="110"/>
      <c r="J33" s="89"/>
      <c r="K33" s="108">
        <f>K29-K39</f>
        <v>0</v>
      </c>
      <c r="L33" s="89"/>
      <c r="M33" s="89"/>
      <c r="N33" s="89"/>
      <c r="O33" s="89"/>
      <c r="P33" s="89"/>
      <c r="Q33" s="89"/>
      <c r="R33" s="89"/>
      <c r="S33" s="91"/>
    </row>
    <row r="34" ht="14.5" customHeight="1">
      <c r="A34" s="83"/>
      <c r="B34" s="87"/>
      <c r="C34" s="89"/>
      <c r="D34" s="89"/>
      <c r="E34" s="89"/>
      <c r="F34" s="89"/>
      <c r="G34" s="89"/>
      <c r="H34" s="89"/>
      <c r="I34" s="110"/>
      <c r="J34" s="89"/>
      <c r="K34" s="106">
        <f>'Utilidad'!K67</f>
        <v>0</v>
      </c>
      <c r="L34" s="89"/>
      <c r="M34" s="89"/>
      <c r="N34" s="89"/>
      <c r="O34" s="89"/>
      <c r="P34" s="89"/>
      <c r="Q34" s="89"/>
      <c r="R34" s="89"/>
      <c r="S34" s="91"/>
    </row>
    <row r="35" ht="14.5" customHeight="1">
      <c r="A35" s="83"/>
      <c r="B35" s="87"/>
      <c r="C35" s="89"/>
      <c r="D35" s="89"/>
      <c r="E35" s="89"/>
      <c r="F35" s="89"/>
      <c r="G35" s="89"/>
      <c r="H35" s="89"/>
      <c r="I35" s="110"/>
      <c r="J35" s="89"/>
      <c r="K35" s="111">
        <f>'Utilidad'!L67</f>
        <v>0</v>
      </c>
      <c r="L35" s="89"/>
      <c r="M35" s="100">
        <f>'Utilidad'!J62</f>
        <v>0</v>
      </c>
      <c r="N35" s="89"/>
      <c r="O35" s="89"/>
      <c r="P35" s="89"/>
      <c r="Q35" s="89"/>
      <c r="R35" s="89"/>
      <c r="S35" s="91"/>
    </row>
    <row r="36" ht="20.25" customHeight="1">
      <c r="A36" s="83"/>
      <c r="B36" s="87"/>
      <c r="C36" s="89"/>
      <c r="D36" s="89"/>
      <c r="E36" s="89"/>
      <c r="F36" s="89"/>
      <c r="G36" s="89"/>
      <c r="H36" s="89"/>
      <c r="I36" s="89"/>
      <c r="J36" s="89"/>
      <c r="K36" s="89"/>
      <c r="L36" s="89"/>
      <c r="M36" s="96">
        <f>'Utilidad'!K62</f>
        <v>0</v>
      </c>
      <c r="N36" s="89"/>
      <c r="O36" s="89"/>
      <c r="P36" s="89"/>
      <c r="Q36" s="89"/>
      <c r="R36" s="89"/>
      <c r="S36" s="91"/>
    </row>
    <row r="37" ht="14.5" customHeight="1">
      <c r="A37" s="83"/>
      <c r="B37" s="87"/>
      <c r="C37" s="89"/>
      <c r="D37" s="89"/>
      <c r="E37" s="89"/>
      <c r="F37" s="89"/>
      <c r="G37" s="89"/>
      <c r="H37" s="89"/>
      <c r="I37" s="89"/>
      <c r="J37" s="89"/>
      <c r="K37" s="89"/>
      <c r="L37" s="89"/>
      <c r="M37" s="102">
        <f>'Utilidad'!L62</f>
        <v>0</v>
      </c>
      <c r="N37" s="89"/>
      <c r="O37" s="89"/>
      <c r="P37" s="89"/>
      <c r="Q37" s="89"/>
      <c r="R37" s="89"/>
      <c r="S37" s="91"/>
    </row>
    <row r="38" ht="14.5" customHeight="1">
      <c r="A38" s="83"/>
      <c r="B38" s="87"/>
      <c r="C38" s="89"/>
      <c r="D38" s="89"/>
      <c r="E38" s="100">
        <f>E31</f>
        <v>179324</v>
      </c>
      <c r="F38" s="89"/>
      <c r="G38" s="89"/>
      <c r="H38" s="89"/>
      <c r="I38" s="89"/>
      <c r="J38" s="89"/>
      <c r="K38" s="89"/>
      <c r="L38" s="89"/>
      <c r="M38" s="89"/>
      <c r="N38" s="89"/>
      <c r="O38" s="89"/>
      <c r="P38" s="89"/>
      <c r="Q38" s="89"/>
      <c r="R38" s="89"/>
      <c r="S38" s="91"/>
    </row>
    <row r="39" ht="14.5" customHeight="1">
      <c r="A39" s="83"/>
      <c r="B39" s="87"/>
      <c r="C39" s="89"/>
      <c r="D39" s="89"/>
      <c r="E39" s="96">
        <f>E32</f>
        <v>0.6569</v>
      </c>
      <c r="F39" s="89"/>
      <c r="G39" s="89"/>
      <c r="H39" s="89"/>
      <c r="I39" s="89"/>
      <c r="J39" s="89"/>
      <c r="K39" s="100">
        <f>'Utilidad'!J68</f>
        <v>2778</v>
      </c>
      <c r="L39" s="89"/>
      <c r="M39" s="89"/>
      <c r="N39" s="89"/>
      <c r="O39" s="89"/>
      <c r="P39" s="89"/>
      <c r="Q39" s="89"/>
      <c r="R39" s="100">
        <f>'Utilidad'!J61</f>
        <v>61395</v>
      </c>
      <c r="S39" s="91"/>
    </row>
    <row r="40" ht="14.5" customHeight="1">
      <c r="A40" s="83"/>
      <c r="B40" s="87"/>
      <c r="C40" s="89"/>
      <c r="D40" s="89"/>
      <c r="E40" s="102">
        <f>E33</f>
        <v>117797.9356</v>
      </c>
      <c r="F40" s="89"/>
      <c r="G40" s="89"/>
      <c r="H40" s="112">
        <f>'Utilidad'!J50</f>
        <v>166268</v>
      </c>
      <c r="I40" s="89"/>
      <c r="J40" s="89"/>
      <c r="K40" s="96">
        <f>'Utilidad'!K68</f>
        <v>0.6566362851000001</v>
      </c>
      <c r="L40" s="89"/>
      <c r="M40" s="112">
        <f>'Utilidad'!J64</f>
        <v>49656</v>
      </c>
      <c r="N40" s="89"/>
      <c r="O40" s="89"/>
      <c r="P40" s="89"/>
      <c r="Q40" s="89"/>
      <c r="R40" s="96">
        <f>'Utilidad'!K61</f>
        <v>0.6608000000000001</v>
      </c>
      <c r="S40" s="91"/>
    </row>
    <row r="41" ht="14.5" customHeight="1">
      <c r="A41" s="83"/>
      <c r="B41" s="87"/>
      <c r="C41" s="89"/>
      <c r="D41" s="89"/>
      <c r="E41" s="89"/>
      <c r="F41" s="89"/>
      <c r="G41" s="89"/>
      <c r="H41" s="113">
        <f>'Utilidad'!K50</f>
        <v>0.6564</v>
      </c>
      <c r="I41" s="89"/>
      <c r="J41" s="89"/>
      <c r="K41" s="102">
        <f>'Utilidad'!L68</f>
        <v>1824.1356000078</v>
      </c>
      <c r="L41" s="89"/>
      <c r="M41" s="113">
        <f>'Utilidad'!K64</f>
        <v>0.6564</v>
      </c>
      <c r="N41" s="89"/>
      <c r="O41" s="89"/>
      <c r="P41" s="89"/>
      <c r="Q41" s="89"/>
      <c r="R41" s="102">
        <f>'Utilidad'!L61</f>
        <v>40569.816</v>
      </c>
      <c r="S41" s="91"/>
    </row>
    <row r="42" ht="14.5" customHeight="1">
      <c r="A42" s="83"/>
      <c r="B42" s="87"/>
      <c r="C42" s="89"/>
      <c r="D42" s="89"/>
      <c r="E42" s="89"/>
      <c r="F42" s="95">
        <f>E38+M35-H40</f>
        <v>13056</v>
      </c>
      <c r="G42" s="89"/>
      <c r="H42" s="114">
        <f>'Utilidad'!L50</f>
        <v>109138.3152</v>
      </c>
      <c r="I42" s="89"/>
      <c r="J42" s="89"/>
      <c r="K42" s="89"/>
      <c r="L42" s="89"/>
      <c r="M42" s="114">
        <f>'Utilidad'!L64</f>
        <v>32594.1984</v>
      </c>
      <c r="N42" s="89"/>
      <c r="O42" s="95">
        <f>R39-M40</f>
        <v>11739</v>
      </c>
      <c r="P42" s="89"/>
      <c r="Q42" s="89"/>
      <c r="R42" s="89"/>
      <c r="S42" s="91"/>
    </row>
    <row r="43" ht="14.5" customHeight="1">
      <c r="A43" s="83"/>
      <c r="B43" s="87"/>
      <c r="C43" s="89"/>
      <c r="D43" s="89"/>
      <c r="E43" s="89"/>
      <c r="F43" s="96">
        <f>'Utilidad'!K49</f>
        <v>0.6632674938699999</v>
      </c>
      <c r="G43" s="89"/>
      <c r="H43" s="89"/>
      <c r="I43" s="89"/>
      <c r="J43" s="89"/>
      <c r="K43" s="89"/>
      <c r="L43" s="89"/>
      <c r="M43" s="89"/>
      <c r="N43" s="89"/>
      <c r="O43" s="96">
        <f>'Utilidad'!K63</f>
        <v>0.6794120112399999</v>
      </c>
      <c r="P43" s="89"/>
      <c r="Q43" s="89"/>
      <c r="R43" s="89"/>
      <c r="S43" s="91"/>
    </row>
    <row r="44" ht="14.5" customHeight="1">
      <c r="A44" s="83"/>
      <c r="B44" s="87"/>
      <c r="C44" s="89"/>
      <c r="D44" s="89"/>
      <c r="E44" s="89"/>
      <c r="F44" s="104">
        <f>'Utilidad'!L49</f>
        <v>8659.620399966720</v>
      </c>
      <c r="G44" s="89"/>
      <c r="H44" s="89"/>
      <c r="I44" s="89"/>
      <c r="J44" s="89"/>
      <c r="K44" s="89"/>
      <c r="L44" s="89"/>
      <c r="M44" s="89"/>
      <c r="N44" s="89"/>
      <c r="O44" s="104">
        <f>'Utilidad'!L61</f>
        <v>40569.816</v>
      </c>
      <c r="P44" s="89"/>
      <c r="Q44" s="89"/>
      <c r="R44" s="89"/>
      <c r="S44" s="91"/>
    </row>
    <row r="45" ht="14.5" customHeight="1">
      <c r="A45" s="83"/>
      <c r="B45" s="87"/>
      <c r="C45" s="89"/>
      <c r="D45" s="89"/>
      <c r="E45" s="89"/>
      <c r="F45" s="89"/>
      <c r="G45" s="89"/>
      <c r="H45" s="89"/>
      <c r="I45" s="89"/>
      <c r="J45" s="89"/>
      <c r="K45" s="100">
        <f>'Utilidad'!J69</f>
        <v>218703</v>
      </c>
      <c r="L45" s="89"/>
      <c r="M45" s="89"/>
      <c r="N45" s="89"/>
      <c r="O45" s="95"/>
      <c r="P45" s="89"/>
      <c r="Q45" s="89"/>
      <c r="R45" s="89"/>
      <c r="S45" s="91"/>
    </row>
    <row r="46" ht="14.5" customHeight="1">
      <c r="A46" s="83"/>
      <c r="B46" s="87"/>
      <c r="C46" s="89"/>
      <c r="D46" s="89"/>
      <c r="E46" s="89"/>
      <c r="F46" s="89"/>
      <c r="G46" s="89"/>
      <c r="H46" s="89"/>
      <c r="I46" s="89"/>
      <c r="J46" s="89"/>
      <c r="K46" s="96">
        <f>'Utilidad'!K69</f>
        <v>0.6564</v>
      </c>
      <c r="L46" s="89"/>
      <c r="M46" s="89"/>
      <c r="N46" s="89"/>
      <c r="O46" s="89"/>
      <c r="P46" s="89"/>
      <c r="Q46" s="89"/>
      <c r="R46" s="89"/>
      <c r="S46" s="91"/>
    </row>
    <row r="47" ht="14.5" customHeight="1">
      <c r="A47" s="83"/>
      <c r="B47" s="87"/>
      <c r="C47" s="89"/>
      <c r="D47" s="89"/>
      <c r="E47" s="89"/>
      <c r="F47" s="89"/>
      <c r="G47" s="89"/>
      <c r="H47" s="89"/>
      <c r="I47" s="89"/>
      <c r="J47" s="89"/>
      <c r="K47" s="102">
        <f>'Utilidad'!L69</f>
        <v>143556.6492</v>
      </c>
      <c r="L47" s="89"/>
      <c r="M47" s="89"/>
      <c r="N47" s="89"/>
      <c r="O47" s="89"/>
      <c r="P47" s="89"/>
      <c r="Q47" s="89"/>
      <c r="R47" s="89"/>
      <c r="S47" s="91"/>
    </row>
    <row r="48" ht="14.5" customHeight="1">
      <c r="A48" s="83"/>
      <c r="B48" s="87"/>
      <c r="C48" s="89"/>
      <c r="D48" s="89"/>
      <c r="E48" s="89"/>
      <c r="F48" s="89"/>
      <c r="G48" s="89"/>
      <c r="H48" s="89"/>
      <c r="I48" s="89"/>
      <c r="J48" s="89"/>
      <c r="K48" s="89"/>
      <c r="L48" s="89"/>
      <c r="M48" s="89"/>
      <c r="N48" s="89"/>
      <c r="O48" s="89"/>
      <c r="P48" s="89"/>
      <c r="Q48" s="89"/>
      <c r="R48" s="89"/>
      <c r="S48" s="91"/>
    </row>
    <row r="49" ht="14.5" customHeight="1">
      <c r="A49" s="83"/>
      <c r="B49" s="87"/>
      <c r="C49" s="89"/>
      <c r="D49" s="89"/>
      <c r="E49" s="89"/>
      <c r="F49" s="89"/>
      <c r="G49" s="89"/>
      <c r="H49" s="89"/>
      <c r="I49" s="89"/>
      <c r="J49" s="89"/>
      <c r="K49" s="89"/>
      <c r="L49" s="89"/>
      <c r="M49" s="89"/>
      <c r="N49" s="89"/>
      <c r="O49" s="89"/>
      <c r="P49" s="89"/>
      <c r="Q49" s="89"/>
      <c r="R49" s="89"/>
      <c r="S49" s="91"/>
    </row>
    <row r="50" ht="14.5" customHeight="1">
      <c r="A50" s="83"/>
      <c r="B50" s="87"/>
      <c r="C50" s="89"/>
      <c r="D50" s="89"/>
      <c r="E50" s="89"/>
      <c r="F50" s="89"/>
      <c r="G50" s="89"/>
      <c r="H50" s="89"/>
      <c r="I50" s="89"/>
      <c r="J50" s="89"/>
      <c r="K50" s="89"/>
      <c r="L50" s="89"/>
      <c r="M50" s="89"/>
      <c r="N50" s="89"/>
      <c r="O50" s="89"/>
      <c r="P50" s="89"/>
      <c r="Q50" s="89"/>
      <c r="R50" s="89"/>
      <c r="S50" s="91"/>
    </row>
    <row r="51" ht="14.5" customHeight="1">
      <c r="A51" s="83"/>
      <c r="B51" s="87"/>
      <c r="C51" s="89"/>
      <c r="D51" s="89"/>
      <c r="E51" s="89"/>
      <c r="F51" s="89"/>
      <c r="G51" s="89"/>
      <c r="H51" s="89"/>
      <c r="I51" s="89"/>
      <c r="J51" s="89"/>
      <c r="K51" s="89"/>
      <c r="L51" s="89"/>
      <c r="M51" s="89"/>
      <c r="N51" s="89"/>
      <c r="O51" s="89"/>
      <c r="P51" s="89"/>
      <c r="Q51" s="89"/>
      <c r="R51" s="89"/>
      <c r="S51" s="91"/>
    </row>
    <row r="52" ht="14.5" customHeight="1">
      <c r="A52" s="83"/>
      <c r="B52" s="87"/>
      <c r="C52" s="89"/>
      <c r="D52" s="89"/>
      <c r="E52" s="89"/>
      <c r="F52" s="89"/>
      <c r="G52" s="89"/>
      <c r="H52" s="89"/>
      <c r="I52" s="89"/>
      <c r="J52" s="89"/>
      <c r="K52" s="89"/>
      <c r="L52" s="89"/>
      <c r="M52" s="89"/>
      <c r="N52" s="89"/>
      <c r="O52" s="89"/>
      <c r="P52" s="89"/>
      <c r="Q52" s="89"/>
      <c r="R52" s="89"/>
      <c r="S52" s="91"/>
    </row>
    <row r="53" ht="15" customHeight="1">
      <c r="A53" s="83"/>
      <c r="B53" s="115"/>
      <c r="C53" s="116"/>
      <c r="D53" s="116"/>
      <c r="E53" s="116"/>
      <c r="F53" s="116"/>
      <c r="G53" s="116"/>
      <c r="H53" s="116"/>
      <c r="I53" s="116"/>
      <c r="J53" s="116"/>
      <c r="K53" s="116"/>
      <c r="L53" s="116"/>
      <c r="M53" s="116"/>
      <c r="N53" s="116"/>
      <c r="O53" s="116"/>
      <c r="P53" s="116"/>
      <c r="Q53" s="116"/>
      <c r="R53" s="116"/>
      <c r="S53" s="117"/>
    </row>
    <row r="54" ht="14.5" customHeight="1">
      <c r="A54" s="118"/>
      <c r="B54" s="85"/>
      <c r="C54" s="85"/>
      <c r="D54" s="85"/>
      <c r="E54" s="85"/>
      <c r="F54" s="85"/>
      <c r="G54" s="85"/>
      <c r="H54" s="85"/>
      <c r="I54" s="85"/>
      <c r="J54" s="85"/>
      <c r="K54" s="85"/>
      <c r="L54" s="85"/>
      <c r="M54" s="85"/>
      <c r="N54" s="85"/>
      <c r="O54" s="85"/>
      <c r="P54" s="85"/>
      <c r="Q54" s="85"/>
      <c r="R54" s="85"/>
      <c r="S54" s="119"/>
    </row>
    <row r="55" ht="15.5" customHeight="1">
      <c r="A55" s="118"/>
      <c r="B55" s="89"/>
      <c r="C55" s="89"/>
      <c r="D55" s="89"/>
      <c r="E55" s="89"/>
      <c r="F55" s="89"/>
      <c r="G55" t="s" s="120">
        <v>60</v>
      </c>
      <c r="H55" s="121"/>
      <c r="I55" s="121"/>
      <c r="J55" s="121"/>
      <c r="K55" s="121"/>
      <c r="L55" s="121"/>
      <c r="M55" s="121"/>
      <c r="N55" s="121"/>
      <c r="O55" s="121"/>
      <c r="P55" s="121"/>
      <c r="Q55" s="89"/>
      <c r="R55" s="89"/>
      <c r="S55" s="122"/>
    </row>
    <row r="56" ht="18.5" customHeight="1">
      <c r="A56" s="118"/>
      <c r="B56" s="89"/>
      <c r="C56" s="89"/>
      <c r="D56" s="89"/>
      <c r="E56" s="89"/>
      <c r="F56" s="123"/>
      <c r="G56" t="s" s="124">
        <v>61</v>
      </c>
      <c r="H56" s="125"/>
      <c r="I56" s="125"/>
      <c r="J56" t="s" s="126">
        <v>62</v>
      </c>
      <c r="K56" s="127"/>
      <c r="L56" s="127"/>
      <c r="M56" t="s" s="128">
        <v>63</v>
      </c>
      <c r="N56" s="129"/>
      <c r="O56" s="129"/>
      <c r="P56" s="129"/>
      <c r="Q56" s="130"/>
      <c r="R56" s="89"/>
      <c r="S56" s="122"/>
    </row>
    <row r="57" ht="24.75" customHeight="1">
      <c r="A57" s="118"/>
      <c r="B57" s="89"/>
      <c r="C57" s="89"/>
      <c r="D57" s="89"/>
      <c r="E57" s="89"/>
      <c r="F57" s="123"/>
      <c r="G57" t="s" s="131">
        <v>20</v>
      </c>
      <c r="H57" s="132"/>
      <c r="I57" s="133">
        <f>E3</f>
        <v>179498</v>
      </c>
      <c r="J57" t="s" s="134">
        <v>64</v>
      </c>
      <c r="K57" s="135"/>
      <c r="L57" s="136">
        <f>'Utilidad'!J39</f>
        <v>-1732</v>
      </c>
      <c r="M57" t="s" s="137">
        <v>65</v>
      </c>
      <c r="N57" s="138"/>
      <c r="O57" s="138"/>
      <c r="P57" s="136">
        <f>K45</f>
        <v>218703</v>
      </c>
      <c r="Q57" s="130"/>
      <c r="R57" s="89"/>
      <c r="S57" s="122"/>
    </row>
    <row r="58" ht="24.75" customHeight="1">
      <c r="A58" s="118"/>
      <c r="B58" s="89"/>
      <c r="C58" s="89"/>
      <c r="D58" s="89"/>
      <c r="E58" s="89"/>
      <c r="F58" s="123"/>
      <c r="G58" t="s" s="131">
        <v>33</v>
      </c>
      <c r="H58" s="132"/>
      <c r="I58" s="133">
        <f>R3</f>
        <v>49366</v>
      </c>
      <c r="J58" t="s" s="134">
        <v>55</v>
      </c>
      <c r="K58" s="135"/>
      <c r="L58" s="136">
        <f>'Utilidad'!J41</f>
        <v>0</v>
      </c>
      <c r="M58" s="138"/>
      <c r="N58" s="138"/>
      <c r="O58" s="138"/>
      <c r="P58" s="136"/>
      <c r="Q58" s="130"/>
      <c r="R58" s="89"/>
      <c r="S58" s="122"/>
    </row>
    <row r="59" ht="24.75" customHeight="1">
      <c r="A59" s="118"/>
      <c r="B59" s="89"/>
      <c r="C59" s="89"/>
      <c r="D59" s="89"/>
      <c r="E59" s="89"/>
      <c r="F59" s="123"/>
      <c r="G59" s="139"/>
      <c r="H59" s="132"/>
      <c r="I59" s="133"/>
      <c r="J59" t="s" s="134">
        <v>58</v>
      </c>
      <c r="K59" s="135"/>
      <c r="L59" s="136">
        <f>'Utilidad'!J43</f>
        <v>1906</v>
      </c>
      <c r="M59" s="138"/>
      <c r="N59" s="138"/>
      <c r="O59" s="138"/>
      <c r="P59" s="136"/>
      <c r="Q59" s="130"/>
      <c r="R59" s="89"/>
      <c r="S59" s="122"/>
    </row>
    <row r="60" ht="24.75" customHeight="1">
      <c r="A60" s="118"/>
      <c r="B60" s="89"/>
      <c r="C60" s="89"/>
      <c r="D60" s="89"/>
      <c r="E60" s="89"/>
      <c r="F60" s="123"/>
      <c r="G60" s="139"/>
      <c r="H60" s="132"/>
      <c r="I60" s="133"/>
      <c r="J60" t="s" s="134">
        <v>66</v>
      </c>
      <c r="K60" s="135"/>
      <c r="L60" s="136">
        <v>0</v>
      </c>
      <c r="M60" s="138"/>
      <c r="N60" s="138"/>
      <c r="O60" s="138"/>
      <c r="P60" s="136"/>
      <c r="Q60" s="130"/>
      <c r="R60" s="89"/>
      <c r="S60" s="122"/>
    </row>
    <row r="61" ht="24.75" customHeight="1">
      <c r="A61" s="118"/>
      <c r="B61" s="89"/>
      <c r="C61" s="89"/>
      <c r="D61" s="89"/>
      <c r="E61" s="89"/>
      <c r="F61" s="123"/>
      <c r="G61" s="139"/>
      <c r="H61" s="132"/>
      <c r="I61" s="133"/>
      <c r="J61" t="s" s="134">
        <v>67</v>
      </c>
      <c r="K61" s="135"/>
      <c r="L61" s="136">
        <f>'Utilidad'!J49</f>
        <v>13056</v>
      </c>
      <c r="M61" s="138"/>
      <c r="N61" s="138"/>
      <c r="O61" s="138"/>
      <c r="P61" s="136"/>
      <c r="Q61" s="130"/>
      <c r="R61" s="89"/>
      <c r="S61" s="122"/>
    </row>
    <row r="62" ht="24.75" customHeight="1">
      <c r="A62" s="118"/>
      <c r="B62" s="89"/>
      <c r="C62" s="89"/>
      <c r="D62" s="89"/>
      <c r="E62" s="89"/>
      <c r="F62" s="123"/>
      <c r="G62" s="139"/>
      <c r="H62" s="132"/>
      <c r="I62" s="133"/>
      <c r="J62" t="s" s="134">
        <v>68</v>
      </c>
      <c r="K62" s="135"/>
      <c r="L62" s="136">
        <f>'Utilidad'!J52</f>
        <v>-2483</v>
      </c>
      <c r="M62" s="138"/>
      <c r="N62" s="138"/>
      <c r="O62" s="138"/>
      <c r="P62" s="136"/>
      <c r="Q62" s="130"/>
      <c r="R62" s="89"/>
      <c r="S62" s="122"/>
    </row>
    <row r="63" ht="24.75" customHeight="1">
      <c r="A63" s="118"/>
      <c r="B63" s="89"/>
      <c r="C63" s="89"/>
      <c r="D63" s="89"/>
      <c r="E63" s="89"/>
      <c r="F63" s="123"/>
      <c r="G63" s="139"/>
      <c r="H63" s="132"/>
      <c r="I63" s="133"/>
      <c r="J63" t="s" s="134">
        <v>69</v>
      </c>
      <c r="K63" s="135"/>
      <c r="L63" s="136">
        <f>'Utilidad'!J54</f>
        <v>-7699.9115773</v>
      </c>
      <c r="M63" s="138"/>
      <c r="N63" s="138"/>
      <c r="O63" s="138"/>
      <c r="P63" s="136"/>
      <c r="Q63" s="130"/>
      <c r="R63" s="89"/>
      <c r="S63" s="122"/>
    </row>
    <row r="64" ht="24.75" customHeight="1">
      <c r="A64" s="118"/>
      <c r="B64" s="89"/>
      <c r="C64" s="89"/>
      <c r="D64" s="89"/>
      <c r="E64" s="89"/>
      <c r="F64" s="123"/>
      <c r="G64" s="139"/>
      <c r="H64" s="132"/>
      <c r="I64" s="133"/>
      <c r="J64" t="s" s="134">
        <v>57</v>
      </c>
      <c r="K64" s="135"/>
      <c r="L64" s="136">
        <f>'Utilidad'!J56</f>
        <v>-1846.0884227</v>
      </c>
      <c r="M64" s="138"/>
      <c r="N64" s="138"/>
      <c r="O64" s="138"/>
      <c r="P64" s="136"/>
      <c r="Q64" s="130"/>
      <c r="R64" s="89"/>
      <c r="S64" s="122"/>
    </row>
    <row r="65" ht="24.75" customHeight="1">
      <c r="A65" s="118"/>
      <c r="B65" s="89"/>
      <c r="C65" s="89"/>
      <c r="D65" s="89"/>
      <c r="E65" s="89"/>
      <c r="F65" s="123"/>
      <c r="G65" s="139"/>
      <c r="H65" s="132"/>
      <c r="I65" s="133"/>
      <c r="J65" t="s" s="134">
        <v>70</v>
      </c>
      <c r="K65" s="135"/>
      <c r="L65" s="136">
        <v>0</v>
      </c>
      <c r="M65" s="138"/>
      <c r="N65" s="138"/>
      <c r="O65" s="138"/>
      <c r="P65" s="136"/>
      <c r="Q65" s="130"/>
      <c r="R65" s="89"/>
      <c r="S65" s="122"/>
    </row>
    <row r="66" ht="24.75" customHeight="1">
      <c r="A66" s="118"/>
      <c r="B66" s="89"/>
      <c r="C66" s="89"/>
      <c r="D66" s="89"/>
      <c r="E66" s="89"/>
      <c r="F66" s="123"/>
      <c r="G66" s="139"/>
      <c r="H66" s="132"/>
      <c r="I66" s="133"/>
      <c r="J66" t="s" s="134">
        <v>71</v>
      </c>
      <c r="K66" s="135"/>
      <c r="L66" s="136">
        <f>'Utilidad'!J63</f>
        <v>11739</v>
      </c>
      <c r="M66" s="138"/>
      <c r="N66" s="138"/>
      <c r="O66" s="138"/>
      <c r="P66" s="136"/>
      <c r="Q66" s="130"/>
      <c r="R66" s="89"/>
      <c r="S66" s="122"/>
    </row>
    <row r="67" ht="24.75" customHeight="1">
      <c r="A67" s="118"/>
      <c r="B67" s="89"/>
      <c r="C67" s="89"/>
      <c r="D67" s="89"/>
      <c r="E67" s="89"/>
      <c r="F67" s="123"/>
      <c r="G67" s="139"/>
      <c r="H67" s="132"/>
      <c r="I67" s="133"/>
      <c r="J67" t="s" s="134">
        <v>72</v>
      </c>
      <c r="K67" s="135"/>
      <c r="L67" s="136">
        <f>K27</f>
        <v>-2778</v>
      </c>
      <c r="M67" s="138"/>
      <c r="N67" s="138"/>
      <c r="O67" s="138"/>
      <c r="P67" s="136"/>
      <c r="Q67" s="130"/>
      <c r="R67" s="89"/>
      <c r="S67" s="122"/>
    </row>
    <row r="68" ht="29.25" customHeight="1">
      <c r="A68" s="118"/>
      <c r="B68" s="89"/>
      <c r="C68" s="89"/>
      <c r="D68" s="89"/>
      <c r="E68" s="89"/>
      <c r="F68" s="123"/>
      <c r="G68" s="140"/>
      <c r="H68" s="141"/>
      <c r="I68" s="133"/>
      <c r="J68" t="s" s="134">
        <v>73</v>
      </c>
      <c r="K68" s="135"/>
      <c r="L68" s="136">
        <f>K33</f>
        <v>0</v>
      </c>
      <c r="M68" s="138"/>
      <c r="N68" s="138"/>
      <c r="O68" s="138"/>
      <c r="P68" s="136"/>
      <c r="Q68" s="130"/>
      <c r="R68" s="89"/>
      <c r="S68" s="122"/>
    </row>
    <row r="69" ht="18.5" customHeight="1">
      <c r="A69" s="118"/>
      <c r="B69" s="89"/>
      <c r="C69" s="89"/>
      <c r="D69" s="89"/>
      <c r="E69" s="89"/>
      <c r="F69" s="123"/>
      <c r="G69" t="s" s="142">
        <v>74</v>
      </c>
      <c r="H69" s="143"/>
      <c r="I69" s="144">
        <f>SUM(I57:I68)</f>
        <v>228864</v>
      </c>
      <c r="J69" t="s" s="145">
        <v>75</v>
      </c>
      <c r="K69" s="146"/>
      <c r="L69" s="147">
        <f>SUM(L57:L68)</f>
        <v>10162</v>
      </c>
      <c r="M69" t="s" s="145">
        <v>76</v>
      </c>
      <c r="N69" s="146"/>
      <c r="O69" s="146"/>
      <c r="P69" s="144">
        <f>SUM(P57:P68)</f>
        <v>218703</v>
      </c>
      <c r="Q69" s="130"/>
      <c r="R69" s="89"/>
      <c r="S69" s="122"/>
    </row>
    <row r="70" ht="14.5" customHeight="1">
      <c r="A70" s="118"/>
      <c r="B70" s="89"/>
      <c r="C70" s="89"/>
      <c r="D70" s="89"/>
      <c r="E70" s="89"/>
      <c r="F70" s="89"/>
      <c r="G70" s="148"/>
      <c r="H70" s="148"/>
      <c r="I70" s="148"/>
      <c r="J70" s="148"/>
      <c r="K70" s="148"/>
      <c r="L70" s="149"/>
      <c r="M70" s="149"/>
      <c r="N70" s="149"/>
      <c r="O70" s="149"/>
      <c r="P70" s="149"/>
      <c r="Q70" s="89"/>
      <c r="R70" s="89"/>
      <c r="S70" s="122"/>
    </row>
    <row r="71" ht="18.5" customHeight="1">
      <c r="A71" s="118"/>
      <c r="B71" s="89"/>
      <c r="C71" s="89"/>
      <c r="D71" s="89"/>
      <c r="E71" s="89"/>
      <c r="F71" s="89"/>
      <c r="G71" s="89"/>
      <c r="H71" s="89"/>
      <c r="I71" s="89"/>
      <c r="J71" s="89"/>
      <c r="K71" s="123"/>
      <c r="L71" t="s" s="150">
        <v>77</v>
      </c>
      <c r="M71" s="151"/>
      <c r="N71" s="152"/>
      <c r="O71" s="151"/>
      <c r="P71" s="153">
        <f>I69-L69-P69</f>
        <v>-1</v>
      </c>
      <c r="Q71" s="130"/>
      <c r="R71" s="89"/>
      <c r="S71" s="122"/>
    </row>
    <row r="72" ht="14.5" customHeight="1">
      <c r="A72" s="118"/>
      <c r="B72" s="89"/>
      <c r="C72" s="89"/>
      <c r="D72" s="89"/>
      <c r="E72" s="89"/>
      <c r="F72" s="89"/>
      <c r="G72" s="89"/>
      <c r="H72" s="89"/>
      <c r="I72" s="89"/>
      <c r="J72" s="89"/>
      <c r="K72" s="89"/>
      <c r="L72" s="148"/>
      <c r="M72" s="148"/>
      <c r="N72" s="148"/>
      <c r="O72" s="148"/>
      <c r="P72" s="148"/>
      <c r="Q72" s="89"/>
      <c r="R72" s="89"/>
      <c r="S72" s="122"/>
    </row>
    <row r="73" ht="14.5" customHeight="1">
      <c r="A73" s="118"/>
      <c r="B73" s="89"/>
      <c r="C73" s="89"/>
      <c r="D73" s="89"/>
      <c r="E73" s="89"/>
      <c r="F73" s="89"/>
      <c r="G73" s="89"/>
      <c r="H73" s="89"/>
      <c r="I73" s="89"/>
      <c r="J73" s="89"/>
      <c r="K73" s="89"/>
      <c r="L73" s="89"/>
      <c r="M73" s="89"/>
      <c r="N73" s="89"/>
      <c r="O73" s="89"/>
      <c r="P73" s="89"/>
      <c r="Q73" s="89"/>
      <c r="R73" s="89"/>
      <c r="S73" s="122"/>
    </row>
    <row r="74" ht="15.5" customHeight="1">
      <c r="A74" s="118"/>
      <c r="B74" s="89"/>
      <c r="C74" s="89"/>
      <c r="D74" s="89"/>
      <c r="E74" s="89"/>
      <c r="F74" s="89"/>
      <c r="G74" t="s" s="120">
        <v>78</v>
      </c>
      <c r="H74" s="121"/>
      <c r="I74" s="121"/>
      <c r="J74" s="121"/>
      <c r="K74" s="121"/>
      <c r="L74" s="121"/>
      <c r="M74" s="121"/>
      <c r="N74" s="121"/>
      <c r="O74" s="121"/>
      <c r="P74" s="121"/>
      <c r="Q74" s="89"/>
      <c r="R74" s="89"/>
      <c r="S74" s="122"/>
    </row>
    <row r="75" ht="18.5" customHeight="1">
      <c r="A75" s="118"/>
      <c r="B75" s="89"/>
      <c r="C75" s="89"/>
      <c r="D75" s="89"/>
      <c r="E75" s="89"/>
      <c r="F75" s="123"/>
      <c r="G75" t="s" s="154">
        <v>61</v>
      </c>
      <c r="H75" s="155"/>
      <c r="I75" s="155"/>
      <c r="J75" t="s" s="156">
        <v>62</v>
      </c>
      <c r="K75" s="157"/>
      <c r="L75" s="157"/>
      <c r="M75" t="s" s="158">
        <v>63</v>
      </c>
      <c r="N75" s="159"/>
      <c r="O75" s="159"/>
      <c r="P75" s="159"/>
      <c r="Q75" s="130"/>
      <c r="R75" s="89"/>
      <c r="S75" s="122"/>
    </row>
    <row r="76" ht="13.55" customHeight="1">
      <c r="A76" s="118"/>
      <c r="B76" s="89"/>
      <c r="C76" s="89"/>
      <c r="D76" s="89"/>
      <c r="E76" s="89"/>
      <c r="F76" s="123"/>
      <c r="G76" t="s" s="131">
        <v>20</v>
      </c>
      <c r="H76" s="132"/>
      <c r="I76" s="133">
        <f>E5</f>
        <v>117912.108427939</v>
      </c>
      <c r="J76" t="s" s="134">
        <v>64</v>
      </c>
      <c r="K76" s="135"/>
      <c r="L76" s="136">
        <f>'Utilidad'!L39</f>
        <v>-1134.715527294560</v>
      </c>
      <c r="M76" t="s" s="137">
        <v>65</v>
      </c>
      <c r="N76" s="138"/>
      <c r="O76" s="138"/>
      <c r="P76" s="136">
        <f>K47</f>
        <v>143556.6492</v>
      </c>
      <c r="Q76" s="130"/>
      <c r="R76" s="89"/>
      <c r="S76" s="122"/>
    </row>
    <row r="77" ht="13.55" customHeight="1">
      <c r="A77" s="118"/>
      <c r="B77" s="89"/>
      <c r="C77" s="89"/>
      <c r="D77" s="89"/>
      <c r="E77" s="89"/>
      <c r="F77" s="123"/>
      <c r="G77" t="s" s="131">
        <v>33</v>
      </c>
      <c r="H77" s="132"/>
      <c r="I77" s="133">
        <f>R5</f>
        <v>32658.829664004</v>
      </c>
      <c r="J77" t="s" s="134">
        <v>55</v>
      </c>
      <c r="K77" s="135"/>
      <c r="L77" s="136">
        <f>'Utilidad'!L41</f>
        <v>0</v>
      </c>
      <c r="M77" s="138"/>
      <c r="N77" s="138"/>
      <c r="O77" s="138"/>
      <c r="P77" s="136"/>
      <c r="Q77" s="130"/>
      <c r="R77" s="89"/>
      <c r="S77" s="122"/>
    </row>
    <row r="78" ht="13.55" customHeight="1">
      <c r="A78" s="118"/>
      <c r="B78" s="89"/>
      <c r="C78" s="89"/>
      <c r="D78" s="89"/>
      <c r="E78" s="89"/>
      <c r="F78" s="123"/>
      <c r="G78" s="139"/>
      <c r="H78" s="132"/>
      <c r="I78" s="133"/>
      <c r="J78" t="s" s="134">
        <v>58</v>
      </c>
      <c r="K78" s="135"/>
      <c r="L78" s="136">
        <f>'Utilidad'!L43</f>
        <v>1248.888355013420</v>
      </c>
      <c r="M78" s="138"/>
      <c r="N78" s="138"/>
      <c r="O78" s="138"/>
      <c r="P78" s="136"/>
      <c r="Q78" s="130"/>
      <c r="R78" s="89"/>
      <c r="S78" s="122"/>
    </row>
    <row r="79" ht="13.55" customHeight="1">
      <c r="A79" s="118"/>
      <c r="B79" s="89"/>
      <c r="C79" s="89"/>
      <c r="D79" s="89"/>
      <c r="E79" s="89"/>
      <c r="F79" s="123"/>
      <c r="G79" s="139"/>
      <c r="H79" s="132"/>
      <c r="I79" s="133"/>
      <c r="J79" t="s" s="134">
        <v>66</v>
      </c>
      <c r="K79" s="135"/>
      <c r="L79" s="136">
        <v>0</v>
      </c>
      <c r="M79" s="138"/>
      <c r="N79" s="138"/>
      <c r="O79" s="138"/>
      <c r="P79" s="136"/>
      <c r="Q79" s="130"/>
      <c r="R79" s="89"/>
      <c r="S79" s="122"/>
    </row>
    <row r="80" ht="13.55" customHeight="1">
      <c r="A80" s="118"/>
      <c r="B80" s="89"/>
      <c r="C80" s="89"/>
      <c r="D80" s="89"/>
      <c r="E80" s="89"/>
      <c r="F80" s="123"/>
      <c r="G80" s="139"/>
      <c r="H80" s="132"/>
      <c r="I80" s="133"/>
      <c r="J80" t="s" s="134">
        <v>67</v>
      </c>
      <c r="K80" s="135"/>
      <c r="L80" s="136">
        <f>'Utilidad'!L49</f>
        <v>8659.620399966720</v>
      </c>
      <c r="M80" s="138"/>
      <c r="N80" s="138"/>
      <c r="O80" s="138"/>
      <c r="P80" s="136"/>
      <c r="Q80" s="130"/>
      <c r="R80" s="89"/>
      <c r="S80" s="122"/>
    </row>
    <row r="81" ht="13.55" customHeight="1">
      <c r="A81" s="118"/>
      <c r="B81" s="89"/>
      <c r="C81" s="89"/>
      <c r="D81" s="89"/>
      <c r="E81" s="89"/>
      <c r="F81" s="123"/>
      <c r="G81" s="139"/>
      <c r="H81" s="132"/>
      <c r="I81" s="133"/>
      <c r="J81" t="s" s="134">
        <v>68</v>
      </c>
      <c r="K81" s="135"/>
      <c r="L81" s="136">
        <f>'Utilidad'!L52</f>
        <v>-1632.640084479040</v>
      </c>
      <c r="M81" s="138"/>
      <c r="N81" s="138"/>
      <c r="O81" s="138"/>
      <c r="P81" s="136"/>
      <c r="Q81" s="130"/>
      <c r="R81" s="89"/>
      <c r="S81" s="122"/>
    </row>
    <row r="82" ht="13.55" customHeight="1">
      <c r="A82" s="118"/>
      <c r="B82" s="89"/>
      <c r="C82" s="89"/>
      <c r="D82" s="89"/>
      <c r="E82" s="89"/>
      <c r="F82" s="123"/>
      <c r="G82" s="139"/>
      <c r="H82" s="132"/>
      <c r="I82" s="133"/>
      <c r="J82" t="s" s="134">
        <v>69</v>
      </c>
      <c r="K82" s="135"/>
      <c r="L82" s="136">
        <f>'Utilidad'!L54</f>
        <v>-5063.980874935240</v>
      </c>
      <c r="M82" s="138"/>
      <c r="N82" s="138"/>
      <c r="O82" s="138"/>
      <c r="P82" s="136"/>
      <c r="Q82" s="130"/>
      <c r="R82" s="89"/>
      <c r="S82" s="122"/>
    </row>
    <row r="83" ht="13.55" customHeight="1">
      <c r="A83" s="118"/>
      <c r="B83" s="89"/>
      <c r="C83" s="89"/>
      <c r="D83" s="89"/>
      <c r="E83" s="89"/>
      <c r="F83" s="123"/>
      <c r="G83" s="139"/>
      <c r="H83" s="132"/>
      <c r="I83" s="133"/>
      <c r="J83" t="s" s="134">
        <v>57</v>
      </c>
      <c r="K83" s="135"/>
      <c r="L83" s="136">
        <f>'Utilidad'!L56</f>
        <v>-1214.365379292310</v>
      </c>
      <c r="M83" s="138"/>
      <c r="N83" s="138"/>
      <c r="O83" s="138"/>
      <c r="P83" s="136"/>
      <c r="Q83" s="130"/>
      <c r="R83" s="89"/>
      <c r="S83" s="122"/>
    </row>
    <row r="84" ht="13.55" customHeight="1">
      <c r="A84" s="118"/>
      <c r="B84" s="89"/>
      <c r="C84" s="89"/>
      <c r="D84" s="89"/>
      <c r="E84" s="89"/>
      <c r="F84" s="123"/>
      <c r="G84" s="139"/>
      <c r="H84" s="132"/>
      <c r="I84" s="133"/>
      <c r="J84" t="s" s="134">
        <v>70</v>
      </c>
      <c r="K84" s="135"/>
      <c r="L84" s="136">
        <v>0</v>
      </c>
      <c r="M84" s="138"/>
      <c r="N84" s="138"/>
      <c r="O84" s="138"/>
      <c r="P84" s="136"/>
      <c r="Q84" s="130"/>
      <c r="R84" s="89"/>
      <c r="S84" s="122"/>
    </row>
    <row r="85" ht="13.55" customHeight="1">
      <c r="A85" s="118"/>
      <c r="B85" s="89"/>
      <c r="C85" s="89"/>
      <c r="D85" s="89"/>
      <c r="E85" s="89"/>
      <c r="F85" s="123"/>
      <c r="G85" s="139"/>
      <c r="H85" s="132"/>
      <c r="I85" s="133"/>
      <c r="J85" t="s" s="134">
        <v>71</v>
      </c>
      <c r="K85" s="135"/>
      <c r="L85" s="136">
        <f>'Utilidad'!L63</f>
        <v>7975.617599946360</v>
      </c>
      <c r="M85" s="138"/>
      <c r="N85" s="138"/>
      <c r="O85" s="138"/>
      <c r="P85" s="136"/>
      <c r="Q85" s="130"/>
      <c r="R85" s="89"/>
      <c r="S85" s="122"/>
    </row>
    <row r="86" ht="13.55" customHeight="1">
      <c r="A86" s="118"/>
      <c r="B86" s="89"/>
      <c r="C86" s="89"/>
      <c r="D86" s="89"/>
      <c r="E86" s="89"/>
      <c r="F86" s="123"/>
      <c r="G86" s="139"/>
      <c r="H86" s="132"/>
      <c r="I86" s="133"/>
      <c r="J86" t="s" s="134">
        <v>72</v>
      </c>
      <c r="K86" s="135"/>
      <c r="L86" s="136">
        <f>'Utilidad'!L65</f>
        <v>-1824.1356000078</v>
      </c>
      <c r="M86" s="138"/>
      <c r="N86" s="138"/>
      <c r="O86" s="138"/>
      <c r="P86" s="136"/>
      <c r="Q86" s="130"/>
      <c r="R86" s="89"/>
      <c r="S86" s="122"/>
    </row>
    <row r="87" ht="26.55" customHeight="1">
      <c r="A87" s="118"/>
      <c r="B87" s="89"/>
      <c r="C87" s="89"/>
      <c r="D87" s="89"/>
      <c r="E87" s="89"/>
      <c r="F87" s="123"/>
      <c r="G87" s="140"/>
      <c r="H87" s="141"/>
      <c r="I87" s="133"/>
      <c r="J87" t="s" s="134">
        <v>73</v>
      </c>
      <c r="K87" s="135"/>
      <c r="L87" s="136">
        <f>'Utilidad'!L67</f>
        <v>0</v>
      </c>
      <c r="M87" s="138"/>
      <c r="N87" s="138"/>
      <c r="O87" s="138"/>
      <c r="P87" s="136"/>
      <c r="Q87" s="130"/>
      <c r="R87" s="89"/>
      <c r="S87" s="122"/>
    </row>
    <row r="88" ht="18.5" customHeight="1">
      <c r="A88" s="118"/>
      <c r="B88" s="89"/>
      <c r="C88" s="89"/>
      <c r="D88" s="89"/>
      <c r="E88" s="89"/>
      <c r="F88" s="123"/>
      <c r="G88" t="s" s="142">
        <v>74</v>
      </c>
      <c r="H88" s="143"/>
      <c r="I88" s="144">
        <f>SUM(I76:I87)</f>
        <v>150570.938091943</v>
      </c>
      <c r="J88" t="s" s="145">
        <v>75</v>
      </c>
      <c r="K88" s="146"/>
      <c r="L88" s="147">
        <f>SUM(L76:L87)</f>
        <v>7014.288888917550</v>
      </c>
      <c r="M88" t="s" s="145">
        <v>76</v>
      </c>
      <c r="N88" s="146"/>
      <c r="O88" s="146"/>
      <c r="P88" s="144">
        <f>SUM(P76:P87)</f>
        <v>143556.6492</v>
      </c>
      <c r="Q88" s="130"/>
      <c r="R88" s="89"/>
      <c r="S88" s="122"/>
    </row>
    <row r="89" ht="14.5" customHeight="1">
      <c r="A89" s="118"/>
      <c r="B89" s="89"/>
      <c r="C89" s="89"/>
      <c r="D89" s="89"/>
      <c r="E89" s="89"/>
      <c r="F89" s="89"/>
      <c r="G89" s="148"/>
      <c r="H89" s="148"/>
      <c r="I89" s="148"/>
      <c r="J89" s="148"/>
      <c r="K89" s="148"/>
      <c r="L89" s="149"/>
      <c r="M89" s="149"/>
      <c r="N89" s="149"/>
      <c r="O89" s="149"/>
      <c r="P89" s="149"/>
      <c r="Q89" s="89"/>
      <c r="R89" s="89"/>
      <c r="S89" s="122"/>
    </row>
    <row r="90" ht="18.5" customHeight="1">
      <c r="A90" s="160"/>
      <c r="B90" s="161"/>
      <c r="C90" s="161"/>
      <c r="D90" s="161"/>
      <c r="E90" s="161"/>
      <c r="F90" s="161"/>
      <c r="G90" s="161"/>
      <c r="H90" s="161"/>
      <c r="I90" s="161"/>
      <c r="J90" s="161"/>
      <c r="K90" s="162"/>
      <c r="L90" t="s" s="150">
        <v>77</v>
      </c>
      <c r="M90" s="151"/>
      <c r="N90" s="152"/>
      <c r="O90" s="151"/>
      <c r="P90" s="153">
        <f>I88-L88-P88</f>
        <v>3.02545e-06</v>
      </c>
      <c r="Q90" s="163"/>
      <c r="R90" s="161"/>
      <c r="S90" s="164"/>
    </row>
  </sheetData>
  <mergeCells count="69">
    <mergeCell ref="G87:H87"/>
    <mergeCell ref="J87:K87"/>
    <mergeCell ref="M87:O87"/>
    <mergeCell ref="G88:H88"/>
    <mergeCell ref="J88:K88"/>
    <mergeCell ref="M88:O88"/>
    <mergeCell ref="J85:K85"/>
    <mergeCell ref="M85:O85"/>
    <mergeCell ref="G86:H86"/>
    <mergeCell ref="J86:K86"/>
    <mergeCell ref="M86:O86"/>
    <mergeCell ref="J82:K82"/>
    <mergeCell ref="M82:O82"/>
    <mergeCell ref="J83:K83"/>
    <mergeCell ref="M83:O83"/>
    <mergeCell ref="J84:K84"/>
    <mergeCell ref="M84:O84"/>
    <mergeCell ref="J79:K79"/>
    <mergeCell ref="M79:O79"/>
    <mergeCell ref="J80:K80"/>
    <mergeCell ref="M80:O80"/>
    <mergeCell ref="J81:K81"/>
    <mergeCell ref="M81:O81"/>
    <mergeCell ref="G77:H77"/>
    <mergeCell ref="J77:K77"/>
    <mergeCell ref="M77:O77"/>
    <mergeCell ref="J78:K78"/>
    <mergeCell ref="M78:O78"/>
    <mergeCell ref="G75:I75"/>
    <mergeCell ref="J75:L75"/>
    <mergeCell ref="M75:P75"/>
    <mergeCell ref="G76:H76"/>
    <mergeCell ref="J76:K76"/>
    <mergeCell ref="M76:O76"/>
    <mergeCell ref="M63:O63"/>
    <mergeCell ref="M64:O64"/>
    <mergeCell ref="J65:K65"/>
    <mergeCell ref="J66:K66"/>
    <mergeCell ref="M65:O65"/>
    <mergeCell ref="M66:O66"/>
    <mergeCell ref="G68:H68"/>
    <mergeCell ref="J68:K68"/>
    <mergeCell ref="M68:O68"/>
    <mergeCell ref="G69:H69"/>
    <mergeCell ref="J69:K69"/>
    <mergeCell ref="M69:O69"/>
    <mergeCell ref="G58:H58"/>
    <mergeCell ref="J58:K58"/>
    <mergeCell ref="M58:O58"/>
    <mergeCell ref="G67:H67"/>
    <mergeCell ref="J67:K67"/>
    <mergeCell ref="M67:O67"/>
    <mergeCell ref="J59:K59"/>
    <mergeCell ref="J60:K60"/>
    <mergeCell ref="M59:O59"/>
    <mergeCell ref="M60:O60"/>
    <mergeCell ref="J61:K61"/>
    <mergeCell ref="J62:K62"/>
    <mergeCell ref="M61:O61"/>
    <mergeCell ref="M62:O62"/>
    <mergeCell ref="J63:K63"/>
    <mergeCell ref="J64:K64"/>
    <mergeCell ref="I32:I35"/>
    <mergeCell ref="G56:I56"/>
    <mergeCell ref="J56:L56"/>
    <mergeCell ref="M56:P56"/>
    <mergeCell ref="G57:H57"/>
    <mergeCell ref="J57:K57"/>
    <mergeCell ref="M57:O5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E20"/>
  <sheetViews>
    <sheetView workbookViewId="0" showGridLines="0" defaultGridColor="1"/>
  </sheetViews>
  <sheetFormatPr defaultColWidth="10.8333" defaultRowHeight="14.5" customHeight="1" outlineLevelRow="0" outlineLevelCol="0"/>
  <cols>
    <col min="1" max="4" width="10.8516" style="165" customWidth="1"/>
    <col min="5" max="5" width="17.8516" style="165" customWidth="1"/>
    <col min="6" max="16384" width="10.8516" style="165" customWidth="1"/>
  </cols>
  <sheetData>
    <row r="1" ht="13.55" customHeight="1">
      <c r="A1" s="13"/>
      <c r="B1" s="13"/>
      <c r="C1" s="13"/>
      <c r="D1" s="13"/>
      <c r="E1" s="13"/>
    </row>
    <row r="2" ht="13.55" customHeight="1">
      <c r="A2" s="13"/>
      <c r="B2" s="13"/>
      <c r="C2" s="13"/>
      <c r="D2" s="13"/>
      <c r="E2" s="13"/>
    </row>
    <row r="3" ht="13.55" customHeight="1">
      <c r="A3" s="13"/>
      <c r="B3" s="13"/>
      <c r="C3" s="13"/>
      <c r="D3" s="13"/>
      <c r="E3" s="13"/>
    </row>
    <row r="4" ht="13.55" customHeight="1">
      <c r="A4" s="13"/>
      <c r="B4" s="13"/>
      <c r="C4" s="13"/>
      <c r="D4" s="13"/>
      <c r="E4" s="13"/>
    </row>
    <row r="5" ht="13.55" customHeight="1">
      <c r="A5" s="13"/>
      <c r="B5" s="13"/>
      <c r="C5" s="166"/>
      <c r="D5" s="166"/>
      <c r="E5" s="166"/>
    </row>
    <row r="6" ht="17" customHeight="1">
      <c r="A6" s="13"/>
      <c r="B6" s="167"/>
      <c r="C6" t="s" s="168">
        <v>80</v>
      </c>
      <c r="D6" s="169"/>
      <c r="E6" s="170"/>
    </row>
    <row r="7" ht="17" customHeight="1">
      <c r="A7" s="13"/>
      <c r="B7" s="167"/>
      <c r="C7" t="s" s="171">
        <v>20</v>
      </c>
      <c r="D7" s="172"/>
      <c r="E7" s="173"/>
    </row>
    <row r="8" ht="17" customHeight="1">
      <c r="A8" s="13"/>
      <c r="B8" s="167"/>
      <c r="C8" t="s" s="174">
        <v>81</v>
      </c>
      <c r="D8" s="175"/>
      <c r="E8" s="176"/>
    </row>
    <row r="9" ht="17" customHeight="1">
      <c r="A9" s="13"/>
      <c r="B9" s="167"/>
      <c r="C9" t="s" s="174">
        <v>82</v>
      </c>
      <c r="D9" s="175"/>
      <c r="E9" s="176"/>
    </row>
    <row r="10" ht="17" customHeight="1">
      <c r="A10" s="13"/>
      <c r="B10" s="167"/>
      <c r="C10" t="s" s="177">
        <v>83</v>
      </c>
      <c r="D10" s="178"/>
      <c r="E10" s="179"/>
    </row>
    <row r="11" ht="17" customHeight="1">
      <c r="A11" s="13"/>
      <c r="B11" s="167"/>
      <c r="C11" t="s" s="168">
        <v>84</v>
      </c>
      <c r="D11" s="169"/>
      <c r="E11" s="170"/>
    </row>
    <row r="12" ht="15.5" customHeight="1">
      <c r="A12" s="13"/>
      <c r="B12" s="167"/>
      <c r="C12" t="s" s="180">
        <v>85</v>
      </c>
      <c r="D12" s="181"/>
      <c r="E12" s="182"/>
    </row>
    <row r="13" ht="17" customHeight="1">
      <c r="A13" s="13"/>
      <c r="B13" s="167"/>
      <c r="C13" t="s" s="174">
        <v>86</v>
      </c>
      <c r="D13" s="175"/>
      <c r="E13" s="176"/>
    </row>
    <row r="14" ht="17" customHeight="1">
      <c r="A14" s="13"/>
      <c r="B14" s="167"/>
      <c r="C14" t="s" s="174">
        <v>87</v>
      </c>
      <c r="D14" s="175"/>
      <c r="E14" s="176"/>
    </row>
    <row r="15" ht="17" customHeight="1">
      <c r="A15" s="13"/>
      <c r="B15" s="167"/>
      <c r="C15" t="s" s="177">
        <v>88</v>
      </c>
      <c r="D15" s="178"/>
      <c r="E15" s="179"/>
    </row>
    <row r="16" ht="17" customHeight="1">
      <c r="A16" s="13"/>
      <c r="B16" s="167"/>
      <c r="C16" t="s" s="168">
        <v>89</v>
      </c>
      <c r="D16" s="169"/>
      <c r="E16" s="170"/>
    </row>
    <row r="17" ht="15.5" customHeight="1">
      <c r="A17" s="13"/>
      <c r="B17" s="167"/>
      <c r="C17" t="s" s="180">
        <v>90</v>
      </c>
      <c r="D17" s="181"/>
      <c r="E17" s="182"/>
    </row>
    <row r="18" ht="17" customHeight="1">
      <c r="A18" s="13"/>
      <c r="B18" s="167"/>
      <c r="C18" t="s" s="174">
        <v>87</v>
      </c>
      <c r="D18" s="175"/>
      <c r="E18" s="176"/>
    </row>
    <row r="19" ht="17" customHeight="1">
      <c r="A19" s="13"/>
      <c r="B19" s="167"/>
      <c r="C19" t="s" s="174">
        <v>86</v>
      </c>
      <c r="D19" s="175"/>
      <c r="E19" s="176"/>
    </row>
    <row r="20" ht="17" customHeight="1">
      <c r="A20" s="13"/>
      <c r="B20" s="167"/>
      <c r="C20" t="s" s="183">
        <v>91</v>
      </c>
      <c r="D20" s="184"/>
      <c r="E20" s="185"/>
    </row>
  </sheetData>
  <mergeCells count="12">
    <mergeCell ref="C6:E6"/>
    <mergeCell ref="C9:E9"/>
    <mergeCell ref="C10:E10"/>
    <mergeCell ref="C18:E18"/>
    <mergeCell ref="C19:E19"/>
    <mergeCell ref="C20:E20"/>
    <mergeCell ref="C11:E11"/>
    <mergeCell ref="C12:E12"/>
    <mergeCell ref="C13:E13"/>
    <mergeCell ref="C14:E14"/>
    <mergeCell ref="C16:E16"/>
    <mergeCell ref="C17:E17"/>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U41"/>
  <sheetViews>
    <sheetView workbookViewId="0" showGridLines="0" defaultGridColor="1"/>
  </sheetViews>
  <sheetFormatPr defaultColWidth="6.5" defaultRowHeight="15" customHeight="1" outlineLevelRow="0" outlineLevelCol="0"/>
  <cols>
    <col min="1" max="2" width="2.5" style="186" customWidth="1"/>
    <col min="3" max="3" hidden="1" width="6.5" style="186" customWidth="1"/>
    <col min="4" max="5" width="12.5" style="186" customWidth="1"/>
    <col min="6" max="6" width="15.5" style="186" customWidth="1"/>
    <col min="7" max="8" width="12" style="186" customWidth="1"/>
    <col min="9" max="9" width="14.8516" style="186" customWidth="1"/>
    <col min="10" max="10" width="15.5" style="186" customWidth="1"/>
    <col min="11" max="13" width="13" style="186" customWidth="1"/>
    <col min="14" max="15" width="14.5" style="186" customWidth="1"/>
    <col min="16" max="17" width="13.5" style="186" customWidth="1"/>
    <col min="18" max="18" width="2.5" style="186" customWidth="1"/>
    <col min="19" max="19" width="13.5" style="186" customWidth="1"/>
    <col min="20" max="20" width="10.5" style="186" customWidth="1"/>
    <col min="21" max="21" width="12" style="186" customWidth="1"/>
    <col min="22" max="16384" width="6.5" style="186" customWidth="1"/>
  </cols>
  <sheetData>
    <row r="1" ht="13.5" customHeight="1">
      <c r="A1" s="187"/>
      <c r="B1" s="188"/>
      <c r="C1" s="189"/>
      <c r="D1" s="190"/>
      <c r="E1" s="190"/>
      <c r="F1" s="190"/>
      <c r="G1" s="190"/>
      <c r="H1" s="190"/>
      <c r="I1" s="190"/>
      <c r="J1" s="190"/>
      <c r="K1" s="190"/>
      <c r="L1" s="190"/>
      <c r="M1" s="190"/>
      <c r="N1" s="190"/>
      <c r="O1" s="190"/>
      <c r="P1" s="191"/>
      <c r="Q1" s="192"/>
      <c r="R1" s="193"/>
      <c r="S1" s="194"/>
      <c r="T1" s="195"/>
      <c r="U1" s="195"/>
    </row>
    <row r="2" ht="13" customHeight="1">
      <c r="A2" s="187"/>
      <c r="B2" s="196"/>
      <c r="C2" s="196"/>
      <c r="D2" s="197"/>
      <c r="E2" s="198"/>
      <c r="F2" t="s" s="199">
        <v>93</v>
      </c>
      <c r="G2" s="199"/>
      <c r="H2" s="199"/>
      <c r="I2" s="199"/>
      <c r="J2" s="199"/>
      <c r="K2" s="199"/>
      <c r="L2" s="199"/>
      <c r="M2" s="199"/>
      <c r="N2" s="199"/>
      <c r="O2" s="199"/>
      <c r="P2" s="199"/>
      <c r="Q2" s="200"/>
      <c r="R2" s="201"/>
      <c r="S2" s="194"/>
      <c r="T2" s="195"/>
      <c r="U2" s="195"/>
    </row>
    <row r="3" ht="13" customHeight="1">
      <c r="A3" s="187"/>
      <c r="B3" s="196"/>
      <c r="C3" s="196"/>
      <c r="D3" s="202"/>
      <c r="E3" s="203"/>
      <c r="F3" s="204"/>
      <c r="G3" s="204"/>
      <c r="H3" s="204"/>
      <c r="I3" s="204"/>
      <c r="J3" s="204"/>
      <c r="K3" s="204"/>
      <c r="L3" s="204"/>
      <c r="M3" s="204"/>
      <c r="N3" s="204"/>
      <c r="O3" s="204"/>
      <c r="P3" s="204"/>
      <c r="Q3" s="205"/>
      <c r="R3" s="201"/>
      <c r="S3" s="194"/>
      <c r="T3" s="195"/>
      <c r="U3" s="195"/>
    </row>
    <row r="4" ht="15.5" customHeight="1">
      <c r="A4" s="187"/>
      <c r="B4" s="196"/>
      <c r="C4" s="196"/>
      <c r="D4" s="202"/>
      <c r="E4" s="203"/>
      <c r="F4" t="s" s="204">
        <v>94</v>
      </c>
      <c r="G4" s="204"/>
      <c r="H4" s="204"/>
      <c r="I4" s="204"/>
      <c r="J4" s="204"/>
      <c r="K4" s="204"/>
      <c r="L4" s="204"/>
      <c r="M4" t="s" s="204">
        <v>95</v>
      </c>
      <c r="N4" s="204"/>
      <c r="O4" s="204"/>
      <c r="P4" s="206">
        <f>TODAY()</f>
        <v>45535</v>
      </c>
      <c r="Q4" s="207"/>
      <c r="R4" s="201"/>
      <c r="S4" s="194"/>
      <c r="T4" s="195"/>
      <c r="U4" s="195"/>
    </row>
    <row r="5" ht="16" customHeight="1">
      <c r="A5" s="187"/>
      <c r="B5" s="196"/>
      <c r="C5" s="196"/>
      <c r="D5" s="208"/>
      <c r="E5" s="209"/>
      <c r="F5" s="210"/>
      <c r="G5" s="210"/>
      <c r="H5" s="210"/>
      <c r="I5" s="210"/>
      <c r="J5" s="210"/>
      <c r="K5" s="210"/>
      <c r="L5" s="210"/>
      <c r="M5" s="210"/>
      <c r="N5" s="210"/>
      <c r="O5" s="210"/>
      <c r="P5" s="211"/>
      <c r="Q5" s="212"/>
      <c r="R5" s="201"/>
      <c r="S5" s="194"/>
      <c r="T5" s="195"/>
      <c r="U5" s="195"/>
    </row>
    <row r="6" ht="13.5" customHeight="1">
      <c r="A6" s="187"/>
      <c r="B6" s="213"/>
      <c r="C6" s="214"/>
      <c r="D6" s="215"/>
      <c r="E6" s="215"/>
      <c r="F6" s="215"/>
      <c r="G6" s="215"/>
      <c r="H6" s="215"/>
      <c r="I6" s="215"/>
      <c r="J6" s="215"/>
      <c r="K6" s="215"/>
      <c r="L6" s="215"/>
      <c r="M6" s="216"/>
      <c r="N6" s="190"/>
      <c r="O6" s="190"/>
      <c r="P6" s="191"/>
      <c r="Q6" s="192"/>
      <c r="R6" s="187"/>
      <c r="S6" s="194"/>
      <c r="T6" s="195"/>
      <c r="U6" s="195"/>
    </row>
    <row r="7" ht="15" customHeight="1">
      <c r="A7" s="187"/>
      <c r="B7" s="217"/>
      <c r="C7" s="218"/>
      <c r="D7" s="219"/>
      <c r="E7" s="220"/>
      <c r="F7" s="220"/>
      <c r="G7" s="221"/>
      <c r="H7" s="222"/>
      <c r="I7" s="223"/>
      <c r="J7" s="224"/>
      <c r="K7" s="225"/>
      <c r="L7" s="226"/>
      <c r="M7" s="226"/>
      <c r="N7" t="s" s="227">
        <v>96</v>
      </c>
      <c r="O7" s="228"/>
      <c r="P7" t="s" s="229">
        <v>97</v>
      </c>
      <c r="Q7" t="s" s="230">
        <v>98</v>
      </c>
      <c r="R7" s="201"/>
      <c r="S7" s="194"/>
      <c r="T7" s="195"/>
      <c r="U7" s="195"/>
    </row>
    <row r="8" ht="13.5" customHeight="1">
      <c r="A8" s="187"/>
      <c r="B8" s="201"/>
      <c r="C8" s="231"/>
      <c r="D8" s="232"/>
      <c r="E8" s="233"/>
      <c r="F8" s="233"/>
      <c r="G8" t="s" s="234">
        <v>96</v>
      </c>
      <c r="H8" s="222"/>
      <c r="I8" t="s" s="235">
        <v>97</v>
      </c>
      <c r="J8" t="s" s="236">
        <v>98</v>
      </c>
      <c r="K8" s="237"/>
      <c r="L8" s="238"/>
      <c r="M8" s="238"/>
      <c r="N8" t="s" s="239">
        <v>7</v>
      </c>
      <c r="O8" t="s" s="239">
        <v>99</v>
      </c>
      <c r="P8" t="s" s="239">
        <v>100</v>
      </c>
      <c r="Q8" t="s" s="240">
        <v>101</v>
      </c>
      <c r="R8" s="201"/>
      <c r="S8" s="194"/>
      <c r="T8" s="195"/>
      <c r="U8" s="195"/>
    </row>
    <row r="9" ht="13.5" customHeight="1">
      <c r="A9" s="187"/>
      <c r="B9" s="201"/>
      <c r="C9" s="231"/>
      <c r="D9" t="s" s="241">
        <v>102</v>
      </c>
      <c r="E9" s="242"/>
      <c r="F9" s="242"/>
      <c r="G9" s="242"/>
      <c r="H9" s="242"/>
      <c r="I9" s="242"/>
      <c r="J9" s="243"/>
      <c r="K9" t="s" s="244">
        <v>103</v>
      </c>
      <c r="L9" s="245"/>
      <c r="M9" s="245"/>
      <c r="N9" s="245"/>
      <c r="O9" s="245"/>
      <c r="P9" s="245"/>
      <c r="Q9" s="246"/>
      <c r="R9" s="201"/>
      <c r="S9" s="194"/>
      <c r="T9" s="195"/>
      <c r="U9" s="195"/>
    </row>
    <row r="10" ht="13" customHeight="1">
      <c r="A10" s="187"/>
      <c r="B10" s="201"/>
      <c r="C10" t="s" s="247">
        <v>104</v>
      </c>
      <c r="D10" t="s" s="248">
        <v>105</v>
      </c>
      <c r="E10" s="249"/>
      <c r="F10" s="250"/>
      <c r="G10" t="s" s="251">
        <v>7</v>
      </c>
      <c r="H10" t="s" s="252">
        <v>106</v>
      </c>
      <c r="I10" t="s" s="252">
        <v>100</v>
      </c>
      <c r="J10" t="s" s="253">
        <v>101</v>
      </c>
      <c r="K10" t="s" s="254">
        <v>105</v>
      </c>
      <c r="L10" s="255"/>
      <c r="M10" s="256"/>
      <c r="N10" t="s" s="257">
        <v>7</v>
      </c>
      <c r="O10" t="s" s="258">
        <v>106</v>
      </c>
      <c r="P10" t="s" s="258">
        <v>100</v>
      </c>
      <c r="Q10" t="s" s="259">
        <v>101</v>
      </c>
      <c r="R10" s="201"/>
      <c r="S10" s="194"/>
      <c r="T10" s="260"/>
      <c r="U10" s="195"/>
    </row>
    <row r="11" ht="13" customHeight="1">
      <c r="A11" s="187"/>
      <c r="B11" s="201"/>
      <c r="C11" s="231"/>
      <c r="D11" t="s" s="261">
        <v>107</v>
      </c>
      <c r="E11" s="262"/>
      <c r="F11" s="263"/>
      <c r="G11" s="264">
        <f>'Flujos'!G4</f>
        <v>179498</v>
      </c>
      <c r="H11" s="264">
        <f>G11/0.915</f>
        <v>196172.677595628</v>
      </c>
      <c r="I11" s="265">
        <f>'Flujos'!H4</f>
        <v>0.656899288170</v>
      </c>
      <c r="J11" s="266">
        <f>I11*G11</f>
        <v>117912.108427939</v>
      </c>
      <c r="K11" t="s" s="267">
        <v>28</v>
      </c>
      <c r="L11" s="268"/>
      <c r="M11" s="269"/>
      <c r="N11" s="264">
        <f>'Flujos'!G12</f>
        <v>179324</v>
      </c>
      <c r="O11" s="264">
        <f>N11/0.915</f>
        <v>195982.513661202</v>
      </c>
      <c r="P11" s="270">
        <f>'Flujos'!H12</f>
        <v>0.6569</v>
      </c>
      <c r="Q11" s="266">
        <f>P11*N11</f>
        <v>117797.9356</v>
      </c>
      <c r="R11" s="201"/>
      <c r="S11" s="194"/>
      <c r="T11" s="260"/>
      <c r="U11" s="195"/>
    </row>
    <row r="12" ht="13.5" customHeight="1">
      <c r="A12" s="187"/>
      <c r="B12" s="201"/>
      <c r="C12" s="231"/>
      <c r="D12" t="s" s="261">
        <v>81</v>
      </c>
      <c r="E12" s="262"/>
      <c r="F12" s="263"/>
      <c r="G12" s="264">
        <f>'Flujos'!G6</f>
        <v>181230</v>
      </c>
      <c r="H12" s="264">
        <f>G12/0.915</f>
        <v>198065.573770492</v>
      </c>
      <c r="I12" s="265">
        <f>'Flujos'!H6</f>
        <v>0.656882546790</v>
      </c>
      <c r="J12" s="266">
        <f>I12*G12</f>
        <v>119046.823954752</v>
      </c>
      <c r="K12" t="s" s="271">
        <v>108</v>
      </c>
      <c r="L12" s="272"/>
      <c r="M12" s="273"/>
      <c r="N12" s="274"/>
      <c r="O12" s="274">
        <f>N12/0.915</f>
        <v>0</v>
      </c>
      <c r="P12" s="275"/>
      <c r="Q12" s="276">
        <f>P12*N12</f>
        <v>0</v>
      </c>
      <c r="R12" s="201"/>
      <c r="S12" s="194"/>
      <c r="T12" s="195"/>
      <c r="U12" s="195"/>
    </row>
    <row r="13" ht="15" customHeight="1">
      <c r="A13" s="187"/>
      <c r="B13" s="201"/>
      <c r="C13" s="231"/>
      <c r="D13" s="277"/>
      <c r="E13" s="249"/>
      <c r="F13" s="250"/>
      <c r="G13" s="278"/>
      <c r="H13" s="279"/>
      <c r="I13" s="279"/>
      <c r="J13" s="280"/>
      <c r="K13" t="s" s="281">
        <v>109</v>
      </c>
      <c r="L13" s="282"/>
      <c r="M13" s="283"/>
      <c r="N13" s="284">
        <f>SUM(N9:N12)</f>
        <v>179324</v>
      </c>
      <c r="O13" s="284">
        <f>SUM(O9:O12)</f>
        <v>195982.513661202</v>
      </c>
      <c r="P13" s="284"/>
      <c r="Q13" s="285">
        <f>SUM(Q9:Q12)</f>
        <v>117797.9356</v>
      </c>
      <c r="R13" s="201"/>
      <c r="S13" s="194"/>
      <c r="T13" s="195"/>
      <c r="U13" s="195"/>
    </row>
    <row r="14" ht="14.5" customHeight="1">
      <c r="A14" s="187"/>
      <c r="B14" s="201"/>
      <c r="C14" s="231"/>
      <c r="D14" t="s" s="248">
        <v>110</v>
      </c>
      <c r="E14" s="249"/>
      <c r="F14" s="250"/>
      <c r="G14" t="s" s="251">
        <v>7</v>
      </c>
      <c r="H14" t="s" s="252">
        <v>106</v>
      </c>
      <c r="I14" t="s" s="252">
        <v>100</v>
      </c>
      <c r="J14" t="s" s="253">
        <v>101</v>
      </c>
      <c r="K14" s="286"/>
      <c r="L14" s="287"/>
      <c r="M14" s="287"/>
      <c r="N14" s="287"/>
      <c r="O14" s="287"/>
      <c r="P14" s="287"/>
      <c r="Q14" s="288"/>
      <c r="R14" s="201"/>
      <c r="S14" s="194"/>
      <c r="T14" s="195"/>
      <c r="U14" s="195"/>
    </row>
    <row r="15" ht="13" customHeight="1">
      <c r="A15" s="187"/>
      <c r="B15" s="201"/>
      <c r="C15" s="231"/>
      <c r="D15" t="s" s="261">
        <v>111</v>
      </c>
      <c r="E15" s="262"/>
      <c r="F15" s="263"/>
      <c r="G15" s="264">
        <f>'Flujos'!G17</f>
        <v>49366</v>
      </c>
      <c r="H15" s="264">
        <f>G15/0.915</f>
        <v>53951.912568306</v>
      </c>
      <c r="I15" s="265">
        <f>'Flujos'!H17</f>
        <v>0.661565240530</v>
      </c>
      <c r="J15" s="264">
        <f>I15*G15</f>
        <v>32658.829664004</v>
      </c>
      <c r="K15" t="s" s="289">
        <v>110</v>
      </c>
      <c r="L15" s="249"/>
      <c r="M15" s="250"/>
      <c r="N15" t="s" s="251">
        <v>7</v>
      </c>
      <c r="O15" t="s" s="252">
        <v>106</v>
      </c>
      <c r="P15" t="s" s="252">
        <v>100</v>
      </c>
      <c r="Q15" t="s" s="290">
        <v>101</v>
      </c>
      <c r="R15" s="291"/>
      <c r="S15" s="194"/>
      <c r="T15" s="195"/>
      <c r="U15" s="195"/>
    </row>
    <row r="16" ht="13" customHeight="1">
      <c r="A16" s="187"/>
      <c r="B16" s="201"/>
      <c r="C16" s="231"/>
      <c r="D16" t="s" s="261">
        <v>112</v>
      </c>
      <c r="E16" s="262"/>
      <c r="F16" s="263"/>
      <c r="G16" s="264">
        <f>'Flujos'!G19</f>
        <v>51849</v>
      </c>
      <c r="H16" s="264">
        <f>G16/0.915</f>
        <v>56665.5737704918</v>
      </c>
      <c r="I16" s="265">
        <f>'Flujos'!H19</f>
        <v>0.661371863460</v>
      </c>
      <c r="J16" s="266">
        <f>I16*G16</f>
        <v>34291.4697485375</v>
      </c>
      <c r="K16" t="s" s="267">
        <v>113</v>
      </c>
      <c r="L16" s="268"/>
      <c r="M16" s="269"/>
      <c r="N16" s="292">
        <f>'Flujos'!G27</f>
        <v>61395</v>
      </c>
      <c r="O16" s="264">
        <f>N16/0.915</f>
        <v>67098.360655737706</v>
      </c>
      <c r="P16" s="293">
        <f>'Flujos'!H27</f>
        <v>0.6608000000000001</v>
      </c>
      <c r="Q16" s="266">
        <f>P16*N16</f>
        <v>40569.816</v>
      </c>
      <c r="R16" s="201"/>
      <c r="S16" s="194"/>
      <c r="T16" s="195"/>
      <c r="U16" s="195"/>
    </row>
    <row r="17" ht="15" customHeight="1">
      <c r="A17" s="187"/>
      <c r="B17" s="201"/>
      <c r="C17" s="231"/>
      <c r="D17" s="294"/>
      <c r="E17" s="295"/>
      <c r="F17" s="296"/>
      <c r="G17" s="274"/>
      <c r="H17" s="274"/>
      <c r="I17" s="297"/>
      <c r="J17" s="276"/>
      <c r="K17" t="s" s="271">
        <v>114</v>
      </c>
      <c r="L17" s="272"/>
      <c r="M17" s="273"/>
      <c r="N17" s="298"/>
      <c r="O17" s="274">
        <f>N17/0.915</f>
        <v>0</v>
      </c>
      <c r="P17" s="299"/>
      <c r="Q17" s="276">
        <f>P17*N17</f>
        <v>0</v>
      </c>
      <c r="R17" s="201"/>
      <c r="S17" s="194"/>
      <c r="T17" s="195"/>
      <c r="U17" s="195"/>
    </row>
    <row r="18" ht="13.5" customHeight="1">
      <c r="A18" s="187"/>
      <c r="B18" s="201"/>
      <c r="C18" t="s" s="247">
        <v>115</v>
      </c>
      <c r="D18" t="s" s="300">
        <v>109</v>
      </c>
      <c r="E18" s="301"/>
      <c r="F18" s="301"/>
      <c r="G18" s="284">
        <f>SUM(G10:G17)</f>
        <v>461943</v>
      </c>
      <c r="H18" s="284">
        <f>SUM(H10:H17)</f>
        <v>504855.737704918</v>
      </c>
      <c r="I18" s="284"/>
      <c r="J18" s="285">
        <f>SUM(J10:J17)</f>
        <v>303909.231795233</v>
      </c>
      <c r="K18" t="s" s="281">
        <v>109</v>
      </c>
      <c r="L18" s="282"/>
      <c r="M18" s="283"/>
      <c r="N18" s="284">
        <f>SUM(N14:N17)</f>
        <v>61395</v>
      </c>
      <c r="O18" s="284">
        <f>SUM(O14:O17)</f>
        <v>67098.360655737706</v>
      </c>
      <c r="P18" s="284"/>
      <c r="Q18" s="285">
        <f>SUM(Q14:Q17)</f>
        <v>40569.816</v>
      </c>
      <c r="R18" s="201"/>
      <c r="S18" s="302"/>
      <c r="T18" s="303"/>
      <c r="U18" s="195"/>
    </row>
    <row r="19" ht="14.5" customHeight="1">
      <c r="A19" s="187"/>
      <c r="B19" s="201"/>
      <c r="C19" s="231"/>
      <c r="D19" t="s" s="244">
        <v>116</v>
      </c>
      <c r="E19" s="245"/>
      <c r="F19" s="245"/>
      <c r="G19" s="245"/>
      <c r="H19" s="245"/>
      <c r="I19" s="245"/>
      <c r="J19" s="246"/>
      <c r="K19" s="304"/>
      <c r="L19" s="305"/>
      <c r="M19" s="306"/>
      <c r="N19" s="242"/>
      <c r="O19" s="242"/>
      <c r="P19" s="242"/>
      <c r="Q19" s="243"/>
      <c r="R19" s="201"/>
      <c r="S19" s="307"/>
      <c r="T19" s="195"/>
      <c r="U19" s="195"/>
    </row>
    <row r="20" ht="13" customHeight="1">
      <c r="A20" s="187"/>
      <c r="B20" s="201"/>
      <c r="C20" s="231"/>
      <c r="D20" t="s" s="254">
        <v>117</v>
      </c>
      <c r="E20" s="255"/>
      <c r="F20" s="256"/>
      <c r="G20" t="s" s="257">
        <v>7</v>
      </c>
      <c r="H20" t="s" s="258">
        <v>106</v>
      </c>
      <c r="I20" t="s" s="258">
        <v>100</v>
      </c>
      <c r="J20" t="s" s="259">
        <v>101</v>
      </c>
      <c r="K20" t="s" s="254">
        <v>105</v>
      </c>
      <c r="L20" s="255"/>
      <c r="M20" s="256"/>
      <c r="N20" t="s" s="251">
        <v>7</v>
      </c>
      <c r="O20" t="s" s="252">
        <v>106</v>
      </c>
      <c r="P20" t="s" s="252">
        <v>100</v>
      </c>
      <c r="Q20" t="s" s="253">
        <v>101</v>
      </c>
      <c r="R20" s="201"/>
      <c r="S20" s="308"/>
      <c r="T20" s="195"/>
      <c r="U20" s="195"/>
    </row>
    <row r="21" ht="13" customHeight="1">
      <c r="A21" s="187"/>
      <c r="B21" s="201"/>
      <c r="C21" s="231"/>
      <c r="D21" t="s" s="261">
        <v>118</v>
      </c>
      <c r="E21" s="262"/>
      <c r="F21" s="263"/>
      <c r="G21" s="264"/>
      <c r="H21" s="264"/>
      <c r="I21" s="309"/>
      <c r="J21" s="266">
        <f>I21*G21</f>
        <v>0</v>
      </c>
      <c r="K21" t="s" s="267">
        <v>119</v>
      </c>
      <c r="L21" s="268"/>
      <c r="M21" s="269"/>
      <c r="N21" s="264"/>
      <c r="O21" s="264">
        <f>N21/0.915</f>
        <v>0</v>
      </c>
      <c r="P21" s="265"/>
      <c r="Q21" s="266"/>
      <c r="R21" s="201"/>
      <c r="S21" s="308"/>
      <c r="T21" s="195"/>
      <c r="U21" s="195"/>
    </row>
    <row r="22" ht="13.5" customHeight="1">
      <c r="A22" s="187"/>
      <c r="B22" s="201"/>
      <c r="C22" s="231"/>
      <c r="D22" t="s" s="310">
        <v>120</v>
      </c>
      <c r="E22" s="295"/>
      <c r="F22" s="296"/>
      <c r="G22" s="274"/>
      <c r="H22" s="274"/>
      <c r="I22" s="297"/>
      <c r="J22" s="276">
        <f>I22*G22</f>
        <v>0</v>
      </c>
      <c r="K22" t="s" s="267">
        <v>118</v>
      </c>
      <c r="L22" s="268"/>
      <c r="M22" s="269"/>
      <c r="N22" s="264"/>
      <c r="O22" s="264">
        <f>N22/0.915</f>
        <v>0</v>
      </c>
      <c r="P22" s="265"/>
      <c r="Q22" s="266"/>
      <c r="R22" s="201"/>
      <c r="S22" s="308"/>
      <c r="T22" s="195"/>
      <c r="U22" s="195"/>
    </row>
    <row r="23" ht="15" customHeight="1">
      <c r="A23" s="187"/>
      <c r="B23" s="201"/>
      <c r="C23" s="231"/>
      <c r="D23" t="s" s="311">
        <v>121</v>
      </c>
      <c r="E23" s="312"/>
      <c r="F23" s="313"/>
      <c r="G23" s="314">
        <f>SUM(G19:G22)</f>
        <v>0</v>
      </c>
      <c r="H23" s="314">
        <f>SUM(H19:H22)</f>
        <v>0</v>
      </c>
      <c r="I23" s="315"/>
      <c r="J23" s="316">
        <f>SUM(J21:J22)</f>
        <v>0</v>
      </c>
      <c r="K23" t="s" s="271">
        <v>91</v>
      </c>
      <c r="L23" s="272"/>
      <c r="M23" s="273"/>
      <c r="N23" s="274"/>
      <c r="O23" s="274"/>
      <c r="P23" s="317"/>
      <c r="Q23" s="276"/>
      <c r="R23" s="201"/>
      <c r="S23" s="307"/>
      <c r="T23" s="195"/>
      <c r="U23" s="195"/>
    </row>
    <row r="24" ht="13.5" customHeight="1">
      <c r="A24" s="187"/>
      <c r="B24" s="201"/>
      <c r="C24" s="231"/>
      <c r="D24" t="s" s="310">
        <v>91</v>
      </c>
      <c r="E24" s="295"/>
      <c r="F24" s="296"/>
      <c r="G24" s="274"/>
      <c r="H24" s="274"/>
      <c r="I24" s="297"/>
      <c r="J24" s="276">
        <f>I24*G24</f>
        <v>0</v>
      </c>
      <c r="K24" s="318"/>
      <c r="L24" s="319"/>
      <c r="M24" s="319"/>
      <c r="N24" s="319"/>
      <c r="O24" s="319"/>
      <c r="P24" s="319"/>
      <c r="Q24" s="320"/>
      <c r="R24" s="201"/>
      <c r="S24" s="194"/>
      <c r="T24" s="195"/>
      <c r="U24" s="195"/>
    </row>
    <row r="25" ht="13" customHeight="1">
      <c r="A25" s="187"/>
      <c r="B25" s="194"/>
      <c r="C25" s="321"/>
      <c r="D25" s="322"/>
      <c r="E25" s="322"/>
      <c r="F25" s="322"/>
      <c r="G25" s="322"/>
      <c r="H25" s="322"/>
      <c r="I25" s="323"/>
      <c r="J25" s="323"/>
      <c r="K25" s="322"/>
      <c r="L25" s="322"/>
      <c r="M25" s="322"/>
      <c r="N25" s="322"/>
      <c r="O25" s="322"/>
      <c r="P25" s="322"/>
      <c r="Q25" s="322"/>
      <c r="R25" s="187"/>
      <c r="S25" s="308"/>
      <c r="T25" s="195"/>
      <c r="U25" s="195"/>
    </row>
    <row r="26" ht="14.5" customHeight="1">
      <c r="A26" s="187"/>
      <c r="B26" s="194"/>
      <c r="C26" s="321"/>
      <c r="D26" s="195"/>
      <c r="E26" s="195"/>
      <c r="F26" s="195"/>
      <c r="G26" s="195"/>
      <c r="H26" s="195"/>
      <c r="I26" s="324"/>
      <c r="J26" s="324"/>
      <c r="K26" s="195"/>
      <c r="L26" s="195"/>
      <c r="M26" s="195"/>
      <c r="N26" s="324"/>
      <c r="O26" s="324"/>
      <c r="P26" s="195"/>
      <c r="Q26" s="195"/>
      <c r="R26" s="325"/>
      <c r="S26" s="194"/>
      <c r="T26" s="195"/>
      <c r="U26" s="195"/>
    </row>
    <row r="27" ht="13" customHeight="1">
      <c r="A27" s="187"/>
      <c r="B27" s="194"/>
      <c r="C27" s="321"/>
      <c r="D27" s="195"/>
      <c r="E27" s="195"/>
      <c r="F27" s="195"/>
      <c r="G27" s="195"/>
      <c r="H27" s="195"/>
      <c r="I27" t="s" s="326">
        <v>122</v>
      </c>
      <c r="J27" t="s" s="326">
        <v>123</v>
      </c>
      <c r="K27" s="195"/>
      <c r="L27" s="195"/>
      <c r="M27" s="195"/>
      <c r="N27" s="324"/>
      <c r="O27" s="324"/>
      <c r="P27" s="327"/>
      <c r="Q27" s="327"/>
      <c r="R27" s="187"/>
      <c r="S27" s="194"/>
      <c r="T27" s="195"/>
      <c r="U27" s="328"/>
    </row>
    <row r="28" ht="13" customHeight="1">
      <c r="A28" s="187"/>
      <c r="B28" s="194"/>
      <c r="C28" s="321"/>
      <c r="D28" s="195"/>
      <c r="E28" s="195"/>
      <c r="F28" s="195"/>
      <c r="G28" s="195"/>
      <c r="H28" s="195"/>
      <c r="I28" s="324">
        <v>-19721</v>
      </c>
      <c r="J28" s="324">
        <v>-8270.001740081379</v>
      </c>
      <c r="K28" s="195"/>
      <c r="L28" s="195"/>
      <c r="M28" s="195"/>
      <c r="N28" s="324"/>
      <c r="O28" s="324"/>
      <c r="P28" s="327"/>
      <c r="Q28" s="327"/>
      <c r="R28" s="325"/>
      <c r="S28" s="194"/>
      <c r="T28" s="195"/>
      <c r="U28" s="328"/>
    </row>
    <row r="29" ht="13" customHeight="1">
      <c r="A29" s="187"/>
      <c r="B29" s="194"/>
      <c r="C29" s="321"/>
      <c r="D29" s="195"/>
      <c r="E29" s="195"/>
      <c r="F29" s="195"/>
      <c r="G29" s="195"/>
      <c r="H29" s="195"/>
      <c r="I29" s="324">
        <v>-2071</v>
      </c>
      <c r="J29" s="324">
        <v>-852.745784455210</v>
      </c>
      <c r="K29" s="195"/>
      <c r="L29" s="195"/>
      <c r="M29" s="195"/>
      <c r="N29" s="324"/>
      <c r="O29" s="324"/>
      <c r="P29" t="s" s="329">
        <v>124</v>
      </c>
      <c r="Q29" s="327"/>
      <c r="R29" s="187"/>
      <c r="S29" s="194"/>
      <c r="T29" s="195"/>
      <c r="U29" s="328"/>
    </row>
    <row r="30" ht="13" customHeight="1">
      <c r="A30" s="187"/>
      <c r="B30" s="194"/>
      <c r="C30" s="321"/>
      <c r="D30" s="195"/>
      <c r="E30" s="195"/>
      <c r="F30" s="195"/>
      <c r="G30" s="195"/>
      <c r="H30" s="195"/>
      <c r="I30" s="324">
        <v>51</v>
      </c>
      <c r="J30" s="324">
        <v>34.489375057530</v>
      </c>
      <c r="K30" s="195"/>
      <c r="L30" s="195"/>
      <c r="M30" s="195"/>
      <c r="N30" s="324"/>
      <c r="O30" s="324"/>
      <c r="P30" s="330"/>
      <c r="Q30" s="327"/>
      <c r="R30" s="187"/>
      <c r="S30" s="194"/>
      <c r="T30" s="195"/>
      <c r="U30" s="328"/>
    </row>
    <row r="31" ht="13" customHeight="1">
      <c r="A31" s="187"/>
      <c r="B31" s="194"/>
      <c r="C31" s="321"/>
      <c r="D31" s="195"/>
      <c r="E31" s="195"/>
      <c r="F31" s="195"/>
      <c r="G31" s="195"/>
      <c r="H31" s="195"/>
      <c r="I31" s="324">
        <v>0</v>
      </c>
      <c r="J31" s="324">
        <v>0</v>
      </c>
      <c r="K31" s="195"/>
      <c r="L31" s="195"/>
      <c r="M31" s="195"/>
      <c r="N31" s="324"/>
      <c r="O31" s="324"/>
      <c r="P31" s="330"/>
      <c r="Q31" s="327"/>
      <c r="R31" s="325"/>
      <c r="S31" s="194"/>
      <c r="T31" s="195"/>
      <c r="U31" s="328"/>
    </row>
    <row r="32" ht="13" customHeight="1">
      <c r="A32" s="187"/>
      <c r="B32" s="194"/>
      <c r="C32" s="321"/>
      <c r="D32" s="195"/>
      <c r="E32" s="195"/>
      <c r="F32" s="195"/>
      <c r="G32" s="195"/>
      <c r="H32" s="195"/>
      <c r="I32" s="324">
        <v>-21285</v>
      </c>
      <c r="J32" s="324">
        <v>-13448.820825</v>
      </c>
      <c r="K32" s="195"/>
      <c r="L32" s="195"/>
      <c r="M32" s="195"/>
      <c r="N32" s="324"/>
      <c r="O32" s="324"/>
      <c r="P32" s="327"/>
      <c r="Q32" s="327"/>
      <c r="R32" s="187"/>
      <c r="S32" s="194"/>
      <c r="T32" s="195"/>
      <c r="U32" s="328"/>
    </row>
    <row r="33" ht="13" customHeight="1">
      <c r="A33" s="187"/>
      <c r="B33" s="194"/>
      <c r="C33" s="321"/>
      <c r="D33" s="195"/>
      <c r="E33" s="195"/>
      <c r="F33" s="195"/>
      <c r="G33" s="195"/>
      <c r="H33" s="195"/>
      <c r="I33" s="324">
        <v>-63213</v>
      </c>
      <c r="J33" s="324">
        <v>-38546.2838379976</v>
      </c>
      <c r="K33" s="195"/>
      <c r="L33" s="195"/>
      <c r="M33" s="195"/>
      <c r="N33" s="324"/>
      <c r="O33" s="324"/>
      <c r="P33" s="331"/>
      <c r="Q33" s="332"/>
      <c r="R33" s="325"/>
      <c r="S33" s="194"/>
      <c r="T33" s="195"/>
      <c r="U33" s="328"/>
    </row>
    <row r="34" ht="13" customHeight="1">
      <c r="A34" s="187"/>
      <c r="B34" s="194"/>
      <c r="C34" s="321"/>
      <c r="D34" s="195"/>
      <c r="E34" s="195"/>
      <c r="F34" s="195"/>
      <c r="G34" s="195"/>
      <c r="H34" s="195"/>
      <c r="I34" s="324">
        <v>1032</v>
      </c>
      <c r="J34" s="324">
        <v>613.6272</v>
      </c>
      <c r="K34" s="195"/>
      <c r="L34" s="195"/>
      <c r="M34" s="195"/>
      <c r="N34" s="324"/>
      <c r="O34" s="324"/>
      <c r="P34" s="332"/>
      <c r="Q34" s="332"/>
      <c r="R34" s="187"/>
      <c r="S34" s="194"/>
      <c r="T34" s="195"/>
      <c r="U34" s="328"/>
    </row>
    <row r="35" ht="13.5" customHeight="1">
      <c r="A35" s="187"/>
      <c r="B35" s="333"/>
      <c r="C35" s="334"/>
      <c r="D35" s="334"/>
      <c r="E35" s="334"/>
      <c r="F35" s="334"/>
      <c r="G35" s="334"/>
      <c r="H35" s="334"/>
      <c r="I35" s="335">
        <f>SUM(I28:I34)</f>
        <v>-105207</v>
      </c>
      <c r="J35" s="335">
        <f>SUM(J28:J34)</f>
        <v>-60469.7356124767</v>
      </c>
      <c r="K35" s="334"/>
      <c r="L35" s="334"/>
      <c r="M35" s="334"/>
      <c r="N35" s="334"/>
      <c r="O35" s="334"/>
      <c r="P35" s="334"/>
      <c r="Q35" s="334"/>
      <c r="R35" s="336"/>
      <c r="S35" s="194"/>
      <c r="T35" s="195"/>
      <c r="U35" s="195"/>
    </row>
    <row r="36" ht="15" customHeight="1">
      <c r="A36" s="195"/>
      <c r="B36" s="322"/>
      <c r="C36" s="322"/>
      <c r="D36" s="322"/>
      <c r="E36" s="322"/>
      <c r="F36" s="322"/>
      <c r="G36" s="322"/>
      <c r="H36" s="322"/>
      <c r="I36" s="322"/>
      <c r="J36" s="322"/>
      <c r="K36" s="322"/>
      <c r="L36" s="322"/>
      <c r="M36" s="322"/>
      <c r="N36" s="322"/>
      <c r="O36" s="322"/>
      <c r="P36" s="322"/>
      <c r="Q36" s="322"/>
      <c r="R36" s="322"/>
      <c r="S36" s="195"/>
      <c r="T36" s="195"/>
      <c r="U36" s="195"/>
    </row>
    <row r="37" ht="15" customHeight="1">
      <c r="A37" s="195"/>
      <c r="B37" s="195"/>
      <c r="C37" s="195"/>
      <c r="D37" s="195"/>
      <c r="E37" s="195"/>
      <c r="F37" s="195"/>
      <c r="G37" s="195"/>
      <c r="H37" s="195"/>
      <c r="I37" s="195"/>
      <c r="J37" s="195"/>
      <c r="K37" s="195"/>
      <c r="L37" s="195"/>
      <c r="M37" s="195"/>
      <c r="N37" s="195"/>
      <c r="O37" s="195"/>
      <c r="P37" s="195"/>
      <c r="Q37" s="195"/>
      <c r="R37" s="195"/>
      <c r="S37" s="195"/>
      <c r="T37" s="195"/>
      <c r="U37" s="195"/>
    </row>
    <row r="38" ht="15" customHeight="1">
      <c r="A38" s="195"/>
      <c r="B38" s="195"/>
      <c r="C38" s="195"/>
      <c r="D38" s="195"/>
      <c r="E38" s="337"/>
      <c r="F38" s="337"/>
      <c r="G38" s="337"/>
      <c r="H38" s="337"/>
      <c r="I38" s="338"/>
      <c r="J38" s="338"/>
      <c r="K38" s="195"/>
      <c r="L38" s="195"/>
      <c r="M38" s="195"/>
      <c r="N38" s="195"/>
      <c r="O38" s="195"/>
      <c r="P38" s="195"/>
      <c r="Q38" s="195"/>
      <c r="R38" s="195"/>
      <c r="S38" s="195"/>
      <c r="T38" s="195"/>
      <c r="U38" s="195"/>
    </row>
    <row r="39" ht="13" customHeight="1">
      <c r="A39" s="195"/>
      <c r="B39" s="195"/>
      <c r="C39" s="195"/>
      <c r="D39" s="195"/>
      <c r="E39" s="337"/>
      <c r="F39" s="337"/>
      <c r="G39" s="337"/>
      <c r="H39" s="337"/>
      <c r="I39" s="338"/>
      <c r="J39" s="338"/>
      <c r="K39" s="195"/>
      <c r="L39" s="195"/>
      <c r="M39" s="195"/>
      <c r="N39" s="195"/>
      <c r="O39" s="195"/>
      <c r="P39" s="195"/>
      <c r="Q39" s="195"/>
      <c r="R39" s="195"/>
      <c r="S39" s="195"/>
      <c r="T39" s="195"/>
      <c r="U39" s="195"/>
    </row>
    <row r="40" ht="13" customHeight="1">
      <c r="A40" s="195"/>
      <c r="B40" s="195"/>
      <c r="C40" s="195"/>
      <c r="D40" s="195"/>
      <c r="E40" s="339"/>
      <c r="F40" s="339"/>
      <c r="G40" s="339"/>
      <c r="H40" s="339"/>
      <c r="I40" s="339"/>
      <c r="J40" s="339"/>
      <c r="K40" s="339"/>
      <c r="L40" s="195"/>
      <c r="M40" s="195"/>
      <c r="N40" s="195"/>
      <c r="O40" s="195"/>
      <c r="P40" s="195"/>
      <c r="Q40" s="195"/>
      <c r="R40" s="195"/>
      <c r="S40" s="195"/>
      <c r="T40" s="195"/>
      <c r="U40" s="195"/>
    </row>
    <row r="41" ht="15" customHeight="1">
      <c r="A41" s="195"/>
      <c r="B41" s="195"/>
      <c r="C41" s="195"/>
      <c r="D41" s="195"/>
      <c r="E41" s="340"/>
      <c r="F41" s="340"/>
      <c r="G41" s="340"/>
      <c r="H41" s="340"/>
      <c r="I41" s="341"/>
      <c r="J41" s="342"/>
      <c r="K41" s="260"/>
      <c r="L41" s="195"/>
      <c r="M41" s="195"/>
      <c r="N41" s="195"/>
      <c r="O41" s="195"/>
      <c r="P41" s="195"/>
      <c r="Q41" s="195"/>
      <c r="R41" s="195"/>
      <c r="S41" s="195"/>
      <c r="T41" s="195"/>
      <c r="U41" s="195"/>
    </row>
  </sheetData>
  <mergeCells count="38">
    <mergeCell ref="D7:F8"/>
    <mergeCell ref="G7:H7"/>
    <mergeCell ref="K7:M8"/>
    <mergeCell ref="N7:O7"/>
    <mergeCell ref="D2:E5"/>
    <mergeCell ref="F2:Q3"/>
    <mergeCell ref="F4:L5"/>
    <mergeCell ref="M4:N5"/>
    <mergeCell ref="P4:Q5"/>
    <mergeCell ref="D9:J9"/>
    <mergeCell ref="K9:Q9"/>
    <mergeCell ref="D10:F10"/>
    <mergeCell ref="K10:M10"/>
    <mergeCell ref="D11:F11"/>
    <mergeCell ref="K16:M16"/>
    <mergeCell ref="D17:F17"/>
    <mergeCell ref="D18:F18"/>
    <mergeCell ref="D12:F12"/>
    <mergeCell ref="K12:M12"/>
    <mergeCell ref="D13:F13"/>
    <mergeCell ref="K13:M13"/>
    <mergeCell ref="D14:F14"/>
    <mergeCell ref="G8:H8"/>
    <mergeCell ref="K14:Q14"/>
    <mergeCell ref="K24:Q24"/>
    <mergeCell ref="E41:G41"/>
    <mergeCell ref="G13:J13"/>
    <mergeCell ref="K11:M11"/>
    <mergeCell ref="K15:M15"/>
    <mergeCell ref="D22:F22"/>
    <mergeCell ref="D23:F23"/>
    <mergeCell ref="D24:F24"/>
    <mergeCell ref="D19:J19"/>
    <mergeCell ref="K19:M19"/>
    <mergeCell ref="D20:F20"/>
    <mergeCell ref="K20:M20"/>
    <mergeCell ref="D21:F21"/>
    <mergeCell ref="K21:M21"/>
  </mergeCells>
  <pageMargins left="0.7" right="0.7" top="0.75" bottom="0.75" header="0.3" footer="0.3"/>
  <pageSetup firstPageNumber="1" fitToHeight="1" fitToWidth="1" scale="45"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