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8_{9E185ADB-FF61-5C4E-9CD2-4732FBE0B0FA}" xr6:coauthVersionLast="47" xr6:coauthVersionMax="47" xr10:uidLastSave="{00000000-0000-0000-0000-000000000000}"/>
  <bookViews>
    <workbookView xWindow="20" yWindow="500" windowWidth="38400" windowHeight="19940" tabRatio="845" activeTab="4" xr2:uid="{00000000-000D-0000-FFFF-FFFF00000000}"/>
  </bookViews>
  <sheets>
    <sheet name="Utilidad" sheetId="2" r:id="rId1"/>
    <sheet name="Datos Extra" sheetId="9" r:id="rId2"/>
    <sheet name="Flujos" sheetId="8" r:id="rId3"/>
    <sheet name="Diag Proceso Balance" sheetId="7" r:id="rId4"/>
    <sheet name="Report" sheetId="11" r:id="rId5"/>
  </sheets>
  <externalReferences>
    <externalReference r:id="rId6"/>
    <externalReference r:id="rId7"/>
  </externalReferences>
  <definedNames>
    <definedName name="solver_adj" localSheetId="0" hidden="1">Utilidad!$J$38:$K$69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Utilidad!$K$50</definedName>
    <definedName name="solver_lhs10" localSheetId="0" hidden="1">Utilidad!$W$38</definedName>
    <definedName name="solver_lhs11" localSheetId="0" hidden="1">Utilidad!$W$39</definedName>
    <definedName name="solver_lhs12" localSheetId="0" hidden="1">Utilidad!$W$40</definedName>
    <definedName name="solver_lhs13" localSheetId="0" hidden="1">Utilidad!$W$41</definedName>
    <definedName name="solver_lhs14" localSheetId="0" hidden="1">Utilidad!$W$42</definedName>
    <definedName name="solver_lhs15" localSheetId="0" hidden="1">Utilidad!$W$43</definedName>
    <definedName name="solver_lhs16" localSheetId="0" hidden="1">Utilidad!$W$44</definedName>
    <definedName name="solver_lhs17" localSheetId="0" hidden="1">Utilidad!$W$45</definedName>
    <definedName name="solver_lhs18" localSheetId="0" hidden="1">Utilidad!$W$46</definedName>
    <definedName name="solver_lhs19" localSheetId="0" hidden="1">Utilidad!$W$47</definedName>
    <definedName name="solver_lhs2" localSheetId="0" hidden="1">Utilidad!$P$50</definedName>
    <definedName name="solver_lhs20" localSheetId="0" hidden="1">Utilidad!$W$48</definedName>
    <definedName name="solver_lhs21" localSheetId="0" hidden="1">Utilidad!$W$49</definedName>
    <definedName name="solver_lhs22" localSheetId="0" hidden="1">Utilidad!$W$50</definedName>
    <definedName name="solver_lhs23" localSheetId="0" hidden="1">Utilidad!$W$51</definedName>
    <definedName name="solver_lhs24" localSheetId="0" hidden="1">Utilidad!$X$38</definedName>
    <definedName name="solver_lhs25" localSheetId="0" hidden="1">Utilidad!$X$39</definedName>
    <definedName name="solver_lhs26" localSheetId="0" hidden="1">Utilidad!$X$40</definedName>
    <definedName name="solver_lhs27" localSheetId="0" hidden="1">Utilidad!$X$41</definedName>
    <definedName name="solver_lhs28" localSheetId="0" hidden="1">Utilidad!$X$42</definedName>
    <definedName name="solver_lhs29" localSheetId="0" hidden="1">Utilidad!$X$43</definedName>
    <definedName name="solver_lhs3" localSheetId="0" hidden="1">Utilidad!$P$53</definedName>
    <definedName name="solver_lhs30" localSheetId="0" hidden="1">Utilidad!$X$44</definedName>
    <definedName name="solver_lhs31" localSheetId="0" hidden="1">Utilidad!$X$45</definedName>
    <definedName name="solver_lhs32" localSheetId="0" hidden="1">Utilidad!$X$46</definedName>
    <definedName name="solver_lhs33" localSheetId="0" hidden="1">Utilidad!$X$47</definedName>
    <definedName name="solver_lhs34" localSheetId="0" hidden="1">Utilidad!$X$48</definedName>
    <definedName name="solver_lhs35" localSheetId="0" hidden="1">Utilidad!$X$49</definedName>
    <definedName name="solver_lhs36" localSheetId="0" hidden="1">Utilidad!$X$50</definedName>
    <definedName name="solver_lhs37" localSheetId="0" hidden="1">Utilidad!$X$51</definedName>
    <definedName name="solver_lhs38" localSheetId="0" hidden="1">Utilidad!$X$51</definedName>
    <definedName name="solver_lhs39" localSheetId="0" hidden="1">Utilidad!$X$51</definedName>
    <definedName name="solver_lhs4" localSheetId="0" hidden="1">Utilidad!$P$64</definedName>
    <definedName name="solver_lhs5" localSheetId="0" hidden="1">Utilidad!$P$68</definedName>
    <definedName name="solver_lhs6" localSheetId="0" hidden="1">Utilidad!$P$69</definedName>
    <definedName name="solver_lhs7" localSheetId="0" hidden="1">Utilidad!$R$46</definedName>
    <definedName name="solver_lhs8" localSheetId="0" hidden="1">Utilidad!$R$61</definedName>
    <definedName name="solver_lhs9" localSheetId="0" hidden="1">Utilidad!$R$64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37</definedName>
    <definedName name="solver_nwt" localSheetId="0" hidden="1">1</definedName>
    <definedName name="solver_opt" localSheetId="0" hidden="1">Utilidad!$P$49</definedName>
    <definedName name="solver_pre" localSheetId="0" hidden="1">0.000001</definedName>
    <definedName name="solver_rbv" localSheetId="0" hidden="1">1</definedName>
    <definedName name="solver_rel1" localSheetId="0" hidden="1">2</definedName>
    <definedName name="solver_rel10" localSheetId="0" hidden="1">2</definedName>
    <definedName name="solver_rel11" localSheetId="0" hidden="1">2</definedName>
    <definedName name="solver_rel12" localSheetId="0" hidden="1">2</definedName>
    <definedName name="solver_rel13" localSheetId="0" hidden="1">2</definedName>
    <definedName name="solver_rel14" localSheetId="0" hidden="1">2</definedName>
    <definedName name="solver_rel15" localSheetId="0" hidden="1">2</definedName>
    <definedName name="solver_rel16" localSheetId="0" hidden="1">2</definedName>
    <definedName name="solver_rel17" localSheetId="0" hidden="1">2</definedName>
    <definedName name="solver_rel18" localSheetId="0" hidden="1">2</definedName>
    <definedName name="solver_rel19" localSheetId="0" hidden="1">2</definedName>
    <definedName name="solver_rel2" localSheetId="0" hidden="1">1</definedName>
    <definedName name="solver_rel20" localSheetId="0" hidden="1">2</definedName>
    <definedName name="solver_rel21" localSheetId="0" hidden="1">2</definedName>
    <definedName name="solver_rel22" localSheetId="0" hidden="1">2</definedName>
    <definedName name="solver_rel23" localSheetId="0" hidden="1">2</definedName>
    <definedName name="solver_rel24" localSheetId="0" hidden="1">2</definedName>
    <definedName name="solver_rel25" localSheetId="0" hidden="1">2</definedName>
    <definedName name="solver_rel26" localSheetId="0" hidden="1">2</definedName>
    <definedName name="solver_rel27" localSheetId="0" hidden="1">2</definedName>
    <definedName name="solver_rel28" localSheetId="0" hidden="1">2</definedName>
    <definedName name="solver_rel29" localSheetId="0" hidden="1">2</definedName>
    <definedName name="solver_rel3" localSheetId="0" hidden="1">1</definedName>
    <definedName name="solver_rel30" localSheetId="0" hidden="1">2</definedName>
    <definedName name="solver_rel31" localSheetId="0" hidden="1">2</definedName>
    <definedName name="solver_rel32" localSheetId="0" hidden="1">2</definedName>
    <definedName name="solver_rel33" localSheetId="0" hidden="1">2</definedName>
    <definedName name="solver_rel34" localSheetId="0" hidden="1">2</definedName>
    <definedName name="solver_rel35" localSheetId="0" hidden="1">2</definedName>
    <definedName name="solver_rel36" localSheetId="0" hidden="1">2</definedName>
    <definedName name="solver_rel37" localSheetId="0" hidden="1">2</definedName>
    <definedName name="solver_rel38" localSheetId="0" hidden="1">2</definedName>
    <definedName name="solver_rel39" localSheetId="0" hidden="1">2</definedName>
    <definedName name="solver_rel4" localSheetId="0" hidden="1">1</definedName>
    <definedName name="solver_rel5" localSheetId="0" hidden="1">1</definedName>
    <definedName name="solver_rel6" localSheetId="0" hidden="1">1</definedName>
    <definedName name="solver_rel7" localSheetId="0" hidden="1">1</definedName>
    <definedName name="solver_rel8" localSheetId="0" hidden="1">1</definedName>
    <definedName name="solver_rel9" localSheetId="0" hidden="1">1</definedName>
    <definedName name="solver_rhs1" localSheetId="0" hidden="1">Utilidad!$H$50</definedName>
    <definedName name="solver_rhs10" localSheetId="0" hidden="1">0</definedName>
    <definedName name="solver_rhs11" localSheetId="0" hidden="1">0</definedName>
    <definedName name="solver_rhs12" localSheetId="0" hidden="1">0</definedName>
    <definedName name="solver_rhs13" localSheetId="0" hidden="1">0</definedName>
    <definedName name="solver_rhs14" localSheetId="0" hidden="1">0</definedName>
    <definedName name="solver_rhs15" localSheetId="0" hidden="1">0</definedName>
    <definedName name="solver_rhs16" localSheetId="0" hidden="1">0</definedName>
    <definedName name="solver_rhs17" localSheetId="0" hidden="1">0</definedName>
    <definedName name="solver_rhs18" localSheetId="0" hidden="1">0</definedName>
    <definedName name="solver_rhs19" localSheetId="0" hidden="1">0</definedName>
    <definedName name="solver_rhs2" localSheetId="0" hidden="1">Utilidad!$Q$50</definedName>
    <definedName name="solver_rhs20" localSheetId="0" hidden="1">0</definedName>
    <definedName name="solver_rhs21" localSheetId="0" hidden="1">0</definedName>
    <definedName name="solver_rhs22" localSheetId="0" hidden="1">0</definedName>
    <definedName name="solver_rhs23" localSheetId="0" hidden="1">0</definedName>
    <definedName name="solver_rhs24" localSheetId="0" hidden="1">0</definedName>
    <definedName name="solver_rhs25" localSheetId="0" hidden="1">0</definedName>
    <definedName name="solver_rhs26" localSheetId="0" hidden="1">0</definedName>
    <definedName name="solver_rhs27" localSheetId="0" hidden="1">0</definedName>
    <definedName name="solver_rhs28" localSheetId="0" hidden="1">0</definedName>
    <definedName name="solver_rhs29" localSheetId="0" hidden="1">0</definedName>
    <definedName name="solver_rhs3" localSheetId="0" hidden="1">Utilidad!$Q$53</definedName>
    <definedName name="solver_rhs30" localSheetId="0" hidden="1">0</definedName>
    <definedName name="solver_rhs31" localSheetId="0" hidden="1">0</definedName>
    <definedName name="solver_rhs32" localSheetId="0" hidden="1">0</definedName>
    <definedName name="solver_rhs33" localSheetId="0" hidden="1">0</definedName>
    <definedName name="solver_rhs34" localSheetId="0" hidden="1">0</definedName>
    <definedName name="solver_rhs35" localSheetId="0" hidden="1">0</definedName>
    <definedName name="solver_rhs36" localSheetId="0" hidden="1">0</definedName>
    <definedName name="solver_rhs37" localSheetId="0" hidden="1">0</definedName>
    <definedName name="solver_rhs38" localSheetId="0" hidden="1">0</definedName>
    <definedName name="solver_rhs39" localSheetId="0" hidden="1">0</definedName>
    <definedName name="solver_rhs4" localSheetId="0" hidden="1">Utilidad!$Q$64</definedName>
    <definedName name="solver_rhs5" localSheetId="0" hidden="1">Utilidad!$Q$68</definedName>
    <definedName name="solver_rhs6" localSheetId="0" hidden="1">Utilidad!$Q$69</definedName>
    <definedName name="solver_rhs7" localSheetId="0" hidden="1">Utilidad!$S$46</definedName>
    <definedName name="solver_rhs8" localSheetId="0" hidden="1">Utilidad!$S$61</definedName>
    <definedName name="solver_rhs9" localSheetId="0" hidden="1">Utilidad!$S$64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1" l="1"/>
  <c r="H25" i="11"/>
  <c r="J36" i="11"/>
  <c r="I36" i="11"/>
  <c r="J35" i="11"/>
  <c r="I35" i="11"/>
  <c r="J34" i="11"/>
  <c r="I34" i="11"/>
  <c r="J33" i="11"/>
  <c r="I33" i="11"/>
  <c r="J32" i="11"/>
  <c r="I32" i="11"/>
  <c r="J31" i="11"/>
  <c r="I31" i="11"/>
  <c r="J30" i="11"/>
  <c r="I30" i="11"/>
  <c r="J26" i="11"/>
  <c r="N22" i="11"/>
  <c r="O22" i="11" s="1"/>
  <c r="I22" i="11"/>
  <c r="G22" i="11"/>
  <c r="H22" i="11" s="1"/>
  <c r="N21" i="11"/>
  <c r="O21" i="11" s="1"/>
  <c r="I21" i="11"/>
  <c r="G21" i="11"/>
  <c r="N17" i="11"/>
  <c r="O17" i="11" s="1"/>
  <c r="I16" i="11"/>
  <c r="N12" i="11"/>
  <c r="O12" i="11" s="1"/>
  <c r="I12" i="11"/>
  <c r="R39" i="7"/>
  <c r="K35" i="7"/>
  <c r="K34" i="7"/>
  <c r="K31" i="7"/>
  <c r="K30" i="7"/>
  <c r="K29" i="7"/>
  <c r="E26" i="7"/>
  <c r="R18" i="7"/>
  <c r="H35" i="8"/>
  <c r="G35" i="8"/>
  <c r="D35" i="8"/>
  <c r="K35" i="8" s="1"/>
  <c r="C35" i="8"/>
  <c r="J35" i="8" s="1"/>
  <c r="H34" i="8"/>
  <c r="G34" i="8"/>
  <c r="D34" i="8"/>
  <c r="K34" i="8" s="1"/>
  <c r="C34" i="8"/>
  <c r="J34" i="8" s="1"/>
  <c r="H33" i="8"/>
  <c r="G33" i="8"/>
  <c r="D33" i="8"/>
  <c r="K33" i="8" s="1"/>
  <c r="C33" i="8"/>
  <c r="J33" i="8" s="1"/>
  <c r="H32" i="8"/>
  <c r="G32" i="8"/>
  <c r="D32" i="8"/>
  <c r="C32" i="8"/>
  <c r="H31" i="8"/>
  <c r="P12" i="11" s="1"/>
  <c r="G31" i="8"/>
  <c r="D31" i="8"/>
  <c r="K31" i="8" s="1"/>
  <c r="C31" i="8"/>
  <c r="J31" i="8" s="1"/>
  <c r="J30" i="8"/>
  <c r="M30" i="8" s="1"/>
  <c r="H30" i="8"/>
  <c r="G30" i="8"/>
  <c r="D30" i="8"/>
  <c r="K30" i="8" s="1"/>
  <c r="C30" i="8"/>
  <c r="H29" i="8"/>
  <c r="G29" i="8"/>
  <c r="D29" i="8"/>
  <c r="K29" i="8" s="1"/>
  <c r="C29" i="8"/>
  <c r="J29" i="8" s="1"/>
  <c r="H28" i="8"/>
  <c r="G28" i="8"/>
  <c r="D28" i="8"/>
  <c r="K28" i="8" s="1"/>
  <c r="C28" i="8"/>
  <c r="H27" i="8"/>
  <c r="P16" i="11" s="1"/>
  <c r="G27" i="8"/>
  <c r="N16" i="11" s="1"/>
  <c r="D27" i="8"/>
  <c r="C27" i="8"/>
  <c r="H26" i="8"/>
  <c r="G26" i="8"/>
  <c r="D26" i="8"/>
  <c r="K26" i="8" s="1"/>
  <c r="C26" i="8"/>
  <c r="J26" i="8" s="1"/>
  <c r="H25" i="8"/>
  <c r="G25" i="8"/>
  <c r="D25" i="8"/>
  <c r="K25" i="8" s="1"/>
  <c r="C25" i="8"/>
  <c r="J25" i="8" s="1"/>
  <c r="J24" i="8"/>
  <c r="M24" i="8" s="1"/>
  <c r="H24" i="8"/>
  <c r="G24" i="8"/>
  <c r="D24" i="8"/>
  <c r="K24" i="8" s="1"/>
  <c r="C24" i="8"/>
  <c r="H23" i="8"/>
  <c r="G23" i="8"/>
  <c r="D23" i="8"/>
  <c r="K23" i="8" s="1"/>
  <c r="C23" i="8"/>
  <c r="H22" i="8"/>
  <c r="G22" i="8"/>
  <c r="D22" i="8"/>
  <c r="K22" i="8" s="1"/>
  <c r="C22" i="8"/>
  <c r="J22" i="8" s="1"/>
  <c r="M22" i="8" s="1"/>
  <c r="H21" i="8"/>
  <c r="G21" i="8"/>
  <c r="D21" i="8"/>
  <c r="K21" i="8" s="1"/>
  <c r="C21" i="8"/>
  <c r="H20" i="8"/>
  <c r="G20" i="8"/>
  <c r="D20" i="8"/>
  <c r="K20" i="8" s="1"/>
  <c r="C20" i="8"/>
  <c r="H19" i="8"/>
  <c r="G19" i="8"/>
  <c r="G16" i="11" s="1"/>
  <c r="H16" i="11" s="1"/>
  <c r="D19" i="8"/>
  <c r="K19" i="8" s="1"/>
  <c r="C19" i="8"/>
  <c r="J19" i="8" s="1"/>
  <c r="H18" i="8"/>
  <c r="G18" i="8"/>
  <c r="D18" i="8"/>
  <c r="C18" i="8"/>
  <c r="H17" i="8"/>
  <c r="I15" i="11" s="1"/>
  <c r="G17" i="8"/>
  <c r="G15" i="11" s="1"/>
  <c r="H15" i="11" s="1"/>
  <c r="D17" i="8"/>
  <c r="K17" i="8" s="1"/>
  <c r="C17" i="8"/>
  <c r="H16" i="8"/>
  <c r="G16" i="8"/>
  <c r="D16" i="8"/>
  <c r="C16" i="8"/>
  <c r="H15" i="8"/>
  <c r="G15" i="8"/>
  <c r="D15" i="8"/>
  <c r="K15" i="8" s="1"/>
  <c r="C15" i="8"/>
  <c r="J15" i="8" s="1"/>
  <c r="H14" i="8"/>
  <c r="G14" i="8"/>
  <c r="D14" i="8"/>
  <c r="K14" i="8" s="1"/>
  <c r="C14" i="8"/>
  <c r="J14" i="8" s="1"/>
  <c r="H13" i="8"/>
  <c r="G13" i="8"/>
  <c r="D13" i="8"/>
  <c r="K13" i="8" s="1"/>
  <c r="C13" i="8"/>
  <c r="J13" i="8" s="1"/>
  <c r="H12" i="8"/>
  <c r="P11" i="11" s="1"/>
  <c r="G12" i="8"/>
  <c r="N11" i="11" s="1"/>
  <c r="D12" i="8"/>
  <c r="C12" i="8"/>
  <c r="H11" i="8"/>
  <c r="G11" i="8"/>
  <c r="D11" i="8"/>
  <c r="K11" i="8" s="1"/>
  <c r="C11" i="8"/>
  <c r="J11" i="8" s="1"/>
  <c r="H10" i="8"/>
  <c r="G10" i="8"/>
  <c r="D10" i="8"/>
  <c r="K10" i="8" s="1"/>
  <c r="C10" i="8"/>
  <c r="J10" i="8" s="1"/>
  <c r="M10" i="8" s="1"/>
  <c r="H9" i="8"/>
  <c r="G9" i="8"/>
  <c r="D9" i="8"/>
  <c r="K9" i="8" s="1"/>
  <c r="C9" i="8"/>
  <c r="J9" i="8" s="1"/>
  <c r="H8" i="8"/>
  <c r="G8" i="8"/>
  <c r="D8" i="8"/>
  <c r="C8" i="8"/>
  <c r="H7" i="8"/>
  <c r="G7" i="8"/>
  <c r="D7" i="8"/>
  <c r="K7" i="8" s="1"/>
  <c r="C7" i="8"/>
  <c r="J7" i="8" s="1"/>
  <c r="H6" i="8"/>
  <c r="G6" i="8"/>
  <c r="G12" i="11" s="1"/>
  <c r="H12" i="11" s="1"/>
  <c r="D6" i="8"/>
  <c r="K6" i="8" s="1"/>
  <c r="C6" i="8"/>
  <c r="J6" i="8" s="1"/>
  <c r="M6" i="8" s="1"/>
  <c r="H5" i="8"/>
  <c r="G5" i="8"/>
  <c r="D5" i="8"/>
  <c r="K5" i="8" s="1"/>
  <c r="C5" i="8"/>
  <c r="J5" i="8" s="1"/>
  <c r="H4" i="8"/>
  <c r="I11" i="11" s="1"/>
  <c r="G4" i="8"/>
  <c r="G11" i="11" s="1"/>
  <c r="D4" i="8"/>
  <c r="C4" i="8"/>
  <c r="K69" i="2"/>
  <c r="K46" i="7" s="1"/>
  <c r="J69" i="2"/>
  <c r="L69" i="2" s="1"/>
  <c r="K47" i="7" s="1"/>
  <c r="P76" i="7" s="1"/>
  <c r="P88" i="7" s="1"/>
  <c r="K68" i="2"/>
  <c r="K40" i="7" s="1"/>
  <c r="J68" i="2"/>
  <c r="K67" i="2"/>
  <c r="L67" i="2" s="1"/>
  <c r="L87" i="7" s="1"/>
  <c r="J67" i="2"/>
  <c r="K66" i="2"/>
  <c r="J66" i="2"/>
  <c r="L66" i="2" s="1"/>
  <c r="K65" i="2"/>
  <c r="J65" i="2"/>
  <c r="K64" i="2"/>
  <c r="M41" i="7" s="1"/>
  <c r="J64" i="2"/>
  <c r="K63" i="2"/>
  <c r="O43" i="7" s="1"/>
  <c r="J63" i="2"/>
  <c r="L66" i="7" s="1"/>
  <c r="K62" i="2"/>
  <c r="M36" i="7" s="1"/>
  <c r="J62" i="2"/>
  <c r="M35" i="7" s="1"/>
  <c r="K61" i="2"/>
  <c r="R40" i="7" s="1"/>
  <c r="J61" i="2"/>
  <c r="K60" i="2"/>
  <c r="J60" i="2"/>
  <c r="L60" i="2" s="1"/>
  <c r="K59" i="2"/>
  <c r="R31" i="7" s="1"/>
  <c r="J59" i="2"/>
  <c r="R30" i="7" s="1"/>
  <c r="K58" i="2"/>
  <c r="N23" i="7" s="1"/>
  <c r="J58" i="2"/>
  <c r="N22" i="7" s="1"/>
  <c r="K57" i="2"/>
  <c r="R26" i="7" s="1"/>
  <c r="J57" i="2"/>
  <c r="K56" i="2"/>
  <c r="R23" i="7" s="1"/>
  <c r="J56" i="2"/>
  <c r="L64" i="7" s="1"/>
  <c r="K55" i="2"/>
  <c r="J55" i="2"/>
  <c r="K54" i="2"/>
  <c r="R14" i="7" s="1"/>
  <c r="J54" i="2"/>
  <c r="L63" i="7" s="1"/>
  <c r="K53" i="2"/>
  <c r="R10" i="7" s="1"/>
  <c r="J53" i="2"/>
  <c r="L53" i="2" s="1"/>
  <c r="R11" i="7" s="1"/>
  <c r="K52" i="2"/>
  <c r="R7" i="7" s="1"/>
  <c r="J52" i="2"/>
  <c r="K51" i="2"/>
  <c r="R4" i="7" s="1"/>
  <c r="J51" i="2"/>
  <c r="R3" i="7" s="1"/>
  <c r="I58" i="7" s="1"/>
  <c r="I69" i="7" s="1"/>
  <c r="K50" i="2"/>
  <c r="H41" i="7" s="1"/>
  <c r="J50" i="2"/>
  <c r="L50" i="2" s="1"/>
  <c r="H42" i="7" s="1"/>
  <c r="K49" i="2"/>
  <c r="F43" i="7" s="1"/>
  <c r="J49" i="2"/>
  <c r="L49" i="2" s="1"/>
  <c r="L80" i="7" s="1"/>
  <c r="K48" i="2"/>
  <c r="G30" i="7" s="1"/>
  <c r="J48" i="2"/>
  <c r="G29" i="7" s="1"/>
  <c r="K47" i="2"/>
  <c r="J47" i="2"/>
  <c r="K46" i="2"/>
  <c r="E32" i="7" s="1"/>
  <c r="E39" i="7" s="1"/>
  <c r="J46" i="2"/>
  <c r="L46" i="2" s="1"/>
  <c r="E33" i="7" s="1"/>
  <c r="E40" i="7" s="1"/>
  <c r="K45" i="2"/>
  <c r="G23" i="7" s="1"/>
  <c r="J45" i="2"/>
  <c r="G22" i="7" s="1"/>
  <c r="K44" i="2"/>
  <c r="J44" i="2"/>
  <c r="L44" i="2" s="1"/>
  <c r="E27" i="7" s="1"/>
  <c r="K43" i="2"/>
  <c r="E23" i="7" s="1"/>
  <c r="J43" i="2"/>
  <c r="L59" i="7" s="1"/>
  <c r="K42" i="2"/>
  <c r="E20" i="7" s="1"/>
  <c r="J42" i="2"/>
  <c r="L42" i="2" s="1"/>
  <c r="E21" i="7" s="1"/>
  <c r="K41" i="2"/>
  <c r="E15" i="7" s="1"/>
  <c r="J41" i="2"/>
  <c r="K40" i="2"/>
  <c r="E11" i="7" s="1"/>
  <c r="J40" i="2"/>
  <c r="E10" i="7" s="1"/>
  <c r="K39" i="2"/>
  <c r="E8" i="7" s="1"/>
  <c r="J39" i="2"/>
  <c r="K38" i="2"/>
  <c r="E4" i="7" s="1"/>
  <c r="J38" i="2"/>
  <c r="E3" i="7" s="1"/>
  <c r="I57" i="7" s="1"/>
  <c r="J16" i="11" l="1"/>
  <c r="K32" i="8"/>
  <c r="E19" i="7"/>
  <c r="E25" i="7"/>
  <c r="J18" i="8"/>
  <c r="M18" i="8" s="1"/>
  <c r="L64" i="2"/>
  <c r="M42" i="7" s="1"/>
  <c r="L65" i="2"/>
  <c r="L86" i="7" s="1"/>
  <c r="H40" i="7"/>
  <c r="N18" i="11"/>
  <c r="J4" i="8"/>
  <c r="M4" i="8" s="1"/>
  <c r="J8" i="8"/>
  <c r="J16" i="8"/>
  <c r="M16" i="8" s="1"/>
  <c r="J20" i="8"/>
  <c r="M20" i="8" s="1"/>
  <c r="M40" i="7"/>
  <c r="O42" i="7" s="1"/>
  <c r="L39" i="2"/>
  <c r="E9" i="7" s="1"/>
  <c r="L47" i="2"/>
  <c r="L55" i="2"/>
  <c r="R20" i="7" s="1"/>
  <c r="K4" i="8"/>
  <c r="K8" i="8"/>
  <c r="K12" i="8"/>
  <c r="K16" i="8"/>
  <c r="J28" i="8"/>
  <c r="M28" i="8" s="1"/>
  <c r="J32" i="8"/>
  <c r="M32" i="8" s="1"/>
  <c r="N14" i="8"/>
  <c r="M14" i="8"/>
  <c r="M26" i="8"/>
  <c r="N26" i="8"/>
  <c r="N34" i="8"/>
  <c r="M34" i="8"/>
  <c r="M8" i="8"/>
  <c r="N8" i="8"/>
  <c r="N20" i="8"/>
  <c r="J12" i="11"/>
  <c r="E14" i="7"/>
  <c r="N22" i="8"/>
  <c r="N32" i="8"/>
  <c r="K45" i="7"/>
  <c r="P57" i="7" s="1"/>
  <c r="P69" i="7" s="1"/>
  <c r="E31" i="7"/>
  <c r="E38" i="7" s="1"/>
  <c r="R19" i="7"/>
  <c r="J11" i="11"/>
  <c r="L43" i="2"/>
  <c r="N30" i="8"/>
  <c r="N6" i="8"/>
  <c r="J12" i="8"/>
  <c r="M12" i="8" s="1"/>
  <c r="L57" i="7"/>
  <c r="J22" i="11"/>
  <c r="E7" i="7"/>
  <c r="N24" i="8"/>
  <c r="J27" i="8"/>
  <c r="I37" i="11"/>
  <c r="N10" i="8"/>
  <c r="L59" i="2"/>
  <c r="R32" i="7" s="1"/>
  <c r="K18" i="8"/>
  <c r="N18" i="8" s="1"/>
  <c r="J21" i="8"/>
  <c r="K27" i="8"/>
  <c r="R9" i="7"/>
  <c r="J37" i="11"/>
  <c r="K39" i="7"/>
  <c r="K33" i="7" s="1"/>
  <c r="L68" i="7" s="1"/>
  <c r="L68" i="2"/>
  <c r="K41" i="7" s="1"/>
  <c r="J15" i="11"/>
  <c r="M35" i="8"/>
  <c r="N35" i="8"/>
  <c r="M15" i="8"/>
  <c r="N15" i="8"/>
  <c r="M29" i="8"/>
  <c r="N29" i="8"/>
  <c r="L56" i="2"/>
  <c r="R25" i="7"/>
  <c r="R22" i="7" s="1"/>
  <c r="L57" i="2"/>
  <c r="R27" i="7" s="1"/>
  <c r="N33" i="8"/>
  <c r="M33" i="8"/>
  <c r="O16" i="11"/>
  <c r="O18" i="11" s="1"/>
  <c r="L45" i="2"/>
  <c r="G24" i="7" s="1"/>
  <c r="N25" i="8"/>
  <c r="M25" i="8"/>
  <c r="F44" i="7"/>
  <c r="J21" i="11"/>
  <c r="Q11" i="11"/>
  <c r="L61" i="2"/>
  <c r="Q16" i="11"/>
  <c r="L51" i="2"/>
  <c r="R5" i="7" s="1"/>
  <c r="I77" i="7" s="1"/>
  <c r="F42" i="7"/>
  <c r="M9" i="8"/>
  <c r="N9" i="8"/>
  <c r="O11" i="11"/>
  <c r="O13" i="11" s="1"/>
  <c r="N13" i="11"/>
  <c r="L62" i="2"/>
  <c r="M37" i="7" s="1"/>
  <c r="N21" i="8"/>
  <c r="M21" i="8"/>
  <c r="M7" i="8"/>
  <c r="N7" i="8"/>
  <c r="K27" i="7"/>
  <c r="L67" i="7" s="1"/>
  <c r="M13" i="8"/>
  <c r="N13" i="8"/>
  <c r="M19" i="8"/>
  <c r="N19" i="8"/>
  <c r="L52" i="2"/>
  <c r="L62" i="7"/>
  <c r="M31" i="8"/>
  <c r="N31" i="8"/>
  <c r="H21" i="11"/>
  <c r="N5" i="8"/>
  <c r="M5" i="8"/>
  <c r="G18" i="11"/>
  <c r="L40" i="2"/>
  <c r="E12" i="7" s="1"/>
  <c r="N11" i="8"/>
  <c r="M11" i="8"/>
  <c r="L58" i="7"/>
  <c r="L41" i="2"/>
  <c r="J17" i="8"/>
  <c r="Q12" i="11"/>
  <c r="E22" i="7"/>
  <c r="J23" i="8"/>
  <c r="L58" i="2"/>
  <c r="N24" i="7" s="1"/>
  <c r="H11" i="11"/>
  <c r="H18" i="11" s="1"/>
  <c r="P17" i="11"/>
  <c r="Q17" i="11" s="1"/>
  <c r="L48" i="2"/>
  <c r="G31" i="7" s="1"/>
  <c r="L61" i="7"/>
  <c r="L38" i="2"/>
  <c r="E5" i="7" s="1"/>
  <c r="I76" i="7" s="1"/>
  <c r="L54" i="2"/>
  <c r="L63" i="2"/>
  <c r="L85" i="7" s="1"/>
  <c r="J25" i="11" l="1"/>
  <c r="L76" i="7"/>
  <c r="N27" i="8"/>
  <c r="N16" i="8"/>
  <c r="N28" i="8"/>
  <c r="N12" i="8"/>
  <c r="N4" i="8"/>
  <c r="R13" i="7"/>
  <c r="R6" i="7"/>
  <c r="J18" i="11"/>
  <c r="L78" i="7"/>
  <c r="E24" i="7"/>
  <c r="M27" i="8"/>
  <c r="Q18" i="11"/>
  <c r="Q13" i="11"/>
  <c r="L69" i="7"/>
  <c r="P71" i="7" s="1"/>
  <c r="N17" i="8"/>
  <c r="M17" i="8"/>
  <c r="L83" i="7"/>
  <c r="R24" i="7"/>
  <c r="M23" i="8"/>
  <c r="N23" i="8"/>
  <c r="I88" i="7"/>
  <c r="L81" i="7"/>
  <c r="R8" i="7"/>
  <c r="R41" i="7"/>
  <c r="O44" i="7"/>
  <c r="L77" i="7"/>
  <c r="E16" i="7"/>
  <c r="L82" i="7"/>
  <c r="R15" i="7"/>
  <c r="L88" i="7" l="1"/>
  <c r="P90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tc={0D72AAC0-0D27-43CD-ADED-C534A146A15D}</author>
    <author>tc={FF1EAD6D-8ED4-4D45-A221-00FF07EC26C9}</author>
    <author>tc={773FB430-D668-4DA4-9028-7F51D6FCB5A8}</author>
    <author>tc={C7BA349F-74F2-43BA-BF17-F42B36851AF7}</author>
    <author>tc={C856A641-53F7-4068-9E4E-F05B4D9B13D2}</author>
    <author>tc={466C4C0D-4BFD-4D1C-B586-32170CC7C8BF}</author>
    <author>tc={47D780A8-3DEB-46B5-AB61-EB3E66B886CB}</author>
  </authors>
  <commentList>
    <comment ref="O8" authorId="0" shapeId="0" xr:uid="{0D72AAC0-0D27-43CD-ADED-C534A146A15D}">
      <text>
        <r>
          <rPr>
            <sz val="11"/>
            <color rgb="FF000000"/>
            <rFont val="Calibri"/>
            <family val="2"/>
          </rPr>
          <t xml:space="preserve">[Comentario encadenado]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 versión de Excel le permite leer este comentario encadenado; sin embargo, las ediciones que se apliquen se quitarán si el archivo se abre en una versión más reciente de Excel. Más información: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Comentario:
</t>
        </r>
        <r>
          <rPr>
            <sz val="11"/>
            <color rgb="FF000000"/>
            <rFont val="Calibri"/>
            <family val="2"/>
          </rPr>
          <t xml:space="preserve">    Modificar a tbn</t>
        </r>
      </text>
    </comment>
    <comment ref="H20" authorId="1" shapeId="0" xr:uid="{FF1EAD6D-8ED4-4D45-A221-00FF07EC26C9}">
      <text>
        <r>
          <rPr>
            <sz val="11"/>
            <color rgb="FF000000"/>
            <rFont val="Calibri"/>
            <family val="2"/>
          </rPr>
          <t xml:space="preserve">[Comentario encadenado]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 versión de Excel le permite leer este comentario encadenado; sin embargo, las ediciones que se apliquen se quitarán si el archivo se abre en una versión más reciente de Excel. Más información: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Comentario:
</t>
        </r>
        <r>
          <rPr>
            <sz val="11"/>
            <color rgb="FF000000"/>
            <rFont val="Calibri"/>
            <family val="2"/>
          </rPr>
          <t xml:space="preserve">    Modificar a tmh</t>
        </r>
      </text>
    </comment>
    <comment ref="D23" authorId="2" shapeId="0" xr:uid="{773FB430-D668-4DA4-9028-7F51D6FCB5A8}">
      <text>
        <r>
          <rPr>
            <sz val="11"/>
            <color rgb="FF000000"/>
            <rFont val="Calibri"/>
            <family val="2"/>
          </rPr>
          <t xml:space="preserve">[Comentario encadenado]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 versión de Excel le permite leer este comentario encadenado; sin embargo, las ediciones que se apliquen se quitarán si el archivo se abre en una versión más reciente de Excel. Más información: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Comentario:
</t>
        </r>
        <r>
          <rPr>
            <sz val="11"/>
            <color rgb="FF000000"/>
            <rFont val="Calibri"/>
            <family val="2"/>
          </rPr>
          <t xml:space="preserve">    agregar</t>
        </r>
      </text>
    </comment>
    <comment ref="D24" authorId="3" shapeId="0" xr:uid="{C7BA349F-74F2-43BA-BF17-F42B36851AF7}">
      <text>
        <r>
          <rPr>
            <sz val="11"/>
            <color rgb="FF000000"/>
            <rFont val="Calibri"/>
            <family val="2"/>
          </rPr>
          <t xml:space="preserve">[Comentario encadenado]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 versión de Excel le permite leer este comentario encadenado; sin embargo, las ediciones que se apliquen se quitarán si el archivo se abre en una versión más reciente de Excel. Más información: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Comentario:
</t>
        </r>
        <r>
          <rPr>
            <sz val="11"/>
            <color rgb="FF000000"/>
            <rFont val="Calibri"/>
            <family val="2"/>
          </rPr>
          <t xml:space="preserve">    agregar</t>
        </r>
      </text>
    </comment>
    <comment ref="K24" authorId="4" shapeId="0" xr:uid="{C856A641-53F7-4068-9E4E-F05B4D9B13D2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agregar</t>
        </r>
      </text>
    </comment>
    <comment ref="K25" authorId="5" shapeId="0" xr:uid="{466C4C0D-4BFD-4D1C-B586-32170CC7C8BF}">
      <text>
        <r>
          <rPr>
            <sz val="11"/>
            <color rgb="FF000000"/>
            <rFont val="Calibri"/>
            <family val="2"/>
          </rPr>
          <t xml:space="preserve">[Comentario encadenado]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Su versión de Excel le permite leer este comentario encadenado; sin embargo, las ediciones que se apliquen se quitarán si el archivo se abre en una versión más reciente de Excel. Más información: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Comentario:
</t>
        </r>
        <r>
          <rPr>
            <sz val="11"/>
            <color rgb="FF000000"/>
            <rFont val="Calibri"/>
            <family val="2"/>
          </rPr>
          <t xml:space="preserve">    agregar</t>
        </r>
      </text>
    </comment>
    <comment ref="D27" authorId="6" shapeId="0" xr:uid="{47D780A8-3DEB-46B5-AB61-EB3E66B886C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agregar</t>
        </r>
      </text>
    </comment>
  </commentList>
</comments>
</file>

<file path=xl/sharedStrings.xml><?xml version="1.0" encoding="utf-8"?>
<sst xmlns="http://schemas.openxmlformats.org/spreadsheetml/2006/main" count="215" uniqueCount="115">
  <si>
    <t>Concentraducto CNN</t>
  </si>
  <si>
    <t>Desvío TK CNN a piscina</t>
  </si>
  <si>
    <t>Desvío conc a Filtro MGTTA</t>
  </si>
  <si>
    <t>Delta Inventario Cancha CNN</t>
  </si>
  <si>
    <t>Desvío TK MGTTA a piscina</t>
  </si>
  <si>
    <t>Descarga espesador MGTTA</t>
  </si>
  <si>
    <t>Delta inventario espesador MGTTA</t>
  </si>
  <si>
    <t>Despacho MGTTA a Embarque</t>
  </si>
  <si>
    <t>Conc filtrado MGTTA a Cancha CNN</t>
  </si>
  <si>
    <t>Conc filtrado MGTTA a Cancha MGTTA</t>
  </si>
  <si>
    <t>Delt Inv Stock Material Rec Piscina</t>
  </si>
  <si>
    <t>Delta Inventario Piscina</t>
  </si>
  <si>
    <t>Concen recuperado piscina</t>
  </si>
  <si>
    <t>Despacho Stock Material Recuperado Piscina</t>
  </si>
  <si>
    <t>Total embarcado</t>
  </si>
  <si>
    <t>TMS</t>
  </si>
  <si>
    <t>%FeT</t>
  </si>
  <si>
    <t>Delta Inventario Cancha MGTTA</t>
  </si>
  <si>
    <t>TMF Fe</t>
  </si>
  <si>
    <t>Valores Calculados</t>
  </si>
  <si>
    <t>Alim a espesador MGTTA</t>
  </si>
  <si>
    <t>Alim espesador CNN</t>
  </si>
  <si>
    <t>Producción CNN</t>
  </si>
  <si>
    <t>Dif. Stock Agitadores Planta CNN</t>
  </si>
  <si>
    <t>Bombeo CNN</t>
  </si>
  <si>
    <t xml:space="preserve">ingreso concentrado CNN a puerto </t>
  </si>
  <si>
    <t xml:space="preserve">dif. Stock CNN en Agitadores Puerto </t>
  </si>
  <si>
    <t>Dif inventario espesador CNN</t>
  </si>
  <si>
    <t>Filtrado CNN</t>
  </si>
  <si>
    <t>Producción PM</t>
  </si>
  <si>
    <t>Dif. Stock Agitadores Planta PM</t>
  </si>
  <si>
    <t>Bombeo PM</t>
  </si>
  <si>
    <t>dif. Stock Concentraducto PM</t>
  </si>
  <si>
    <t>dif. Stock Concentraducto CNN</t>
  </si>
  <si>
    <t xml:space="preserve">ingreso concentrado PM a puerto </t>
  </si>
  <si>
    <t xml:space="preserve">dif. Stock PM en Agitadores Puerto </t>
  </si>
  <si>
    <t>Despacho CNN a Ventas</t>
  </si>
  <si>
    <t>TK Puerto CNN</t>
  </si>
  <si>
    <t>TK Puerto PM</t>
  </si>
  <si>
    <t>Material Recuperado Piscina de Emergencia</t>
  </si>
  <si>
    <t xml:space="preserve">  Concentraducto PM</t>
  </si>
  <si>
    <t>TK Planta  CNN</t>
  </si>
  <si>
    <t>TK Planta  PM</t>
  </si>
  <si>
    <t>BALANCE GLOBAL MASA</t>
  </si>
  <si>
    <t>ENTRADAS</t>
  </si>
  <si>
    <t>VARIACIONES DE INVENTARIOS</t>
  </si>
  <si>
    <t>SALIDAS</t>
  </si>
  <si>
    <t>TOTAL ENTRADAS</t>
  </si>
  <si>
    <t xml:space="preserve">VAR NETA </t>
  </si>
  <si>
    <t>TOTAL SALIDAS</t>
  </si>
  <si>
    <t>ENTRADAS - VAR INVENTARIO - SALIDAS</t>
  </si>
  <si>
    <t>Total Embarcado</t>
  </si>
  <si>
    <t>TK Planta CNN</t>
  </si>
  <si>
    <t>Espesador CNN</t>
  </si>
  <si>
    <t>TK Planta PM</t>
  </si>
  <si>
    <t>Concentraducto PM</t>
  </si>
  <si>
    <t>Espesador PM</t>
  </si>
  <si>
    <t>Cancha PM en Puerto</t>
  </si>
  <si>
    <t>Cancha CNN en Puerto</t>
  </si>
  <si>
    <t>Piscina de Emergencia</t>
  </si>
  <si>
    <t>Pila Mat Rec Pisc Emergencia</t>
  </si>
  <si>
    <t>BALANCE GLOBAL DE FINOS (Fe T)</t>
  </si>
  <si>
    <t>Flujos</t>
  </si>
  <si>
    <t>Mediciones</t>
  </si>
  <si>
    <t>% Cambio relativo</t>
  </si>
  <si>
    <t>Max Var Ton</t>
  </si>
  <si>
    <t>Max Var  FeT</t>
  </si>
  <si>
    <t>TMSD</t>
  </si>
  <si>
    <t>%Fe T</t>
  </si>
  <si>
    <t>Balance</t>
  </si>
  <si>
    <t>Flujo</t>
  </si>
  <si>
    <t>Sinter Feed</t>
  </si>
  <si>
    <t>Bombeado CNN</t>
  </si>
  <si>
    <t>FECHA DE BALANCE</t>
  </si>
  <si>
    <t>TONELAJE</t>
  </si>
  <si>
    <t>LEY</t>
  </si>
  <si>
    <t>FINO</t>
  </si>
  <si>
    <t>TMH</t>
  </si>
  <si>
    <t>% FeT</t>
  </si>
  <si>
    <t>TMF</t>
  </si>
  <si>
    <t>FL_218_501_01</t>
  </si>
  <si>
    <t>TOTAL</t>
  </si>
  <si>
    <t>FL_000_501_03</t>
  </si>
  <si>
    <t>Delta inventario TMS</t>
  </si>
  <si>
    <t>Delta inventario TMF</t>
  </si>
  <si>
    <t>BALANCE</t>
  </si>
  <si>
    <t>GESTION POR VALLE</t>
  </si>
  <si>
    <t xml:space="preserve">EMBARQUES </t>
  </si>
  <si>
    <t>BALANCE METALÚRGICO - VALLE DEL COPIAPO</t>
  </si>
  <si>
    <t>REPORTE PUERTO PUNTA TOTORALILLO</t>
  </si>
  <si>
    <t>TBN</t>
  </si>
  <si>
    <t>CERRO NEGRO NORTE</t>
  </si>
  <si>
    <t>Produccion CNN</t>
  </si>
  <si>
    <t>PLANTA MAGNETITA</t>
  </si>
  <si>
    <t>RECEPCION PUERTO PUNTA TOTORALILLO</t>
  </si>
  <si>
    <t>Produccion Magnetita</t>
  </si>
  <si>
    <t>Bombeado Magnetita</t>
  </si>
  <si>
    <t>Material Recuperado de piscina CNN</t>
  </si>
  <si>
    <t>PUERTO PUNTA TOTORALILLO</t>
  </si>
  <si>
    <t>Filtrado Magnetita</t>
  </si>
  <si>
    <t>Material Recuperado de piscina Magnetita</t>
  </si>
  <si>
    <t>Pellet Feed CNN</t>
  </si>
  <si>
    <t>Pellet Feed Magnetita</t>
  </si>
  <si>
    <t>TOTAL PELLET FEED</t>
  </si>
  <si>
    <t>Pellet Feed PM</t>
  </si>
  <si>
    <t>PM Embar.</t>
  </si>
  <si>
    <t>CNN Embar.</t>
  </si>
  <si>
    <t>INVENTARIOS PUERTO PUNTA TOTORALILLO</t>
  </si>
  <si>
    <t>PM Filtrado</t>
  </si>
  <si>
    <t>CNN filtrado</t>
  </si>
  <si>
    <t>Piscina CNN (tbn)</t>
  </si>
  <si>
    <t>Piscina MAG (tbn)</t>
  </si>
  <si>
    <t>Ventas nacionales (ECOMETALES)</t>
  </si>
  <si>
    <t>Mariposa</t>
  </si>
  <si>
    <t>Oso Negro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</si>
</sst>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0.0%"/>
    <numFmt numFmtId="165" formatCode="#,##0.0"/>
    <numFmt numFmtId="166" formatCode="0.0000%"/>
    <numFmt numFmtId="167" formatCode="#,##0_ ;\-#,##0\ "/>
    <numFmt numFmtId="168" formatCode="#,##0.00_ ;\-#,##0.00\ "/>
    <numFmt numFmtId="169" formatCode="#,##0.0_ ;\-#,##0.0\ "/>
    <numFmt numFmtId="170" formatCode="#,##0.0000000_ ;\-#,##0.0000000\ "/>
  </numFmts>
  <fonts count="3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5" tint="-0.499984740745262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6"/>
      <color theme="2"/>
      <name val="Calibri"/>
      <family val="2"/>
      <scheme val="minor"/>
    </font>
    <font>
      <sz val="16"/>
      <color theme="2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4"/>
      <color theme="2"/>
      <name val="Calibri"/>
      <family val="2"/>
      <scheme val="minor"/>
    </font>
    <font>
      <sz val="14"/>
      <color theme="2"/>
      <name val="Calibri"/>
      <family val="2"/>
      <scheme val="minor"/>
    </font>
    <font>
      <b/>
      <sz val="12"/>
      <color theme="2"/>
      <name val="Calibri"/>
      <family val="2"/>
      <scheme val="minor"/>
    </font>
    <font>
      <sz val="10"/>
      <color theme="2"/>
      <name val="Calibri"/>
      <family val="2"/>
      <scheme val="minor"/>
    </font>
    <font>
      <sz val="9"/>
      <color theme="2"/>
      <name val="Calibri"/>
      <family val="2"/>
      <scheme val="minor"/>
    </font>
    <font>
      <sz val="10"/>
      <name val="Arial"/>
      <family val="2"/>
    </font>
    <font>
      <sz val="10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8"/>
      <color theme="3"/>
      <name val="Calibri"/>
      <family val="2"/>
      <scheme val="minor"/>
    </font>
    <font>
      <b/>
      <sz val="8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6" fillId="0" borderId="0"/>
    <xf numFmtId="9" fontId="6" fillId="0" borderId="0" applyFon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</cellStyleXfs>
  <cellXfs count="273">
    <xf numFmtId="0" fontId="0" fillId="0" borderId="0" xfId="0"/>
    <xf numFmtId="0" fontId="0" fillId="0" borderId="0" xfId="0" applyAlignment="1">
      <alignment wrapText="1"/>
    </xf>
    <xf numFmtId="10" fontId="0" fillId="0" borderId="1" xfId="0" applyNumberFormat="1" applyBorder="1"/>
    <xf numFmtId="3" fontId="0" fillId="0" borderId="1" xfId="0" applyNumberForma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7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0" fillId="0" borderId="8" xfId="0" applyBorder="1"/>
    <xf numFmtId="10" fontId="14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3" fontId="15" fillId="0" borderId="0" xfId="0" applyNumberFormat="1" applyFont="1" applyAlignment="1">
      <alignment horizontal="left"/>
    </xf>
    <xf numFmtId="3" fontId="11" fillId="0" borderId="0" xfId="0" applyNumberFormat="1" applyFont="1" applyAlignment="1">
      <alignment horizontal="left"/>
    </xf>
    <xf numFmtId="10" fontId="0" fillId="0" borderId="0" xfId="0" applyNumberFormat="1" applyAlignment="1">
      <alignment horizontal="left"/>
    </xf>
    <xf numFmtId="165" fontId="9" fillId="0" borderId="0" xfId="0" applyNumberFormat="1" applyFont="1" applyAlignment="1">
      <alignment horizontal="left"/>
    </xf>
    <xf numFmtId="3" fontId="2" fillId="0" borderId="0" xfId="0" applyNumberFormat="1" applyFont="1" applyAlignment="1">
      <alignment horizontal="left"/>
    </xf>
    <xf numFmtId="3" fontId="0" fillId="0" borderId="0" xfId="0" applyNumberFormat="1"/>
    <xf numFmtId="3" fontId="10" fillId="0" borderId="0" xfId="0" applyNumberFormat="1" applyFont="1" applyAlignment="1">
      <alignment horizontal="left"/>
    </xf>
    <xf numFmtId="0" fontId="0" fillId="0" borderId="0" xfId="0" applyAlignment="1">
      <alignment horizontal="right"/>
    </xf>
    <xf numFmtId="3" fontId="9" fillId="0" borderId="0" xfId="0" applyNumberFormat="1" applyFont="1" applyAlignment="1">
      <alignment horizontal="left"/>
    </xf>
    <xf numFmtId="3" fontId="2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10" fillId="0" borderId="0" xfId="0" applyNumberFormat="1" applyFont="1" applyAlignment="1">
      <alignment horizontal="right"/>
    </xf>
    <xf numFmtId="3" fontId="11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3" fontId="10" fillId="0" borderId="0" xfId="0" applyNumberFormat="1" applyFont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3" fontId="0" fillId="0" borderId="1" xfId="0" applyNumberFormat="1" applyBorder="1" applyAlignment="1">
      <alignment horizontal="right" vertical="center" indent="1"/>
    </xf>
    <xf numFmtId="3" fontId="0" fillId="0" borderId="1" xfId="0" applyNumberFormat="1" applyBorder="1" applyAlignment="1">
      <alignment vertical="center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3" fontId="12" fillId="0" borderId="1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left" vertical="center"/>
    </xf>
    <xf numFmtId="0" fontId="8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3" fontId="7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10" fontId="2" fillId="0" borderId="0" xfId="0" applyNumberFormat="1" applyFont="1"/>
    <xf numFmtId="0" fontId="0" fillId="4" borderId="1" xfId="0" applyFill="1" applyBorder="1"/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7" fillId="0" borderId="0" xfId="0" applyFont="1"/>
    <xf numFmtId="10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Font="1" applyAlignment="1">
      <alignment horizontal="center"/>
    </xf>
    <xf numFmtId="166" fontId="0" fillId="0" borderId="0" xfId="0" applyNumberFormat="1"/>
    <xf numFmtId="164" fontId="0" fillId="0" borderId="0" xfId="0" applyNumberFormat="1"/>
    <xf numFmtId="10" fontId="7" fillId="0" borderId="0" xfId="0" applyNumberFormat="1" applyFont="1"/>
    <xf numFmtId="0" fontId="5" fillId="0" borderId="0" xfId="0" applyFont="1" applyAlignment="1">
      <alignment wrapText="1"/>
    </xf>
    <xf numFmtId="0" fontId="16" fillId="0" borderId="0" xfId="0" applyFont="1"/>
    <xf numFmtId="0" fontId="17" fillId="0" borderId="0" xfId="0" applyFont="1" applyAlignment="1">
      <alignment horizontal="center" vertical="top" wrapText="1"/>
    </xf>
    <xf numFmtId="0" fontId="16" fillId="0" borderId="0" xfId="0" applyFont="1" applyAlignment="1">
      <alignment horizontal="center"/>
    </xf>
    <xf numFmtId="0" fontId="0" fillId="5" borderId="1" xfId="0" applyFill="1" applyBorder="1"/>
    <xf numFmtId="0" fontId="7" fillId="0" borderId="12" xfId="1" applyFont="1" applyBorder="1" applyAlignment="1">
      <alignment wrapText="1"/>
    </xf>
    <xf numFmtId="0" fontId="7" fillId="7" borderId="1" xfId="0" applyFont="1" applyFill="1" applyBorder="1"/>
    <xf numFmtId="0" fontId="7" fillId="8" borderId="2" xfId="0" applyFont="1" applyFill="1" applyBorder="1" applyAlignment="1">
      <alignment wrapText="1"/>
    </xf>
    <xf numFmtId="0" fontId="12" fillId="6" borderId="1" xfId="1" applyFont="1" applyFill="1" applyBorder="1" applyAlignment="1">
      <alignment horizontal="center"/>
    </xf>
    <xf numFmtId="0" fontId="12" fillId="0" borderId="0" xfId="1" applyFont="1" applyAlignment="1">
      <alignment horizontal="center"/>
    </xf>
    <xf numFmtId="10" fontId="7" fillId="3" borderId="1" xfId="0" applyNumberFormat="1" applyFont="1" applyFill="1" applyBorder="1"/>
    <xf numFmtId="10" fontId="7" fillId="3" borderId="2" xfId="0" applyNumberFormat="1" applyFont="1" applyFill="1" applyBorder="1"/>
    <xf numFmtId="164" fontId="12" fillId="0" borderId="1" xfId="0" applyNumberFormat="1" applyFont="1" applyBorder="1"/>
    <xf numFmtId="164" fontId="12" fillId="0" borderId="0" xfId="0" applyNumberFormat="1" applyFont="1"/>
    <xf numFmtId="10" fontId="12" fillId="0" borderId="1" xfId="0" applyNumberFormat="1" applyFont="1" applyBorder="1"/>
    <xf numFmtId="10" fontId="12" fillId="0" borderId="2" xfId="0" applyNumberFormat="1" applyFont="1" applyBorder="1"/>
    <xf numFmtId="3" fontId="18" fillId="0" borderId="0" xfId="0" applyNumberFormat="1" applyFont="1"/>
    <xf numFmtId="10" fontId="19" fillId="0" borderId="0" xfId="0" applyNumberFormat="1" applyFont="1"/>
    <xf numFmtId="3" fontId="20" fillId="0" borderId="0" xfId="0" applyNumberFormat="1" applyFont="1"/>
    <xf numFmtId="10" fontId="20" fillId="0" borderId="0" xfId="0" applyNumberFormat="1" applyFont="1"/>
    <xf numFmtId="0" fontId="20" fillId="0" borderId="0" xfId="0" applyFont="1"/>
    <xf numFmtId="3" fontId="21" fillId="0" borderId="0" xfId="0" applyNumberFormat="1" applyFont="1"/>
    <xf numFmtId="3" fontId="22" fillId="0" borderId="0" xfId="0" applyNumberFormat="1" applyFont="1"/>
    <xf numFmtId="10" fontId="23" fillId="0" borderId="0" xfId="0" applyNumberFormat="1" applyFont="1"/>
    <xf numFmtId="3" fontId="24" fillId="0" borderId="0" xfId="0" applyNumberFormat="1" applyFont="1"/>
    <xf numFmtId="0" fontId="20" fillId="0" borderId="0" xfId="0" applyFont="1" applyAlignment="1">
      <alignment wrapText="1"/>
    </xf>
    <xf numFmtId="0" fontId="25" fillId="0" borderId="0" xfId="0" applyFont="1" applyAlignment="1">
      <alignment horizontal="center" vertical="top" wrapText="1"/>
    </xf>
    <xf numFmtId="0" fontId="26" fillId="0" borderId="0" xfId="0" applyFont="1" applyAlignment="1">
      <alignment wrapText="1"/>
    </xf>
    <xf numFmtId="0" fontId="20" fillId="0" borderId="0" xfId="0" applyFont="1" applyAlignment="1">
      <alignment horizontal="center"/>
    </xf>
    <xf numFmtId="0" fontId="26" fillId="0" borderId="0" xfId="0" applyFont="1" applyAlignment="1">
      <alignment horizontal="left" wrapText="1"/>
    </xf>
    <xf numFmtId="0" fontId="18" fillId="0" borderId="0" xfId="0" applyFont="1" applyAlignment="1">
      <alignment wrapText="1"/>
    </xf>
    <xf numFmtId="10" fontId="21" fillId="0" borderId="0" xfId="0" applyNumberFormat="1" applyFont="1"/>
    <xf numFmtId="0" fontId="22" fillId="0" borderId="0" xfId="0" applyFont="1" applyAlignment="1">
      <alignment wrapText="1"/>
    </xf>
    <xf numFmtId="10" fontId="22" fillId="0" borderId="0" xfId="0" applyNumberFormat="1" applyFont="1"/>
    <xf numFmtId="0" fontId="23" fillId="0" borderId="0" xfId="0" applyFont="1"/>
    <xf numFmtId="0" fontId="24" fillId="0" borderId="0" xfId="0" applyFont="1" applyAlignment="1">
      <alignment wrapText="1"/>
    </xf>
    <xf numFmtId="0" fontId="20" fillId="0" borderId="0" xfId="1" applyFont="1" applyAlignment="1">
      <alignment horizontal="center"/>
    </xf>
    <xf numFmtId="0" fontId="28" fillId="9" borderId="4" xfId="3" applyFont="1" applyFill="1" applyBorder="1" applyAlignment="1">
      <alignment horizontal="center" vertical="center"/>
    </xf>
    <xf numFmtId="0" fontId="28" fillId="9" borderId="5" xfId="3" applyFont="1" applyFill="1" applyBorder="1" applyAlignment="1">
      <alignment horizontal="center" vertical="center"/>
    </xf>
    <xf numFmtId="0" fontId="28" fillId="0" borderId="5" xfId="3" applyFont="1" applyBorder="1"/>
    <xf numFmtId="0" fontId="28" fillId="0" borderId="6" xfId="3" applyFont="1" applyBorder="1"/>
    <xf numFmtId="0" fontId="28" fillId="0" borderId="0" xfId="3" applyFont="1"/>
    <xf numFmtId="0" fontId="28" fillId="9" borderId="7" xfId="3" applyFont="1" applyFill="1" applyBorder="1" applyAlignment="1">
      <alignment horizontal="center" vertical="center"/>
    </xf>
    <xf numFmtId="0" fontId="28" fillId="9" borderId="0" xfId="3" applyFont="1" applyFill="1" applyAlignment="1">
      <alignment horizontal="center" vertical="center"/>
    </xf>
    <xf numFmtId="0" fontId="28" fillId="0" borderId="8" xfId="3" applyFont="1" applyBorder="1"/>
    <xf numFmtId="49" fontId="30" fillId="10" borderId="1" xfId="0" applyNumberFormat="1" applyFont="1" applyFill="1" applyBorder="1" applyAlignment="1">
      <alignment horizontal="center" vertical="center" wrapText="1"/>
    </xf>
    <xf numFmtId="49" fontId="30" fillId="10" borderId="21" xfId="0" applyNumberFormat="1" applyFont="1" applyFill="1" applyBorder="1" applyAlignment="1">
      <alignment horizontal="center" vertical="center" wrapText="1"/>
    </xf>
    <xf numFmtId="0" fontId="28" fillId="9" borderId="0" xfId="3" applyFont="1" applyFill="1"/>
    <xf numFmtId="14" fontId="28" fillId="9" borderId="0" xfId="3" applyNumberFormat="1" applyFont="1" applyFill="1"/>
    <xf numFmtId="0" fontId="28" fillId="0" borderId="7" xfId="3" applyFont="1" applyBorder="1"/>
    <xf numFmtId="0" fontId="31" fillId="0" borderId="0" xfId="3" applyFont="1"/>
    <xf numFmtId="0" fontId="32" fillId="9" borderId="16" xfId="3" applyFont="1" applyFill="1" applyBorder="1" applyAlignment="1">
      <alignment horizontal="center" vertical="center"/>
    </xf>
    <xf numFmtId="0" fontId="32" fillId="9" borderId="17" xfId="3" applyFont="1" applyFill="1" applyBorder="1" applyAlignment="1">
      <alignment horizontal="center" vertical="center"/>
    </xf>
    <xf numFmtId="0" fontId="32" fillId="9" borderId="21" xfId="3" applyFont="1" applyFill="1" applyBorder="1" applyAlignment="1">
      <alignment horizontal="center" vertical="center"/>
    </xf>
    <xf numFmtId="0" fontId="33" fillId="11" borderId="26" xfId="3" applyFont="1" applyFill="1" applyBorder="1" applyAlignment="1">
      <alignment horizontal="center" vertical="center"/>
    </xf>
    <xf numFmtId="0" fontId="33" fillId="11" borderId="31" xfId="3" applyFont="1" applyFill="1" applyBorder="1" applyAlignment="1">
      <alignment horizontal="center" vertical="center"/>
    </xf>
    <xf numFmtId="0" fontId="31" fillId="0" borderId="32" xfId="0" applyFont="1" applyBorder="1" applyAlignment="1">
      <alignment horizontal="left" vertical="center"/>
    </xf>
    <xf numFmtId="0" fontId="31" fillId="0" borderId="33" xfId="0" applyFont="1" applyBorder="1" applyAlignment="1">
      <alignment horizontal="left" vertical="center"/>
    </xf>
    <xf numFmtId="0" fontId="31" fillId="0" borderId="3" xfId="0" applyFont="1" applyBorder="1" applyAlignment="1">
      <alignment horizontal="left" vertical="center"/>
    </xf>
    <xf numFmtId="167" fontId="31" fillId="0" borderId="1" xfId="4" applyNumberFormat="1" applyFont="1" applyFill="1" applyBorder="1" applyAlignment="1">
      <alignment horizontal="center" vertical="center"/>
    </xf>
    <xf numFmtId="167" fontId="31" fillId="0" borderId="0" xfId="4" applyNumberFormat="1" applyFont="1" applyFill="1" applyBorder="1" applyAlignment="1">
      <alignment horizontal="center" vertical="center"/>
    </xf>
    <xf numFmtId="167" fontId="31" fillId="0" borderId="1" xfId="4" applyNumberFormat="1" applyFont="1" applyBorder="1" applyAlignment="1">
      <alignment horizontal="center" vertical="center"/>
    </xf>
    <xf numFmtId="0" fontId="31" fillId="0" borderId="32" xfId="3" applyFont="1" applyBorder="1" applyAlignment="1">
      <alignment horizontal="left"/>
    </xf>
    <xf numFmtId="0" fontId="31" fillId="0" borderId="33" xfId="3" applyFont="1" applyBorder="1" applyAlignment="1">
      <alignment horizontal="left"/>
    </xf>
    <xf numFmtId="0" fontId="31" fillId="0" borderId="3" xfId="3" applyFont="1" applyBorder="1" applyAlignment="1">
      <alignment horizontal="left"/>
    </xf>
    <xf numFmtId="164" fontId="31" fillId="0" borderId="1" xfId="2" applyNumberFormat="1" applyFont="1" applyBorder="1" applyAlignment="1">
      <alignment horizontal="center" vertical="center"/>
    </xf>
    <xf numFmtId="3" fontId="31" fillId="0" borderId="1" xfId="3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9" fontId="31" fillId="0" borderId="1" xfId="4" applyNumberFormat="1" applyFont="1" applyBorder="1" applyAlignment="1">
      <alignment horizontal="center" vertical="center"/>
    </xf>
    <xf numFmtId="167" fontId="32" fillId="12" borderId="36" xfId="4" applyNumberFormat="1" applyFont="1" applyFill="1" applyBorder="1" applyAlignment="1">
      <alignment horizontal="center" vertical="center"/>
    </xf>
    <xf numFmtId="167" fontId="32" fillId="12" borderId="37" xfId="4" applyNumberFormat="1" applyFont="1" applyFill="1" applyBorder="1" applyAlignment="1">
      <alignment horizontal="center" vertical="center"/>
    </xf>
    <xf numFmtId="10" fontId="31" fillId="0" borderId="1" xfId="2" applyNumberFormat="1" applyFont="1" applyBorder="1" applyAlignment="1">
      <alignment horizontal="center" vertical="center"/>
    </xf>
    <xf numFmtId="1" fontId="28" fillId="0" borderId="0" xfId="3" applyNumberFormat="1" applyFont="1"/>
    <xf numFmtId="168" fontId="28" fillId="0" borderId="0" xfId="3" applyNumberFormat="1" applyFont="1"/>
    <xf numFmtId="169" fontId="28" fillId="0" borderId="0" xfId="3" applyNumberFormat="1" applyFont="1"/>
    <xf numFmtId="167" fontId="28" fillId="0" borderId="0" xfId="3" applyNumberFormat="1" applyFont="1"/>
    <xf numFmtId="9" fontId="32" fillId="12" borderId="36" xfId="2" applyFont="1" applyFill="1" applyBorder="1" applyAlignment="1">
      <alignment horizontal="center" vertical="center"/>
    </xf>
    <xf numFmtId="167" fontId="28" fillId="0" borderId="8" xfId="3" applyNumberFormat="1" applyFont="1" applyBorder="1"/>
    <xf numFmtId="0" fontId="17" fillId="0" borderId="0" xfId="3" applyFont="1"/>
    <xf numFmtId="170" fontId="28" fillId="0" borderId="0" xfId="3" applyNumberFormat="1" applyFont="1"/>
    <xf numFmtId="3" fontId="34" fillId="0" borderId="0" xfId="3" applyNumberFormat="1" applyFont="1" applyAlignment="1">
      <alignment horizontal="center" vertical="center"/>
    </xf>
    <xf numFmtId="167" fontId="17" fillId="0" borderId="0" xfId="3" applyNumberFormat="1" applyFont="1"/>
    <xf numFmtId="0" fontId="35" fillId="0" borderId="0" xfId="3" applyFont="1"/>
    <xf numFmtId="0" fontId="36" fillId="0" borderId="0" xfId="3" applyFont="1"/>
    <xf numFmtId="0" fontId="28" fillId="0" borderId="9" xfId="3" applyFont="1" applyBorder="1"/>
    <xf numFmtId="0" fontId="28" fillId="0" borderId="10" xfId="3" applyFont="1" applyBorder="1"/>
    <xf numFmtId="3" fontId="33" fillId="0" borderId="10" xfId="3" applyNumberFormat="1" applyFont="1" applyBorder="1" applyAlignment="1">
      <alignment horizontal="center" vertical="center"/>
    </xf>
    <xf numFmtId="0" fontId="28" fillId="0" borderId="11" xfId="3" applyFont="1" applyBorder="1"/>
    <xf numFmtId="0" fontId="31" fillId="0" borderId="0" xfId="3" applyFont="1" applyAlignment="1">
      <alignment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vertical="center"/>
    </xf>
    <xf numFmtId="0" fontId="31" fillId="0" borderId="0" xfId="0" applyFont="1" applyAlignment="1">
      <alignment horizontal="left" vertical="center"/>
    </xf>
    <xf numFmtId="167" fontId="32" fillId="0" borderId="0" xfId="4" applyNumberFormat="1" applyFont="1" applyFill="1" applyBorder="1" applyAlignment="1">
      <alignment horizontal="center" vertical="center"/>
    </xf>
    <xf numFmtId="9" fontId="31" fillId="0" borderId="0" xfId="2" applyFont="1" applyFill="1" applyBorder="1" applyAlignment="1">
      <alignment horizontal="center" vertical="center"/>
    </xf>
    <xf numFmtId="167" fontId="32" fillId="12" borderId="2" xfId="4" applyNumberFormat="1" applyFont="1" applyFill="1" applyBorder="1" applyAlignment="1">
      <alignment horizontal="center" vertical="center"/>
    </xf>
    <xf numFmtId="167" fontId="32" fillId="12" borderId="33" xfId="4" applyNumberFormat="1" applyFont="1" applyFill="1" applyBorder="1" applyAlignment="1">
      <alignment horizontal="center" vertical="center"/>
    </xf>
    <xf numFmtId="167" fontId="32" fillId="12" borderId="44" xfId="4" applyNumberFormat="1" applyFont="1" applyFill="1" applyBorder="1" applyAlignment="1">
      <alignment horizontal="center" vertical="center"/>
    </xf>
    <xf numFmtId="0" fontId="32" fillId="12" borderId="46" xfId="3" applyFont="1" applyFill="1" applyBorder="1" applyAlignment="1">
      <alignment horizontal="left" vertical="center" wrapText="1"/>
    </xf>
    <xf numFmtId="0" fontId="32" fillId="12" borderId="47" xfId="3" applyFont="1" applyFill="1" applyBorder="1" applyAlignment="1">
      <alignment horizontal="left" vertical="center" wrapText="1"/>
    </xf>
    <xf numFmtId="0" fontId="32" fillId="12" borderId="48" xfId="3" applyFont="1" applyFill="1" applyBorder="1" applyAlignment="1">
      <alignment horizontal="left" vertical="center" wrapText="1"/>
    </xf>
    <xf numFmtId="3" fontId="31" fillId="0" borderId="34" xfId="3" applyNumberFormat="1" applyFont="1" applyBorder="1" applyAlignment="1">
      <alignment horizontal="center"/>
    </xf>
    <xf numFmtId="164" fontId="31" fillId="0" borderId="34" xfId="2" applyNumberFormat="1" applyFont="1" applyBorder="1" applyAlignment="1">
      <alignment horizontal="center"/>
    </xf>
    <xf numFmtId="167" fontId="32" fillId="12" borderId="49" xfId="4" applyNumberFormat="1" applyFont="1" applyFill="1" applyBorder="1" applyAlignment="1">
      <alignment horizontal="center" vertical="center"/>
    </xf>
    <xf numFmtId="167" fontId="31" fillId="0" borderId="19" xfId="4" applyNumberFormat="1" applyFont="1" applyBorder="1" applyAlignment="1">
      <alignment horizontal="center" vertical="center"/>
    </xf>
    <xf numFmtId="167" fontId="32" fillId="12" borderId="23" xfId="4" applyNumberFormat="1" applyFont="1" applyFill="1" applyBorder="1" applyAlignment="1">
      <alignment horizontal="center" vertical="center"/>
    </xf>
    <xf numFmtId="167" fontId="32" fillId="12" borderId="39" xfId="4" applyNumberFormat="1" applyFont="1" applyFill="1" applyBorder="1" applyAlignment="1">
      <alignment horizontal="center" vertical="center"/>
    </xf>
    <xf numFmtId="167" fontId="32" fillId="12" borderId="43" xfId="4" applyNumberFormat="1" applyFont="1" applyFill="1" applyBorder="1" applyAlignment="1">
      <alignment horizontal="center" vertical="center"/>
    </xf>
    <xf numFmtId="167" fontId="31" fillId="0" borderId="21" xfId="4" applyNumberFormat="1" applyFont="1" applyBorder="1" applyAlignment="1">
      <alignment horizontal="center" vertical="center"/>
    </xf>
    <xf numFmtId="9" fontId="31" fillId="0" borderId="21" xfId="2" applyFont="1" applyBorder="1" applyAlignment="1">
      <alignment horizontal="center" vertical="center"/>
    </xf>
    <xf numFmtId="167" fontId="31" fillId="0" borderId="22" xfId="4" applyNumberFormat="1" applyFont="1" applyBorder="1" applyAlignment="1">
      <alignment horizontal="center" vertical="center"/>
    </xf>
    <xf numFmtId="167" fontId="31" fillId="0" borderId="51" xfId="4" applyNumberFormat="1" applyFont="1" applyBorder="1" applyAlignment="1">
      <alignment horizontal="center" vertical="center"/>
    </xf>
    <xf numFmtId="167" fontId="32" fillId="12" borderId="3" xfId="4" applyNumberFormat="1" applyFont="1" applyFill="1" applyBorder="1" applyAlignment="1">
      <alignment horizontal="center" vertical="center"/>
    </xf>
    <xf numFmtId="167" fontId="31" fillId="0" borderId="2" xfId="4" applyNumberFormat="1" applyFont="1" applyBorder="1" applyAlignment="1">
      <alignment horizontal="center" vertical="center"/>
    </xf>
    <xf numFmtId="10" fontId="31" fillId="0" borderId="0" xfId="2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167" fontId="32" fillId="12" borderId="52" xfId="4" applyNumberFormat="1" applyFont="1" applyFill="1" applyBorder="1" applyAlignment="1">
      <alignment horizontal="center" vertical="center"/>
    </xf>
    <xf numFmtId="0" fontId="31" fillId="0" borderId="40" xfId="0" applyFont="1" applyBorder="1" applyAlignment="1">
      <alignment horizontal="left" vertical="center"/>
    </xf>
    <xf numFmtId="0" fontId="31" fillId="0" borderId="41" xfId="0" applyFont="1" applyBorder="1" applyAlignment="1">
      <alignment horizontal="left" vertical="center"/>
    </xf>
    <xf numFmtId="0" fontId="31" fillId="0" borderId="42" xfId="0" applyFont="1" applyBorder="1" applyAlignment="1">
      <alignment horizontal="left" vertical="center"/>
    </xf>
    <xf numFmtId="0" fontId="0" fillId="0" borderId="0" xfId="1" applyFont="1" applyAlignment="1">
      <alignment horizontal="center"/>
    </xf>
    <xf numFmtId="0" fontId="2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8" fillId="0" borderId="0" xfId="1" applyFont="1" applyAlignment="1">
      <alignment horizontal="center" wrapText="1"/>
    </xf>
    <xf numFmtId="0" fontId="21" fillId="0" borderId="0" xfId="0" applyFont="1" applyAlignment="1">
      <alignment horizontal="center"/>
    </xf>
    <xf numFmtId="0" fontId="20" fillId="0" borderId="0" xfId="1" applyFont="1" applyAlignment="1">
      <alignment horizontal="center"/>
    </xf>
    <xf numFmtId="0" fontId="0" fillId="0" borderId="1" xfId="0" applyBorder="1" applyAlignment="1">
      <alignment horizontal="center"/>
    </xf>
    <xf numFmtId="0" fontId="7" fillId="6" borderId="2" xfId="1" applyFont="1" applyFill="1" applyBorder="1" applyAlignment="1">
      <alignment horizontal="center" wrapText="1"/>
    </xf>
    <xf numFmtId="0" fontId="7" fillId="6" borderId="3" xfId="1" applyFont="1" applyFill="1" applyBorder="1" applyAlignment="1">
      <alignment horizontal="center" wrapText="1"/>
    </xf>
    <xf numFmtId="0" fontId="0" fillId="0" borderId="0" xfId="0" applyAlignment="1">
      <alignment horizontal="center" wrapText="1" shrinkToFit="1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 indent="1"/>
    </xf>
    <xf numFmtId="0" fontId="7" fillId="2" borderId="1" xfId="0" applyFont="1" applyFill="1" applyBorder="1" applyAlignment="1">
      <alignment horizontal="left" vertical="center" indent="3"/>
    </xf>
    <xf numFmtId="0" fontId="0" fillId="0" borderId="2" xfId="0" applyBorder="1" applyAlignment="1">
      <alignment horizontal="left" vertical="center" wrapText="1" indent="1"/>
    </xf>
    <xf numFmtId="0" fontId="0" fillId="0" borderId="3" xfId="0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indent="1"/>
    </xf>
    <xf numFmtId="0" fontId="0" fillId="0" borderId="3" xfId="0" applyBorder="1" applyAlignment="1">
      <alignment horizontal="left" vertical="center" indent="1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7" fillId="3" borderId="1" xfId="0" applyFont="1" applyFill="1" applyBorder="1" applyAlignment="1">
      <alignment horizontal="left" vertical="center" indent="3"/>
    </xf>
    <xf numFmtId="0" fontId="31" fillId="0" borderId="0" xfId="0" applyFont="1" applyAlignment="1">
      <alignment horizontal="left" vertical="center"/>
    </xf>
    <xf numFmtId="167" fontId="31" fillId="12" borderId="2" xfId="4" applyNumberFormat="1" applyFont="1" applyFill="1" applyBorder="1" applyAlignment="1">
      <alignment horizontal="center" vertical="center"/>
    </xf>
    <xf numFmtId="167" fontId="31" fillId="12" borderId="33" xfId="4" applyNumberFormat="1" applyFont="1" applyFill="1" applyBorder="1" applyAlignment="1">
      <alignment horizontal="center" vertical="center"/>
    </xf>
    <xf numFmtId="167" fontId="31" fillId="12" borderId="44" xfId="4" applyNumberFormat="1" applyFont="1" applyFill="1" applyBorder="1" applyAlignment="1">
      <alignment horizontal="center" vertical="center"/>
    </xf>
    <xf numFmtId="0" fontId="32" fillId="12" borderId="32" xfId="0" applyFont="1" applyFill="1" applyBorder="1" applyAlignment="1">
      <alignment horizontal="left" vertical="center"/>
    </xf>
    <xf numFmtId="0" fontId="32" fillId="12" borderId="33" xfId="0" applyFont="1" applyFill="1" applyBorder="1" applyAlignment="1">
      <alignment horizontal="left" vertical="center"/>
    </xf>
    <xf numFmtId="0" fontId="32" fillId="12" borderId="3" xfId="0" applyFont="1" applyFill="1" applyBorder="1" applyAlignment="1">
      <alignment horizontal="left" vertical="center"/>
    </xf>
    <xf numFmtId="0" fontId="32" fillId="12" borderId="46" xfId="3" applyFont="1" applyFill="1" applyBorder="1" applyAlignment="1">
      <alignment horizontal="left" vertical="center" wrapText="1"/>
    </xf>
    <xf numFmtId="0" fontId="32" fillId="12" borderId="47" xfId="3" applyFont="1" applyFill="1" applyBorder="1" applyAlignment="1">
      <alignment horizontal="left" vertical="center" wrapText="1"/>
    </xf>
    <xf numFmtId="0" fontId="32" fillId="12" borderId="48" xfId="3" applyFont="1" applyFill="1" applyBorder="1" applyAlignment="1">
      <alignment horizontal="left" vertical="center" wrapText="1"/>
    </xf>
    <xf numFmtId="0" fontId="31" fillId="0" borderId="13" xfId="3" applyFont="1" applyBorder="1" applyAlignment="1">
      <alignment horizontal="left"/>
    </xf>
    <xf numFmtId="0" fontId="31" fillId="0" borderId="14" xfId="3" applyFont="1" applyBorder="1" applyAlignment="1">
      <alignment horizontal="left"/>
    </xf>
    <xf numFmtId="0" fontId="31" fillId="0" borderId="45" xfId="3" applyFont="1" applyBorder="1" applyAlignment="1">
      <alignment horizontal="left"/>
    </xf>
    <xf numFmtId="0" fontId="31" fillId="0" borderId="32" xfId="0" applyFont="1" applyBorder="1" applyAlignment="1">
      <alignment horizontal="left" vertical="center"/>
    </xf>
    <xf numFmtId="0" fontId="31" fillId="0" borderId="33" xfId="0" applyFont="1" applyBorder="1" applyAlignment="1">
      <alignment horizontal="left" vertical="center"/>
    </xf>
    <xf numFmtId="0" fontId="31" fillId="0" borderId="3" xfId="0" applyFont="1" applyBorder="1" applyAlignment="1">
      <alignment horizontal="left" vertical="center"/>
    </xf>
    <xf numFmtId="0" fontId="31" fillId="0" borderId="32" xfId="3" applyFont="1" applyBorder="1" applyAlignment="1">
      <alignment horizontal="left"/>
    </xf>
    <xf numFmtId="0" fontId="31" fillId="0" borderId="33" xfId="3" applyFont="1" applyBorder="1" applyAlignment="1">
      <alignment horizontal="left"/>
    </xf>
    <xf numFmtId="0" fontId="31" fillId="0" borderId="3" xfId="3" applyFont="1" applyBorder="1" applyAlignment="1">
      <alignment horizontal="left"/>
    </xf>
    <xf numFmtId="0" fontId="32" fillId="12" borderId="4" xfId="0" applyFont="1" applyFill="1" applyBorder="1" applyAlignment="1">
      <alignment horizontal="center" vertical="center"/>
    </xf>
    <xf numFmtId="0" fontId="32" fillId="12" borderId="5" xfId="0" applyFont="1" applyFill="1" applyBorder="1" applyAlignment="1">
      <alignment horizontal="center" vertical="center"/>
    </xf>
    <xf numFmtId="0" fontId="32" fillId="12" borderId="6" xfId="0" applyFont="1" applyFill="1" applyBorder="1" applyAlignment="1">
      <alignment horizontal="center" vertical="center"/>
    </xf>
    <xf numFmtId="0" fontId="32" fillId="12" borderId="2" xfId="0" applyFont="1" applyFill="1" applyBorder="1" applyAlignment="1">
      <alignment horizontal="left" vertical="center"/>
    </xf>
    <xf numFmtId="0" fontId="33" fillId="11" borderId="25" xfId="3" applyFont="1" applyFill="1" applyBorder="1" applyAlignment="1">
      <alignment horizontal="center" vertical="center"/>
    </xf>
    <xf numFmtId="0" fontId="33" fillId="11" borderId="26" xfId="3" applyFont="1" applyFill="1" applyBorder="1" applyAlignment="1">
      <alignment horizontal="center" vertical="center"/>
    </xf>
    <xf numFmtId="0" fontId="33" fillId="11" borderId="50" xfId="3" applyFont="1" applyFill="1" applyBorder="1" applyAlignment="1">
      <alignment horizontal="center" vertical="center"/>
    </xf>
    <xf numFmtId="0" fontId="33" fillId="11" borderId="38" xfId="3" applyFont="1" applyFill="1" applyBorder="1" applyAlignment="1">
      <alignment horizontal="center" vertical="center"/>
    </xf>
    <xf numFmtId="0" fontId="33" fillId="11" borderId="39" xfId="3" applyFont="1" applyFill="1" applyBorder="1" applyAlignment="1">
      <alignment horizontal="center" vertical="center"/>
    </xf>
    <xf numFmtId="0" fontId="33" fillId="11" borderId="24" xfId="3" applyFont="1" applyFill="1" applyBorder="1" applyAlignment="1">
      <alignment horizontal="center" vertical="center"/>
    </xf>
    <xf numFmtId="0" fontId="32" fillId="12" borderId="38" xfId="0" applyFont="1" applyFill="1" applyBorder="1" applyAlignment="1">
      <alignment horizontal="left" vertical="center"/>
    </xf>
    <xf numFmtId="0" fontId="32" fillId="12" borderId="39" xfId="0" applyFont="1" applyFill="1" applyBorder="1" applyAlignment="1">
      <alignment horizontal="left" vertical="center"/>
    </xf>
    <xf numFmtId="0" fontId="32" fillId="12" borderId="24" xfId="0" applyFont="1" applyFill="1" applyBorder="1" applyAlignment="1">
      <alignment horizontal="left" vertical="center"/>
    </xf>
    <xf numFmtId="0" fontId="32" fillId="12" borderId="46" xfId="0" applyFont="1" applyFill="1" applyBorder="1" applyAlignment="1">
      <alignment horizontal="center" vertical="center"/>
    </xf>
    <xf numFmtId="0" fontId="32" fillId="12" borderId="47" xfId="0" applyFont="1" applyFill="1" applyBorder="1" applyAlignment="1">
      <alignment horizontal="center" vertical="center"/>
    </xf>
    <xf numFmtId="0" fontId="32" fillId="12" borderId="48" xfId="0" applyFont="1" applyFill="1" applyBorder="1" applyAlignment="1">
      <alignment horizontal="center" vertical="center"/>
    </xf>
    <xf numFmtId="0" fontId="32" fillId="12" borderId="35" xfId="3" applyFont="1" applyFill="1" applyBorder="1" applyAlignment="1">
      <alignment horizontal="left" vertical="center" wrapText="1"/>
    </xf>
    <xf numFmtId="0" fontId="32" fillId="12" borderId="36" xfId="3" applyFont="1" applyFill="1" applyBorder="1" applyAlignment="1">
      <alignment horizontal="left" vertical="center" wrapText="1"/>
    </xf>
    <xf numFmtId="0" fontId="29" fillId="10" borderId="15" xfId="0" applyFont="1" applyFill="1" applyBorder="1" applyAlignment="1">
      <alignment horizontal="center"/>
    </xf>
    <xf numFmtId="0" fontId="29" fillId="10" borderId="16" xfId="0" applyFont="1" applyFill="1" applyBorder="1" applyAlignment="1">
      <alignment horizontal="center"/>
    </xf>
    <xf numFmtId="0" fontId="29" fillId="10" borderId="18" xfId="0" applyFont="1" applyFill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29" fillId="10" borderId="20" xfId="0" applyFont="1" applyFill="1" applyBorder="1" applyAlignment="1">
      <alignment horizontal="center"/>
    </xf>
    <xf numFmtId="0" fontId="29" fillId="10" borderId="21" xfId="0" applyFont="1" applyFill="1" applyBorder="1" applyAlignment="1">
      <alignment horizontal="center"/>
    </xf>
    <xf numFmtId="49" fontId="30" fillId="10" borderId="16" xfId="0" applyNumberFormat="1" applyFont="1" applyFill="1" applyBorder="1" applyAlignment="1">
      <alignment horizontal="center" vertical="center" wrapText="1"/>
    </xf>
    <xf numFmtId="49" fontId="30" fillId="10" borderId="17" xfId="0" applyNumberFormat="1" applyFont="1" applyFill="1" applyBorder="1" applyAlignment="1">
      <alignment horizontal="center" vertical="center" wrapText="1"/>
    </xf>
    <xf numFmtId="49" fontId="30" fillId="10" borderId="1" xfId="0" applyNumberFormat="1" applyFont="1" applyFill="1" applyBorder="1" applyAlignment="1">
      <alignment horizontal="center" vertical="center" wrapText="1"/>
    </xf>
    <xf numFmtId="49" fontId="30" fillId="10" borderId="19" xfId="0" applyNumberFormat="1" applyFont="1" applyFill="1" applyBorder="1" applyAlignment="1">
      <alignment horizontal="center" vertical="center" wrapText="1"/>
    </xf>
    <xf numFmtId="49" fontId="30" fillId="10" borderId="21" xfId="0" applyNumberFormat="1" applyFont="1" applyFill="1" applyBorder="1" applyAlignment="1">
      <alignment horizontal="center" vertical="center" wrapText="1"/>
    </xf>
    <xf numFmtId="14" fontId="30" fillId="10" borderId="1" xfId="0" applyNumberFormat="1" applyFont="1" applyFill="1" applyBorder="1" applyAlignment="1">
      <alignment horizontal="center" vertical="center" wrapText="1"/>
    </xf>
    <xf numFmtId="14" fontId="30" fillId="10" borderId="19" xfId="0" applyNumberFormat="1" applyFont="1" applyFill="1" applyBorder="1" applyAlignment="1">
      <alignment horizontal="center" vertical="center" wrapText="1"/>
    </xf>
    <xf numFmtId="14" fontId="30" fillId="10" borderId="21" xfId="0" applyNumberFormat="1" applyFont="1" applyFill="1" applyBorder="1" applyAlignment="1">
      <alignment horizontal="center" vertical="center" wrapText="1"/>
    </xf>
    <xf numFmtId="14" fontId="30" fillId="10" borderId="22" xfId="0" applyNumberFormat="1" applyFont="1" applyFill="1" applyBorder="1" applyAlignment="1">
      <alignment horizontal="center" vertical="center" wrapText="1"/>
    </xf>
    <xf numFmtId="0" fontId="31" fillId="0" borderId="15" xfId="3" applyFont="1" applyBorder="1" applyAlignment="1">
      <alignment horizontal="center" vertical="center"/>
    </xf>
    <xf numFmtId="0" fontId="31" fillId="0" borderId="16" xfId="3" applyFont="1" applyBorder="1" applyAlignment="1">
      <alignment horizontal="center" vertical="center"/>
    </xf>
    <xf numFmtId="0" fontId="31" fillId="0" borderId="27" xfId="3" applyFont="1" applyBorder="1" applyAlignment="1">
      <alignment horizontal="center" vertical="center"/>
    </xf>
    <xf numFmtId="0" fontId="31" fillId="0" borderId="28" xfId="3" applyFont="1" applyBorder="1" applyAlignment="1">
      <alignment horizontal="center" vertical="center"/>
    </xf>
    <xf numFmtId="0" fontId="32" fillId="9" borderId="23" xfId="3" applyFont="1" applyFill="1" applyBorder="1" applyAlignment="1">
      <alignment horizontal="center" vertical="center"/>
    </xf>
    <xf numFmtId="0" fontId="32" fillId="9" borderId="24" xfId="3" applyFont="1" applyFill="1" applyBorder="1" applyAlignment="1">
      <alignment horizontal="center" vertical="center"/>
    </xf>
    <xf numFmtId="0" fontId="31" fillId="0" borderId="25" xfId="3" applyFont="1" applyBorder="1" applyAlignment="1">
      <alignment horizontal="center" vertical="center"/>
    </xf>
    <xf numFmtId="0" fontId="31" fillId="0" borderId="26" xfId="3" applyFont="1" applyBorder="1" applyAlignment="1">
      <alignment horizontal="center" vertical="center"/>
    </xf>
    <xf numFmtId="0" fontId="31" fillId="0" borderId="29" xfId="3" applyFont="1" applyBorder="1" applyAlignment="1">
      <alignment horizontal="center" vertical="center"/>
    </xf>
    <xf numFmtId="0" fontId="31" fillId="0" borderId="30" xfId="3" applyFont="1" applyBorder="1" applyAlignment="1">
      <alignment horizontal="center" vertical="center"/>
    </xf>
    <xf numFmtId="0" fontId="33" fillId="11" borderId="15" xfId="3" applyFont="1" applyFill="1" applyBorder="1" applyAlignment="1">
      <alignment horizontal="center" vertical="center"/>
    </xf>
    <xf numFmtId="0" fontId="33" fillId="11" borderId="16" xfId="3" applyFont="1" applyFill="1" applyBorder="1" applyAlignment="1">
      <alignment horizontal="center" vertical="center"/>
    </xf>
    <xf numFmtId="0" fontId="33" fillId="11" borderId="17" xfId="3" applyFont="1" applyFill="1" applyBorder="1" applyAlignment="1">
      <alignment horizontal="center" vertical="center"/>
    </xf>
    <xf numFmtId="0" fontId="33" fillId="11" borderId="31" xfId="3" applyFont="1" applyFill="1" applyBorder="1" applyAlignment="1">
      <alignment horizontal="center" vertical="center"/>
    </xf>
  </cellXfs>
  <cellStyles count="5">
    <cellStyle name="Millares 2" xfId="4" xr:uid="{43315266-17D7-45DE-A32A-A9EAE531E0FD}"/>
    <cellStyle name="Normal" xfId="0" builtinId="0"/>
    <cellStyle name="Normal 2" xfId="1" xr:uid="{00000000-0005-0000-0000-000001000000}"/>
    <cellStyle name="Normal 2 2" xfId="3" xr:uid="{D74EC5F7-6D47-4252-883F-31B1CB41C0F3}"/>
    <cellStyle name="Percent" xfId="2" builtinId="5"/>
  </cellStyles>
  <dxfs count="2"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pixabay.com/en/water-transportation-information-44086/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343308</xdr:colOff>
      <xdr:row>5</xdr:row>
      <xdr:rowOff>161433</xdr:rowOff>
    </xdr:from>
    <xdr:to>
      <xdr:col>3</xdr:col>
      <xdr:colOff>660808</xdr:colOff>
      <xdr:row>8</xdr:row>
      <xdr:rowOff>61870</xdr:rowOff>
    </xdr:to>
    <xdr:sp macro="" textlink="">
      <xdr:nvSpPr>
        <xdr:cNvPr id="2" name="Cilindro 1">
          <a:extLst>
            <a:ext uri="{FF2B5EF4-FFF2-40B4-BE49-F238E27FC236}">
              <a16:creationId xmlns:a16="http://schemas.microsoft.com/office/drawing/2014/main" id="{D1C53867-2CC8-4F50-93B0-DCF3071DCB3D}"/>
            </a:ext>
          </a:extLst>
        </xdr:cNvPr>
        <xdr:cNvSpPr/>
      </xdr:nvSpPr>
      <xdr:spPr>
        <a:xfrm>
          <a:off x="1867308" y="900342"/>
          <a:ext cx="317500" cy="454619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3</xdr:col>
      <xdr:colOff>329452</xdr:colOff>
      <xdr:row>21</xdr:row>
      <xdr:rowOff>24924</xdr:rowOff>
    </xdr:from>
    <xdr:to>
      <xdr:col>3</xdr:col>
      <xdr:colOff>646952</xdr:colOff>
      <xdr:row>23</xdr:row>
      <xdr:rowOff>105438</xdr:rowOff>
    </xdr:to>
    <xdr:sp macro="" textlink="">
      <xdr:nvSpPr>
        <xdr:cNvPr id="3" name="Cilindro 2">
          <a:extLst>
            <a:ext uri="{FF2B5EF4-FFF2-40B4-BE49-F238E27FC236}">
              <a16:creationId xmlns:a16="http://schemas.microsoft.com/office/drawing/2014/main" id="{849921AA-4D5E-4453-896B-0A666FA51754}"/>
            </a:ext>
          </a:extLst>
        </xdr:cNvPr>
        <xdr:cNvSpPr/>
      </xdr:nvSpPr>
      <xdr:spPr>
        <a:xfrm>
          <a:off x="1853452" y="3719469"/>
          <a:ext cx="317500" cy="449969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3</xdr:col>
      <xdr:colOff>444908</xdr:colOff>
      <xdr:row>12</xdr:row>
      <xdr:rowOff>104861</xdr:rowOff>
    </xdr:from>
    <xdr:to>
      <xdr:col>3</xdr:col>
      <xdr:colOff>559208</xdr:colOff>
      <xdr:row>18</xdr:row>
      <xdr:rowOff>35009</xdr:rowOff>
    </xdr:to>
    <xdr:sp macro="" textlink="">
      <xdr:nvSpPr>
        <xdr:cNvPr id="4" name="Cilindro 3">
          <a:extLst>
            <a:ext uri="{FF2B5EF4-FFF2-40B4-BE49-F238E27FC236}">
              <a16:creationId xmlns:a16="http://schemas.microsoft.com/office/drawing/2014/main" id="{C9C7346A-957A-4BF0-A2C8-F4D7B72647F1}"/>
            </a:ext>
          </a:extLst>
        </xdr:cNvPr>
        <xdr:cNvSpPr/>
      </xdr:nvSpPr>
      <xdr:spPr>
        <a:xfrm>
          <a:off x="2250122" y="2445290"/>
          <a:ext cx="114300" cy="1018719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5</xdr:col>
      <xdr:colOff>90713</xdr:colOff>
      <xdr:row>38</xdr:row>
      <xdr:rowOff>45357</xdr:rowOff>
    </xdr:from>
    <xdr:to>
      <xdr:col>6</xdr:col>
      <xdr:colOff>761999</xdr:colOff>
      <xdr:row>40</xdr:row>
      <xdr:rowOff>136072</xdr:rowOff>
    </xdr:to>
    <xdr:sp macro="" textlink="">
      <xdr:nvSpPr>
        <xdr:cNvPr id="6" name="Rectángulo: esquinas superiores cortadas 5">
          <a:extLst>
            <a:ext uri="{FF2B5EF4-FFF2-40B4-BE49-F238E27FC236}">
              <a16:creationId xmlns:a16="http://schemas.microsoft.com/office/drawing/2014/main" id="{B01C9DC3-1268-401F-BF3F-88017F48E61A}"/>
            </a:ext>
          </a:extLst>
        </xdr:cNvPr>
        <xdr:cNvSpPr/>
      </xdr:nvSpPr>
      <xdr:spPr>
        <a:xfrm>
          <a:off x="2376713" y="6413500"/>
          <a:ext cx="1433286" cy="453572"/>
        </a:xfrm>
        <a:custGeom>
          <a:avLst/>
          <a:gdLst>
            <a:gd name="connsiteX0" fmla="*/ 157389 w 1028700"/>
            <a:gd name="connsiteY0" fmla="*/ 0 h 314778"/>
            <a:gd name="connsiteX1" fmla="*/ 871311 w 1028700"/>
            <a:gd name="connsiteY1" fmla="*/ 0 h 314778"/>
            <a:gd name="connsiteX2" fmla="*/ 1028700 w 1028700"/>
            <a:gd name="connsiteY2" fmla="*/ 157389 h 314778"/>
            <a:gd name="connsiteX3" fmla="*/ 1028700 w 1028700"/>
            <a:gd name="connsiteY3" fmla="*/ 314778 h 314778"/>
            <a:gd name="connsiteX4" fmla="*/ 1028700 w 1028700"/>
            <a:gd name="connsiteY4" fmla="*/ 314778 h 314778"/>
            <a:gd name="connsiteX5" fmla="*/ 0 w 1028700"/>
            <a:gd name="connsiteY5" fmla="*/ 314778 h 314778"/>
            <a:gd name="connsiteX6" fmla="*/ 0 w 1028700"/>
            <a:gd name="connsiteY6" fmla="*/ 314778 h 314778"/>
            <a:gd name="connsiteX7" fmla="*/ 0 w 1028700"/>
            <a:gd name="connsiteY7" fmla="*/ 157389 h 314778"/>
            <a:gd name="connsiteX8" fmla="*/ 157389 w 1028700"/>
            <a:gd name="connsiteY8" fmla="*/ 0 h 314778"/>
            <a:gd name="connsiteX0" fmla="*/ 447674 w 1028700"/>
            <a:gd name="connsiteY0" fmla="*/ 0 h 332921"/>
            <a:gd name="connsiteX1" fmla="*/ 871311 w 1028700"/>
            <a:gd name="connsiteY1" fmla="*/ 18143 h 332921"/>
            <a:gd name="connsiteX2" fmla="*/ 1028700 w 1028700"/>
            <a:gd name="connsiteY2" fmla="*/ 175532 h 332921"/>
            <a:gd name="connsiteX3" fmla="*/ 1028700 w 1028700"/>
            <a:gd name="connsiteY3" fmla="*/ 332921 h 332921"/>
            <a:gd name="connsiteX4" fmla="*/ 1028700 w 1028700"/>
            <a:gd name="connsiteY4" fmla="*/ 332921 h 332921"/>
            <a:gd name="connsiteX5" fmla="*/ 0 w 1028700"/>
            <a:gd name="connsiteY5" fmla="*/ 332921 h 332921"/>
            <a:gd name="connsiteX6" fmla="*/ 0 w 1028700"/>
            <a:gd name="connsiteY6" fmla="*/ 332921 h 332921"/>
            <a:gd name="connsiteX7" fmla="*/ 0 w 1028700"/>
            <a:gd name="connsiteY7" fmla="*/ 175532 h 332921"/>
            <a:gd name="connsiteX8" fmla="*/ 447674 w 1028700"/>
            <a:gd name="connsiteY8" fmla="*/ 0 h 332921"/>
            <a:gd name="connsiteX0" fmla="*/ 447674 w 1028700"/>
            <a:gd name="connsiteY0" fmla="*/ 0 h 332921"/>
            <a:gd name="connsiteX1" fmla="*/ 635454 w 1028700"/>
            <a:gd name="connsiteY1" fmla="*/ 9072 h 332921"/>
            <a:gd name="connsiteX2" fmla="*/ 1028700 w 1028700"/>
            <a:gd name="connsiteY2" fmla="*/ 175532 h 332921"/>
            <a:gd name="connsiteX3" fmla="*/ 1028700 w 1028700"/>
            <a:gd name="connsiteY3" fmla="*/ 332921 h 332921"/>
            <a:gd name="connsiteX4" fmla="*/ 1028700 w 1028700"/>
            <a:gd name="connsiteY4" fmla="*/ 332921 h 332921"/>
            <a:gd name="connsiteX5" fmla="*/ 0 w 1028700"/>
            <a:gd name="connsiteY5" fmla="*/ 332921 h 332921"/>
            <a:gd name="connsiteX6" fmla="*/ 0 w 1028700"/>
            <a:gd name="connsiteY6" fmla="*/ 332921 h 332921"/>
            <a:gd name="connsiteX7" fmla="*/ 0 w 1028700"/>
            <a:gd name="connsiteY7" fmla="*/ 175532 h 332921"/>
            <a:gd name="connsiteX8" fmla="*/ 447674 w 1028700"/>
            <a:gd name="connsiteY8" fmla="*/ 0 h 33292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1028700" h="332921">
              <a:moveTo>
                <a:pt x="447674" y="0"/>
              </a:moveTo>
              <a:lnTo>
                <a:pt x="635454" y="9072"/>
              </a:lnTo>
              <a:lnTo>
                <a:pt x="1028700" y="175532"/>
              </a:lnTo>
              <a:lnTo>
                <a:pt x="1028700" y="332921"/>
              </a:lnTo>
              <a:lnTo>
                <a:pt x="1028700" y="332921"/>
              </a:lnTo>
              <a:lnTo>
                <a:pt x="0" y="332921"/>
              </a:lnTo>
              <a:lnTo>
                <a:pt x="0" y="332921"/>
              </a:lnTo>
              <a:lnTo>
                <a:pt x="0" y="175532"/>
              </a:lnTo>
              <a:lnTo>
                <a:pt x="447674" y="0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1100">
              <a:solidFill>
                <a:schemeClr val="tx2"/>
              </a:solidFill>
            </a:rPr>
            <a:t>Cancha CNN</a:t>
          </a:r>
        </a:p>
        <a:p>
          <a:pPr algn="ctr"/>
          <a:r>
            <a:rPr lang="es-CL" sz="1100">
              <a:solidFill>
                <a:schemeClr val="tx2"/>
              </a:solidFill>
            </a:rPr>
            <a:t>Puerto</a:t>
          </a:r>
        </a:p>
      </xdr:txBody>
    </xdr:sp>
    <xdr:clientData/>
  </xdr:twoCellAnchor>
  <xdr:twoCellAnchor>
    <xdr:from>
      <xdr:col>2</xdr:col>
      <xdr:colOff>568716</xdr:colOff>
      <xdr:row>34</xdr:row>
      <xdr:rowOff>26555</xdr:rowOff>
    </xdr:from>
    <xdr:to>
      <xdr:col>4</xdr:col>
      <xdr:colOff>480786</xdr:colOff>
      <xdr:row>36</xdr:row>
      <xdr:rowOff>9072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3EE2062B-F87C-41CA-B38F-3F81F7E12AD9}"/>
            </a:ext>
          </a:extLst>
        </xdr:cNvPr>
        <xdr:cNvSpPr/>
      </xdr:nvSpPr>
      <xdr:spPr>
        <a:xfrm>
          <a:off x="568716" y="5297055"/>
          <a:ext cx="1436070" cy="535874"/>
        </a:xfrm>
        <a:prstGeom prst="rect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es-CL" sz="1100">
              <a:solidFill>
                <a:schemeClr val="tx2"/>
              </a:solidFill>
              <a:latin typeface="+mn-lt"/>
              <a:ea typeface="+mn-ea"/>
              <a:cs typeface="+mn-cs"/>
            </a:rPr>
            <a:t>Filtros CNN</a:t>
          </a:r>
        </a:p>
      </xdr:txBody>
    </xdr:sp>
    <xdr:clientData/>
  </xdr:twoCellAnchor>
  <xdr:twoCellAnchor>
    <xdr:from>
      <xdr:col>8</xdr:col>
      <xdr:colOff>707571</xdr:colOff>
      <xdr:row>25</xdr:row>
      <xdr:rowOff>72572</xdr:rowOff>
    </xdr:from>
    <xdr:to>
      <xdr:col>10</xdr:col>
      <xdr:colOff>737292</xdr:colOff>
      <xdr:row>28</xdr:row>
      <xdr:rowOff>36286</xdr:rowOff>
    </xdr:to>
    <xdr:sp macro="" textlink="">
      <xdr:nvSpPr>
        <xdr:cNvPr id="8" name="Forma libre: forma 7">
          <a:extLst>
            <a:ext uri="{FF2B5EF4-FFF2-40B4-BE49-F238E27FC236}">
              <a16:creationId xmlns:a16="http://schemas.microsoft.com/office/drawing/2014/main" id="{E4EDB149-C620-4CCA-9A24-781FF5A86176}"/>
            </a:ext>
          </a:extLst>
        </xdr:cNvPr>
        <xdr:cNvSpPr/>
      </xdr:nvSpPr>
      <xdr:spPr>
        <a:xfrm>
          <a:off x="5279571" y="3882572"/>
          <a:ext cx="2007292" cy="508000"/>
        </a:xfrm>
        <a:custGeom>
          <a:avLst/>
          <a:gdLst>
            <a:gd name="connsiteX0" fmla="*/ 0 w 1651000"/>
            <a:gd name="connsiteY0" fmla="*/ 23091 h 230909"/>
            <a:gd name="connsiteX1" fmla="*/ 254000 w 1651000"/>
            <a:gd name="connsiteY1" fmla="*/ 34636 h 230909"/>
            <a:gd name="connsiteX2" fmla="*/ 484909 w 1651000"/>
            <a:gd name="connsiteY2" fmla="*/ 230909 h 230909"/>
            <a:gd name="connsiteX3" fmla="*/ 958273 w 1651000"/>
            <a:gd name="connsiteY3" fmla="*/ 207818 h 230909"/>
            <a:gd name="connsiteX4" fmla="*/ 1166091 w 1651000"/>
            <a:gd name="connsiteY4" fmla="*/ 46182 h 230909"/>
            <a:gd name="connsiteX5" fmla="*/ 1651000 w 1651000"/>
            <a:gd name="connsiteY5" fmla="*/ 11545 h 230909"/>
            <a:gd name="connsiteX6" fmla="*/ 1639455 w 1651000"/>
            <a:gd name="connsiteY6" fmla="*/ 0 h 230909"/>
            <a:gd name="connsiteX0" fmla="*/ 0 w 1651000"/>
            <a:gd name="connsiteY0" fmla="*/ 23091 h 236041"/>
            <a:gd name="connsiteX1" fmla="*/ 254000 w 1651000"/>
            <a:gd name="connsiteY1" fmla="*/ 34636 h 236041"/>
            <a:gd name="connsiteX2" fmla="*/ 484909 w 1651000"/>
            <a:gd name="connsiteY2" fmla="*/ 230909 h 236041"/>
            <a:gd name="connsiteX3" fmla="*/ 980360 w 1651000"/>
            <a:gd name="connsiteY3" fmla="*/ 236041 h 236041"/>
            <a:gd name="connsiteX4" fmla="*/ 1166091 w 1651000"/>
            <a:gd name="connsiteY4" fmla="*/ 46182 h 236041"/>
            <a:gd name="connsiteX5" fmla="*/ 1651000 w 1651000"/>
            <a:gd name="connsiteY5" fmla="*/ 11545 h 236041"/>
            <a:gd name="connsiteX6" fmla="*/ 1639455 w 1651000"/>
            <a:gd name="connsiteY6" fmla="*/ 0 h 236041"/>
            <a:gd name="connsiteX0" fmla="*/ 0 w 1651000"/>
            <a:gd name="connsiteY0" fmla="*/ 23091 h 236041"/>
            <a:gd name="connsiteX1" fmla="*/ 254000 w 1651000"/>
            <a:gd name="connsiteY1" fmla="*/ 34636 h 236041"/>
            <a:gd name="connsiteX2" fmla="*/ 484909 w 1651000"/>
            <a:gd name="connsiteY2" fmla="*/ 230909 h 236041"/>
            <a:gd name="connsiteX3" fmla="*/ 980360 w 1651000"/>
            <a:gd name="connsiteY3" fmla="*/ 236041 h 236041"/>
            <a:gd name="connsiteX4" fmla="*/ 1160569 w 1651000"/>
            <a:gd name="connsiteY4" fmla="*/ 12316 h 236041"/>
            <a:gd name="connsiteX5" fmla="*/ 1651000 w 1651000"/>
            <a:gd name="connsiteY5" fmla="*/ 11545 h 236041"/>
            <a:gd name="connsiteX6" fmla="*/ 1639455 w 1651000"/>
            <a:gd name="connsiteY6" fmla="*/ 0 h 236041"/>
            <a:gd name="connsiteX0" fmla="*/ 0 w 1651000"/>
            <a:gd name="connsiteY0" fmla="*/ 11546 h 224496"/>
            <a:gd name="connsiteX1" fmla="*/ 254000 w 1651000"/>
            <a:gd name="connsiteY1" fmla="*/ 23091 h 224496"/>
            <a:gd name="connsiteX2" fmla="*/ 484909 w 1651000"/>
            <a:gd name="connsiteY2" fmla="*/ 219364 h 224496"/>
            <a:gd name="connsiteX3" fmla="*/ 980360 w 1651000"/>
            <a:gd name="connsiteY3" fmla="*/ 224496 h 224496"/>
            <a:gd name="connsiteX4" fmla="*/ 1160569 w 1651000"/>
            <a:gd name="connsiteY4" fmla="*/ 771 h 224496"/>
            <a:gd name="connsiteX5" fmla="*/ 1651000 w 1651000"/>
            <a:gd name="connsiteY5" fmla="*/ 0 h 224496"/>
            <a:gd name="connsiteX0" fmla="*/ 0 w 1546087"/>
            <a:gd name="connsiteY0" fmla="*/ 10775 h 223725"/>
            <a:gd name="connsiteX1" fmla="*/ 254000 w 1546087"/>
            <a:gd name="connsiteY1" fmla="*/ 22320 h 223725"/>
            <a:gd name="connsiteX2" fmla="*/ 484909 w 1546087"/>
            <a:gd name="connsiteY2" fmla="*/ 218593 h 223725"/>
            <a:gd name="connsiteX3" fmla="*/ 980360 w 1546087"/>
            <a:gd name="connsiteY3" fmla="*/ 223725 h 223725"/>
            <a:gd name="connsiteX4" fmla="*/ 1160569 w 1546087"/>
            <a:gd name="connsiteY4" fmla="*/ 0 h 223725"/>
            <a:gd name="connsiteX5" fmla="*/ 1546087 w 1546087"/>
            <a:gd name="connsiteY5" fmla="*/ 4874 h 223725"/>
            <a:gd name="connsiteX0" fmla="*/ 0 w 1546087"/>
            <a:gd name="connsiteY0" fmla="*/ 10775 h 223725"/>
            <a:gd name="connsiteX1" fmla="*/ 254000 w 1546087"/>
            <a:gd name="connsiteY1" fmla="*/ 22320 h 223725"/>
            <a:gd name="connsiteX2" fmla="*/ 484909 w 1546087"/>
            <a:gd name="connsiteY2" fmla="*/ 218593 h 223725"/>
            <a:gd name="connsiteX3" fmla="*/ 696309 w 1546087"/>
            <a:gd name="connsiteY3" fmla="*/ 209787 h 223725"/>
            <a:gd name="connsiteX4" fmla="*/ 980360 w 1546087"/>
            <a:gd name="connsiteY4" fmla="*/ 223725 h 223725"/>
            <a:gd name="connsiteX5" fmla="*/ 1160569 w 1546087"/>
            <a:gd name="connsiteY5" fmla="*/ 0 h 223725"/>
            <a:gd name="connsiteX6" fmla="*/ 1546087 w 1546087"/>
            <a:gd name="connsiteY6" fmla="*/ 4874 h 22372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</a:cxnLst>
          <a:rect l="l" t="t" r="r" b="b"/>
          <a:pathLst>
            <a:path w="1546087" h="223725">
              <a:moveTo>
                <a:pt x="0" y="10775"/>
              </a:moveTo>
              <a:lnTo>
                <a:pt x="254000" y="22320"/>
              </a:lnTo>
              <a:lnTo>
                <a:pt x="484909" y="218593"/>
              </a:lnTo>
              <a:lnTo>
                <a:pt x="696309" y="209787"/>
              </a:lnTo>
              <a:lnTo>
                <a:pt x="980360" y="223725"/>
              </a:lnTo>
              <a:lnTo>
                <a:pt x="1160569" y="0"/>
              </a:lnTo>
              <a:lnTo>
                <a:pt x="1546087" y="4874"/>
              </a:lnTo>
            </a:path>
          </a:pathLst>
        </a:custGeom>
        <a:noFill/>
        <a:ln w="28575"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1100">
              <a:solidFill>
                <a:schemeClr val="tx2"/>
              </a:solidFill>
            </a:rPr>
            <a:t>Piscina de </a:t>
          </a:r>
        </a:p>
        <a:p>
          <a:pPr algn="ctr"/>
          <a:r>
            <a:rPr lang="es-CL" sz="1100">
              <a:solidFill>
                <a:schemeClr val="tx2"/>
              </a:solidFill>
            </a:rPr>
            <a:t>Emergencia</a:t>
          </a:r>
        </a:p>
      </xdr:txBody>
    </xdr:sp>
    <xdr:clientData/>
  </xdr:twoCellAnchor>
  <xdr:twoCellAnchor>
    <xdr:from>
      <xdr:col>3</xdr:col>
      <xdr:colOff>502058</xdr:colOff>
      <xdr:row>8</xdr:row>
      <xdr:rowOff>61870</xdr:rowOff>
    </xdr:from>
    <xdr:to>
      <xdr:col>3</xdr:col>
      <xdr:colOff>502058</xdr:colOff>
      <xdr:row>12</xdr:row>
      <xdr:rowOff>104861</xdr:rowOff>
    </xdr:to>
    <xdr:cxnSp macro="">
      <xdr:nvCxnSpPr>
        <xdr:cNvPr id="10" name="Conector recto de flecha 9">
          <a:extLst>
            <a:ext uri="{FF2B5EF4-FFF2-40B4-BE49-F238E27FC236}">
              <a16:creationId xmlns:a16="http://schemas.microsoft.com/office/drawing/2014/main" id="{9A5910C1-3B35-413E-8D24-DE065080C96E}"/>
            </a:ext>
          </a:extLst>
        </xdr:cNvPr>
        <xdr:cNvCxnSpPr>
          <a:stCxn id="2" idx="3"/>
          <a:endCxn id="4" idx="1"/>
        </xdr:cNvCxnSpPr>
      </xdr:nvCxnSpPr>
      <xdr:spPr>
        <a:xfrm>
          <a:off x="2026058" y="1354961"/>
          <a:ext cx="0" cy="7819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488202</xdr:colOff>
      <xdr:row>18</xdr:row>
      <xdr:rowOff>35009</xdr:rowOff>
    </xdr:from>
    <xdr:to>
      <xdr:col>3</xdr:col>
      <xdr:colOff>502058</xdr:colOff>
      <xdr:row>21</xdr:row>
      <xdr:rowOff>24924</xdr:rowOff>
    </xdr:to>
    <xdr:cxnSp macro="">
      <xdr:nvCxnSpPr>
        <xdr:cNvPr id="11" name="Conector recto de flecha 10">
          <a:extLst>
            <a:ext uri="{FF2B5EF4-FFF2-40B4-BE49-F238E27FC236}">
              <a16:creationId xmlns:a16="http://schemas.microsoft.com/office/drawing/2014/main" id="{FD1BCC3E-1141-46B4-9332-9C90BDCCE380}"/>
            </a:ext>
          </a:extLst>
        </xdr:cNvPr>
        <xdr:cNvCxnSpPr>
          <a:stCxn id="4" idx="3"/>
          <a:endCxn id="3" idx="1"/>
        </xdr:cNvCxnSpPr>
      </xdr:nvCxnSpPr>
      <xdr:spPr>
        <a:xfrm flipH="1">
          <a:off x="2012202" y="3175373"/>
          <a:ext cx="13856" cy="54409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496455</xdr:colOff>
      <xdr:row>1</xdr:row>
      <xdr:rowOff>127001</xdr:rowOff>
    </xdr:from>
    <xdr:to>
      <xdr:col>3</xdr:col>
      <xdr:colOff>502058</xdr:colOff>
      <xdr:row>5</xdr:row>
      <xdr:rowOff>161433</xdr:rowOff>
    </xdr:to>
    <xdr:cxnSp macro="">
      <xdr:nvCxnSpPr>
        <xdr:cNvPr id="15" name="Conector recto de flecha 14">
          <a:extLst>
            <a:ext uri="{FF2B5EF4-FFF2-40B4-BE49-F238E27FC236}">
              <a16:creationId xmlns:a16="http://schemas.microsoft.com/office/drawing/2014/main" id="{7162E7C0-38A0-4487-BEE2-CA5CA0A77FC6}"/>
            </a:ext>
          </a:extLst>
        </xdr:cNvPr>
        <xdr:cNvCxnSpPr>
          <a:endCxn id="2" idx="1"/>
        </xdr:cNvCxnSpPr>
      </xdr:nvCxnSpPr>
      <xdr:spPr>
        <a:xfrm>
          <a:off x="2020455" y="127001"/>
          <a:ext cx="5603" cy="77334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485321</xdr:colOff>
      <xdr:row>23</xdr:row>
      <xdr:rowOff>105438</xdr:rowOff>
    </xdr:from>
    <xdr:to>
      <xdr:col>3</xdr:col>
      <xdr:colOff>488202</xdr:colOff>
      <xdr:row>28</xdr:row>
      <xdr:rowOff>11810</xdr:rowOff>
    </xdr:to>
    <xdr:cxnSp macro="">
      <xdr:nvCxnSpPr>
        <xdr:cNvPr id="18" name="Conector recto de flecha 17">
          <a:extLst>
            <a:ext uri="{FF2B5EF4-FFF2-40B4-BE49-F238E27FC236}">
              <a16:creationId xmlns:a16="http://schemas.microsoft.com/office/drawing/2014/main" id="{01896559-C38D-4AF1-9787-11A2EB5E4168}"/>
            </a:ext>
          </a:extLst>
        </xdr:cNvPr>
        <xdr:cNvCxnSpPr>
          <a:cxnSpLocks/>
          <a:stCxn id="3" idx="3"/>
          <a:endCxn id="78" idx="5"/>
        </xdr:cNvCxnSpPr>
      </xdr:nvCxnSpPr>
      <xdr:spPr>
        <a:xfrm flipH="1">
          <a:off x="2009321" y="4169438"/>
          <a:ext cx="2881" cy="83000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522015</xdr:colOff>
      <xdr:row>30</xdr:row>
      <xdr:rowOff>87086</xdr:rowOff>
    </xdr:from>
    <xdr:to>
      <xdr:col>3</xdr:col>
      <xdr:colOff>524751</xdr:colOff>
      <xdr:row>34</xdr:row>
      <xdr:rowOff>26555</xdr:rowOff>
    </xdr:to>
    <xdr:cxnSp macro="">
      <xdr:nvCxnSpPr>
        <xdr:cNvPr id="24" name="Conector recto de flecha 23">
          <a:extLst>
            <a:ext uri="{FF2B5EF4-FFF2-40B4-BE49-F238E27FC236}">
              <a16:creationId xmlns:a16="http://schemas.microsoft.com/office/drawing/2014/main" id="{2DF1984C-BD04-41BF-8C34-E99282246C14}"/>
            </a:ext>
          </a:extLst>
        </xdr:cNvPr>
        <xdr:cNvCxnSpPr>
          <a:cxnSpLocks/>
          <a:stCxn id="78" idx="2"/>
          <a:endCxn id="7" idx="0"/>
        </xdr:cNvCxnSpPr>
      </xdr:nvCxnSpPr>
      <xdr:spPr>
        <a:xfrm>
          <a:off x="1284015" y="4804229"/>
          <a:ext cx="2736" cy="49282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497536</xdr:colOff>
      <xdr:row>35</xdr:row>
      <xdr:rowOff>244929</xdr:rowOff>
    </xdr:from>
    <xdr:to>
      <xdr:col>5</xdr:col>
      <xdr:colOff>90713</xdr:colOff>
      <xdr:row>40</xdr:row>
      <xdr:rowOff>136071</xdr:rowOff>
    </xdr:to>
    <xdr:cxnSp macro="">
      <xdr:nvCxnSpPr>
        <xdr:cNvPr id="30" name="Conector: angular 29">
          <a:extLst>
            <a:ext uri="{FF2B5EF4-FFF2-40B4-BE49-F238E27FC236}">
              <a16:creationId xmlns:a16="http://schemas.microsoft.com/office/drawing/2014/main" id="{401FD719-42E9-4E28-93D1-6A9A4CAC8C6B}"/>
            </a:ext>
          </a:extLst>
        </xdr:cNvPr>
        <xdr:cNvCxnSpPr>
          <a:endCxn id="6" idx="5"/>
        </xdr:cNvCxnSpPr>
      </xdr:nvCxnSpPr>
      <xdr:spPr>
        <a:xfrm rot="16200000" flipH="1">
          <a:off x="1323732" y="5814090"/>
          <a:ext cx="988785" cy="1117177"/>
        </a:xfrm>
        <a:prstGeom prst="bentConnector4">
          <a:avLst>
            <a:gd name="adj1" fmla="val 27064"/>
            <a:gd name="adj2" fmla="val 287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208643</xdr:colOff>
      <xdr:row>41</xdr:row>
      <xdr:rowOff>54429</xdr:rowOff>
    </xdr:from>
    <xdr:to>
      <xdr:col>9</xdr:col>
      <xdr:colOff>580572</xdr:colOff>
      <xdr:row>43</xdr:row>
      <xdr:rowOff>9072</xdr:rowOff>
    </xdr:to>
    <xdr:sp macro="" textlink="">
      <xdr:nvSpPr>
        <xdr:cNvPr id="32" name="Elipse 31">
          <a:extLst>
            <a:ext uri="{FF2B5EF4-FFF2-40B4-BE49-F238E27FC236}">
              <a16:creationId xmlns:a16="http://schemas.microsoft.com/office/drawing/2014/main" id="{AA45443C-3313-4C85-B046-9BC1690DD925}"/>
            </a:ext>
          </a:extLst>
        </xdr:cNvPr>
        <xdr:cNvSpPr/>
      </xdr:nvSpPr>
      <xdr:spPr>
        <a:xfrm>
          <a:off x="5996214" y="6785429"/>
          <a:ext cx="371929" cy="317500"/>
        </a:xfrm>
        <a:prstGeom prst="ellipse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988786</xdr:colOff>
      <xdr:row>31</xdr:row>
      <xdr:rowOff>166007</xdr:rowOff>
    </xdr:from>
    <xdr:to>
      <xdr:col>10</xdr:col>
      <xdr:colOff>244929</xdr:colOff>
      <xdr:row>34</xdr:row>
      <xdr:rowOff>99784</xdr:rowOff>
    </xdr:to>
    <xdr:sp macro="" textlink="">
      <xdr:nvSpPr>
        <xdr:cNvPr id="39" name="Triángulo isósceles 38">
          <a:extLst>
            <a:ext uri="{FF2B5EF4-FFF2-40B4-BE49-F238E27FC236}">
              <a16:creationId xmlns:a16="http://schemas.microsoft.com/office/drawing/2014/main" id="{DADEAA77-AC5E-4563-B9F1-BCCCCD8277A6}"/>
            </a:ext>
          </a:extLst>
        </xdr:cNvPr>
        <xdr:cNvSpPr/>
      </xdr:nvSpPr>
      <xdr:spPr>
        <a:xfrm>
          <a:off x="5560786" y="5246007"/>
          <a:ext cx="1233714" cy="305706"/>
        </a:xfrm>
        <a:prstGeom prst="triangle">
          <a:avLst>
            <a:gd name="adj" fmla="val 50000"/>
          </a:avLst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>
            <a:solidFill>
              <a:schemeClr val="tx2"/>
            </a:solidFill>
          </a:endParaRPr>
        </a:p>
      </xdr:txBody>
    </xdr:sp>
    <xdr:clientData/>
  </xdr:twoCellAnchor>
  <xdr:twoCellAnchor>
    <xdr:from>
      <xdr:col>9</xdr:col>
      <xdr:colOff>390072</xdr:colOff>
      <xdr:row>34</xdr:row>
      <xdr:rowOff>99784</xdr:rowOff>
    </xdr:from>
    <xdr:to>
      <xdr:col>9</xdr:col>
      <xdr:colOff>394608</xdr:colOff>
      <xdr:row>41</xdr:row>
      <xdr:rowOff>54429</xdr:rowOff>
    </xdr:to>
    <xdr:cxnSp macro="">
      <xdr:nvCxnSpPr>
        <xdr:cNvPr id="40" name="Conector recto de flecha 39">
          <a:extLst>
            <a:ext uri="{FF2B5EF4-FFF2-40B4-BE49-F238E27FC236}">
              <a16:creationId xmlns:a16="http://schemas.microsoft.com/office/drawing/2014/main" id="{95922958-2487-4CD4-8068-9F690EF0B543}"/>
            </a:ext>
          </a:extLst>
        </xdr:cNvPr>
        <xdr:cNvCxnSpPr>
          <a:stCxn id="39" idx="3"/>
          <a:endCxn id="32" idx="0"/>
        </xdr:cNvCxnSpPr>
      </xdr:nvCxnSpPr>
      <xdr:spPr>
        <a:xfrm>
          <a:off x="6177643" y="5551713"/>
          <a:ext cx="4536" cy="14151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390072</xdr:colOff>
      <xdr:row>28</xdr:row>
      <xdr:rowOff>4638</xdr:rowOff>
    </xdr:from>
    <xdr:to>
      <xdr:col>9</xdr:col>
      <xdr:colOff>396021</xdr:colOff>
      <xdr:row>31</xdr:row>
      <xdr:rowOff>166007</xdr:rowOff>
    </xdr:to>
    <xdr:cxnSp macro="">
      <xdr:nvCxnSpPr>
        <xdr:cNvPr id="41" name="Conector recto de flecha 40">
          <a:extLst>
            <a:ext uri="{FF2B5EF4-FFF2-40B4-BE49-F238E27FC236}">
              <a16:creationId xmlns:a16="http://schemas.microsoft.com/office/drawing/2014/main" id="{D769C404-4A23-4BA5-AE40-977AE9B98F41}"/>
            </a:ext>
          </a:extLst>
        </xdr:cNvPr>
        <xdr:cNvCxnSpPr>
          <a:stCxn id="8" idx="3"/>
          <a:endCxn id="39" idx="0"/>
        </xdr:cNvCxnSpPr>
      </xdr:nvCxnSpPr>
      <xdr:spPr>
        <a:xfrm flipH="1">
          <a:off x="6177643" y="4540352"/>
          <a:ext cx="5949" cy="7056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34185</xdr:colOff>
      <xdr:row>46</xdr:row>
      <xdr:rowOff>52294</xdr:rowOff>
    </xdr:from>
    <xdr:to>
      <xdr:col>10</xdr:col>
      <xdr:colOff>17832</xdr:colOff>
      <xdr:row>50</xdr:row>
      <xdr:rowOff>82177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5F8F71FC-8233-482B-8F27-79D089D946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duotone>
            <a:schemeClr val="accent1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5821756" y="7690437"/>
          <a:ext cx="745647" cy="755597"/>
        </a:xfrm>
        <a:prstGeom prst="rect">
          <a:avLst/>
        </a:prstGeom>
      </xdr:spPr>
    </xdr:pic>
    <xdr:clientData/>
  </xdr:twoCellAnchor>
  <xdr:twoCellAnchor>
    <xdr:from>
      <xdr:col>9</xdr:col>
      <xdr:colOff>394608</xdr:colOff>
      <xdr:row>43</xdr:row>
      <xdr:rowOff>9072</xdr:rowOff>
    </xdr:from>
    <xdr:to>
      <xdr:col>9</xdr:col>
      <xdr:colOff>407009</xdr:colOff>
      <xdr:row>46</xdr:row>
      <xdr:rowOff>52294</xdr:rowOff>
    </xdr:to>
    <xdr:cxnSp macro="">
      <xdr:nvCxnSpPr>
        <xdr:cNvPr id="51" name="Conector recto de flecha 50">
          <a:extLst>
            <a:ext uri="{FF2B5EF4-FFF2-40B4-BE49-F238E27FC236}">
              <a16:creationId xmlns:a16="http://schemas.microsoft.com/office/drawing/2014/main" id="{F1D4FC12-4B37-45FB-9A01-37773CEC708A}"/>
            </a:ext>
          </a:extLst>
        </xdr:cNvPr>
        <xdr:cNvCxnSpPr>
          <a:stCxn id="32" idx="4"/>
          <a:endCxn id="50" idx="0"/>
        </xdr:cNvCxnSpPr>
      </xdr:nvCxnSpPr>
      <xdr:spPr>
        <a:xfrm>
          <a:off x="6182179" y="7102929"/>
          <a:ext cx="12401" cy="58750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236905</xdr:colOff>
      <xdr:row>5</xdr:row>
      <xdr:rowOff>34431</xdr:rowOff>
    </xdr:from>
    <xdr:to>
      <xdr:col>16</xdr:col>
      <xdr:colOff>554405</xdr:colOff>
      <xdr:row>7</xdr:row>
      <xdr:rowOff>119597</xdr:rowOff>
    </xdr:to>
    <xdr:sp macro="" textlink="">
      <xdr:nvSpPr>
        <xdr:cNvPr id="56" name="Cilindro 55">
          <a:extLst>
            <a:ext uri="{FF2B5EF4-FFF2-40B4-BE49-F238E27FC236}">
              <a16:creationId xmlns:a16="http://schemas.microsoft.com/office/drawing/2014/main" id="{7ECE7B3A-3B18-4805-8E89-7710CC52419E}"/>
            </a:ext>
          </a:extLst>
        </xdr:cNvPr>
        <xdr:cNvSpPr/>
      </xdr:nvSpPr>
      <xdr:spPr>
        <a:xfrm>
          <a:off x="11712262" y="760145"/>
          <a:ext cx="317500" cy="448023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16</xdr:col>
      <xdr:colOff>223062</xdr:colOff>
      <xdr:row>20</xdr:row>
      <xdr:rowOff>134606</xdr:rowOff>
    </xdr:from>
    <xdr:to>
      <xdr:col>16</xdr:col>
      <xdr:colOff>540562</xdr:colOff>
      <xdr:row>23</xdr:row>
      <xdr:rowOff>30394</xdr:rowOff>
    </xdr:to>
    <xdr:sp macro="" textlink="">
      <xdr:nvSpPr>
        <xdr:cNvPr id="57" name="Cilindro 56">
          <a:extLst>
            <a:ext uri="{FF2B5EF4-FFF2-40B4-BE49-F238E27FC236}">
              <a16:creationId xmlns:a16="http://schemas.microsoft.com/office/drawing/2014/main" id="{3F378131-E336-4229-AD01-F8BAB1008065}"/>
            </a:ext>
          </a:extLst>
        </xdr:cNvPr>
        <xdr:cNvSpPr/>
      </xdr:nvSpPr>
      <xdr:spPr>
        <a:xfrm>
          <a:off x="11698419" y="3218892"/>
          <a:ext cx="317500" cy="440073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16</xdr:col>
      <xdr:colOff>338515</xdr:colOff>
      <xdr:row>11</xdr:row>
      <xdr:rowOff>90714</xdr:rowOff>
    </xdr:from>
    <xdr:to>
      <xdr:col>16</xdr:col>
      <xdr:colOff>489857</xdr:colOff>
      <xdr:row>16</xdr:row>
      <xdr:rowOff>76243</xdr:rowOff>
    </xdr:to>
    <xdr:sp macro="" textlink="">
      <xdr:nvSpPr>
        <xdr:cNvPr id="58" name="Cilindro 57">
          <a:extLst>
            <a:ext uri="{FF2B5EF4-FFF2-40B4-BE49-F238E27FC236}">
              <a16:creationId xmlns:a16="http://schemas.microsoft.com/office/drawing/2014/main" id="{1DF9BBF8-9954-4D65-9DC9-F2EF2C9F63FF}"/>
            </a:ext>
          </a:extLst>
        </xdr:cNvPr>
        <xdr:cNvSpPr/>
      </xdr:nvSpPr>
      <xdr:spPr>
        <a:xfrm>
          <a:off x="11813872" y="1905000"/>
          <a:ext cx="151342" cy="892672"/>
        </a:xfrm>
        <a:prstGeom prst="can">
          <a:avLst/>
        </a:pr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13</xdr:col>
      <xdr:colOff>54430</xdr:colOff>
      <xdr:row>38</xdr:row>
      <xdr:rowOff>0</xdr:rowOff>
    </xdr:from>
    <xdr:to>
      <xdr:col>15</xdr:col>
      <xdr:colOff>111446</xdr:colOff>
      <xdr:row>40</xdr:row>
      <xdr:rowOff>154215</xdr:rowOff>
    </xdr:to>
    <xdr:sp macro="" textlink="">
      <xdr:nvSpPr>
        <xdr:cNvPr id="60" name="Rectángulo: esquinas superiores cortadas 5">
          <a:extLst>
            <a:ext uri="{FF2B5EF4-FFF2-40B4-BE49-F238E27FC236}">
              <a16:creationId xmlns:a16="http://schemas.microsoft.com/office/drawing/2014/main" id="{524C9FBF-AF1E-425D-8FA4-52D688C7E140}"/>
            </a:ext>
          </a:extLst>
        </xdr:cNvPr>
        <xdr:cNvSpPr/>
      </xdr:nvSpPr>
      <xdr:spPr>
        <a:xfrm>
          <a:off x="8890001" y="6368143"/>
          <a:ext cx="1327016" cy="517072"/>
        </a:xfrm>
        <a:custGeom>
          <a:avLst/>
          <a:gdLst>
            <a:gd name="connsiteX0" fmla="*/ 157389 w 1028700"/>
            <a:gd name="connsiteY0" fmla="*/ 0 h 314778"/>
            <a:gd name="connsiteX1" fmla="*/ 871311 w 1028700"/>
            <a:gd name="connsiteY1" fmla="*/ 0 h 314778"/>
            <a:gd name="connsiteX2" fmla="*/ 1028700 w 1028700"/>
            <a:gd name="connsiteY2" fmla="*/ 157389 h 314778"/>
            <a:gd name="connsiteX3" fmla="*/ 1028700 w 1028700"/>
            <a:gd name="connsiteY3" fmla="*/ 314778 h 314778"/>
            <a:gd name="connsiteX4" fmla="*/ 1028700 w 1028700"/>
            <a:gd name="connsiteY4" fmla="*/ 314778 h 314778"/>
            <a:gd name="connsiteX5" fmla="*/ 0 w 1028700"/>
            <a:gd name="connsiteY5" fmla="*/ 314778 h 314778"/>
            <a:gd name="connsiteX6" fmla="*/ 0 w 1028700"/>
            <a:gd name="connsiteY6" fmla="*/ 314778 h 314778"/>
            <a:gd name="connsiteX7" fmla="*/ 0 w 1028700"/>
            <a:gd name="connsiteY7" fmla="*/ 157389 h 314778"/>
            <a:gd name="connsiteX8" fmla="*/ 157389 w 1028700"/>
            <a:gd name="connsiteY8" fmla="*/ 0 h 314778"/>
            <a:gd name="connsiteX0" fmla="*/ 447674 w 1028700"/>
            <a:gd name="connsiteY0" fmla="*/ 0 h 332921"/>
            <a:gd name="connsiteX1" fmla="*/ 871311 w 1028700"/>
            <a:gd name="connsiteY1" fmla="*/ 18143 h 332921"/>
            <a:gd name="connsiteX2" fmla="*/ 1028700 w 1028700"/>
            <a:gd name="connsiteY2" fmla="*/ 175532 h 332921"/>
            <a:gd name="connsiteX3" fmla="*/ 1028700 w 1028700"/>
            <a:gd name="connsiteY3" fmla="*/ 332921 h 332921"/>
            <a:gd name="connsiteX4" fmla="*/ 1028700 w 1028700"/>
            <a:gd name="connsiteY4" fmla="*/ 332921 h 332921"/>
            <a:gd name="connsiteX5" fmla="*/ 0 w 1028700"/>
            <a:gd name="connsiteY5" fmla="*/ 332921 h 332921"/>
            <a:gd name="connsiteX6" fmla="*/ 0 w 1028700"/>
            <a:gd name="connsiteY6" fmla="*/ 332921 h 332921"/>
            <a:gd name="connsiteX7" fmla="*/ 0 w 1028700"/>
            <a:gd name="connsiteY7" fmla="*/ 175532 h 332921"/>
            <a:gd name="connsiteX8" fmla="*/ 447674 w 1028700"/>
            <a:gd name="connsiteY8" fmla="*/ 0 h 332921"/>
            <a:gd name="connsiteX0" fmla="*/ 447674 w 1028700"/>
            <a:gd name="connsiteY0" fmla="*/ 0 h 332921"/>
            <a:gd name="connsiteX1" fmla="*/ 635454 w 1028700"/>
            <a:gd name="connsiteY1" fmla="*/ 9072 h 332921"/>
            <a:gd name="connsiteX2" fmla="*/ 1028700 w 1028700"/>
            <a:gd name="connsiteY2" fmla="*/ 175532 h 332921"/>
            <a:gd name="connsiteX3" fmla="*/ 1028700 w 1028700"/>
            <a:gd name="connsiteY3" fmla="*/ 332921 h 332921"/>
            <a:gd name="connsiteX4" fmla="*/ 1028700 w 1028700"/>
            <a:gd name="connsiteY4" fmla="*/ 332921 h 332921"/>
            <a:gd name="connsiteX5" fmla="*/ 0 w 1028700"/>
            <a:gd name="connsiteY5" fmla="*/ 332921 h 332921"/>
            <a:gd name="connsiteX6" fmla="*/ 0 w 1028700"/>
            <a:gd name="connsiteY6" fmla="*/ 332921 h 332921"/>
            <a:gd name="connsiteX7" fmla="*/ 0 w 1028700"/>
            <a:gd name="connsiteY7" fmla="*/ 175532 h 332921"/>
            <a:gd name="connsiteX8" fmla="*/ 447674 w 1028700"/>
            <a:gd name="connsiteY8" fmla="*/ 0 h 33292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1028700" h="332921">
              <a:moveTo>
                <a:pt x="447674" y="0"/>
              </a:moveTo>
              <a:lnTo>
                <a:pt x="635454" y="9072"/>
              </a:lnTo>
              <a:lnTo>
                <a:pt x="1028700" y="175532"/>
              </a:lnTo>
              <a:lnTo>
                <a:pt x="1028700" y="332921"/>
              </a:lnTo>
              <a:lnTo>
                <a:pt x="1028700" y="332921"/>
              </a:lnTo>
              <a:lnTo>
                <a:pt x="0" y="332921"/>
              </a:lnTo>
              <a:lnTo>
                <a:pt x="0" y="332921"/>
              </a:lnTo>
              <a:lnTo>
                <a:pt x="0" y="175532"/>
              </a:lnTo>
              <a:lnTo>
                <a:pt x="447674" y="0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1100">
              <a:solidFill>
                <a:schemeClr val="tx2"/>
              </a:solidFill>
            </a:rPr>
            <a:t>Cancha PM </a:t>
          </a:r>
        </a:p>
        <a:p>
          <a:pPr algn="ctr"/>
          <a:r>
            <a:rPr lang="es-CL" sz="1100">
              <a:solidFill>
                <a:schemeClr val="tx2"/>
              </a:solidFill>
            </a:rPr>
            <a:t>Puerto</a:t>
          </a:r>
        </a:p>
      </xdr:txBody>
    </xdr:sp>
    <xdr:clientData/>
  </xdr:twoCellAnchor>
  <xdr:twoCellAnchor>
    <xdr:from>
      <xdr:col>15</xdr:col>
      <xdr:colOff>544294</xdr:colOff>
      <xdr:row>34</xdr:row>
      <xdr:rowOff>99765</xdr:rowOff>
    </xdr:from>
    <xdr:to>
      <xdr:col>17</xdr:col>
      <xdr:colOff>206907</xdr:colOff>
      <xdr:row>36</xdr:row>
      <xdr:rowOff>154215</xdr:rowOff>
    </xdr:to>
    <xdr:sp macro="" textlink="">
      <xdr:nvSpPr>
        <xdr:cNvPr id="61" name="Rectángulo 60">
          <a:extLst>
            <a:ext uri="{FF2B5EF4-FFF2-40B4-BE49-F238E27FC236}">
              <a16:creationId xmlns:a16="http://schemas.microsoft.com/office/drawing/2014/main" id="{82C7424A-2733-4B9E-9850-0F8E39BB2878}"/>
            </a:ext>
          </a:extLst>
        </xdr:cNvPr>
        <xdr:cNvSpPr/>
      </xdr:nvSpPr>
      <xdr:spPr>
        <a:xfrm>
          <a:off x="11003651" y="5551694"/>
          <a:ext cx="1440613" cy="607807"/>
        </a:xfrm>
        <a:custGeom>
          <a:avLst/>
          <a:gdLst>
            <a:gd name="connsiteX0" fmla="*/ 0 w 1180353"/>
            <a:gd name="connsiteY0" fmla="*/ 0 h 583240"/>
            <a:gd name="connsiteX1" fmla="*/ 1180353 w 1180353"/>
            <a:gd name="connsiteY1" fmla="*/ 0 h 583240"/>
            <a:gd name="connsiteX2" fmla="*/ 1180353 w 1180353"/>
            <a:gd name="connsiteY2" fmla="*/ 583240 h 583240"/>
            <a:gd name="connsiteX3" fmla="*/ 0 w 1180353"/>
            <a:gd name="connsiteY3" fmla="*/ 583240 h 583240"/>
            <a:gd name="connsiteX4" fmla="*/ 0 w 1180353"/>
            <a:gd name="connsiteY4" fmla="*/ 0 h 583240"/>
            <a:gd name="connsiteX0" fmla="*/ 0 w 1180353"/>
            <a:gd name="connsiteY0" fmla="*/ 11710 h 594950"/>
            <a:gd name="connsiteX1" fmla="*/ 347526 w 1180353"/>
            <a:gd name="connsiteY1" fmla="*/ 0 h 594950"/>
            <a:gd name="connsiteX2" fmla="*/ 1180353 w 1180353"/>
            <a:gd name="connsiteY2" fmla="*/ 11710 h 594950"/>
            <a:gd name="connsiteX3" fmla="*/ 1180353 w 1180353"/>
            <a:gd name="connsiteY3" fmla="*/ 594950 h 594950"/>
            <a:gd name="connsiteX4" fmla="*/ 0 w 1180353"/>
            <a:gd name="connsiteY4" fmla="*/ 594950 h 594950"/>
            <a:gd name="connsiteX5" fmla="*/ 0 w 1180353"/>
            <a:gd name="connsiteY5" fmla="*/ 11710 h 594950"/>
            <a:gd name="connsiteX0" fmla="*/ 0 w 1180353"/>
            <a:gd name="connsiteY0" fmla="*/ 11711 h 594951"/>
            <a:gd name="connsiteX1" fmla="*/ 347526 w 1180353"/>
            <a:gd name="connsiteY1" fmla="*/ 1 h 594951"/>
            <a:gd name="connsiteX2" fmla="*/ 674098 w 1180353"/>
            <a:gd name="connsiteY2" fmla="*/ 0 h 594951"/>
            <a:gd name="connsiteX3" fmla="*/ 1180353 w 1180353"/>
            <a:gd name="connsiteY3" fmla="*/ 11711 h 594951"/>
            <a:gd name="connsiteX4" fmla="*/ 1180353 w 1180353"/>
            <a:gd name="connsiteY4" fmla="*/ 594951 h 594951"/>
            <a:gd name="connsiteX5" fmla="*/ 0 w 1180353"/>
            <a:gd name="connsiteY5" fmla="*/ 594951 h 594951"/>
            <a:gd name="connsiteX6" fmla="*/ 0 w 1180353"/>
            <a:gd name="connsiteY6" fmla="*/ 11711 h 594951"/>
            <a:gd name="connsiteX0" fmla="*/ 0 w 1180353"/>
            <a:gd name="connsiteY0" fmla="*/ 11711 h 594951"/>
            <a:gd name="connsiteX1" fmla="*/ 347526 w 1180353"/>
            <a:gd name="connsiteY1" fmla="*/ 1 h 594951"/>
            <a:gd name="connsiteX2" fmla="*/ 674098 w 1180353"/>
            <a:gd name="connsiteY2" fmla="*/ 0 h 594951"/>
            <a:gd name="connsiteX3" fmla="*/ 1180353 w 1180353"/>
            <a:gd name="connsiteY3" fmla="*/ 11711 h 594951"/>
            <a:gd name="connsiteX4" fmla="*/ 1180353 w 1180353"/>
            <a:gd name="connsiteY4" fmla="*/ 594951 h 594951"/>
            <a:gd name="connsiteX5" fmla="*/ 574312 w 1180353"/>
            <a:gd name="connsiteY5" fmla="*/ 567908 h 594951"/>
            <a:gd name="connsiteX6" fmla="*/ 0 w 1180353"/>
            <a:gd name="connsiteY6" fmla="*/ 594951 h 594951"/>
            <a:gd name="connsiteX7" fmla="*/ 0 w 1180353"/>
            <a:gd name="connsiteY7" fmla="*/ 11711 h 594951"/>
            <a:gd name="connsiteX0" fmla="*/ 0 w 1180353"/>
            <a:gd name="connsiteY0" fmla="*/ 11711 h 603966"/>
            <a:gd name="connsiteX1" fmla="*/ 347526 w 1180353"/>
            <a:gd name="connsiteY1" fmla="*/ 1 h 603966"/>
            <a:gd name="connsiteX2" fmla="*/ 674098 w 1180353"/>
            <a:gd name="connsiteY2" fmla="*/ 0 h 603966"/>
            <a:gd name="connsiteX3" fmla="*/ 1180353 w 1180353"/>
            <a:gd name="connsiteY3" fmla="*/ 11711 h 603966"/>
            <a:gd name="connsiteX4" fmla="*/ 1180353 w 1180353"/>
            <a:gd name="connsiteY4" fmla="*/ 594951 h 603966"/>
            <a:gd name="connsiteX5" fmla="*/ 628740 w 1180353"/>
            <a:gd name="connsiteY5" fmla="*/ 603966 h 603966"/>
            <a:gd name="connsiteX6" fmla="*/ 0 w 1180353"/>
            <a:gd name="connsiteY6" fmla="*/ 594951 h 603966"/>
            <a:gd name="connsiteX7" fmla="*/ 0 w 1180353"/>
            <a:gd name="connsiteY7" fmla="*/ 11711 h 603966"/>
            <a:gd name="connsiteX0" fmla="*/ 0 w 1180353"/>
            <a:gd name="connsiteY0" fmla="*/ 11711 h 603966"/>
            <a:gd name="connsiteX1" fmla="*/ 284026 w 1180353"/>
            <a:gd name="connsiteY1" fmla="*/ 27044 h 603966"/>
            <a:gd name="connsiteX2" fmla="*/ 674098 w 1180353"/>
            <a:gd name="connsiteY2" fmla="*/ 0 h 603966"/>
            <a:gd name="connsiteX3" fmla="*/ 1180353 w 1180353"/>
            <a:gd name="connsiteY3" fmla="*/ 11711 h 603966"/>
            <a:gd name="connsiteX4" fmla="*/ 1180353 w 1180353"/>
            <a:gd name="connsiteY4" fmla="*/ 594951 h 603966"/>
            <a:gd name="connsiteX5" fmla="*/ 628740 w 1180353"/>
            <a:gd name="connsiteY5" fmla="*/ 603966 h 603966"/>
            <a:gd name="connsiteX6" fmla="*/ 0 w 1180353"/>
            <a:gd name="connsiteY6" fmla="*/ 594951 h 603966"/>
            <a:gd name="connsiteX7" fmla="*/ 0 w 1180353"/>
            <a:gd name="connsiteY7" fmla="*/ 11711 h 603966"/>
            <a:gd name="connsiteX0" fmla="*/ 0 w 1180353"/>
            <a:gd name="connsiteY0" fmla="*/ 11711 h 603966"/>
            <a:gd name="connsiteX1" fmla="*/ 365669 w 1180353"/>
            <a:gd name="connsiteY1" fmla="*/ 9015 h 603966"/>
            <a:gd name="connsiteX2" fmla="*/ 674098 w 1180353"/>
            <a:gd name="connsiteY2" fmla="*/ 0 h 603966"/>
            <a:gd name="connsiteX3" fmla="*/ 1180353 w 1180353"/>
            <a:gd name="connsiteY3" fmla="*/ 11711 h 603966"/>
            <a:gd name="connsiteX4" fmla="*/ 1180353 w 1180353"/>
            <a:gd name="connsiteY4" fmla="*/ 594951 h 603966"/>
            <a:gd name="connsiteX5" fmla="*/ 628740 w 1180353"/>
            <a:gd name="connsiteY5" fmla="*/ 603966 h 603966"/>
            <a:gd name="connsiteX6" fmla="*/ 0 w 1180353"/>
            <a:gd name="connsiteY6" fmla="*/ 594951 h 603966"/>
            <a:gd name="connsiteX7" fmla="*/ 0 w 1180353"/>
            <a:gd name="connsiteY7" fmla="*/ 11711 h 603966"/>
            <a:gd name="connsiteX0" fmla="*/ 0 w 1180353"/>
            <a:gd name="connsiteY0" fmla="*/ 43670 h 635925"/>
            <a:gd name="connsiteX1" fmla="*/ 365669 w 1180353"/>
            <a:gd name="connsiteY1" fmla="*/ 40974 h 635925"/>
            <a:gd name="connsiteX2" fmla="*/ 674098 w 1180353"/>
            <a:gd name="connsiteY2" fmla="*/ 31959 h 635925"/>
            <a:gd name="connsiteX3" fmla="*/ 1180353 w 1180353"/>
            <a:gd name="connsiteY3" fmla="*/ 43670 h 635925"/>
            <a:gd name="connsiteX4" fmla="*/ 1180353 w 1180353"/>
            <a:gd name="connsiteY4" fmla="*/ 626910 h 635925"/>
            <a:gd name="connsiteX5" fmla="*/ 628740 w 1180353"/>
            <a:gd name="connsiteY5" fmla="*/ 635925 h 635925"/>
            <a:gd name="connsiteX6" fmla="*/ 0 w 1180353"/>
            <a:gd name="connsiteY6" fmla="*/ 626910 h 635925"/>
            <a:gd name="connsiteX7" fmla="*/ 0 w 1180353"/>
            <a:gd name="connsiteY7" fmla="*/ 43670 h 635925"/>
            <a:gd name="connsiteX0" fmla="*/ 0 w 1180353"/>
            <a:gd name="connsiteY0" fmla="*/ 11731 h 603986"/>
            <a:gd name="connsiteX1" fmla="*/ 365669 w 1180353"/>
            <a:gd name="connsiteY1" fmla="*/ 9035 h 603986"/>
            <a:gd name="connsiteX2" fmla="*/ 674098 w 1180353"/>
            <a:gd name="connsiteY2" fmla="*/ 20 h 603986"/>
            <a:gd name="connsiteX3" fmla="*/ 1180353 w 1180353"/>
            <a:gd name="connsiteY3" fmla="*/ 11731 h 603986"/>
            <a:gd name="connsiteX4" fmla="*/ 1180353 w 1180353"/>
            <a:gd name="connsiteY4" fmla="*/ 594971 h 603986"/>
            <a:gd name="connsiteX5" fmla="*/ 628740 w 1180353"/>
            <a:gd name="connsiteY5" fmla="*/ 603986 h 603986"/>
            <a:gd name="connsiteX6" fmla="*/ 0 w 1180353"/>
            <a:gd name="connsiteY6" fmla="*/ 594971 h 603986"/>
            <a:gd name="connsiteX7" fmla="*/ 0 w 1180353"/>
            <a:gd name="connsiteY7" fmla="*/ 11731 h 603986"/>
            <a:gd name="connsiteX0" fmla="*/ 6260 w 1186613"/>
            <a:gd name="connsiteY0" fmla="*/ 11731 h 603986"/>
            <a:gd name="connsiteX1" fmla="*/ 371929 w 1186613"/>
            <a:gd name="connsiteY1" fmla="*/ 9035 h 603986"/>
            <a:gd name="connsiteX2" fmla="*/ 680358 w 1186613"/>
            <a:gd name="connsiteY2" fmla="*/ 20 h 603986"/>
            <a:gd name="connsiteX3" fmla="*/ 1186613 w 1186613"/>
            <a:gd name="connsiteY3" fmla="*/ 11731 h 603986"/>
            <a:gd name="connsiteX4" fmla="*/ 1186613 w 1186613"/>
            <a:gd name="connsiteY4" fmla="*/ 594971 h 603986"/>
            <a:gd name="connsiteX5" fmla="*/ 635000 w 1186613"/>
            <a:gd name="connsiteY5" fmla="*/ 603986 h 603986"/>
            <a:gd name="connsiteX6" fmla="*/ 6260 w 1186613"/>
            <a:gd name="connsiteY6" fmla="*/ 594971 h 603986"/>
            <a:gd name="connsiteX7" fmla="*/ 0 w 1186613"/>
            <a:gd name="connsiteY7" fmla="*/ 315525 h 603986"/>
            <a:gd name="connsiteX8" fmla="*/ 6260 w 1186613"/>
            <a:gd name="connsiteY8" fmla="*/ 11731 h 60398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</a:cxnLst>
          <a:rect l="l" t="t" r="r" b="b"/>
          <a:pathLst>
            <a:path w="1186613" h="603986">
              <a:moveTo>
                <a:pt x="6260" y="11731"/>
              </a:moveTo>
              <a:lnTo>
                <a:pt x="371929" y="9035"/>
              </a:lnTo>
              <a:cubicBezTo>
                <a:pt x="484279" y="7083"/>
                <a:pt x="544577" y="-429"/>
                <a:pt x="680358" y="20"/>
              </a:cubicBezTo>
              <a:lnTo>
                <a:pt x="1186613" y="11731"/>
              </a:lnTo>
              <a:lnTo>
                <a:pt x="1186613" y="594971"/>
              </a:lnTo>
              <a:lnTo>
                <a:pt x="635000" y="603986"/>
              </a:lnTo>
              <a:lnTo>
                <a:pt x="6260" y="594971"/>
              </a:lnTo>
              <a:lnTo>
                <a:pt x="0" y="315525"/>
              </a:lnTo>
              <a:lnTo>
                <a:pt x="6260" y="11731"/>
              </a:lnTo>
              <a:close/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1100">
              <a:solidFill>
                <a:schemeClr val="tx2"/>
              </a:solidFill>
            </a:rPr>
            <a:t>Filtros Magnetita</a:t>
          </a:r>
        </a:p>
      </xdr:txBody>
    </xdr:sp>
    <xdr:clientData/>
  </xdr:twoCellAnchor>
  <xdr:twoCellAnchor>
    <xdr:from>
      <xdr:col>16</xdr:col>
      <xdr:colOff>395655</xdr:colOff>
      <xdr:row>7</xdr:row>
      <xdr:rowOff>119597</xdr:rowOff>
    </xdr:from>
    <xdr:to>
      <xdr:col>16</xdr:col>
      <xdr:colOff>414186</xdr:colOff>
      <xdr:row>11</xdr:row>
      <xdr:rowOff>90714</xdr:rowOff>
    </xdr:to>
    <xdr:cxnSp macro="">
      <xdr:nvCxnSpPr>
        <xdr:cNvPr id="62" name="Conector recto de flecha 61">
          <a:extLst>
            <a:ext uri="{FF2B5EF4-FFF2-40B4-BE49-F238E27FC236}">
              <a16:creationId xmlns:a16="http://schemas.microsoft.com/office/drawing/2014/main" id="{01CDA020-F98A-4474-9411-ADF1901B4E07}"/>
            </a:ext>
          </a:extLst>
        </xdr:cNvPr>
        <xdr:cNvCxnSpPr>
          <a:stCxn id="56" idx="3"/>
          <a:endCxn id="58" idx="1"/>
        </xdr:cNvCxnSpPr>
      </xdr:nvCxnSpPr>
      <xdr:spPr>
        <a:xfrm>
          <a:off x="11871012" y="1208168"/>
          <a:ext cx="18531" cy="69683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381812</xdr:colOff>
      <xdr:row>16</xdr:row>
      <xdr:rowOff>76243</xdr:rowOff>
    </xdr:from>
    <xdr:to>
      <xdr:col>16</xdr:col>
      <xdr:colOff>414186</xdr:colOff>
      <xdr:row>20</xdr:row>
      <xdr:rowOff>134606</xdr:rowOff>
    </xdr:to>
    <xdr:cxnSp macro="">
      <xdr:nvCxnSpPr>
        <xdr:cNvPr id="63" name="Conector recto de flecha 62">
          <a:extLst>
            <a:ext uri="{FF2B5EF4-FFF2-40B4-BE49-F238E27FC236}">
              <a16:creationId xmlns:a16="http://schemas.microsoft.com/office/drawing/2014/main" id="{06DD141F-20B8-417B-B32D-3119BB4FA54A}"/>
            </a:ext>
          </a:extLst>
        </xdr:cNvPr>
        <xdr:cNvCxnSpPr>
          <a:stCxn id="58" idx="3"/>
          <a:endCxn id="57" idx="1"/>
        </xdr:cNvCxnSpPr>
      </xdr:nvCxnSpPr>
      <xdr:spPr>
        <a:xfrm flipH="1">
          <a:off x="11857169" y="2797672"/>
          <a:ext cx="32374" cy="78407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390052</xdr:colOff>
      <xdr:row>1</xdr:row>
      <xdr:rowOff>0</xdr:rowOff>
    </xdr:from>
    <xdr:to>
      <xdr:col>16</xdr:col>
      <xdr:colOff>395655</xdr:colOff>
      <xdr:row>5</xdr:row>
      <xdr:rowOff>34431</xdr:rowOff>
    </xdr:to>
    <xdr:cxnSp macro="">
      <xdr:nvCxnSpPr>
        <xdr:cNvPr id="64" name="Conector recto de flecha 63">
          <a:extLst>
            <a:ext uri="{FF2B5EF4-FFF2-40B4-BE49-F238E27FC236}">
              <a16:creationId xmlns:a16="http://schemas.microsoft.com/office/drawing/2014/main" id="{254E7D2C-E06D-4C10-A836-296C773E5A6E}"/>
            </a:ext>
          </a:extLst>
        </xdr:cNvPr>
        <xdr:cNvCxnSpPr>
          <a:endCxn id="56" idx="1"/>
        </xdr:cNvCxnSpPr>
      </xdr:nvCxnSpPr>
      <xdr:spPr>
        <a:xfrm>
          <a:off x="11865409" y="0"/>
          <a:ext cx="5603" cy="7601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358793</xdr:colOff>
      <xdr:row>23</xdr:row>
      <xdr:rowOff>30394</xdr:rowOff>
    </xdr:from>
    <xdr:to>
      <xdr:col>16</xdr:col>
      <xdr:colOff>381812</xdr:colOff>
      <xdr:row>27</xdr:row>
      <xdr:rowOff>155041</xdr:rowOff>
    </xdr:to>
    <xdr:cxnSp macro="">
      <xdr:nvCxnSpPr>
        <xdr:cNvPr id="65" name="Conector recto de flecha 64">
          <a:extLst>
            <a:ext uri="{FF2B5EF4-FFF2-40B4-BE49-F238E27FC236}">
              <a16:creationId xmlns:a16="http://schemas.microsoft.com/office/drawing/2014/main" id="{A7FAAE5D-0B46-4E94-A15D-72129752157A}"/>
            </a:ext>
          </a:extLst>
        </xdr:cNvPr>
        <xdr:cNvCxnSpPr>
          <a:cxnSpLocks/>
          <a:stCxn id="57" idx="3"/>
          <a:endCxn id="71" idx="5"/>
        </xdr:cNvCxnSpPr>
      </xdr:nvCxnSpPr>
      <xdr:spPr>
        <a:xfrm flipH="1">
          <a:off x="11834150" y="3658965"/>
          <a:ext cx="23019" cy="8503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354286</xdr:colOff>
      <xdr:row>30</xdr:row>
      <xdr:rowOff>48986</xdr:rowOff>
    </xdr:from>
    <xdr:to>
      <xdr:col>16</xdr:col>
      <xdr:colOff>384734</xdr:colOff>
      <xdr:row>34</xdr:row>
      <xdr:rowOff>99785</xdr:rowOff>
    </xdr:to>
    <xdr:cxnSp macro="">
      <xdr:nvCxnSpPr>
        <xdr:cNvPr id="66" name="Conector recto de flecha 65">
          <a:extLst>
            <a:ext uri="{FF2B5EF4-FFF2-40B4-BE49-F238E27FC236}">
              <a16:creationId xmlns:a16="http://schemas.microsoft.com/office/drawing/2014/main" id="{D96CAF25-A3B8-4ED6-8D65-DC3EB32398BB}"/>
            </a:ext>
          </a:extLst>
        </xdr:cNvPr>
        <xdr:cNvCxnSpPr>
          <a:cxnSpLocks/>
          <a:stCxn id="71" idx="2"/>
          <a:endCxn id="61" idx="2"/>
        </xdr:cNvCxnSpPr>
      </xdr:nvCxnSpPr>
      <xdr:spPr>
        <a:xfrm flipH="1">
          <a:off x="11829643" y="4947557"/>
          <a:ext cx="30448" cy="60415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583179</xdr:colOff>
      <xdr:row>36</xdr:row>
      <xdr:rowOff>145144</xdr:rowOff>
    </xdr:from>
    <xdr:to>
      <xdr:col>16</xdr:col>
      <xdr:colOff>390090</xdr:colOff>
      <xdr:row>40</xdr:row>
      <xdr:rowOff>154215</xdr:rowOff>
    </xdr:to>
    <xdr:cxnSp macro="">
      <xdr:nvCxnSpPr>
        <xdr:cNvPr id="67" name="Conector: angular 66">
          <a:extLst>
            <a:ext uri="{FF2B5EF4-FFF2-40B4-BE49-F238E27FC236}">
              <a16:creationId xmlns:a16="http://schemas.microsoft.com/office/drawing/2014/main" id="{A8ED9D34-5056-4D66-92E3-5FFC227E81C5}"/>
            </a:ext>
          </a:extLst>
        </xdr:cNvPr>
        <xdr:cNvCxnSpPr/>
      </xdr:nvCxnSpPr>
      <xdr:spPr>
        <a:xfrm flipH="1">
          <a:off x="10180750" y="6150430"/>
          <a:ext cx="1684697" cy="734785"/>
        </a:xfrm>
        <a:prstGeom prst="bentConnector3">
          <a:avLst>
            <a:gd name="adj1" fmla="val -5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872504</xdr:colOff>
      <xdr:row>27</xdr:row>
      <xdr:rowOff>148474</xdr:rowOff>
    </xdr:from>
    <xdr:to>
      <xdr:col>17</xdr:col>
      <xdr:colOff>99786</xdr:colOff>
      <xdr:row>30</xdr:row>
      <xdr:rowOff>48986</xdr:rowOff>
    </xdr:to>
    <xdr:sp macro="" textlink="">
      <xdr:nvSpPr>
        <xdr:cNvPr id="71" name="Forma libre: forma 70">
          <a:extLst>
            <a:ext uri="{FF2B5EF4-FFF2-40B4-BE49-F238E27FC236}">
              <a16:creationId xmlns:a16="http://schemas.microsoft.com/office/drawing/2014/main" id="{CB768966-6C24-4473-A01E-2E9B9D78C846}"/>
            </a:ext>
          </a:extLst>
        </xdr:cNvPr>
        <xdr:cNvSpPr/>
      </xdr:nvSpPr>
      <xdr:spPr>
        <a:xfrm>
          <a:off x="11331861" y="4502760"/>
          <a:ext cx="1005282" cy="444797"/>
        </a:xfrm>
        <a:custGeom>
          <a:avLst/>
          <a:gdLst>
            <a:gd name="connsiteX0" fmla="*/ 36286 w 1923143"/>
            <a:gd name="connsiteY0" fmla="*/ 72572 h 435429"/>
            <a:gd name="connsiteX1" fmla="*/ 18143 w 1923143"/>
            <a:gd name="connsiteY1" fmla="*/ 190500 h 435429"/>
            <a:gd name="connsiteX2" fmla="*/ 1025072 w 1923143"/>
            <a:gd name="connsiteY2" fmla="*/ 435429 h 435429"/>
            <a:gd name="connsiteX3" fmla="*/ 1923143 w 1923143"/>
            <a:gd name="connsiteY3" fmla="*/ 172357 h 435429"/>
            <a:gd name="connsiteX4" fmla="*/ 1923143 w 1923143"/>
            <a:gd name="connsiteY4" fmla="*/ 0 h 435429"/>
            <a:gd name="connsiteX5" fmla="*/ 0 w 1923143"/>
            <a:gd name="connsiteY5" fmla="*/ 9072 h 435429"/>
            <a:gd name="connsiteX0" fmla="*/ 0 w 1937657"/>
            <a:gd name="connsiteY0" fmla="*/ 0 h 437654"/>
            <a:gd name="connsiteX1" fmla="*/ 32657 w 1937657"/>
            <a:gd name="connsiteY1" fmla="*/ 192725 h 437654"/>
            <a:gd name="connsiteX2" fmla="*/ 1039586 w 1937657"/>
            <a:gd name="connsiteY2" fmla="*/ 437654 h 437654"/>
            <a:gd name="connsiteX3" fmla="*/ 1937657 w 1937657"/>
            <a:gd name="connsiteY3" fmla="*/ 174582 h 437654"/>
            <a:gd name="connsiteX4" fmla="*/ 1937657 w 1937657"/>
            <a:gd name="connsiteY4" fmla="*/ 2225 h 437654"/>
            <a:gd name="connsiteX5" fmla="*/ 14514 w 1937657"/>
            <a:gd name="connsiteY5" fmla="*/ 11297 h 437654"/>
            <a:gd name="connsiteX0" fmla="*/ 0 w 1937657"/>
            <a:gd name="connsiteY0" fmla="*/ 0 h 437654"/>
            <a:gd name="connsiteX1" fmla="*/ 32657 w 1937657"/>
            <a:gd name="connsiteY1" fmla="*/ 192725 h 437654"/>
            <a:gd name="connsiteX2" fmla="*/ 1039586 w 1937657"/>
            <a:gd name="connsiteY2" fmla="*/ 437654 h 437654"/>
            <a:gd name="connsiteX3" fmla="*/ 1937657 w 1937657"/>
            <a:gd name="connsiteY3" fmla="*/ 174582 h 437654"/>
            <a:gd name="connsiteX4" fmla="*/ 1937657 w 1937657"/>
            <a:gd name="connsiteY4" fmla="*/ 2225 h 437654"/>
            <a:gd name="connsiteX5" fmla="*/ 67066 w 1937657"/>
            <a:gd name="connsiteY5" fmla="*/ 11297 h 437654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34409 w 1905000"/>
            <a:gd name="connsiteY5" fmla="*/ 15603 h 441960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8133 w 1905000"/>
            <a:gd name="connsiteY5" fmla="*/ 28518 h 441960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12512 w 1905000"/>
            <a:gd name="connsiteY5" fmla="*/ 6992 h 441960"/>
            <a:gd name="connsiteX0" fmla="*/ 16141 w 1892488"/>
            <a:gd name="connsiteY0" fmla="*/ 0 h 441960"/>
            <a:gd name="connsiteX1" fmla="*/ 18143 w 1892488"/>
            <a:gd name="connsiteY1" fmla="*/ 184115 h 441960"/>
            <a:gd name="connsiteX2" fmla="*/ 994417 w 1892488"/>
            <a:gd name="connsiteY2" fmla="*/ 441960 h 441960"/>
            <a:gd name="connsiteX3" fmla="*/ 1892488 w 1892488"/>
            <a:gd name="connsiteY3" fmla="*/ 178888 h 441960"/>
            <a:gd name="connsiteX4" fmla="*/ 1892488 w 1892488"/>
            <a:gd name="connsiteY4" fmla="*/ 6531 h 441960"/>
            <a:gd name="connsiteX5" fmla="*/ 0 w 1892488"/>
            <a:gd name="connsiteY5" fmla="*/ 6992 h 441960"/>
            <a:gd name="connsiteX0" fmla="*/ 16141 w 1892488"/>
            <a:gd name="connsiteY0" fmla="*/ 0 h 441960"/>
            <a:gd name="connsiteX1" fmla="*/ 18143 w 1892488"/>
            <a:gd name="connsiteY1" fmla="*/ 184115 h 441960"/>
            <a:gd name="connsiteX2" fmla="*/ 994417 w 1892488"/>
            <a:gd name="connsiteY2" fmla="*/ 441960 h 441960"/>
            <a:gd name="connsiteX3" fmla="*/ 1892488 w 1892488"/>
            <a:gd name="connsiteY3" fmla="*/ 178888 h 441960"/>
            <a:gd name="connsiteX4" fmla="*/ 1892488 w 1892488"/>
            <a:gd name="connsiteY4" fmla="*/ 6531 h 441960"/>
            <a:gd name="connsiteX5" fmla="*/ 945581 w 1892488"/>
            <a:gd name="connsiteY5" fmla="*/ 6525 h 441960"/>
            <a:gd name="connsiteX6" fmla="*/ 0 w 1892488"/>
            <a:gd name="connsiteY6" fmla="*/ 6992 h 44196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</a:cxnLst>
          <a:rect l="l" t="t" r="r" b="b"/>
          <a:pathLst>
            <a:path w="1892488" h="441960">
              <a:moveTo>
                <a:pt x="16141" y="0"/>
              </a:moveTo>
              <a:cubicBezTo>
                <a:pt x="16808" y="61372"/>
                <a:pt x="17476" y="122743"/>
                <a:pt x="18143" y="184115"/>
              </a:cubicBezTo>
              <a:lnTo>
                <a:pt x="994417" y="441960"/>
              </a:lnTo>
              <a:lnTo>
                <a:pt x="1892488" y="178888"/>
              </a:lnTo>
              <a:lnTo>
                <a:pt x="1892488" y="6531"/>
              </a:lnTo>
              <a:lnTo>
                <a:pt x="945581" y="6525"/>
              </a:lnTo>
              <a:lnTo>
                <a:pt x="0" y="6992"/>
              </a:lnTo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1100">
              <a:solidFill>
                <a:schemeClr val="tx2"/>
              </a:solidFill>
            </a:rPr>
            <a:t>Espesador PM</a:t>
          </a:r>
        </a:p>
      </xdr:txBody>
    </xdr:sp>
    <xdr:clientData/>
  </xdr:twoCellAnchor>
  <xdr:twoCellAnchor>
    <xdr:from>
      <xdr:col>2</xdr:col>
      <xdr:colOff>536841</xdr:colOff>
      <xdr:row>28</xdr:row>
      <xdr:rowOff>5146</xdr:rowOff>
    </xdr:from>
    <xdr:to>
      <xdr:col>4</xdr:col>
      <xdr:colOff>434797</xdr:colOff>
      <xdr:row>30</xdr:row>
      <xdr:rowOff>87086</xdr:rowOff>
    </xdr:to>
    <xdr:sp macro="" textlink="">
      <xdr:nvSpPr>
        <xdr:cNvPr id="78" name="Forma libre: forma 77">
          <a:extLst>
            <a:ext uri="{FF2B5EF4-FFF2-40B4-BE49-F238E27FC236}">
              <a16:creationId xmlns:a16="http://schemas.microsoft.com/office/drawing/2014/main" id="{AEB67E8A-C7B9-4BAD-AF26-1C8FDD07A3E2}"/>
            </a:ext>
          </a:extLst>
        </xdr:cNvPr>
        <xdr:cNvSpPr/>
      </xdr:nvSpPr>
      <xdr:spPr>
        <a:xfrm>
          <a:off x="536841" y="4359432"/>
          <a:ext cx="1421956" cy="444797"/>
        </a:xfrm>
        <a:custGeom>
          <a:avLst/>
          <a:gdLst>
            <a:gd name="connsiteX0" fmla="*/ 36286 w 1923143"/>
            <a:gd name="connsiteY0" fmla="*/ 72572 h 435429"/>
            <a:gd name="connsiteX1" fmla="*/ 18143 w 1923143"/>
            <a:gd name="connsiteY1" fmla="*/ 190500 h 435429"/>
            <a:gd name="connsiteX2" fmla="*/ 1025072 w 1923143"/>
            <a:gd name="connsiteY2" fmla="*/ 435429 h 435429"/>
            <a:gd name="connsiteX3" fmla="*/ 1923143 w 1923143"/>
            <a:gd name="connsiteY3" fmla="*/ 172357 h 435429"/>
            <a:gd name="connsiteX4" fmla="*/ 1923143 w 1923143"/>
            <a:gd name="connsiteY4" fmla="*/ 0 h 435429"/>
            <a:gd name="connsiteX5" fmla="*/ 0 w 1923143"/>
            <a:gd name="connsiteY5" fmla="*/ 9072 h 435429"/>
            <a:gd name="connsiteX0" fmla="*/ 0 w 1937657"/>
            <a:gd name="connsiteY0" fmla="*/ 0 h 437654"/>
            <a:gd name="connsiteX1" fmla="*/ 32657 w 1937657"/>
            <a:gd name="connsiteY1" fmla="*/ 192725 h 437654"/>
            <a:gd name="connsiteX2" fmla="*/ 1039586 w 1937657"/>
            <a:gd name="connsiteY2" fmla="*/ 437654 h 437654"/>
            <a:gd name="connsiteX3" fmla="*/ 1937657 w 1937657"/>
            <a:gd name="connsiteY3" fmla="*/ 174582 h 437654"/>
            <a:gd name="connsiteX4" fmla="*/ 1937657 w 1937657"/>
            <a:gd name="connsiteY4" fmla="*/ 2225 h 437654"/>
            <a:gd name="connsiteX5" fmla="*/ 14514 w 1937657"/>
            <a:gd name="connsiteY5" fmla="*/ 11297 h 437654"/>
            <a:gd name="connsiteX0" fmla="*/ 0 w 1937657"/>
            <a:gd name="connsiteY0" fmla="*/ 0 h 437654"/>
            <a:gd name="connsiteX1" fmla="*/ 32657 w 1937657"/>
            <a:gd name="connsiteY1" fmla="*/ 192725 h 437654"/>
            <a:gd name="connsiteX2" fmla="*/ 1039586 w 1937657"/>
            <a:gd name="connsiteY2" fmla="*/ 437654 h 437654"/>
            <a:gd name="connsiteX3" fmla="*/ 1937657 w 1937657"/>
            <a:gd name="connsiteY3" fmla="*/ 174582 h 437654"/>
            <a:gd name="connsiteX4" fmla="*/ 1937657 w 1937657"/>
            <a:gd name="connsiteY4" fmla="*/ 2225 h 437654"/>
            <a:gd name="connsiteX5" fmla="*/ 67066 w 1937657"/>
            <a:gd name="connsiteY5" fmla="*/ 11297 h 437654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34409 w 1905000"/>
            <a:gd name="connsiteY5" fmla="*/ 15603 h 441960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8133 w 1905000"/>
            <a:gd name="connsiteY5" fmla="*/ 28518 h 441960"/>
            <a:gd name="connsiteX0" fmla="*/ 28653 w 1905000"/>
            <a:gd name="connsiteY0" fmla="*/ 0 h 441960"/>
            <a:gd name="connsiteX1" fmla="*/ 0 w 1905000"/>
            <a:gd name="connsiteY1" fmla="*/ 197031 h 441960"/>
            <a:gd name="connsiteX2" fmla="*/ 1006929 w 1905000"/>
            <a:gd name="connsiteY2" fmla="*/ 441960 h 441960"/>
            <a:gd name="connsiteX3" fmla="*/ 1905000 w 1905000"/>
            <a:gd name="connsiteY3" fmla="*/ 178888 h 441960"/>
            <a:gd name="connsiteX4" fmla="*/ 1905000 w 1905000"/>
            <a:gd name="connsiteY4" fmla="*/ 6531 h 441960"/>
            <a:gd name="connsiteX5" fmla="*/ 12512 w 1905000"/>
            <a:gd name="connsiteY5" fmla="*/ 6992 h 441960"/>
            <a:gd name="connsiteX0" fmla="*/ 16141 w 1892488"/>
            <a:gd name="connsiteY0" fmla="*/ 0 h 441960"/>
            <a:gd name="connsiteX1" fmla="*/ 18143 w 1892488"/>
            <a:gd name="connsiteY1" fmla="*/ 184115 h 441960"/>
            <a:gd name="connsiteX2" fmla="*/ 994417 w 1892488"/>
            <a:gd name="connsiteY2" fmla="*/ 441960 h 441960"/>
            <a:gd name="connsiteX3" fmla="*/ 1892488 w 1892488"/>
            <a:gd name="connsiteY3" fmla="*/ 178888 h 441960"/>
            <a:gd name="connsiteX4" fmla="*/ 1892488 w 1892488"/>
            <a:gd name="connsiteY4" fmla="*/ 6531 h 441960"/>
            <a:gd name="connsiteX5" fmla="*/ 0 w 1892488"/>
            <a:gd name="connsiteY5" fmla="*/ 6992 h 441960"/>
            <a:gd name="connsiteX0" fmla="*/ 16141 w 1892488"/>
            <a:gd name="connsiteY0" fmla="*/ 0 h 441960"/>
            <a:gd name="connsiteX1" fmla="*/ 18143 w 1892488"/>
            <a:gd name="connsiteY1" fmla="*/ 184115 h 441960"/>
            <a:gd name="connsiteX2" fmla="*/ 994417 w 1892488"/>
            <a:gd name="connsiteY2" fmla="*/ 441960 h 441960"/>
            <a:gd name="connsiteX3" fmla="*/ 1892488 w 1892488"/>
            <a:gd name="connsiteY3" fmla="*/ 178888 h 441960"/>
            <a:gd name="connsiteX4" fmla="*/ 1892488 w 1892488"/>
            <a:gd name="connsiteY4" fmla="*/ 6531 h 441960"/>
            <a:gd name="connsiteX5" fmla="*/ 945581 w 1892488"/>
            <a:gd name="connsiteY5" fmla="*/ 6525 h 441960"/>
            <a:gd name="connsiteX6" fmla="*/ 0 w 1892488"/>
            <a:gd name="connsiteY6" fmla="*/ 6992 h 44196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</a:cxnLst>
          <a:rect l="l" t="t" r="r" b="b"/>
          <a:pathLst>
            <a:path w="1892488" h="441960">
              <a:moveTo>
                <a:pt x="16141" y="0"/>
              </a:moveTo>
              <a:cubicBezTo>
                <a:pt x="16808" y="61372"/>
                <a:pt x="17476" y="122743"/>
                <a:pt x="18143" y="184115"/>
              </a:cubicBezTo>
              <a:lnTo>
                <a:pt x="994417" y="441960"/>
              </a:lnTo>
              <a:lnTo>
                <a:pt x="1892488" y="178888"/>
              </a:lnTo>
              <a:lnTo>
                <a:pt x="1892488" y="6531"/>
              </a:lnTo>
              <a:lnTo>
                <a:pt x="945581" y="6525"/>
              </a:lnTo>
              <a:lnTo>
                <a:pt x="0" y="6992"/>
              </a:lnTo>
            </a:path>
          </a:pathLst>
        </a:custGeom>
        <a:noFill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1100">
              <a:solidFill>
                <a:schemeClr val="tx2"/>
              </a:solidFill>
            </a:rPr>
            <a:t>Espesador CNN</a:t>
          </a:r>
        </a:p>
      </xdr:txBody>
    </xdr:sp>
    <xdr:clientData/>
  </xdr:twoCellAnchor>
  <xdr:twoCellAnchor>
    <xdr:from>
      <xdr:col>6</xdr:col>
      <xdr:colOff>761999</xdr:colOff>
      <xdr:row>40</xdr:row>
      <xdr:rowOff>136072</xdr:rowOff>
    </xdr:from>
    <xdr:to>
      <xdr:col>9</xdr:col>
      <xdr:colOff>208643</xdr:colOff>
      <xdr:row>42</xdr:row>
      <xdr:rowOff>31751</xdr:rowOff>
    </xdr:to>
    <xdr:cxnSp macro="">
      <xdr:nvCxnSpPr>
        <xdr:cNvPr id="95" name="Conector: angular 94">
          <a:extLst>
            <a:ext uri="{FF2B5EF4-FFF2-40B4-BE49-F238E27FC236}">
              <a16:creationId xmlns:a16="http://schemas.microsoft.com/office/drawing/2014/main" id="{0BD8F35B-BB35-4E91-A9BC-CCD2A5C1D729}"/>
            </a:ext>
          </a:extLst>
        </xdr:cNvPr>
        <xdr:cNvCxnSpPr>
          <a:stCxn id="6" idx="3"/>
          <a:endCxn id="32" idx="2"/>
        </xdr:cNvCxnSpPr>
      </xdr:nvCxnSpPr>
      <xdr:spPr>
        <a:xfrm>
          <a:off x="3809999" y="6867072"/>
          <a:ext cx="2186215" cy="258536"/>
        </a:xfrm>
        <a:prstGeom prst="bentConnector3">
          <a:avLst>
            <a:gd name="adj1" fmla="val -6846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580572</xdr:colOff>
      <xdr:row>40</xdr:row>
      <xdr:rowOff>154215</xdr:rowOff>
    </xdr:from>
    <xdr:to>
      <xdr:col>13</xdr:col>
      <xdr:colOff>54430</xdr:colOff>
      <xdr:row>42</xdr:row>
      <xdr:rowOff>31751</xdr:rowOff>
    </xdr:to>
    <xdr:cxnSp macro="">
      <xdr:nvCxnSpPr>
        <xdr:cNvPr id="104" name="Conector: angular 103">
          <a:extLst>
            <a:ext uri="{FF2B5EF4-FFF2-40B4-BE49-F238E27FC236}">
              <a16:creationId xmlns:a16="http://schemas.microsoft.com/office/drawing/2014/main" id="{C604728E-DBC8-414E-88AE-0099BE279553}"/>
            </a:ext>
          </a:extLst>
        </xdr:cNvPr>
        <xdr:cNvCxnSpPr>
          <a:stCxn id="60" idx="5"/>
          <a:endCxn id="32" idx="6"/>
        </xdr:cNvCxnSpPr>
      </xdr:nvCxnSpPr>
      <xdr:spPr>
        <a:xfrm flipH="1">
          <a:off x="6368143" y="6885215"/>
          <a:ext cx="2521858" cy="240393"/>
        </a:xfrm>
        <a:prstGeom prst="bentConnector3">
          <a:avLst>
            <a:gd name="adj1" fmla="val -485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646952</xdr:colOff>
      <xdr:row>22</xdr:row>
      <xdr:rowOff>65181</xdr:rowOff>
    </xdr:from>
    <xdr:to>
      <xdr:col>8</xdr:col>
      <xdr:colOff>707571</xdr:colOff>
      <xdr:row>25</xdr:row>
      <xdr:rowOff>97515</xdr:rowOff>
    </xdr:to>
    <xdr:cxnSp macro="">
      <xdr:nvCxnSpPr>
        <xdr:cNvPr id="150" name="Conector: angular 149">
          <a:extLst>
            <a:ext uri="{FF2B5EF4-FFF2-40B4-BE49-F238E27FC236}">
              <a16:creationId xmlns:a16="http://schemas.microsoft.com/office/drawing/2014/main" id="{2C0CFF63-B231-4C2C-BA64-417FE555C326}"/>
            </a:ext>
          </a:extLst>
        </xdr:cNvPr>
        <xdr:cNvCxnSpPr>
          <a:stCxn id="3" idx="4"/>
          <a:endCxn id="8" idx="0"/>
        </xdr:cNvCxnSpPr>
      </xdr:nvCxnSpPr>
      <xdr:spPr>
        <a:xfrm>
          <a:off x="2170952" y="3944454"/>
          <a:ext cx="3870619" cy="586516"/>
        </a:xfrm>
        <a:prstGeom prst="bentConnector3">
          <a:avLst>
            <a:gd name="adj1" fmla="val 42544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69273</xdr:colOff>
      <xdr:row>21</xdr:row>
      <xdr:rowOff>174864</xdr:rowOff>
    </xdr:from>
    <xdr:to>
      <xdr:col>16</xdr:col>
      <xdr:colOff>223063</xdr:colOff>
      <xdr:row>25</xdr:row>
      <xdr:rowOff>34636</xdr:rowOff>
    </xdr:to>
    <xdr:cxnSp macro="">
      <xdr:nvCxnSpPr>
        <xdr:cNvPr id="152" name="Conector: angular 151">
          <a:extLst>
            <a:ext uri="{FF2B5EF4-FFF2-40B4-BE49-F238E27FC236}">
              <a16:creationId xmlns:a16="http://schemas.microsoft.com/office/drawing/2014/main" id="{C38147F9-3790-46BF-91D8-21C47779B467}"/>
            </a:ext>
          </a:extLst>
        </xdr:cNvPr>
        <xdr:cNvCxnSpPr>
          <a:stCxn id="57" idx="2"/>
        </xdr:cNvCxnSpPr>
      </xdr:nvCxnSpPr>
      <xdr:spPr>
        <a:xfrm rot="10800000" flipV="1">
          <a:off x="8139546" y="3869409"/>
          <a:ext cx="4321699" cy="598682"/>
        </a:xfrm>
        <a:prstGeom prst="bentConnector3">
          <a:avLst>
            <a:gd name="adj1" fmla="val 45458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434797</xdr:colOff>
      <xdr:row>29</xdr:row>
      <xdr:rowOff>3125</xdr:rowOff>
    </xdr:from>
    <xdr:to>
      <xdr:col>15</xdr:col>
      <xdr:colOff>523350</xdr:colOff>
      <xdr:row>34</xdr:row>
      <xdr:rowOff>67862</xdr:rowOff>
    </xdr:to>
    <xdr:cxnSp macro="">
      <xdr:nvCxnSpPr>
        <xdr:cNvPr id="52" name="Conector: angular 51">
          <a:extLst>
            <a:ext uri="{FF2B5EF4-FFF2-40B4-BE49-F238E27FC236}">
              <a16:creationId xmlns:a16="http://schemas.microsoft.com/office/drawing/2014/main" id="{FF05AA41-489D-4084-AF57-069194DF7C20}"/>
            </a:ext>
          </a:extLst>
        </xdr:cNvPr>
        <xdr:cNvCxnSpPr>
          <a:stCxn id="78" idx="3"/>
        </xdr:cNvCxnSpPr>
      </xdr:nvCxnSpPr>
      <xdr:spPr>
        <a:xfrm>
          <a:off x="2720797" y="5175489"/>
          <a:ext cx="9024735" cy="815191"/>
        </a:xfrm>
        <a:prstGeom prst="bentConnector3">
          <a:avLst>
            <a:gd name="adj1" fmla="val 9695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635009</xdr:colOff>
      <xdr:row>35</xdr:row>
      <xdr:rowOff>226787</xdr:rowOff>
    </xdr:from>
    <xdr:to>
      <xdr:col>15</xdr:col>
      <xdr:colOff>517090</xdr:colOff>
      <xdr:row>38</xdr:row>
      <xdr:rowOff>18143</xdr:rowOff>
    </xdr:to>
    <xdr:cxnSp macro="">
      <xdr:nvCxnSpPr>
        <xdr:cNvPr id="102" name="Conector: angular 101">
          <a:extLst>
            <a:ext uri="{FF2B5EF4-FFF2-40B4-BE49-F238E27FC236}">
              <a16:creationId xmlns:a16="http://schemas.microsoft.com/office/drawing/2014/main" id="{DE189367-A329-4CD7-88F4-B4FFA1B6BED3}"/>
            </a:ext>
          </a:extLst>
        </xdr:cNvPr>
        <xdr:cNvCxnSpPr/>
      </xdr:nvCxnSpPr>
      <xdr:spPr>
        <a:xfrm flipH="1">
          <a:off x="2921009" y="5860144"/>
          <a:ext cx="8055438" cy="526142"/>
        </a:xfrm>
        <a:prstGeom prst="bentConnector3">
          <a:avLst>
            <a:gd name="adj1" fmla="val 99662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372573</xdr:colOff>
      <xdr:row>1</xdr:row>
      <xdr:rowOff>86212</xdr:rowOff>
    </xdr:from>
    <xdr:to>
      <xdr:col>4</xdr:col>
      <xdr:colOff>425450</xdr:colOff>
      <xdr:row>4</xdr:row>
      <xdr:rowOff>77399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DE36B44-C166-47E8-B933-36E9FC0F7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screen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715473" y="257662"/>
          <a:ext cx="922827" cy="51823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ernando/Downloads/Balance%20quincenal%20agosto%20PP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pmineria.sharepoint.com/sites/PlanificacionplantapuertoVE/Documentos%20compartidos/General/Balances/Balance%20de%20masa/2024/08%20-%20Agosto/Romeral/1284.xlsx" TargetMode="External"/><Relationship Id="rId1" Type="http://schemas.openxmlformats.org/officeDocument/2006/relationships/externalLinkPath" Target="https://capmineria.sharepoint.com/sites/PlanificacionplantapuertoVE/Documentos%20compartidos/General/Balances/Balance%20de%20masa/2024/08%20-%20Agosto/Romeral/128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tilidad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tilidad"/>
      <sheetName val="Datos Extra"/>
      <sheetName val="Flujos"/>
      <sheetName val="Mapa de Procesos"/>
      <sheetName val="Report"/>
    </sheetNames>
    <sheetDataSet>
      <sheetData sheetId="0" refreshError="1"/>
      <sheetData sheetId="1">
        <row r="1">
          <cell r="B1">
            <v>29644.269999999964</v>
          </cell>
        </row>
      </sheetData>
      <sheetData sheetId="2">
        <row r="9">
          <cell r="G9">
            <v>-19721</v>
          </cell>
        </row>
        <row r="17">
          <cell r="G17">
            <v>-2071</v>
          </cell>
        </row>
        <row r="21">
          <cell r="G21">
            <v>51</v>
          </cell>
        </row>
        <row r="26">
          <cell r="G26">
            <v>-21285</v>
          </cell>
        </row>
        <row r="31">
          <cell r="G31">
            <v>0</v>
          </cell>
        </row>
        <row r="34">
          <cell r="G34">
            <v>-63213</v>
          </cell>
        </row>
        <row r="39">
          <cell r="G39">
            <v>1032</v>
          </cell>
        </row>
      </sheetData>
      <sheetData sheetId="3">
        <row r="118">
          <cell r="L118">
            <v>-8270.0017400813813</v>
          </cell>
        </row>
        <row r="119">
          <cell r="L119">
            <v>-852.7457844552099</v>
          </cell>
        </row>
        <row r="121">
          <cell r="L121">
            <v>34.489375057529998</v>
          </cell>
        </row>
        <row r="122">
          <cell r="L122">
            <v>0</v>
          </cell>
        </row>
        <row r="128">
          <cell r="L128">
            <v>-13448.820825000001</v>
          </cell>
        </row>
        <row r="129">
          <cell r="L129">
            <v>-38546.283837997558</v>
          </cell>
        </row>
        <row r="130">
          <cell r="L130">
            <v>613.62720000000002</v>
          </cell>
        </row>
      </sheetData>
      <sheetData sheetId="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odrigo Sanchez Cisternas" id="{244BBBB5-E74C-4B85-A9C2-6BE4AA611BA9}" userId="S::e_rsanchez@pe.cmp.cl::4ccb07cd-54b2-4cdb-afba-81c2f1553bce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8" dT="2025-08-21T15:15:31.67" personId="{244BBBB5-E74C-4B85-A9C2-6BE4AA611BA9}" id="{0D72AAC0-0D27-43CD-ADED-C534A146A15D}">
    <text>Modificar a tbn</text>
  </threadedComment>
  <threadedComment ref="H20" dT="2025-08-21T15:15:16.89" personId="{244BBBB5-E74C-4B85-A9C2-6BE4AA611BA9}" id="{FF1EAD6D-8ED4-4D45-A221-00FF07EC26C9}">
    <text>Modificar a tmh</text>
  </threadedComment>
  <threadedComment ref="D23" dT="2025-08-21T20:18:41.99" personId="{244BBBB5-E74C-4B85-A9C2-6BE4AA611BA9}" id="{773FB430-D668-4DA4-9028-7F51D6FCB5A8}">
    <text>agregar</text>
  </threadedComment>
  <threadedComment ref="D24" dT="2025-08-21T20:18:48.31" personId="{244BBBB5-E74C-4B85-A9C2-6BE4AA611BA9}" id="{C7BA349F-74F2-43BA-BF17-F42B36851AF7}">
    <text>agregar</text>
  </threadedComment>
  <threadedComment ref="K24" dT="2025-08-21T20:19:00.12" personId="{244BBBB5-E74C-4B85-A9C2-6BE4AA611BA9}" id="{C856A641-53F7-4068-9E4E-F05B4D9B13D2}">
    <text>agregar</text>
  </threadedComment>
  <threadedComment ref="K25" dT="2025-08-21T20:19:06.44" personId="{244BBBB5-E74C-4B85-A9C2-6BE4AA611BA9}" id="{466C4C0D-4BFD-4D1C-B586-32170CC7C8BF}">
    <text>agregar</text>
  </threadedComment>
  <threadedComment ref="D27" dT="2025-08-21T20:18:54.28" personId="{244BBBB5-E74C-4B85-A9C2-6BE4AA611BA9}" id="{47D780A8-3DEB-46B5-AB61-EB3E66B886CB}">
    <text>agregar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2"/>
  <dimension ref="A1:BB141"/>
  <sheetViews>
    <sheetView zoomScale="80" zoomScaleNormal="80" workbookViewId="0">
      <selection activeCell="B5" sqref="B5"/>
    </sheetView>
  </sheetViews>
  <sheetFormatPr baseColWidth="10" defaultRowHeight="15" outlineLevelCol="1" x14ac:dyDescent="0.2"/>
  <cols>
    <col min="1" max="1" width="10.6640625" customWidth="1" outlineLevel="1"/>
    <col min="2" max="2" width="11.83203125" customWidth="1" outlineLevel="1"/>
    <col min="3" max="4" width="7.1640625" customWidth="1" outlineLevel="1"/>
    <col min="5" max="5" width="3.83203125" customWidth="1"/>
    <col min="6" max="6" width="38" style="1" customWidth="1"/>
    <col min="7" max="14" width="13.5" customWidth="1"/>
    <col min="15" max="15" width="18.33203125" customWidth="1"/>
    <col min="16" max="17" width="13.5" customWidth="1"/>
    <col min="22" max="22" width="19.5" bestFit="1" customWidth="1"/>
    <col min="25" max="25" width="18.1640625" customWidth="1"/>
  </cols>
  <sheetData>
    <row r="1" spans="1:54" ht="21" x14ac:dyDescent="0.25">
      <c r="A1" s="76">
        <v>164563</v>
      </c>
      <c r="B1" s="76">
        <v>164563</v>
      </c>
      <c r="C1" s="77">
        <v>65.52</v>
      </c>
      <c r="D1" s="77">
        <v>65.52</v>
      </c>
      <c r="E1" s="80">
        <v>0</v>
      </c>
      <c r="F1" s="85"/>
      <c r="G1" s="80"/>
      <c r="H1" s="80"/>
      <c r="I1" s="80"/>
      <c r="J1" s="80"/>
      <c r="K1" s="80"/>
      <c r="L1" s="80"/>
      <c r="M1" s="80"/>
      <c r="N1" s="61"/>
      <c r="O1" s="61"/>
    </row>
    <row r="2" spans="1:54" x14ac:dyDescent="0.2">
      <c r="A2" s="78">
        <v>-2425</v>
      </c>
      <c r="B2" s="78">
        <v>-2425</v>
      </c>
      <c r="C2" s="79">
        <v>65.52</v>
      </c>
      <c r="D2" s="79">
        <v>65.52</v>
      </c>
      <c r="E2" s="80">
        <v>0</v>
      </c>
      <c r="F2" s="85"/>
      <c r="G2" s="86"/>
      <c r="H2" s="86"/>
      <c r="I2" s="86"/>
      <c r="J2" s="86"/>
      <c r="K2" s="86"/>
      <c r="L2" s="86"/>
      <c r="M2" s="86"/>
      <c r="N2" s="62"/>
      <c r="O2" s="62"/>
      <c r="P2" s="46"/>
      <c r="Q2" s="46"/>
      <c r="R2" s="46"/>
      <c r="S2" s="46"/>
      <c r="T2" s="47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54"/>
      <c r="AH2" s="54"/>
      <c r="AI2" s="54"/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4"/>
      <c r="AU2" s="54"/>
      <c r="AV2" s="54"/>
      <c r="AW2" s="54"/>
      <c r="AX2" s="54"/>
      <c r="AY2" s="54"/>
      <c r="AZ2" s="54"/>
      <c r="BA2" s="54"/>
      <c r="BB2" s="54"/>
    </row>
    <row r="3" spans="1:54" ht="13" customHeight="1" x14ac:dyDescent="0.2">
      <c r="A3" s="78">
        <v>166988</v>
      </c>
      <c r="B3" s="78">
        <v>166988</v>
      </c>
      <c r="C3" s="79">
        <v>65.52</v>
      </c>
      <c r="D3" s="79">
        <v>65.52</v>
      </c>
      <c r="E3" s="80">
        <v>0</v>
      </c>
      <c r="F3" s="87"/>
      <c r="G3" s="88"/>
      <c r="H3" s="88"/>
      <c r="I3" s="88"/>
      <c r="J3" s="88"/>
      <c r="K3" s="88"/>
      <c r="L3" s="88"/>
      <c r="M3" s="88"/>
      <c r="N3" s="63"/>
      <c r="O3" s="63"/>
      <c r="P3" s="55"/>
      <c r="Q3" s="55"/>
      <c r="R3" s="55"/>
      <c r="S3" s="55"/>
      <c r="T3" s="55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</row>
    <row r="4" spans="1:54" ht="13" customHeight="1" x14ac:dyDescent="0.2">
      <c r="A4" s="78">
        <v>0</v>
      </c>
      <c r="B4" s="78">
        <v>0</v>
      </c>
      <c r="C4" s="79">
        <v>0</v>
      </c>
      <c r="D4" s="79">
        <v>0</v>
      </c>
      <c r="E4" s="80">
        <v>0</v>
      </c>
      <c r="F4" s="87"/>
      <c r="G4" s="88"/>
      <c r="H4" s="88"/>
      <c r="I4" s="88"/>
      <c r="J4" s="88"/>
      <c r="K4" s="88"/>
      <c r="L4" s="88"/>
      <c r="M4" s="88"/>
      <c r="N4" s="63"/>
      <c r="O4" s="63"/>
      <c r="P4" s="55"/>
      <c r="Q4" s="55"/>
      <c r="R4" s="55"/>
      <c r="S4" s="55"/>
      <c r="T4" s="55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</row>
    <row r="5" spans="1:54" ht="13" customHeight="1" x14ac:dyDescent="0.2">
      <c r="A5" s="78">
        <v>166988</v>
      </c>
      <c r="B5" s="78">
        <v>166988</v>
      </c>
      <c r="C5" s="79">
        <v>65.52</v>
      </c>
      <c r="D5" s="79">
        <v>65.52</v>
      </c>
      <c r="E5" s="80">
        <v>0</v>
      </c>
      <c r="F5" s="87"/>
      <c r="G5" s="88"/>
      <c r="H5" s="88"/>
      <c r="I5" s="88"/>
      <c r="J5" s="88"/>
      <c r="K5" s="88"/>
      <c r="L5" s="88"/>
      <c r="M5" s="88"/>
      <c r="N5" s="63"/>
      <c r="O5" s="63"/>
      <c r="P5" s="55"/>
      <c r="Q5" s="55"/>
      <c r="R5" s="55"/>
      <c r="S5" s="55"/>
      <c r="T5" s="55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</row>
    <row r="6" spans="1:54" ht="13" customHeight="1" x14ac:dyDescent="0.2">
      <c r="A6" s="78">
        <v>-770</v>
      </c>
      <c r="B6" s="78">
        <v>-1585</v>
      </c>
      <c r="C6" s="79">
        <v>65.52</v>
      </c>
      <c r="D6" s="79">
        <v>65.52</v>
      </c>
      <c r="E6" s="80">
        <v>0</v>
      </c>
      <c r="F6" s="87"/>
      <c r="G6" s="88"/>
      <c r="H6" s="88"/>
      <c r="I6" s="88"/>
      <c r="J6" s="88"/>
      <c r="K6" s="88"/>
      <c r="L6" s="88"/>
      <c r="M6" s="88"/>
      <c r="N6" s="63"/>
      <c r="O6" s="63"/>
      <c r="P6" s="55"/>
      <c r="Q6" s="55"/>
      <c r="R6" s="55"/>
      <c r="S6" s="55"/>
      <c r="T6" s="55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</row>
    <row r="7" spans="1:54" ht="13" customHeight="1" x14ac:dyDescent="0.2">
      <c r="A7" s="78">
        <v>168573</v>
      </c>
      <c r="B7" s="78">
        <v>168573</v>
      </c>
      <c r="C7" s="79">
        <v>65.52</v>
      </c>
      <c r="D7" s="79">
        <v>65.52</v>
      </c>
      <c r="E7" s="80">
        <v>0</v>
      </c>
      <c r="F7" s="87"/>
      <c r="G7" s="88"/>
      <c r="H7" s="88"/>
      <c r="I7" s="88"/>
      <c r="J7" s="88"/>
      <c r="K7" s="88"/>
      <c r="L7" s="88"/>
      <c r="M7" s="88"/>
      <c r="N7" s="63"/>
      <c r="O7" s="63"/>
      <c r="P7" s="55"/>
      <c r="Q7" s="55"/>
      <c r="R7" s="55"/>
      <c r="S7" s="55"/>
      <c r="T7" s="55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</row>
    <row r="8" spans="1:54" ht="13" customHeight="1" x14ac:dyDescent="0.2">
      <c r="A8" s="80">
        <v>0</v>
      </c>
      <c r="B8" s="80">
        <v>0</v>
      </c>
      <c r="C8" s="79">
        <v>0</v>
      </c>
      <c r="D8" s="79">
        <v>0</v>
      </c>
      <c r="E8" s="80">
        <v>0</v>
      </c>
      <c r="F8" s="87"/>
      <c r="G8" s="88"/>
      <c r="H8" s="88"/>
      <c r="I8" s="88"/>
      <c r="J8" s="88"/>
      <c r="K8" s="88"/>
      <c r="L8" s="88"/>
      <c r="M8" s="88"/>
      <c r="N8" s="63"/>
      <c r="O8" s="63"/>
      <c r="P8" s="55"/>
      <c r="Q8" s="55"/>
      <c r="R8" s="55"/>
      <c r="S8" s="55"/>
      <c r="T8" s="55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</row>
    <row r="9" spans="1:54" ht="13" customHeight="1" x14ac:dyDescent="0.2">
      <c r="A9" s="78">
        <v>168573</v>
      </c>
      <c r="B9" s="78">
        <v>168573</v>
      </c>
      <c r="C9" s="79">
        <v>65.52</v>
      </c>
      <c r="D9" s="79">
        <v>65.52</v>
      </c>
      <c r="E9" s="80">
        <v>0</v>
      </c>
      <c r="F9" s="87"/>
      <c r="G9" s="88"/>
      <c r="H9" s="88"/>
      <c r="I9" s="88"/>
      <c r="J9" s="88"/>
      <c r="K9" s="88"/>
      <c r="L9" s="88"/>
      <c r="M9" s="88"/>
      <c r="N9" s="63"/>
      <c r="O9" s="63"/>
      <c r="P9" s="55"/>
      <c r="Q9" s="55"/>
      <c r="R9" s="55"/>
      <c r="S9" s="55"/>
      <c r="T9" s="55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</row>
    <row r="10" spans="1:54" ht="13" customHeight="1" x14ac:dyDescent="0.2">
      <c r="A10" s="78">
        <v>0</v>
      </c>
      <c r="B10" s="78">
        <v>0</v>
      </c>
      <c r="C10" s="79">
        <v>0</v>
      </c>
      <c r="D10" s="79">
        <v>0</v>
      </c>
      <c r="E10" s="80">
        <v>0</v>
      </c>
      <c r="F10" s="87"/>
      <c r="G10" s="88"/>
      <c r="H10" s="88"/>
      <c r="I10" s="88"/>
      <c r="J10" s="88"/>
      <c r="K10" s="88"/>
      <c r="L10" s="88"/>
      <c r="M10" s="88"/>
      <c r="N10" s="55"/>
      <c r="O10" s="55"/>
      <c r="P10" s="55"/>
      <c r="Q10" s="55"/>
      <c r="R10" s="55"/>
      <c r="S10" s="55"/>
      <c r="T10" s="55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</row>
    <row r="11" spans="1:54" ht="13" customHeight="1" x14ac:dyDescent="0.2">
      <c r="A11" s="80">
        <v>0</v>
      </c>
      <c r="B11" s="80">
        <v>0</v>
      </c>
      <c r="C11" s="79">
        <v>0</v>
      </c>
      <c r="D11" s="79">
        <v>0</v>
      </c>
      <c r="E11" s="80">
        <v>0</v>
      </c>
      <c r="F11" s="87"/>
      <c r="G11" s="88"/>
      <c r="H11" s="88"/>
      <c r="I11" s="88"/>
      <c r="J11" s="88"/>
      <c r="K11" s="88"/>
      <c r="L11" s="88"/>
      <c r="M11" s="88"/>
      <c r="N11" s="55"/>
      <c r="O11" s="55"/>
      <c r="P11" s="55"/>
      <c r="Q11" s="55"/>
      <c r="R11" s="55"/>
      <c r="S11" s="55"/>
      <c r="T11" s="55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</row>
    <row r="12" spans="1:54" ht="13" customHeight="1" x14ac:dyDescent="0.2">
      <c r="A12" s="81">
        <v>-58345</v>
      </c>
      <c r="B12" s="81">
        <v>-58346</v>
      </c>
      <c r="C12" s="79">
        <v>65.709999999999994</v>
      </c>
      <c r="D12" s="79">
        <v>66.258947143</v>
      </c>
      <c r="E12" s="80">
        <v>0</v>
      </c>
      <c r="F12" s="87"/>
      <c r="G12" s="88"/>
      <c r="H12" s="88"/>
      <c r="I12" s="88"/>
      <c r="J12" s="88"/>
      <c r="K12" s="88"/>
      <c r="L12" s="88"/>
      <c r="M12" s="88"/>
      <c r="N12" s="55"/>
      <c r="O12" s="55"/>
      <c r="P12" s="55"/>
      <c r="Q12" s="55"/>
      <c r="R12" s="55"/>
      <c r="S12" s="55"/>
      <c r="T12" s="55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</row>
    <row r="13" spans="1:54" ht="13" customHeight="1" x14ac:dyDescent="0.25">
      <c r="A13" s="82">
        <v>226919</v>
      </c>
      <c r="B13" s="82">
        <v>226919</v>
      </c>
      <c r="C13" s="83">
        <v>65.709999999999994</v>
      </c>
      <c r="D13" s="83">
        <v>65.709999999999994</v>
      </c>
      <c r="E13" s="80">
        <v>0</v>
      </c>
      <c r="F13" s="87"/>
      <c r="G13" s="88"/>
      <c r="H13" s="88"/>
      <c r="I13" s="88"/>
      <c r="J13" s="88"/>
      <c r="K13" s="88"/>
      <c r="L13" s="88"/>
      <c r="M13" s="88"/>
      <c r="N13" s="55"/>
      <c r="O13" s="55"/>
      <c r="P13" s="55"/>
      <c r="Q13" s="55"/>
      <c r="R13" s="55"/>
      <c r="S13" s="55"/>
      <c r="T13" s="55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</row>
    <row r="14" spans="1:54" ht="13" customHeight="1" x14ac:dyDescent="0.25">
      <c r="A14" s="76">
        <v>69887</v>
      </c>
      <c r="B14" s="76">
        <v>69887</v>
      </c>
      <c r="C14" s="77">
        <v>65.67</v>
      </c>
      <c r="D14" s="77">
        <v>65.779996432999994</v>
      </c>
      <c r="E14" s="80">
        <v>0</v>
      </c>
      <c r="F14" s="87"/>
      <c r="G14" s="88"/>
      <c r="H14" s="88"/>
      <c r="I14" s="88"/>
      <c r="J14" s="88"/>
      <c r="K14" s="88"/>
      <c r="L14" s="88"/>
      <c r="M14" s="88"/>
      <c r="N14" s="55"/>
      <c r="O14" s="55"/>
      <c r="P14" s="55"/>
      <c r="Q14" s="55"/>
      <c r="R14" s="55"/>
      <c r="S14" s="55"/>
      <c r="T14" s="55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</row>
    <row r="15" spans="1:54" ht="13" customHeight="1" x14ac:dyDescent="0.2">
      <c r="A15" s="78">
        <v>-106</v>
      </c>
      <c r="B15" s="78">
        <v>-106</v>
      </c>
      <c r="C15" s="79">
        <v>65.78</v>
      </c>
      <c r="D15" s="79">
        <v>65.780166321999999</v>
      </c>
      <c r="E15" s="80">
        <v>0</v>
      </c>
      <c r="F15" s="87"/>
      <c r="G15" s="88"/>
      <c r="H15" s="88"/>
      <c r="I15" s="88"/>
      <c r="J15" s="88"/>
      <c r="K15" s="88"/>
      <c r="L15" s="88"/>
      <c r="M15" s="88"/>
      <c r="N15" s="55"/>
      <c r="O15" s="55"/>
      <c r="P15" s="55"/>
      <c r="Q15" s="55"/>
      <c r="R15" s="55"/>
      <c r="S15" s="55"/>
      <c r="T15" s="55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</row>
    <row r="16" spans="1:54" ht="13" customHeight="1" x14ac:dyDescent="0.2">
      <c r="A16" s="78">
        <v>69993</v>
      </c>
      <c r="B16" s="78">
        <v>69993</v>
      </c>
      <c r="C16" s="79">
        <v>65.78</v>
      </c>
      <c r="D16" s="79">
        <v>65.779996690999994</v>
      </c>
      <c r="E16" s="80">
        <v>0</v>
      </c>
      <c r="F16" s="87"/>
      <c r="G16" s="88"/>
      <c r="H16" s="88"/>
      <c r="I16" s="88"/>
      <c r="J16" s="88"/>
      <c r="K16" s="88"/>
      <c r="L16" s="88"/>
      <c r="M16" s="88"/>
      <c r="N16" s="55"/>
      <c r="O16" s="55"/>
      <c r="P16" s="55"/>
      <c r="Q16" s="55"/>
      <c r="R16" s="55"/>
      <c r="S16" s="55"/>
      <c r="T16" s="55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</row>
    <row r="17" spans="1:32" ht="13" customHeight="1" x14ac:dyDescent="0.2">
      <c r="A17" s="78">
        <v>0</v>
      </c>
      <c r="B17" s="78">
        <v>0</v>
      </c>
      <c r="C17" s="79">
        <v>0</v>
      </c>
      <c r="D17" s="79">
        <v>0</v>
      </c>
      <c r="E17" s="80">
        <v>0</v>
      </c>
      <c r="F17" s="87"/>
      <c r="G17" s="88"/>
      <c r="H17" s="88"/>
      <c r="I17" s="88"/>
      <c r="J17" s="88"/>
      <c r="K17" s="88"/>
      <c r="L17" s="88"/>
      <c r="M17" s="88"/>
      <c r="N17" s="55"/>
      <c r="O17" s="55"/>
      <c r="P17" s="55"/>
      <c r="Q17" s="55"/>
      <c r="R17" s="55"/>
      <c r="S17" s="55"/>
      <c r="T17" s="55"/>
    </row>
    <row r="18" spans="1:32" ht="13" customHeight="1" x14ac:dyDescent="0.2">
      <c r="A18" s="78">
        <v>69993</v>
      </c>
      <c r="B18" s="78">
        <v>69993</v>
      </c>
      <c r="C18" s="79">
        <v>65.78</v>
      </c>
      <c r="D18" s="79">
        <v>65.779996690999994</v>
      </c>
      <c r="E18" s="80">
        <v>0</v>
      </c>
      <c r="F18" s="87"/>
      <c r="G18" s="88"/>
      <c r="H18" s="88"/>
      <c r="I18" s="88"/>
      <c r="J18" s="88"/>
      <c r="K18" s="88"/>
      <c r="L18" s="88"/>
      <c r="M18" s="88"/>
      <c r="N18" s="55"/>
      <c r="O18" s="55"/>
      <c r="P18" s="55"/>
      <c r="Q18" s="55"/>
      <c r="R18" s="55"/>
      <c r="S18" s="55"/>
      <c r="T18" s="55"/>
    </row>
    <row r="19" spans="1:32" ht="13" customHeight="1" x14ac:dyDescent="0.2">
      <c r="A19" s="78">
        <v>383</v>
      </c>
      <c r="B19" s="78">
        <v>383</v>
      </c>
      <c r="C19" s="79">
        <v>65.78</v>
      </c>
      <c r="D19" s="79">
        <v>65.779395218000005</v>
      </c>
      <c r="E19" s="80">
        <v>0</v>
      </c>
      <c r="F19" s="89"/>
      <c r="G19" s="88"/>
      <c r="H19" s="88"/>
      <c r="I19" s="88"/>
      <c r="J19" s="88"/>
      <c r="K19" s="88"/>
      <c r="L19" s="88"/>
      <c r="M19" s="88"/>
      <c r="N19" s="55"/>
      <c r="O19" s="55"/>
      <c r="P19" s="55"/>
      <c r="Q19" s="55"/>
      <c r="R19" s="55"/>
      <c r="S19" s="55"/>
      <c r="T19" s="55"/>
      <c r="AF19" s="18"/>
    </row>
    <row r="20" spans="1:32" ht="13" customHeight="1" x14ac:dyDescent="0.2">
      <c r="A20" s="78">
        <v>69610</v>
      </c>
      <c r="B20" s="78">
        <v>69610</v>
      </c>
      <c r="C20" s="79">
        <v>65.78</v>
      </c>
      <c r="D20" s="79">
        <v>65.78</v>
      </c>
      <c r="E20" s="80">
        <v>0</v>
      </c>
      <c r="F20" s="87"/>
      <c r="G20" s="88"/>
      <c r="H20" s="88"/>
      <c r="I20" s="88"/>
      <c r="J20" s="88"/>
      <c r="K20" s="88"/>
      <c r="L20" s="88"/>
      <c r="M20" s="88"/>
      <c r="N20" s="55"/>
      <c r="O20" s="55"/>
      <c r="P20" s="55"/>
      <c r="Q20" s="55"/>
      <c r="R20" s="55"/>
      <c r="S20" s="55"/>
      <c r="T20" s="55"/>
      <c r="AD20" s="44"/>
      <c r="AE20" s="18"/>
      <c r="AF20" s="18"/>
    </row>
    <row r="21" spans="1:32" ht="13" customHeight="1" x14ac:dyDescent="0.2">
      <c r="A21" s="80">
        <v>0</v>
      </c>
      <c r="B21" s="80">
        <v>0</v>
      </c>
      <c r="C21" s="79">
        <v>0</v>
      </c>
      <c r="D21" s="79">
        <v>0</v>
      </c>
      <c r="E21" s="80">
        <v>0</v>
      </c>
      <c r="F21" s="87"/>
      <c r="G21" s="88"/>
      <c r="H21" s="88"/>
      <c r="I21" s="88"/>
      <c r="J21" s="88"/>
      <c r="K21" s="88"/>
      <c r="L21" s="88"/>
      <c r="M21" s="88"/>
      <c r="N21" s="55"/>
      <c r="O21" s="55"/>
      <c r="P21" s="55"/>
      <c r="Q21" s="55"/>
      <c r="R21" s="55"/>
      <c r="S21" s="55"/>
      <c r="T21" s="55"/>
      <c r="AD21" s="44"/>
      <c r="AE21" s="18"/>
      <c r="AF21" s="18"/>
    </row>
    <row r="22" spans="1:32" ht="13" customHeight="1" x14ac:dyDescent="0.2">
      <c r="A22" s="78">
        <v>69610</v>
      </c>
      <c r="B22" s="78">
        <v>69610</v>
      </c>
      <c r="C22" s="79">
        <v>65.78</v>
      </c>
      <c r="D22" s="79">
        <v>65.78</v>
      </c>
      <c r="E22" s="80">
        <v>0</v>
      </c>
      <c r="F22" s="87"/>
      <c r="G22" s="88"/>
      <c r="H22" s="88"/>
      <c r="I22" s="88"/>
      <c r="J22" s="88"/>
      <c r="K22" s="88"/>
      <c r="L22" s="88"/>
      <c r="M22" s="88"/>
      <c r="N22" s="55"/>
      <c r="O22" s="55"/>
      <c r="P22" s="55"/>
      <c r="Q22" s="55"/>
      <c r="R22" s="55"/>
      <c r="S22" s="55"/>
      <c r="T22" s="55"/>
      <c r="AD22" s="44"/>
      <c r="AE22" s="18"/>
      <c r="AF22" s="18"/>
    </row>
    <row r="23" spans="1:32" ht="12.75" customHeight="1" x14ac:dyDescent="0.2">
      <c r="A23" s="78">
        <v>0</v>
      </c>
      <c r="B23" s="78">
        <v>0</v>
      </c>
      <c r="C23" s="79">
        <v>0</v>
      </c>
      <c r="D23" s="79">
        <v>0</v>
      </c>
      <c r="E23" s="80">
        <v>0</v>
      </c>
      <c r="F23" s="87"/>
      <c r="G23" s="88"/>
      <c r="H23" s="88"/>
      <c r="I23" s="88"/>
      <c r="J23" s="88"/>
      <c r="K23" s="88"/>
      <c r="L23" s="88"/>
      <c r="M23" s="88"/>
      <c r="N23" s="55"/>
      <c r="O23" s="55"/>
      <c r="P23" s="55"/>
      <c r="Q23" s="55"/>
      <c r="R23" s="55"/>
      <c r="S23" s="55"/>
      <c r="T23" s="55"/>
      <c r="AD23" s="44"/>
      <c r="AE23" s="18"/>
      <c r="AF23" s="18"/>
    </row>
    <row r="24" spans="1:32" ht="13" customHeight="1" x14ac:dyDescent="0.2">
      <c r="A24" s="78">
        <v>69610</v>
      </c>
      <c r="B24" s="78">
        <v>69610</v>
      </c>
      <c r="C24" s="79">
        <v>65.78</v>
      </c>
      <c r="D24" s="79">
        <v>65.78</v>
      </c>
      <c r="E24" s="80">
        <v>0</v>
      </c>
      <c r="F24" s="87"/>
      <c r="G24" s="88"/>
      <c r="H24" s="88"/>
      <c r="I24" s="88"/>
      <c r="J24" s="88"/>
      <c r="K24" s="88"/>
      <c r="L24" s="88"/>
      <c r="M24" s="88"/>
      <c r="N24" s="55"/>
      <c r="O24" s="55"/>
      <c r="P24" s="55"/>
      <c r="Q24" s="55"/>
      <c r="R24" s="55"/>
      <c r="S24" s="55"/>
      <c r="T24" s="55"/>
      <c r="AD24" s="44"/>
      <c r="AE24" s="18"/>
      <c r="AF24" s="18"/>
    </row>
    <row r="25" spans="1:32" ht="13" customHeight="1" x14ac:dyDescent="0.2">
      <c r="A25" s="80">
        <v>0</v>
      </c>
      <c r="B25" s="80">
        <v>0</v>
      </c>
      <c r="C25" s="79">
        <v>0</v>
      </c>
      <c r="D25" s="79">
        <v>0</v>
      </c>
      <c r="E25" s="80">
        <v>0</v>
      </c>
      <c r="F25" s="87"/>
      <c r="G25" s="88"/>
      <c r="H25" s="88"/>
      <c r="I25" s="88"/>
      <c r="J25" s="88"/>
      <c r="K25" s="88"/>
      <c r="L25" s="88"/>
      <c r="M25" s="88"/>
      <c r="N25" s="55"/>
      <c r="O25" s="55"/>
      <c r="P25" s="55"/>
      <c r="Q25" s="55"/>
      <c r="R25" s="55"/>
      <c r="S25" s="55"/>
      <c r="T25" s="55"/>
      <c r="AD25" s="44"/>
      <c r="AE25" s="18"/>
      <c r="AF25" s="18"/>
    </row>
    <row r="26" spans="1:32" ht="13" customHeight="1" x14ac:dyDescent="0.2">
      <c r="A26" s="81">
        <v>-23857</v>
      </c>
      <c r="B26" s="81">
        <v>-23857</v>
      </c>
      <c r="C26" s="79">
        <v>65.78</v>
      </c>
      <c r="D26" s="79">
        <v>65.466575848000005</v>
      </c>
      <c r="E26" s="80">
        <v>0</v>
      </c>
      <c r="F26" s="87"/>
      <c r="G26" s="88"/>
      <c r="H26" s="88"/>
      <c r="I26" s="88"/>
      <c r="J26" s="88"/>
      <c r="K26" s="88"/>
      <c r="L26" s="88"/>
      <c r="M26" s="88"/>
      <c r="N26" s="55"/>
      <c r="O26" s="55"/>
      <c r="P26" s="55"/>
      <c r="Q26" s="55"/>
      <c r="R26" s="55"/>
      <c r="S26" s="55"/>
      <c r="T26" s="55"/>
      <c r="AD26" s="44"/>
      <c r="AE26" s="18"/>
      <c r="AF26" s="18"/>
    </row>
    <row r="27" spans="1:32" ht="13" customHeight="1" x14ac:dyDescent="0.25">
      <c r="A27" s="82">
        <v>93467</v>
      </c>
      <c r="B27" s="82">
        <v>93467</v>
      </c>
      <c r="C27" s="83">
        <v>65.7</v>
      </c>
      <c r="D27" s="83">
        <v>65.7</v>
      </c>
      <c r="E27" s="80">
        <v>0</v>
      </c>
      <c r="F27" s="87"/>
      <c r="G27" s="88"/>
      <c r="H27" s="88"/>
      <c r="I27" s="88"/>
      <c r="J27" s="88"/>
      <c r="K27" s="88"/>
      <c r="L27" s="88"/>
      <c r="M27" s="88"/>
      <c r="N27" s="55"/>
      <c r="O27" s="55"/>
      <c r="P27" s="55"/>
      <c r="Q27" s="55"/>
      <c r="R27" s="55"/>
      <c r="S27" s="55"/>
      <c r="T27" s="55"/>
      <c r="AD27" s="44"/>
      <c r="AE27" s="18"/>
      <c r="AF27" s="18"/>
    </row>
    <row r="28" spans="1:32" ht="13" customHeight="1" x14ac:dyDescent="0.2">
      <c r="A28" s="78">
        <v>-4430</v>
      </c>
      <c r="B28" s="78">
        <v>-4430</v>
      </c>
      <c r="C28" s="79">
        <v>65.709999999999994</v>
      </c>
      <c r="D28" s="79">
        <v>65.920986455999994</v>
      </c>
      <c r="E28" s="80">
        <v>0</v>
      </c>
      <c r="F28" s="87"/>
      <c r="G28" s="88"/>
      <c r="H28" s="88"/>
      <c r="I28" s="88"/>
      <c r="J28" s="88"/>
      <c r="K28" s="88"/>
      <c r="L28" s="88"/>
      <c r="M28" s="88"/>
      <c r="N28" s="55"/>
      <c r="O28" s="55"/>
      <c r="P28" s="55"/>
      <c r="Q28" s="55"/>
      <c r="R28" s="55"/>
      <c r="S28" s="55"/>
      <c r="T28" s="55"/>
      <c r="AD28" s="44"/>
      <c r="AE28" s="18"/>
      <c r="AF28" s="18"/>
    </row>
    <row r="29" spans="1:32" ht="13" customHeight="1" x14ac:dyDescent="0.2">
      <c r="A29" s="78">
        <v>4430</v>
      </c>
      <c r="B29" s="78">
        <v>4430</v>
      </c>
      <c r="C29" s="79">
        <v>65.709999999999994</v>
      </c>
      <c r="D29" s="79">
        <v>65.920986455999994</v>
      </c>
      <c r="E29" s="80">
        <v>0</v>
      </c>
      <c r="F29" s="87"/>
      <c r="G29" s="88"/>
      <c r="H29" s="88"/>
      <c r="I29" s="88"/>
      <c r="J29" s="88"/>
      <c r="K29" s="88"/>
      <c r="L29" s="88"/>
      <c r="M29" s="88"/>
      <c r="N29" s="55"/>
      <c r="O29" s="55"/>
      <c r="P29" s="55"/>
      <c r="Q29" s="55"/>
      <c r="R29" s="55"/>
      <c r="S29" s="55"/>
      <c r="T29" s="55"/>
      <c r="AD29" s="44"/>
      <c r="AE29" s="18"/>
      <c r="AF29" s="18"/>
    </row>
    <row r="30" spans="1:32" ht="13" customHeight="1" x14ac:dyDescent="0.2">
      <c r="A30" s="78">
        <v>0</v>
      </c>
      <c r="B30" s="78">
        <v>0</v>
      </c>
      <c r="C30" s="79">
        <v>0</v>
      </c>
      <c r="D30" s="79">
        <v>0</v>
      </c>
      <c r="E30" s="80">
        <v>0</v>
      </c>
      <c r="F30" s="87"/>
      <c r="G30" s="88"/>
      <c r="H30" s="88"/>
      <c r="I30" s="88"/>
      <c r="J30" s="88"/>
      <c r="K30" s="88"/>
      <c r="L30" s="88"/>
      <c r="M30" s="88"/>
      <c r="N30" s="55"/>
      <c r="O30" s="55"/>
      <c r="P30" s="55"/>
      <c r="Q30" s="55"/>
      <c r="R30" s="55"/>
      <c r="S30" s="55"/>
      <c r="T30" s="55"/>
      <c r="AD30" s="44"/>
      <c r="AE30" s="18"/>
      <c r="AF30" s="18"/>
    </row>
    <row r="31" spans="1:32" ht="13" customHeight="1" x14ac:dyDescent="0.2">
      <c r="A31" s="78">
        <v>4430</v>
      </c>
      <c r="B31" s="78">
        <v>4430</v>
      </c>
      <c r="C31" s="79">
        <v>65.709999999999994</v>
      </c>
      <c r="D31" s="79">
        <v>65.920986455999994</v>
      </c>
      <c r="E31" s="80">
        <v>0</v>
      </c>
      <c r="F31" s="87"/>
      <c r="G31" s="88"/>
      <c r="H31" s="88"/>
      <c r="I31" s="88"/>
      <c r="J31" s="88"/>
      <c r="K31" s="88"/>
      <c r="L31" s="88"/>
      <c r="M31" s="88"/>
      <c r="N31" s="55"/>
      <c r="O31" s="55"/>
      <c r="P31" s="55"/>
      <c r="Q31" s="55"/>
      <c r="R31" s="55"/>
      <c r="S31" s="55"/>
      <c r="T31" s="55"/>
      <c r="AD31" s="44"/>
      <c r="AE31" s="18"/>
      <c r="AF31" s="18"/>
    </row>
    <row r="32" spans="1:32" ht="13" customHeight="1" x14ac:dyDescent="0.2">
      <c r="A32" s="84">
        <v>324816</v>
      </c>
      <c r="B32" s="84">
        <v>324816</v>
      </c>
      <c r="C32" s="79">
        <v>65.709999999999994</v>
      </c>
      <c r="D32" s="79">
        <v>65.709999999999994</v>
      </c>
      <c r="E32" s="80">
        <v>0</v>
      </c>
      <c r="F32" s="87"/>
      <c r="G32" s="88"/>
      <c r="H32" s="88"/>
      <c r="I32" s="88"/>
      <c r="J32" s="88"/>
      <c r="K32" s="88"/>
      <c r="L32" s="88"/>
      <c r="M32" s="88"/>
      <c r="N32" s="55"/>
      <c r="O32" s="55"/>
      <c r="P32" s="55"/>
      <c r="Q32" s="55"/>
      <c r="R32" s="55"/>
      <c r="S32" s="55"/>
      <c r="T32" s="55"/>
      <c r="AD32" s="44"/>
      <c r="AE32" s="18"/>
      <c r="AF32" s="18"/>
    </row>
    <row r="33" spans="1:32" ht="13" customHeight="1" x14ac:dyDescent="0.2">
      <c r="A33" s="80"/>
      <c r="B33" s="80"/>
      <c r="C33" s="80"/>
      <c r="D33" s="80"/>
      <c r="E33" s="80"/>
      <c r="F33" s="87"/>
      <c r="G33" s="88"/>
      <c r="H33" s="88"/>
      <c r="I33" s="88"/>
      <c r="J33" s="88"/>
      <c r="K33" s="88"/>
      <c r="L33" s="88"/>
      <c r="M33" s="88"/>
      <c r="N33" s="55"/>
      <c r="O33" s="55"/>
      <c r="P33" s="55"/>
      <c r="Q33" s="55"/>
      <c r="R33" s="55"/>
      <c r="S33" s="55"/>
      <c r="T33" s="55"/>
      <c r="AD33" s="44"/>
      <c r="AE33" s="18"/>
      <c r="AF33" s="18"/>
    </row>
    <row r="34" spans="1:32" ht="13" customHeight="1" x14ac:dyDescent="0.2">
      <c r="A34" s="80"/>
      <c r="B34" s="80"/>
      <c r="C34" s="80"/>
      <c r="D34" s="80"/>
      <c r="E34" s="80"/>
      <c r="F34" s="87"/>
      <c r="G34" s="88"/>
      <c r="H34" s="88"/>
      <c r="I34" s="88"/>
      <c r="J34" s="88"/>
      <c r="K34" s="88"/>
      <c r="L34" s="88"/>
      <c r="M34" s="88"/>
      <c r="N34" s="55"/>
      <c r="O34" s="55"/>
      <c r="P34" s="55"/>
      <c r="Q34" s="55"/>
      <c r="R34" s="55"/>
      <c r="S34" s="55"/>
      <c r="T34" s="55"/>
      <c r="AD34" s="44"/>
      <c r="AE34" s="18"/>
      <c r="AF34" s="18"/>
    </row>
    <row r="35" spans="1:32" x14ac:dyDescent="0.2">
      <c r="A35" s="80"/>
      <c r="B35" s="80"/>
      <c r="C35" s="80"/>
      <c r="D35" s="80"/>
      <c r="E35" s="80"/>
      <c r="F35" s="87"/>
      <c r="G35" s="80"/>
      <c r="H35" s="80"/>
      <c r="I35" s="80"/>
      <c r="J35" s="80"/>
      <c r="K35" s="80"/>
      <c r="L35" s="80"/>
      <c r="M35" s="80"/>
      <c r="AD35" s="44"/>
      <c r="AE35" s="18"/>
      <c r="AF35" s="18"/>
    </row>
    <row r="36" spans="1:32" ht="38.5" customHeight="1" x14ac:dyDescent="0.25">
      <c r="A36" s="80"/>
      <c r="B36" s="80"/>
      <c r="C36" s="80"/>
      <c r="D36" s="80"/>
      <c r="E36" s="80"/>
      <c r="F36" s="87"/>
      <c r="G36" s="184"/>
      <c r="H36" s="184"/>
      <c r="I36" s="80"/>
      <c r="J36" s="180" t="s">
        <v>19</v>
      </c>
      <c r="K36" s="180"/>
      <c r="L36" s="180"/>
      <c r="M36" s="80"/>
      <c r="N36" s="183"/>
      <c r="O36" s="183"/>
      <c r="P36" s="181"/>
      <c r="Q36" s="181"/>
      <c r="R36" s="182"/>
      <c r="S36" s="182"/>
      <c r="AD36" s="45"/>
      <c r="AE36" s="18"/>
      <c r="AF36" s="18"/>
    </row>
    <row r="37" spans="1:32" x14ac:dyDescent="0.2">
      <c r="E37" s="80"/>
      <c r="F37" s="87"/>
      <c r="G37" s="88"/>
      <c r="H37" s="88"/>
      <c r="I37" s="88"/>
      <c r="J37" s="88" t="s">
        <v>15</v>
      </c>
      <c r="K37" s="88" t="s">
        <v>16</v>
      </c>
      <c r="L37" s="88" t="s">
        <v>18</v>
      </c>
      <c r="M37" s="80"/>
      <c r="N37" s="56"/>
      <c r="O37" s="56"/>
      <c r="P37" s="48"/>
      <c r="R37" s="48"/>
      <c r="T37" s="57"/>
      <c r="X37" s="18"/>
      <c r="AD37" s="44"/>
      <c r="AE37" s="18"/>
      <c r="AF37" s="18"/>
    </row>
    <row r="38" spans="1:32" ht="24" customHeight="1" x14ac:dyDescent="0.25">
      <c r="E38" s="80"/>
      <c r="F38" s="90"/>
      <c r="G38" s="81"/>
      <c r="H38" s="91"/>
      <c r="I38" s="80"/>
      <c r="J38" s="76">
        <f>B1</f>
        <v>164563</v>
      </c>
      <c r="K38" s="77">
        <f>IF(D1&gt;1,D1/100,D1)</f>
        <v>0.6552</v>
      </c>
      <c r="L38" s="78">
        <f>J38*K38</f>
        <v>107821.6776</v>
      </c>
      <c r="M38" s="81"/>
      <c r="N38" s="58"/>
      <c r="O38" s="58"/>
      <c r="P38" s="57"/>
      <c r="Q38" s="59"/>
      <c r="R38" s="53"/>
      <c r="S38" s="59"/>
      <c r="V38" s="46"/>
      <c r="W38" s="18"/>
      <c r="X38" s="18"/>
      <c r="AD38" s="44"/>
      <c r="AE38" s="18"/>
      <c r="AF38" s="18"/>
    </row>
    <row r="39" spans="1:32" ht="24" customHeight="1" x14ac:dyDescent="0.25">
      <c r="C39" s="18"/>
      <c r="D39" s="18"/>
      <c r="E39" s="80"/>
      <c r="F39" s="87"/>
      <c r="G39" s="81"/>
      <c r="H39" s="79"/>
      <c r="I39" s="80"/>
      <c r="J39" s="76">
        <f t="shared" ref="J39:J69" si="0">B2</f>
        <v>-2425</v>
      </c>
      <c r="K39" s="77">
        <f t="shared" ref="K39:K69" si="1">IF(D2&gt;1,D2/100,D2)</f>
        <v>0.6552</v>
      </c>
      <c r="L39" s="78">
        <f t="shared" ref="L39:L69" si="2">J39*K39</f>
        <v>-1588.86</v>
      </c>
      <c r="M39" s="80"/>
      <c r="N39" s="58"/>
      <c r="O39" s="58"/>
      <c r="P39" s="53"/>
      <c r="Q39" s="59"/>
      <c r="R39" s="53"/>
      <c r="S39" s="59"/>
      <c r="V39" s="46"/>
      <c r="W39" s="18"/>
      <c r="X39" s="18"/>
      <c r="AD39" s="44"/>
      <c r="AE39" s="18"/>
      <c r="AF39" s="18"/>
    </row>
    <row r="40" spans="1:32" ht="24" customHeight="1" x14ac:dyDescent="0.25">
      <c r="C40" s="18"/>
      <c r="D40" s="18"/>
      <c r="E40" s="80"/>
      <c r="F40" s="87"/>
      <c r="G40" s="81"/>
      <c r="H40" s="91"/>
      <c r="I40" s="79"/>
      <c r="J40" s="76">
        <f t="shared" si="0"/>
        <v>166988</v>
      </c>
      <c r="K40" s="77">
        <f t="shared" si="1"/>
        <v>0.6552</v>
      </c>
      <c r="L40" s="78">
        <f t="shared" si="2"/>
        <v>109410.5376</v>
      </c>
      <c r="M40" s="80"/>
      <c r="N40" s="58"/>
      <c r="O40" s="58"/>
      <c r="P40" s="53"/>
      <c r="Q40" s="59"/>
      <c r="R40" s="53"/>
      <c r="S40" s="59"/>
      <c r="V40" s="46"/>
      <c r="W40" s="18"/>
      <c r="X40" s="18"/>
      <c r="AD40" s="44"/>
      <c r="AE40" s="18"/>
      <c r="AF40" s="18"/>
    </row>
    <row r="41" spans="1:32" ht="24" customHeight="1" x14ac:dyDescent="0.25">
      <c r="C41" s="18"/>
      <c r="D41" s="18"/>
      <c r="E41" s="80"/>
      <c r="F41" s="87"/>
      <c r="G41" s="81"/>
      <c r="H41" s="79"/>
      <c r="I41" s="80"/>
      <c r="J41" s="76">
        <f t="shared" si="0"/>
        <v>0</v>
      </c>
      <c r="K41" s="77">
        <f t="shared" si="1"/>
        <v>0</v>
      </c>
      <c r="L41" s="78">
        <f t="shared" si="2"/>
        <v>0</v>
      </c>
      <c r="M41" s="80"/>
      <c r="N41" s="58"/>
      <c r="O41" s="58"/>
      <c r="P41" s="53"/>
      <c r="Q41" s="59"/>
      <c r="R41" s="53"/>
      <c r="S41" s="59"/>
      <c r="V41" s="46"/>
      <c r="W41" s="18"/>
      <c r="X41" s="18"/>
      <c r="AD41" s="44"/>
      <c r="AE41" s="18"/>
      <c r="AF41" s="18"/>
    </row>
    <row r="42" spans="1:32" ht="24" customHeight="1" x14ac:dyDescent="0.25">
      <c r="C42" s="18"/>
      <c r="D42" s="18"/>
      <c r="E42" s="80"/>
      <c r="F42" s="87"/>
      <c r="G42" s="81"/>
      <c r="H42" s="79"/>
      <c r="I42" s="80"/>
      <c r="J42" s="76">
        <f t="shared" si="0"/>
        <v>166988</v>
      </c>
      <c r="K42" s="77">
        <f t="shared" si="1"/>
        <v>0.6552</v>
      </c>
      <c r="L42" s="78">
        <f t="shared" si="2"/>
        <v>109410.5376</v>
      </c>
      <c r="M42" s="80"/>
      <c r="N42" s="58"/>
      <c r="O42" s="58"/>
      <c r="P42" s="53"/>
      <c r="Q42" s="59"/>
      <c r="R42" s="53"/>
      <c r="S42" s="59"/>
      <c r="V42" s="46"/>
      <c r="W42" s="18"/>
      <c r="X42" s="18"/>
      <c r="AD42" s="44"/>
      <c r="AE42" s="18"/>
      <c r="AF42" s="18"/>
    </row>
    <row r="43" spans="1:32" ht="24" customHeight="1" x14ac:dyDescent="0.25">
      <c r="C43" s="18"/>
      <c r="D43" s="18"/>
      <c r="E43" s="80"/>
      <c r="F43" s="87"/>
      <c r="G43" s="81"/>
      <c r="H43" s="79"/>
      <c r="I43" s="80"/>
      <c r="J43" s="76">
        <f t="shared" si="0"/>
        <v>-1585</v>
      </c>
      <c r="K43" s="77">
        <f t="shared" si="1"/>
        <v>0.6552</v>
      </c>
      <c r="L43" s="78">
        <f t="shared" si="2"/>
        <v>-1038.492</v>
      </c>
      <c r="M43" s="80"/>
      <c r="N43" s="58"/>
      <c r="O43" s="58"/>
      <c r="P43" s="53"/>
      <c r="Q43" s="59"/>
      <c r="R43" s="53"/>
      <c r="S43" s="59"/>
      <c r="V43" s="46"/>
      <c r="W43" s="18"/>
      <c r="X43" s="18"/>
      <c r="AD43" s="44"/>
      <c r="AE43" s="18"/>
      <c r="AF43" s="18"/>
    </row>
    <row r="44" spans="1:32" ht="24" customHeight="1" x14ac:dyDescent="0.25">
      <c r="C44" s="18"/>
      <c r="D44" s="18"/>
      <c r="E44" s="80"/>
      <c r="F44" s="87"/>
      <c r="G44" s="81"/>
      <c r="H44" s="79"/>
      <c r="I44" s="80"/>
      <c r="J44" s="76">
        <f t="shared" si="0"/>
        <v>168573</v>
      </c>
      <c r="K44" s="77">
        <f t="shared" si="1"/>
        <v>0.6552</v>
      </c>
      <c r="L44" s="78">
        <f t="shared" si="2"/>
        <v>110449.02959999999</v>
      </c>
      <c r="M44" s="78"/>
      <c r="N44" s="58"/>
      <c r="O44" s="58"/>
      <c r="P44" s="58"/>
      <c r="Q44" s="59"/>
      <c r="R44" s="53"/>
      <c r="S44" s="59"/>
      <c r="V44" s="46"/>
      <c r="W44" s="18"/>
      <c r="X44" s="18"/>
      <c r="AD44" s="44"/>
      <c r="AE44" s="18"/>
      <c r="AF44" s="18"/>
    </row>
    <row r="45" spans="1:32" ht="24" customHeight="1" x14ac:dyDescent="0.25">
      <c r="C45" s="18"/>
      <c r="D45" s="18"/>
      <c r="E45" s="80"/>
      <c r="F45" s="87"/>
      <c r="G45" s="81"/>
      <c r="H45" s="79"/>
      <c r="I45" s="80"/>
      <c r="J45" s="76">
        <f t="shared" si="0"/>
        <v>0</v>
      </c>
      <c r="K45" s="77">
        <f t="shared" si="1"/>
        <v>0</v>
      </c>
      <c r="L45" s="78">
        <f t="shared" si="2"/>
        <v>0</v>
      </c>
      <c r="M45" s="78"/>
      <c r="N45" s="58"/>
      <c r="O45" s="58"/>
      <c r="P45" s="53"/>
      <c r="Q45" s="59"/>
      <c r="R45" s="53"/>
      <c r="S45" s="59"/>
      <c r="V45" s="46"/>
      <c r="W45" s="18"/>
      <c r="X45" s="18"/>
      <c r="AD45" s="44"/>
      <c r="AE45" s="18"/>
      <c r="AF45" s="18"/>
    </row>
    <row r="46" spans="1:32" ht="24" customHeight="1" x14ac:dyDescent="0.25">
      <c r="C46" s="18"/>
      <c r="D46" s="18"/>
      <c r="E46" s="80"/>
      <c r="F46" s="87"/>
      <c r="G46" s="81"/>
      <c r="H46" s="91"/>
      <c r="I46" s="78"/>
      <c r="J46" s="76">
        <f t="shared" si="0"/>
        <v>168573</v>
      </c>
      <c r="K46" s="77">
        <f t="shared" si="1"/>
        <v>0.6552</v>
      </c>
      <c r="L46" s="78">
        <f t="shared" si="2"/>
        <v>110449.02959999999</v>
      </c>
      <c r="M46" s="81"/>
      <c r="N46" s="58"/>
      <c r="O46" s="58"/>
      <c r="P46" s="53"/>
      <c r="Q46" s="59"/>
      <c r="R46" s="53"/>
      <c r="S46" s="59"/>
      <c r="V46" s="46"/>
      <c r="W46" s="18"/>
      <c r="X46" s="18"/>
      <c r="AD46" s="44"/>
      <c r="AE46" s="18"/>
      <c r="AF46" s="18"/>
    </row>
    <row r="47" spans="1:32" ht="24" customHeight="1" x14ac:dyDescent="0.25">
      <c r="C47" s="18"/>
      <c r="D47" s="18"/>
      <c r="E47" s="80"/>
      <c r="F47" s="87"/>
      <c r="G47" s="81"/>
      <c r="H47" s="79"/>
      <c r="I47" s="80"/>
      <c r="J47" s="76">
        <f t="shared" si="0"/>
        <v>0</v>
      </c>
      <c r="K47" s="77">
        <f t="shared" si="1"/>
        <v>0</v>
      </c>
      <c r="L47" s="78">
        <f t="shared" si="2"/>
        <v>0</v>
      </c>
      <c r="M47" s="78"/>
      <c r="N47" s="58"/>
      <c r="O47" s="58"/>
      <c r="P47" s="53"/>
      <c r="Q47" s="59"/>
      <c r="R47" s="53"/>
      <c r="S47" s="59"/>
      <c r="V47" s="46"/>
      <c r="W47" s="18"/>
      <c r="X47" s="18"/>
      <c r="AD47" s="44"/>
      <c r="AE47" s="18"/>
      <c r="AF47" s="18"/>
    </row>
    <row r="48" spans="1:32" ht="24" customHeight="1" x14ac:dyDescent="0.25">
      <c r="C48" s="18"/>
      <c r="D48" s="18"/>
      <c r="E48" s="80"/>
      <c r="F48" s="87"/>
      <c r="G48" s="81"/>
      <c r="H48" s="79"/>
      <c r="I48" s="80"/>
      <c r="J48" s="76">
        <f t="shared" si="0"/>
        <v>0</v>
      </c>
      <c r="K48" s="77">
        <f t="shared" si="1"/>
        <v>0</v>
      </c>
      <c r="L48" s="78">
        <f t="shared" si="2"/>
        <v>0</v>
      </c>
      <c r="M48" s="80"/>
      <c r="N48" s="58"/>
      <c r="O48" s="58"/>
      <c r="P48" s="53"/>
      <c r="Q48" s="59"/>
      <c r="R48" s="53"/>
      <c r="S48" s="59"/>
      <c r="V48" s="46"/>
      <c r="W48" s="18"/>
      <c r="X48" s="18"/>
      <c r="AD48" s="44"/>
      <c r="AE48" s="18"/>
      <c r="AF48" s="18"/>
    </row>
    <row r="49" spans="3:32" ht="24" customHeight="1" x14ac:dyDescent="0.25">
      <c r="C49" s="18"/>
      <c r="D49" s="18"/>
      <c r="E49" s="80"/>
      <c r="F49" s="87"/>
      <c r="G49" s="81"/>
      <c r="H49" s="91"/>
      <c r="I49" s="80"/>
      <c r="J49" s="76">
        <f t="shared" si="0"/>
        <v>-58346</v>
      </c>
      <c r="K49" s="77">
        <f t="shared" si="1"/>
        <v>0.66258947143000002</v>
      </c>
      <c r="L49" s="78">
        <f t="shared" si="2"/>
        <v>-38659.44530005478</v>
      </c>
      <c r="M49" s="80"/>
      <c r="N49" s="58"/>
      <c r="O49" s="58"/>
      <c r="P49" s="53"/>
      <c r="Q49" s="59"/>
      <c r="R49" s="53"/>
      <c r="S49" s="59"/>
      <c r="V49" s="46"/>
      <c r="W49" s="18"/>
      <c r="X49" s="18"/>
      <c r="AD49" s="44"/>
      <c r="AE49" s="18"/>
      <c r="AF49" s="18"/>
    </row>
    <row r="50" spans="3:32" ht="24" customHeight="1" x14ac:dyDescent="0.25">
      <c r="C50" s="18"/>
      <c r="D50" s="18"/>
      <c r="E50" s="80"/>
      <c r="F50" s="92"/>
      <c r="G50" s="81"/>
      <c r="H50" s="93"/>
      <c r="I50" s="94"/>
      <c r="J50" s="76">
        <f t="shared" si="0"/>
        <v>226919</v>
      </c>
      <c r="K50" s="77">
        <f t="shared" si="1"/>
        <v>0.65709999999999991</v>
      </c>
      <c r="L50" s="78">
        <f t="shared" si="2"/>
        <v>149108.47489999997</v>
      </c>
      <c r="M50" s="80"/>
      <c r="N50" s="58"/>
      <c r="O50" s="58"/>
      <c r="P50" s="53"/>
      <c r="Q50" s="59"/>
      <c r="R50" s="53"/>
      <c r="S50" s="59"/>
      <c r="V50" s="46"/>
      <c r="W50" s="18"/>
      <c r="X50" s="18"/>
      <c r="AD50" s="44"/>
      <c r="AE50" s="18"/>
      <c r="AF50" s="18"/>
    </row>
    <row r="51" spans="3:32" ht="24" customHeight="1" x14ac:dyDescent="0.25">
      <c r="C51" s="18"/>
      <c r="D51" s="18"/>
      <c r="E51" s="80"/>
      <c r="F51" s="90"/>
      <c r="G51" s="81"/>
      <c r="H51" s="91"/>
      <c r="I51" s="80"/>
      <c r="J51" s="76">
        <f t="shared" si="0"/>
        <v>69887</v>
      </c>
      <c r="K51" s="77">
        <f t="shared" si="1"/>
        <v>0.65779996432999999</v>
      </c>
      <c r="L51" s="78">
        <f t="shared" si="2"/>
        <v>45971.66610713071</v>
      </c>
      <c r="M51" s="80"/>
      <c r="N51" s="58"/>
      <c r="O51" s="58"/>
      <c r="P51" s="53"/>
      <c r="Q51" s="59"/>
      <c r="R51" s="53"/>
      <c r="S51" s="59"/>
      <c r="V51" s="47"/>
      <c r="W51" s="18"/>
      <c r="X51" s="18"/>
      <c r="AD51" s="44"/>
      <c r="AE51" s="18"/>
      <c r="AF51" s="18"/>
    </row>
    <row r="52" spans="3:32" ht="24" customHeight="1" x14ac:dyDescent="0.25">
      <c r="C52" s="18"/>
      <c r="D52" s="18"/>
      <c r="E52" s="80"/>
      <c r="F52" s="87"/>
      <c r="G52" s="81"/>
      <c r="H52" s="79"/>
      <c r="I52" s="80"/>
      <c r="J52" s="76">
        <f t="shared" si="0"/>
        <v>-106</v>
      </c>
      <c r="K52" s="77">
        <f t="shared" si="1"/>
        <v>0.65780166322</v>
      </c>
      <c r="L52" s="78">
        <f t="shared" si="2"/>
        <v>-69.726976301319993</v>
      </c>
      <c r="M52" s="80"/>
      <c r="N52" s="58"/>
      <c r="O52" s="58"/>
      <c r="P52" s="53"/>
      <c r="Q52" s="59"/>
      <c r="R52" s="53"/>
      <c r="S52" s="59"/>
    </row>
    <row r="53" spans="3:32" ht="24" customHeight="1" x14ac:dyDescent="0.25">
      <c r="C53" s="18"/>
      <c r="D53" s="18"/>
      <c r="E53" s="80"/>
      <c r="F53" s="87"/>
      <c r="G53" s="81"/>
      <c r="H53" s="79"/>
      <c r="I53" s="80"/>
      <c r="J53" s="76">
        <f t="shared" si="0"/>
        <v>69993</v>
      </c>
      <c r="K53" s="77">
        <f t="shared" si="1"/>
        <v>0.65779996690999998</v>
      </c>
      <c r="L53" s="78">
        <f t="shared" si="2"/>
        <v>46041.393083931631</v>
      </c>
      <c r="M53" s="78"/>
      <c r="N53" s="58"/>
      <c r="O53" s="58"/>
      <c r="P53" s="53"/>
      <c r="Q53" s="59"/>
      <c r="R53" s="53"/>
      <c r="S53" s="59"/>
    </row>
    <row r="54" spans="3:32" ht="24" customHeight="1" x14ac:dyDescent="0.25">
      <c r="C54" s="18"/>
      <c r="D54" s="18"/>
      <c r="E54" s="80"/>
      <c r="F54" s="87"/>
      <c r="G54" s="81"/>
      <c r="H54" s="79"/>
      <c r="I54" s="80"/>
      <c r="J54" s="76">
        <f t="shared" si="0"/>
        <v>0</v>
      </c>
      <c r="K54" s="77">
        <f t="shared" si="1"/>
        <v>0</v>
      </c>
      <c r="L54" s="78">
        <f t="shared" si="2"/>
        <v>0</v>
      </c>
      <c r="M54" s="80"/>
      <c r="N54" s="58"/>
      <c r="O54" s="58"/>
      <c r="P54" s="53"/>
      <c r="Q54" s="59"/>
      <c r="R54" s="53"/>
      <c r="S54" s="59"/>
    </row>
    <row r="55" spans="3:32" ht="24" customHeight="1" x14ac:dyDescent="0.25">
      <c r="C55" s="18"/>
      <c r="D55" s="18"/>
      <c r="E55" s="80"/>
      <c r="F55" s="87"/>
      <c r="G55" s="81"/>
      <c r="H55" s="79"/>
      <c r="I55" s="80"/>
      <c r="J55" s="76">
        <f t="shared" si="0"/>
        <v>69993</v>
      </c>
      <c r="K55" s="77">
        <f t="shared" si="1"/>
        <v>0.65779996690999998</v>
      </c>
      <c r="L55" s="78">
        <f t="shared" si="2"/>
        <v>46041.393083931631</v>
      </c>
      <c r="M55" s="80"/>
      <c r="N55" s="58"/>
      <c r="O55" s="58"/>
      <c r="P55" s="53"/>
      <c r="Q55" s="59"/>
      <c r="R55" s="53"/>
      <c r="S55" s="59"/>
    </row>
    <row r="56" spans="3:32" ht="24" customHeight="1" x14ac:dyDescent="0.25">
      <c r="C56" s="18"/>
      <c r="D56" s="18"/>
      <c r="E56" s="80"/>
      <c r="F56" s="87"/>
      <c r="G56" s="81"/>
      <c r="H56" s="79"/>
      <c r="I56" s="80"/>
      <c r="J56" s="76">
        <f t="shared" si="0"/>
        <v>383</v>
      </c>
      <c r="K56" s="77">
        <f t="shared" si="1"/>
        <v>0.65779395218000003</v>
      </c>
      <c r="L56" s="78">
        <f t="shared" si="2"/>
        <v>251.93508368494003</v>
      </c>
      <c r="M56" s="80"/>
      <c r="N56" s="58"/>
      <c r="O56" s="58"/>
      <c r="P56" s="53"/>
      <c r="Q56" s="59"/>
      <c r="R56" s="53"/>
      <c r="S56" s="59"/>
    </row>
    <row r="57" spans="3:32" ht="24" customHeight="1" x14ac:dyDescent="0.25">
      <c r="C57" s="18"/>
      <c r="D57" s="18"/>
      <c r="E57" s="80"/>
      <c r="F57" s="87"/>
      <c r="G57" s="81"/>
      <c r="H57" s="79"/>
      <c r="I57" s="80"/>
      <c r="J57" s="76">
        <f t="shared" si="0"/>
        <v>69610</v>
      </c>
      <c r="K57" s="77">
        <f t="shared" si="1"/>
        <v>0.65780000000000005</v>
      </c>
      <c r="L57" s="78">
        <f t="shared" si="2"/>
        <v>45789.458000000006</v>
      </c>
      <c r="M57" s="80"/>
      <c r="N57" s="58"/>
      <c r="O57" s="58"/>
      <c r="P57" s="53"/>
      <c r="Q57" s="59"/>
      <c r="R57" s="53"/>
      <c r="S57" s="59"/>
    </row>
    <row r="58" spans="3:32" ht="24" customHeight="1" x14ac:dyDescent="0.25">
      <c r="C58" s="18"/>
      <c r="D58" s="18"/>
      <c r="E58" s="80"/>
      <c r="F58" s="87"/>
      <c r="G58" s="81"/>
      <c r="H58" s="79"/>
      <c r="I58" s="80"/>
      <c r="J58" s="76">
        <f t="shared" si="0"/>
        <v>0</v>
      </c>
      <c r="K58" s="77">
        <f t="shared" si="1"/>
        <v>0</v>
      </c>
      <c r="L58" s="78">
        <f t="shared" si="2"/>
        <v>0</v>
      </c>
      <c r="M58" s="80"/>
      <c r="N58" s="58"/>
      <c r="O58" s="58"/>
      <c r="P58" s="53"/>
      <c r="Q58" s="59"/>
      <c r="R58" s="53"/>
      <c r="S58" s="59"/>
    </row>
    <row r="59" spans="3:32" ht="24" customHeight="1" x14ac:dyDescent="0.25">
      <c r="C59" s="18"/>
      <c r="D59" s="18"/>
      <c r="E59" s="80"/>
      <c r="F59" s="87"/>
      <c r="G59" s="81"/>
      <c r="H59" s="79"/>
      <c r="I59" s="80"/>
      <c r="J59" s="76">
        <f t="shared" si="0"/>
        <v>69610</v>
      </c>
      <c r="K59" s="77">
        <f t="shared" si="1"/>
        <v>0.65780000000000005</v>
      </c>
      <c r="L59" s="78">
        <f t="shared" si="2"/>
        <v>45789.458000000006</v>
      </c>
      <c r="M59" s="78"/>
      <c r="N59" s="58"/>
      <c r="O59" s="58"/>
      <c r="P59" s="53"/>
      <c r="Q59" s="59"/>
      <c r="R59" s="53"/>
      <c r="S59" s="59"/>
    </row>
    <row r="60" spans="3:32" ht="24" customHeight="1" x14ac:dyDescent="0.25">
      <c r="C60" s="18"/>
      <c r="D60" s="18"/>
      <c r="E60" s="80"/>
      <c r="F60" s="87"/>
      <c r="G60" s="81"/>
      <c r="H60" s="79"/>
      <c r="I60" s="80"/>
      <c r="J60" s="76">
        <f t="shared" si="0"/>
        <v>0</v>
      </c>
      <c r="K60" s="77">
        <f t="shared" si="1"/>
        <v>0</v>
      </c>
      <c r="L60" s="78">
        <f t="shared" si="2"/>
        <v>0</v>
      </c>
      <c r="M60" s="80"/>
      <c r="N60" s="58"/>
      <c r="O60" s="58"/>
      <c r="P60" s="53"/>
      <c r="Q60" s="59"/>
      <c r="R60" s="53"/>
      <c r="S60" s="59"/>
      <c r="U60" s="53"/>
    </row>
    <row r="61" spans="3:32" ht="24" customHeight="1" x14ac:dyDescent="0.25">
      <c r="C61" s="18"/>
      <c r="D61" s="18"/>
      <c r="E61" s="80"/>
      <c r="F61" s="87"/>
      <c r="G61" s="81"/>
      <c r="H61" s="91"/>
      <c r="I61" s="80"/>
      <c r="J61" s="76">
        <f t="shared" si="0"/>
        <v>69610</v>
      </c>
      <c r="K61" s="77">
        <f t="shared" si="1"/>
        <v>0.65780000000000005</v>
      </c>
      <c r="L61" s="78">
        <f t="shared" si="2"/>
        <v>45789.458000000006</v>
      </c>
      <c r="M61" s="78"/>
      <c r="N61" s="58"/>
      <c r="O61" s="58"/>
      <c r="P61" s="53"/>
      <c r="Q61" s="59"/>
      <c r="R61" s="53"/>
      <c r="S61" s="59"/>
      <c r="U61" s="53"/>
    </row>
    <row r="62" spans="3:32" ht="24" customHeight="1" x14ac:dyDescent="0.25">
      <c r="C62" s="18"/>
      <c r="D62" s="18"/>
      <c r="E62" s="80"/>
      <c r="F62" s="87"/>
      <c r="G62" s="81"/>
      <c r="H62" s="79"/>
      <c r="I62" s="78"/>
      <c r="J62" s="76">
        <f t="shared" si="0"/>
        <v>0</v>
      </c>
      <c r="K62" s="77">
        <f t="shared" si="1"/>
        <v>0</v>
      </c>
      <c r="L62" s="78">
        <f t="shared" si="2"/>
        <v>0</v>
      </c>
      <c r="M62" s="78"/>
      <c r="N62" s="58"/>
      <c r="O62" s="58"/>
      <c r="P62" s="53"/>
      <c r="Q62" s="59"/>
      <c r="R62" s="53"/>
      <c r="S62" s="59"/>
      <c r="U62" s="53"/>
    </row>
    <row r="63" spans="3:32" ht="24" customHeight="1" x14ac:dyDescent="0.25">
      <c r="C63" s="18"/>
      <c r="D63" s="18"/>
      <c r="E63" s="80"/>
      <c r="F63" s="87"/>
      <c r="G63" s="81"/>
      <c r="H63" s="79"/>
      <c r="I63" s="80"/>
      <c r="J63" s="76">
        <f t="shared" si="0"/>
        <v>-23857</v>
      </c>
      <c r="K63" s="77">
        <f t="shared" si="1"/>
        <v>0.65466575848000008</v>
      </c>
      <c r="L63" s="78">
        <f t="shared" si="2"/>
        <v>-15618.361000057363</v>
      </c>
      <c r="M63" s="78"/>
      <c r="N63" s="58"/>
      <c r="O63" s="58"/>
      <c r="P63" s="53"/>
      <c r="Q63" s="59"/>
      <c r="R63" s="53"/>
      <c r="S63" s="59"/>
    </row>
    <row r="64" spans="3:32" ht="24" customHeight="1" x14ac:dyDescent="0.25">
      <c r="C64" s="18"/>
      <c r="D64" s="18"/>
      <c r="E64" s="80"/>
      <c r="F64" s="92"/>
      <c r="G64" s="81"/>
      <c r="H64" s="93"/>
      <c r="I64" s="94"/>
      <c r="J64" s="76">
        <f t="shared" si="0"/>
        <v>93467</v>
      </c>
      <c r="K64" s="77">
        <f t="shared" si="1"/>
        <v>0.65700000000000003</v>
      </c>
      <c r="L64" s="78">
        <f t="shared" si="2"/>
        <v>61407.819000000003</v>
      </c>
      <c r="M64" s="80"/>
      <c r="N64" s="58"/>
      <c r="O64" s="58"/>
      <c r="P64" s="53"/>
      <c r="Q64" s="59"/>
      <c r="R64" s="53"/>
      <c r="S64" s="59"/>
    </row>
    <row r="65" spans="2:19" ht="24" customHeight="1" x14ac:dyDescent="0.25">
      <c r="C65" s="18"/>
      <c r="D65" s="18"/>
      <c r="E65" s="80"/>
      <c r="F65" s="87"/>
      <c r="G65" s="81"/>
      <c r="H65" s="79"/>
      <c r="I65" s="80"/>
      <c r="J65" s="76">
        <f t="shared" si="0"/>
        <v>-4430</v>
      </c>
      <c r="K65" s="77">
        <f t="shared" si="1"/>
        <v>0.65920986455999997</v>
      </c>
      <c r="L65" s="78">
        <f t="shared" si="2"/>
        <v>-2920.2997000007999</v>
      </c>
      <c r="M65" s="80"/>
      <c r="N65" s="58"/>
      <c r="O65" s="58"/>
      <c r="P65" s="53"/>
      <c r="Q65" s="59"/>
      <c r="R65" s="53"/>
      <c r="S65" s="59"/>
    </row>
    <row r="66" spans="2:19" ht="24" customHeight="1" x14ac:dyDescent="0.25">
      <c r="C66" s="18"/>
      <c r="D66" s="18"/>
      <c r="E66" s="80"/>
      <c r="F66" s="87"/>
      <c r="G66" s="81"/>
      <c r="H66" s="79"/>
      <c r="I66" s="78"/>
      <c r="J66" s="76">
        <f t="shared" si="0"/>
        <v>4430</v>
      </c>
      <c r="K66" s="77">
        <f t="shared" si="1"/>
        <v>0.65920986455999997</v>
      </c>
      <c r="L66" s="78">
        <f t="shared" si="2"/>
        <v>2920.2997000007999</v>
      </c>
      <c r="M66" s="80"/>
      <c r="N66" s="58"/>
      <c r="O66" s="58"/>
      <c r="P66" s="53"/>
      <c r="Q66" s="59"/>
      <c r="R66" s="53"/>
      <c r="S66" s="59"/>
    </row>
    <row r="67" spans="2:19" ht="24" customHeight="1" x14ac:dyDescent="0.25">
      <c r="B67" s="18"/>
      <c r="C67" s="18"/>
      <c r="D67" s="18"/>
      <c r="E67" s="80"/>
      <c r="F67" s="87"/>
      <c r="G67" s="81"/>
      <c r="H67" s="79"/>
      <c r="I67" s="80"/>
      <c r="J67" s="76">
        <f t="shared" si="0"/>
        <v>0</v>
      </c>
      <c r="K67" s="77">
        <f t="shared" si="1"/>
        <v>0</v>
      </c>
      <c r="L67" s="78">
        <f t="shared" si="2"/>
        <v>0</v>
      </c>
      <c r="M67" s="80"/>
      <c r="N67" s="58"/>
      <c r="O67" s="58"/>
      <c r="P67" s="53"/>
      <c r="Q67" s="59"/>
      <c r="R67" s="53"/>
      <c r="S67" s="59"/>
    </row>
    <row r="68" spans="2:19" ht="24" customHeight="1" x14ac:dyDescent="0.25">
      <c r="E68" s="80"/>
      <c r="F68" s="87"/>
      <c r="G68" s="81"/>
      <c r="H68" s="79"/>
      <c r="I68" s="80"/>
      <c r="J68" s="76">
        <f t="shared" si="0"/>
        <v>4430</v>
      </c>
      <c r="K68" s="77">
        <f t="shared" si="1"/>
        <v>0.65920986455999997</v>
      </c>
      <c r="L68" s="78">
        <f t="shared" si="2"/>
        <v>2920.2997000007999</v>
      </c>
      <c r="M68" s="80"/>
      <c r="N68" s="58"/>
      <c r="O68" s="58"/>
      <c r="P68" s="53"/>
      <c r="Q68" s="59"/>
      <c r="R68" s="53"/>
      <c r="S68" s="59"/>
    </row>
    <row r="69" spans="2:19" ht="24" customHeight="1" x14ac:dyDescent="0.25">
      <c r="E69" s="80"/>
      <c r="F69" s="95"/>
      <c r="G69" s="81"/>
      <c r="H69" s="79"/>
      <c r="I69" s="80"/>
      <c r="J69" s="76">
        <f t="shared" si="0"/>
        <v>324816</v>
      </c>
      <c r="K69" s="77">
        <f t="shared" si="1"/>
        <v>0.65709999999999991</v>
      </c>
      <c r="L69" s="78">
        <f t="shared" si="2"/>
        <v>213436.59359999996</v>
      </c>
      <c r="M69" s="80"/>
      <c r="N69" s="58"/>
      <c r="O69" s="58"/>
      <c r="P69" s="53"/>
      <c r="Q69" s="59"/>
      <c r="R69" s="53"/>
      <c r="S69" s="59"/>
    </row>
    <row r="70" spans="2:19" x14ac:dyDescent="0.2">
      <c r="E70" s="80"/>
      <c r="F70" s="85"/>
      <c r="G70" s="80"/>
      <c r="H70" s="80"/>
      <c r="I70" s="80"/>
      <c r="J70" s="80"/>
      <c r="K70" s="80"/>
      <c r="L70" s="80"/>
      <c r="M70" s="80"/>
    </row>
    <row r="71" spans="2:19" x14ac:dyDescent="0.2">
      <c r="E71" s="80"/>
      <c r="F71" s="85"/>
      <c r="G71" s="80"/>
      <c r="H71" s="80"/>
      <c r="I71" s="80"/>
      <c r="J71" s="80"/>
      <c r="K71" s="80"/>
      <c r="L71" s="80"/>
      <c r="M71" s="80"/>
    </row>
    <row r="72" spans="2:19" x14ac:dyDescent="0.2">
      <c r="E72" s="80"/>
      <c r="F72" s="85"/>
      <c r="G72" s="185"/>
      <c r="H72" s="185"/>
      <c r="I72" s="80"/>
      <c r="J72" s="185"/>
      <c r="K72" s="185"/>
      <c r="L72" s="80"/>
      <c r="M72" s="80"/>
    </row>
    <row r="73" spans="2:19" x14ac:dyDescent="0.2">
      <c r="E73" s="80"/>
      <c r="F73" s="85"/>
      <c r="G73" s="96"/>
      <c r="H73" s="96"/>
      <c r="I73" s="80"/>
      <c r="J73" s="96"/>
      <c r="K73" s="96"/>
      <c r="L73" s="80"/>
      <c r="M73" s="80"/>
    </row>
    <row r="74" spans="2:19" ht="19" x14ac:dyDescent="0.25">
      <c r="E74" s="80"/>
      <c r="F74" s="92"/>
      <c r="G74" s="80"/>
      <c r="H74" s="80"/>
      <c r="I74" s="80"/>
      <c r="J74" s="78"/>
      <c r="K74" s="79"/>
      <c r="L74" s="80"/>
      <c r="M74" s="80"/>
    </row>
    <row r="75" spans="2:19" x14ac:dyDescent="0.2">
      <c r="E75" s="80"/>
      <c r="F75" s="87"/>
      <c r="G75" s="80"/>
      <c r="H75" s="80"/>
      <c r="I75" s="80"/>
      <c r="J75" s="78"/>
      <c r="K75" s="79"/>
      <c r="L75" s="80"/>
      <c r="M75" s="80"/>
    </row>
    <row r="76" spans="2:19" x14ac:dyDescent="0.2">
      <c r="E76" s="80"/>
      <c r="F76" s="87"/>
      <c r="G76" s="80"/>
      <c r="H76" s="80"/>
      <c r="I76" s="80"/>
      <c r="J76" s="78"/>
      <c r="K76" s="79"/>
      <c r="L76" s="80"/>
      <c r="M76" s="80"/>
    </row>
    <row r="77" spans="2:19" x14ac:dyDescent="0.2">
      <c r="E77" s="80"/>
      <c r="F77" s="87"/>
      <c r="G77" s="80"/>
      <c r="H77" s="80"/>
      <c r="I77" s="80"/>
      <c r="J77" s="78"/>
      <c r="K77" s="79"/>
      <c r="L77" s="80"/>
      <c r="M77" s="80"/>
    </row>
    <row r="78" spans="2:19" x14ac:dyDescent="0.2">
      <c r="E78" s="80"/>
      <c r="F78" s="87"/>
      <c r="G78" s="80"/>
      <c r="H78" s="80"/>
      <c r="I78" s="80"/>
      <c r="J78" s="78"/>
      <c r="K78" s="79"/>
      <c r="L78" s="80"/>
      <c r="M78" s="80"/>
    </row>
    <row r="79" spans="2:19" x14ac:dyDescent="0.2">
      <c r="E79" s="80"/>
      <c r="F79" s="87"/>
      <c r="G79" s="80"/>
      <c r="H79" s="80"/>
      <c r="I79" s="80"/>
      <c r="J79" s="78"/>
      <c r="K79" s="79"/>
      <c r="L79" s="80"/>
      <c r="M79" s="80"/>
    </row>
    <row r="80" spans="2:19" x14ac:dyDescent="0.2">
      <c r="E80" s="80"/>
      <c r="F80" s="87"/>
      <c r="G80" s="80"/>
      <c r="H80" s="80"/>
      <c r="I80" s="80"/>
      <c r="J80" s="78"/>
      <c r="K80" s="79"/>
      <c r="L80" s="80"/>
      <c r="M80" s="80"/>
    </row>
    <row r="81" spans="5:13" x14ac:dyDescent="0.2">
      <c r="E81" s="80"/>
      <c r="F81" s="87"/>
      <c r="G81" s="80"/>
      <c r="H81" s="80"/>
      <c r="I81" s="80"/>
      <c r="J81" s="78"/>
      <c r="K81" s="79"/>
      <c r="L81" s="80"/>
      <c r="M81" s="80"/>
    </row>
    <row r="82" spans="5:13" x14ac:dyDescent="0.2">
      <c r="E82" s="80"/>
      <c r="F82" s="87"/>
      <c r="G82" s="80"/>
      <c r="H82" s="80"/>
      <c r="I82" s="80"/>
      <c r="J82" s="78"/>
      <c r="K82" s="79"/>
      <c r="L82" s="80"/>
      <c r="M82" s="80"/>
    </row>
    <row r="83" spans="5:13" x14ac:dyDescent="0.2">
      <c r="F83" s="44"/>
      <c r="J83" s="18"/>
      <c r="K83" s="53"/>
    </row>
    <row r="84" spans="5:13" x14ac:dyDescent="0.2">
      <c r="F84" s="44"/>
      <c r="J84" s="18"/>
      <c r="K84" s="53"/>
    </row>
    <row r="85" spans="5:13" x14ac:dyDescent="0.2">
      <c r="F85" s="60"/>
      <c r="J85" s="18"/>
      <c r="K85" s="53"/>
    </row>
    <row r="86" spans="5:13" ht="16" x14ac:dyDescent="0.2">
      <c r="F86" s="51"/>
      <c r="J86" s="18"/>
      <c r="K86" s="53"/>
    </row>
    <row r="87" spans="5:13" ht="16" x14ac:dyDescent="0.2">
      <c r="F87" s="51"/>
      <c r="J87" s="18"/>
      <c r="K87" s="53"/>
    </row>
    <row r="88" spans="5:13" x14ac:dyDescent="0.2">
      <c r="F88" s="44"/>
      <c r="J88" s="18"/>
      <c r="K88" s="53"/>
    </row>
    <row r="89" spans="5:13" x14ac:dyDescent="0.2">
      <c r="F89" s="44"/>
      <c r="J89" s="18"/>
      <c r="K89" s="53"/>
    </row>
    <row r="90" spans="5:13" x14ac:dyDescent="0.2">
      <c r="F90" s="45"/>
      <c r="J90" s="18"/>
      <c r="K90" s="53"/>
    </row>
    <row r="91" spans="5:13" x14ac:dyDescent="0.2">
      <c r="F91" s="44"/>
      <c r="J91" s="18"/>
      <c r="K91" s="53"/>
    </row>
    <row r="92" spans="5:13" x14ac:dyDescent="0.2">
      <c r="F92" s="44"/>
      <c r="J92" s="18"/>
      <c r="K92" s="53"/>
    </row>
    <row r="93" spans="5:13" x14ac:dyDescent="0.2">
      <c r="F93" s="44"/>
      <c r="J93" s="18"/>
      <c r="K93" s="53"/>
    </row>
    <row r="94" spans="5:13" x14ac:dyDescent="0.2">
      <c r="F94" s="44"/>
      <c r="J94" s="18"/>
      <c r="K94" s="53"/>
    </row>
    <row r="95" spans="5:13" x14ac:dyDescent="0.2">
      <c r="F95" s="44"/>
      <c r="J95" s="18"/>
      <c r="K95" s="53"/>
    </row>
    <row r="96" spans="5:13" x14ac:dyDescent="0.2">
      <c r="F96" s="44"/>
      <c r="J96" s="18"/>
      <c r="K96" s="53"/>
    </row>
    <row r="97" spans="6:11" x14ac:dyDescent="0.2">
      <c r="F97" s="44"/>
      <c r="J97" s="18"/>
      <c r="K97" s="53"/>
    </row>
    <row r="98" spans="6:11" x14ac:dyDescent="0.2">
      <c r="F98" s="44"/>
      <c r="J98" s="18"/>
      <c r="K98" s="53"/>
    </row>
    <row r="99" spans="6:11" x14ac:dyDescent="0.2">
      <c r="F99" s="60"/>
      <c r="J99" s="18"/>
      <c r="K99" s="53"/>
    </row>
    <row r="100" spans="6:11" ht="16" x14ac:dyDescent="0.2">
      <c r="F100" s="51"/>
      <c r="J100" s="18"/>
      <c r="K100" s="53"/>
    </row>
    <row r="101" spans="6:11" x14ac:dyDescent="0.2">
      <c r="F101" s="44"/>
      <c r="J101" s="18"/>
      <c r="K101" s="53"/>
    </row>
    <row r="102" spans="6:11" x14ac:dyDescent="0.2">
      <c r="F102" s="44"/>
      <c r="J102" s="18"/>
      <c r="K102" s="53"/>
    </row>
    <row r="103" spans="6:11" x14ac:dyDescent="0.2">
      <c r="F103" s="44"/>
      <c r="J103" s="18"/>
      <c r="K103" s="53"/>
    </row>
    <row r="104" spans="6:11" x14ac:dyDescent="0.2">
      <c r="F104" s="44"/>
      <c r="J104" s="18"/>
      <c r="K104" s="53"/>
    </row>
    <row r="105" spans="6:11" ht="16" x14ac:dyDescent="0.2">
      <c r="F105" s="51"/>
      <c r="J105" s="18"/>
      <c r="K105" s="53"/>
    </row>
    <row r="107" spans="6:11" x14ac:dyDescent="0.2">
      <c r="G107" s="179"/>
      <c r="H107" s="179"/>
    </row>
    <row r="108" spans="6:11" x14ac:dyDescent="0.2">
      <c r="G108" s="56"/>
      <c r="H108" s="56"/>
    </row>
    <row r="109" spans="6:11" x14ac:dyDescent="0.2">
      <c r="F109" s="44"/>
    </row>
    <row r="110" spans="6:11" x14ac:dyDescent="0.2">
      <c r="F110" s="44"/>
    </row>
    <row r="111" spans="6:11" x14ac:dyDescent="0.2">
      <c r="F111" s="44"/>
    </row>
    <row r="112" spans="6:11" x14ac:dyDescent="0.2">
      <c r="F112" s="44"/>
    </row>
    <row r="113" spans="6:6" x14ac:dyDescent="0.2">
      <c r="F113" s="44"/>
    </row>
    <row r="114" spans="6:6" x14ac:dyDescent="0.2">
      <c r="F114" s="44"/>
    </row>
    <row r="115" spans="6:6" x14ac:dyDescent="0.2">
      <c r="F115" s="44"/>
    </row>
    <row r="116" spans="6:6" x14ac:dyDescent="0.2">
      <c r="F116" s="44"/>
    </row>
    <row r="117" spans="6:6" x14ac:dyDescent="0.2">
      <c r="F117" s="44"/>
    </row>
    <row r="118" spans="6:6" x14ac:dyDescent="0.2">
      <c r="F118" s="44"/>
    </row>
    <row r="119" spans="6:6" x14ac:dyDescent="0.2">
      <c r="F119" s="44"/>
    </row>
    <row r="120" spans="6:6" x14ac:dyDescent="0.2">
      <c r="F120" s="44"/>
    </row>
    <row r="121" spans="6:6" x14ac:dyDescent="0.2">
      <c r="F121" s="44"/>
    </row>
    <row r="122" spans="6:6" x14ac:dyDescent="0.2">
      <c r="F122" s="44"/>
    </row>
    <row r="123" spans="6:6" x14ac:dyDescent="0.2">
      <c r="F123" s="44"/>
    </row>
    <row r="124" spans="6:6" x14ac:dyDescent="0.2">
      <c r="F124" s="44"/>
    </row>
    <row r="125" spans="6:6" x14ac:dyDescent="0.2">
      <c r="F125" s="45"/>
    </row>
    <row r="126" spans="6:6" x14ac:dyDescent="0.2">
      <c r="F126" s="44"/>
    </row>
    <row r="127" spans="6:6" x14ac:dyDescent="0.2">
      <c r="F127" s="44"/>
    </row>
    <row r="128" spans="6:6" x14ac:dyDescent="0.2">
      <c r="F128" s="44"/>
    </row>
    <row r="129" spans="6:8" x14ac:dyDescent="0.2">
      <c r="F129" s="44"/>
    </row>
    <row r="130" spans="6:8" x14ac:dyDescent="0.2">
      <c r="F130" s="44"/>
    </row>
    <row r="131" spans="6:8" x14ac:dyDescent="0.2">
      <c r="F131" s="44"/>
    </row>
    <row r="132" spans="6:8" x14ac:dyDescent="0.2">
      <c r="F132" s="44"/>
    </row>
    <row r="133" spans="6:8" x14ac:dyDescent="0.2">
      <c r="F133" s="44"/>
    </row>
    <row r="134" spans="6:8" x14ac:dyDescent="0.2">
      <c r="F134" s="44"/>
    </row>
    <row r="135" spans="6:8" x14ac:dyDescent="0.2">
      <c r="F135" s="44"/>
    </row>
    <row r="136" spans="6:8" x14ac:dyDescent="0.2">
      <c r="F136" s="44"/>
    </row>
    <row r="137" spans="6:8" x14ac:dyDescent="0.2">
      <c r="F137" s="44"/>
    </row>
    <row r="138" spans="6:8" x14ac:dyDescent="0.2">
      <c r="F138" s="44"/>
    </row>
    <row r="139" spans="6:8" x14ac:dyDescent="0.2">
      <c r="F139" s="44"/>
    </row>
    <row r="140" spans="6:8" x14ac:dyDescent="0.2">
      <c r="F140" s="44"/>
    </row>
    <row r="141" spans="6:8" ht="19" x14ac:dyDescent="0.25">
      <c r="F141" s="50"/>
      <c r="G141" s="52"/>
      <c r="H141" s="52"/>
    </row>
  </sheetData>
  <sheetProtection selectLockedCells="1" selectUnlockedCells="1"/>
  <dataConsolidate/>
  <mergeCells count="8">
    <mergeCell ref="G107:H107"/>
    <mergeCell ref="J36:L36"/>
    <mergeCell ref="P36:Q36"/>
    <mergeCell ref="R36:S36"/>
    <mergeCell ref="N36:O36"/>
    <mergeCell ref="G36:H36"/>
    <mergeCell ref="G72:H72"/>
    <mergeCell ref="J72:K72"/>
  </mergeCells>
  <conditionalFormatting sqref="N38:O69">
    <cfRule type="expression" dxfId="1" priority="1">
      <formula>ABS(N38)&gt;=10%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80B43-80C9-784F-88AA-B65F2CE7D5D9}">
  <dimension ref="A1:D7"/>
  <sheetViews>
    <sheetView workbookViewId="0">
      <selection activeCell="C11" sqref="C11"/>
    </sheetView>
  </sheetViews>
  <sheetFormatPr baseColWidth="10" defaultRowHeight="15" x14ac:dyDescent="0.2"/>
  <sheetData>
    <row r="1" spans="1:4" x14ac:dyDescent="0.2">
      <c r="A1" t="s">
        <v>70</v>
      </c>
      <c r="B1">
        <v>1</v>
      </c>
      <c r="C1">
        <v>0.01</v>
      </c>
      <c r="D1">
        <v>0.01</v>
      </c>
    </row>
    <row r="2" spans="1:4" x14ac:dyDescent="0.2">
      <c r="A2" t="s">
        <v>106</v>
      </c>
      <c r="B2">
        <v>231348.6</v>
      </c>
      <c r="C2">
        <v>0.65703901615271665</v>
      </c>
      <c r="D2">
        <v>0.01</v>
      </c>
    </row>
    <row r="3" spans="1:4" x14ac:dyDescent="0.2">
      <c r="A3" t="s">
        <v>105</v>
      </c>
      <c r="B3">
        <v>93467.25</v>
      </c>
      <c r="C3">
        <v>0.65706081514000947</v>
      </c>
      <c r="D3">
        <v>0.01</v>
      </c>
    </row>
    <row r="4" spans="1:4" x14ac:dyDescent="0.2">
      <c r="A4" t="s">
        <v>108</v>
      </c>
      <c r="B4">
        <v>49628.806237727345</v>
      </c>
      <c r="C4">
        <v>0.65778293252799325</v>
      </c>
      <c r="D4">
        <v>0.01</v>
      </c>
    </row>
    <row r="5" spans="1:4" x14ac:dyDescent="0.2">
      <c r="A5" t="s">
        <v>109</v>
      </c>
      <c r="B5">
        <v>85951.221222310167</v>
      </c>
      <c r="C5">
        <v>0.65706081514000947</v>
      </c>
      <c r="D5">
        <v>0.01</v>
      </c>
    </row>
    <row r="6" spans="1:4" x14ac:dyDescent="0.2">
      <c r="A6" t="s">
        <v>110</v>
      </c>
      <c r="B6">
        <v>4430.0640000000003</v>
      </c>
      <c r="C6">
        <v>0</v>
      </c>
      <c r="D6">
        <v>0.01</v>
      </c>
    </row>
    <row r="7" spans="1:4" x14ac:dyDescent="0.2">
      <c r="A7" t="s">
        <v>111</v>
      </c>
      <c r="B7">
        <v>0</v>
      </c>
      <c r="C7">
        <v>0</v>
      </c>
      <c r="D7">
        <v>0.01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FDCAD-2A03-D04A-967F-E15B5E2E300F}">
  <dimension ref="B2:N35"/>
  <sheetViews>
    <sheetView topLeftCell="B1" workbookViewId="0">
      <selection activeCell="F32" sqref="F32"/>
    </sheetView>
  </sheetViews>
  <sheetFormatPr baseColWidth="10" defaultRowHeight="15" x14ac:dyDescent="0.2"/>
  <cols>
    <col min="1" max="1" width="34.1640625" customWidth="1"/>
    <col min="2" max="2" width="27" customWidth="1"/>
    <col min="6" max="6" width="35.83203125" customWidth="1"/>
    <col min="13" max="13" width="16.5" customWidth="1"/>
    <col min="14" max="14" width="16.83203125" customWidth="1"/>
  </cols>
  <sheetData>
    <row r="2" spans="2:14" ht="20" x14ac:dyDescent="0.25">
      <c r="B2" s="186" t="s">
        <v>63</v>
      </c>
      <c r="C2" s="186"/>
      <c r="D2" s="186"/>
      <c r="F2" s="186" t="s">
        <v>69</v>
      </c>
      <c r="G2" s="186"/>
      <c r="H2" s="186"/>
      <c r="J2" s="187" t="s">
        <v>64</v>
      </c>
      <c r="K2" s="188"/>
      <c r="L2" s="65"/>
      <c r="M2" s="66" t="s">
        <v>65</v>
      </c>
      <c r="N2" s="67" t="s">
        <v>66</v>
      </c>
    </row>
    <row r="3" spans="2:14" ht="19" x14ac:dyDescent="0.25">
      <c r="B3" s="64" t="s">
        <v>62</v>
      </c>
      <c r="C3" s="64" t="s">
        <v>15</v>
      </c>
      <c r="D3" s="64" t="s">
        <v>16</v>
      </c>
      <c r="F3" s="64" t="s">
        <v>62</v>
      </c>
      <c r="G3" s="64" t="s">
        <v>15</v>
      </c>
      <c r="H3" s="64" t="s">
        <v>16</v>
      </c>
      <c r="J3" s="68" t="s">
        <v>67</v>
      </c>
      <c r="K3" s="68" t="s">
        <v>68</v>
      </c>
      <c r="L3" s="69"/>
      <c r="M3" s="70"/>
      <c r="N3" s="71"/>
    </row>
    <row r="4" spans="2:14" ht="19" x14ac:dyDescent="0.25">
      <c r="B4" s="49" t="s">
        <v>22</v>
      </c>
      <c r="C4" s="3">
        <f>Utilidad!A1</f>
        <v>164563</v>
      </c>
      <c r="D4" s="2">
        <f>IF(Utilidad!C1&gt;1,Utilidad!C1/100,Utilidad!C1)</f>
        <v>0.6552</v>
      </c>
      <c r="F4" s="49" t="s">
        <v>22</v>
      </c>
      <c r="G4" s="3">
        <f>Utilidad!B1</f>
        <v>164563</v>
      </c>
      <c r="H4" s="2">
        <f>IF(Utilidad!D1&gt;1,Utilidad!D1/100,Utilidad!D1)</f>
        <v>0.6552</v>
      </c>
      <c r="J4" s="72">
        <f>+IF(C4&lt;&gt;0,(G4-C4)/C4,ABS(G4-C4))</f>
        <v>0</v>
      </c>
      <c r="K4" s="72">
        <f>+IF(D4&lt;&gt;0,(H4-D4)/D4,0)</f>
        <v>0</v>
      </c>
      <c r="L4" s="73"/>
      <c r="M4" s="74">
        <f t="shared" ref="M4" si="0">+IF(J4&lt;&gt;"",ABS(J4),0)</f>
        <v>0</v>
      </c>
      <c r="N4" s="75">
        <f>+IF(J4&lt;&gt;"",ABS(K4),0)</f>
        <v>0</v>
      </c>
    </row>
    <row r="5" spans="2:14" ht="19" x14ac:dyDescent="0.25">
      <c r="B5" s="49" t="s">
        <v>23</v>
      </c>
      <c r="C5" s="3">
        <f>Utilidad!A2</f>
        <v>-2425</v>
      </c>
      <c r="D5" s="2">
        <f>IF(Utilidad!C2&gt;1,Utilidad!C2/100,Utilidad!C2)</f>
        <v>0.6552</v>
      </c>
      <c r="F5" s="49" t="s">
        <v>23</v>
      </c>
      <c r="G5" s="3">
        <f>Utilidad!B2</f>
        <v>-2425</v>
      </c>
      <c r="H5" s="2">
        <f>IF(Utilidad!D2&gt;1,Utilidad!D2/100,Utilidad!D2)</f>
        <v>0.6552</v>
      </c>
      <c r="J5" s="72">
        <f t="shared" ref="J5:J35" si="1">+IF(C5&lt;&gt;0,(G5-C5)/C5,ABS(G5-C5))</f>
        <v>0</v>
      </c>
      <c r="K5" s="72">
        <f t="shared" ref="K5:K35" si="2">+IF(D5&lt;&gt;0,(H5-D5)/D5,0)</f>
        <v>0</v>
      </c>
      <c r="L5" s="73"/>
      <c r="M5" s="74">
        <f t="shared" ref="M5:M35" si="3">+IF(J5&lt;&gt;"",ABS(J5),0)</f>
        <v>0</v>
      </c>
      <c r="N5" s="75">
        <f t="shared" ref="N5:N35" si="4">+IF(J5&lt;&gt;"",ABS(K5),0)</f>
        <v>0</v>
      </c>
    </row>
    <row r="6" spans="2:14" ht="19" x14ac:dyDescent="0.25">
      <c r="B6" s="49" t="s">
        <v>24</v>
      </c>
      <c r="C6" s="3">
        <f>Utilidad!A3</f>
        <v>166988</v>
      </c>
      <c r="D6" s="2">
        <f>IF(Utilidad!C3&gt;1,Utilidad!C3/100,Utilidad!C3)</f>
        <v>0.6552</v>
      </c>
      <c r="F6" s="49" t="s">
        <v>24</v>
      </c>
      <c r="G6" s="3">
        <f>Utilidad!B3</f>
        <v>166988</v>
      </c>
      <c r="H6" s="2">
        <f>IF(Utilidad!D3&gt;1,Utilidad!D3/100,Utilidad!D3)</f>
        <v>0.6552</v>
      </c>
      <c r="J6" s="72">
        <f t="shared" si="1"/>
        <v>0</v>
      </c>
      <c r="K6" s="72">
        <f t="shared" si="2"/>
        <v>0</v>
      </c>
      <c r="L6" s="73"/>
      <c r="M6" s="74">
        <f t="shared" si="3"/>
        <v>0</v>
      </c>
      <c r="N6" s="75">
        <f t="shared" si="4"/>
        <v>0</v>
      </c>
    </row>
    <row r="7" spans="2:14" ht="19" x14ac:dyDescent="0.25">
      <c r="B7" s="49" t="s">
        <v>33</v>
      </c>
      <c r="C7" s="3">
        <f>Utilidad!A4</f>
        <v>0</v>
      </c>
      <c r="D7" s="2">
        <f>IF(Utilidad!C4&gt;1,Utilidad!C4/100,Utilidad!C4)</f>
        <v>0</v>
      </c>
      <c r="F7" s="49" t="s">
        <v>33</v>
      </c>
      <c r="G7" s="3">
        <f>Utilidad!B4</f>
        <v>0</v>
      </c>
      <c r="H7" s="2">
        <f>IF(Utilidad!D4&gt;1,Utilidad!D4/100,Utilidad!D4)</f>
        <v>0</v>
      </c>
      <c r="J7" s="72">
        <f t="shared" si="1"/>
        <v>0</v>
      </c>
      <c r="K7" s="72">
        <f t="shared" si="2"/>
        <v>0</v>
      </c>
      <c r="L7" s="73"/>
      <c r="M7" s="74">
        <f t="shared" si="3"/>
        <v>0</v>
      </c>
      <c r="N7" s="75">
        <f t="shared" si="4"/>
        <v>0</v>
      </c>
    </row>
    <row r="8" spans="2:14" ht="19" x14ac:dyDescent="0.25">
      <c r="B8" s="49" t="s">
        <v>25</v>
      </c>
      <c r="C8" s="3">
        <f>Utilidad!A5</f>
        <v>166988</v>
      </c>
      <c r="D8" s="2">
        <f>IF(Utilidad!C5&gt;1,Utilidad!C5/100,Utilidad!C5)</f>
        <v>0.6552</v>
      </c>
      <c r="F8" s="49" t="s">
        <v>25</v>
      </c>
      <c r="G8" s="3">
        <f>Utilidad!B5</f>
        <v>166988</v>
      </c>
      <c r="H8" s="2">
        <f>IF(Utilidad!D5&gt;1,Utilidad!D5/100,Utilidad!D5)</f>
        <v>0.6552</v>
      </c>
      <c r="J8" s="72">
        <f t="shared" si="1"/>
        <v>0</v>
      </c>
      <c r="K8" s="72">
        <f t="shared" si="2"/>
        <v>0</v>
      </c>
      <c r="L8" s="73"/>
      <c r="M8" s="74">
        <f t="shared" si="3"/>
        <v>0</v>
      </c>
      <c r="N8" s="75">
        <f t="shared" si="4"/>
        <v>0</v>
      </c>
    </row>
    <row r="9" spans="2:14" ht="19" x14ac:dyDescent="0.25">
      <c r="B9" s="49" t="s">
        <v>26</v>
      </c>
      <c r="C9" s="3">
        <f>Utilidad!A6</f>
        <v>-770</v>
      </c>
      <c r="D9" s="2">
        <f>IF(Utilidad!C6&gt;1,Utilidad!C6/100,Utilidad!C6)</f>
        <v>0.6552</v>
      </c>
      <c r="F9" s="49" t="s">
        <v>26</v>
      </c>
      <c r="G9" s="3">
        <f>Utilidad!B6</f>
        <v>-1585</v>
      </c>
      <c r="H9" s="2">
        <f>IF(Utilidad!D6&gt;1,Utilidad!D6/100,Utilidad!D6)</f>
        <v>0.6552</v>
      </c>
      <c r="J9" s="72">
        <f t="shared" si="1"/>
        <v>1.0584415584415585</v>
      </c>
      <c r="K9" s="72">
        <f t="shared" si="2"/>
        <v>0</v>
      </c>
      <c r="L9" s="73"/>
      <c r="M9" s="74">
        <f t="shared" si="3"/>
        <v>1.0584415584415585</v>
      </c>
      <c r="N9" s="75">
        <f t="shared" si="4"/>
        <v>0</v>
      </c>
    </row>
    <row r="10" spans="2:14" ht="19" x14ac:dyDescent="0.25">
      <c r="B10" s="49" t="s">
        <v>21</v>
      </c>
      <c r="C10" s="3">
        <f>Utilidad!A7</f>
        <v>168573</v>
      </c>
      <c r="D10" s="2">
        <f>IF(Utilidad!C7&gt;1,Utilidad!C7/100,Utilidad!C7)</f>
        <v>0.6552</v>
      </c>
      <c r="F10" s="49" t="s">
        <v>21</v>
      </c>
      <c r="G10" s="3">
        <f>Utilidad!B7</f>
        <v>168573</v>
      </c>
      <c r="H10" s="2">
        <f>IF(Utilidad!D7&gt;1,Utilidad!D7/100,Utilidad!D7)</f>
        <v>0.6552</v>
      </c>
      <c r="J10" s="72">
        <f t="shared" si="1"/>
        <v>0</v>
      </c>
      <c r="K10" s="72">
        <f t="shared" si="2"/>
        <v>0</v>
      </c>
      <c r="L10" s="73"/>
      <c r="M10" s="74">
        <f t="shared" si="3"/>
        <v>0</v>
      </c>
      <c r="N10" s="75">
        <f t="shared" si="4"/>
        <v>0</v>
      </c>
    </row>
    <row r="11" spans="2:14" ht="19" x14ac:dyDescent="0.25">
      <c r="B11" s="49" t="s">
        <v>1</v>
      </c>
      <c r="C11" s="3">
        <f>Utilidad!A8</f>
        <v>0</v>
      </c>
      <c r="D11" s="2">
        <f>IF(Utilidad!C8&gt;1,Utilidad!C8/100,Utilidad!C8)</f>
        <v>0</v>
      </c>
      <c r="F11" s="49" t="s">
        <v>1</v>
      </c>
      <c r="G11" s="3">
        <f>Utilidad!B8</f>
        <v>0</v>
      </c>
      <c r="H11" s="2">
        <f>IF(Utilidad!D8&gt;1,Utilidad!D8/100,Utilidad!D8)</f>
        <v>0</v>
      </c>
      <c r="J11" s="72">
        <f t="shared" si="1"/>
        <v>0</v>
      </c>
      <c r="K11" s="72">
        <f t="shared" si="2"/>
        <v>0</v>
      </c>
      <c r="L11" s="73"/>
      <c r="M11" s="74">
        <f t="shared" si="3"/>
        <v>0</v>
      </c>
      <c r="N11" s="75">
        <f t="shared" si="4"/>
        <v>0</v>
      </c>
    </row>
    <row r="12" spans="2:14" ht="19" x14ac:dyDescent="0.25">
      <c r="B12" s="49" t="s">
        <v>28</v>
      </c>
      <c r="C12" s="3">
        <f>Utilidad!A9</f>
        <v>168573</v>
      </c>
      <c r="D12" s="2">
        <f>IF(Utilidad!C9&gt;1,Utilidad!C9/100,Utilidad!C9)</f>
        <v>0.6552</v>
      </c>
      <c r="F12" s="49" t="s">
        <v>28</v>
      </c>
      <c r="G12" s="3">
        <f>Utilidad!B9</f>
        <v>168573</v>
      </c>
      <c r="H12" s="2">
        <f>IF(Utilidad!D9&gt;1,Utilidad!D9/100,Utilidad!D9)</f>
        <v>0.6552</v>
      </c>
      <c r="J12" s="72">
        <f t="shared" si="1"/>
        <v>0</v>
      </c>
      <c r="K12" s="72">
        <f t="shared" si="2"/>
        <v>0</v>
      </c>
      <c r="L12" s="73"/>
      <c r="M12" s="74">
        <f t="shared" si="3"/>
        <v>0</v>
      </c>
      <c r="N12" s="75">
        <f t="shared" si="4"/>
        <v>0</v>
      </c>
    </row>
    <row r="13" spans="2:14" ht="19" x14ac:dyDescent="0.25">
      <c r="B13" s="49" t="s">
        <v>27</v>
      </c>
      <c r="C13" s="3">
        <f>Utilidad!A10</f>
        <v>0</v>
      </c>
      <c r="D13" s="2">
        <f>IF(Utilidad!C10&gt;1,Utilidad!C10/100,Utilidad!C10)</f>
        <v>0</v>
      </c>
      <c r="F13" s="49" t="s">
        <v>27</v>
      </c>
      <c r="G13" s="3">
        <f>Utilidad!B10</f>
        <v>0</v>
      </c>
      <c r="H13" s="2">
        <f>IF(Utilidad!D10&gt;1,Utilidad!D10/100,Utilidad!D10)</f>
        <v>0</v>
      </c>
      <c r="J13" s="72">
        <f t="shared" si="1"/>
        <v>0</v>
      </c>
      <c r="K13" s="72">
        <f t="shared" si="2"/>
        <v>0</v>
      </c>
      <c r="L13" s="73"/>
      <c r="M13" s="74">
        <f t="shared" si="3"/>
        <v>0</v>
      </c>
      <c r="N13" s="75">
        <f t="shared" si="4"/>
        <v>0</v>
      </c>
    </row>
    <row r="14" spans="2:14" ht="19" x14ac:dyDescent="0.25">
      <c r="B14" s="49" t="s">
        <v>2</v>
      </c>
      <c r="C14" s="3">
        <f>Utilidad!A11</f>
        <v>0</v>
      </c>
      <c r="D14" s="2">
        <f>IF(Utilidad!C11&gt;1,Utilidad!C11/100,Utilidad!C11)</f>
        <v>0</v>
      </c>
      <c r="F14" s="49" t="s">
        <v>2</v>
      </c>
      <c r="G14" s="3">
        <f>Utilidad!B11</f>
        <v>0</v>
      </c>
      <c r="H14" s="2">
        <f>IF(Utilidad!D11&gt;1,Utilidad!D11/100,Utilidad!D11)</f>
        <v>0</v>
      </c>
      <c r="J14" s="72">
        <f t="shared" si="1"/>
        <v>0</v>
      </c>
      <c r="K14" s="72">
        <f t="shared" si="2"/>
        <v>0</v>
      </c>
      <c r="L14" s="73"/>
      <c r="M14" s="74">
        <f t="shared" si="3"/>
        <v>0</v>
      </c>
      <c r="N14" s="75">
        <f t="shared" si="4"/>
        <v>0</v>
      </c>
    </row>
    <row r="15" spans="2:14" ht="19" x14ac:dyDescent="0.25">
      <c r="B15" s="49" t="s">
        <v>3</v>
      </c>
      <c r="C15" s="3">
        <f>Utilidad!A12</f>
        <v>-58345</v>
      </c>
      <c r="D15" s="2">
        <f>IF(Utilidad!C12&gt;1,Utilidad!C12/100,Utilidad!C12)</f>
        <v>0.65709999999999991</v>
      </c>
      <c r="F15" s="49" t="s">
        <v>3</v>
      </c>
      <c r="G15" s="3">
        <f>Utilidad!B12</f>
        <v>-58346</v>
      </c>
      <c r="H15" s="2">
        <f>IF(Utilidad!D12&gt;1,Utilidad!D12/100,Utilidad!D12)</f>
        <v>0.66258947143000002</v>
      </c>
      <c r="J15" s="72">
        <f t="shared" si="1"/>
        <v>1.7139429257005741E-5</v>
      </c>
      <c r="K15" s="72">
        <f t="shared" si="2"/>
        <v>8.3540883122814116E-3</v>
      </c>
      <c r="L15" s="73"/>
      <c r="M15" s="74">
        <f t="shared" si="3"/>
        <v>1.7139429257005741E-5</v>
      </c>
      <c r="N15" s="75">
        <f t="shared" si="4"/>
        <v>8.3540883122814116E-3</v>
      </c>
    </row>
    <row r="16" spans="2:14" ht="19" x14ac:dyDescent="0.25">
      <c r="B16" s="49" t="s">
        <v>36</v>
      </c>
      <c r="C16" s="3">
        <f>Utilidad!A13</f>
        <v>226919</v>
      </c>
      <c r="D16" s="2">
        <f>IF(Utilidad!C13&gt;1,Utilidad!C13/100,Utilidad!C13)</f>
        <v>0.65709999999999991</v>
      </c>
      <c r="F16" s="49" t="s">
        <v>36</v>
      </c>
      <c r="G16" s="3">
        <f>Utilidad!B13</f>
        <v>226919</v>
      </c>
      <c r="H16" s="2">
        <f>IF(Utilidad!D13&gt;1,Utilidad!D13/100,Utilidad!D13)</f>
        <v>0.65709999999999991</v>
      </c>
      <c r="J16" s="72">
        <f t="shared" si="1"/>
        <v>0</v>
      </c>
      <c r="K16" s="72">
        <f t="shared" si="2"/>
        <v>0</v>
      </c>
      <c r="L16" s="73"/>
      <c r="M16" s="74">
        <f t="shared" si="3"/>
        <v>0</v>
      </c>
      <c r="N16" s="75">
        <f t="shared" si="4"/>
        <v>0</v>
      </c>
    </row>
    <row r="17" spans="2:14" ht="19" x14ac:dyDescent="0.25">
      <c r="B17" s="49" t="s">
        <v>29</v>
      </c>
      <c r="C17" s="3">
        <f>Utilidad!A14</f>
        <v>69887</v>
      </c>
      <c r="D17" s="2">
        <f>IF(Utilidad!C14&gt;1,Utilidad!C14/100,Utilidad!C14)</f>
        <v>0.65670000000000006</v>
      </c>
      <c r="F17" s="49" t="s">
        <v>29</v>
      </c>
      <c r="G17" s="3">
        <f>Utilidad!B14</f>
        <v>69887</v>
      </c>
      <c r="H17" s="2">
        <f>IF(Utilidad!D14&gt;1,Utilidad!D14/100,Utilidad!D14)</f>
        <v>0.65779996432999999</v>
      </c>
      <c r="J17" s="72">
        <f t="shared" si="1"/>
        <v>0</v>
      </c>
      <c r="K17" s="72">
        <f t="shared" si="2"/>
        <v>1.6749875590070429E-3</v>
      </c>
      <c r="L17" s="73"/>
      <c r="M17" s="74">
        <f t="shared" si="3"/>
        <v>0</v>
      </c>
      <c r="N17" s="75">
        <f t="shared" si="4"/>
        <v>1.6749875590070429E-3</v>
      </c>
    </row>
    <row r="18" spans="2:14" ht="19" x14ac:dyDescent="0.25">
      <c r="B18" s="49" t="s">
        <v>30</v>
      </c>
      <c r="C18" s="3">
        <f>Utilidad!A15</f>
        <v>-106</v>
      </c>
      <c r="D18" s="2">
        <f>IF(Utilidad!C15&gt;1,Utilidad!C15/100,Utilidad!C15)</f>
        <v>0.65780000000000005</v>
      </c>
      <c r="F18" s="49" t="s">
        <v>30</v>
      </c>
      <c r="G18" s="3">
        <f>Utilidad!B15</f>
        <v>-106</v>
      </c>
      <c r="H18" s="2">
        <f>IF(Utilidad!D15&gt;1,Utilidad!D15/100,Utilidad!D15)</f>
        <v>0.65780166322</v>
      </c>
      <c r="J18" s="72">
        <f t="shared" si="1"/>
        <v>0</v>
      </c>
      <c r="K18" s="72">
        <f t="shared" si="2"/>
        <v>2.5284584979443368E-6</v>
      </c>
      <c r="L18" s="73"/>
      <c r="M18" s="74">
        <f t="shared" si="3"/>
        <v>0</v>
      </c>
      <c r="N18" s="75">
        <f t="shared" si="4"/>
        <v>2.5284584979443368E-6</v>
      </c>
    </row>
    <row r="19" spans="2:14" ht="19" x14ac:dyDescent="0.25">
      <c r="B19" s="49" t="s">
        <v>31</v>
      </c>
      <c r="C19" s="3">
        <f>Utilidad!A16</f>
        <v>69993</v>
      </c>
      <c r="D19" s="2">
        <f>IF(Utilidad!C16&gt;1,Utilidad!C16/100,Utilidad!C16)</f>
        <v>0.65780000000000005</v>
      </c>
      <c r="F19" s="49" t="s">
        <v>31</v>
      </c>
      <c r="G19" s="3">
        <f>Utilidad!B16</f>
        <v>69993</v>
      </c>
      <c r="H19" s="2">
        <f>IF(Utilidad!D16&gt;1,Utilidad!D16/100,Utilidad!D16)</f>
        <v>0.65779996690999998</v>
      </c>
      <c r="J19" s="72">
        <f t="shared" si="1"/>
        <v>0</v>
      </c>
      <c r="K19" s="72">
        <f t="shared" si="2"/>
        <v>-5.0304043893803005E-8</v>
      </c>
      <c r="L19" s="73"/>
      <c r="M19" s="74">
        <f t="shared" si="3"/>
        <v>0</v>
      </c>
      <c r="N19" s="75">
        <f t="shared" si="4"/>
        <v>5.0304043893803005E-8</v>
      </c>
    </row>
    <row r="20" spans="2:14" ht="19" x14ac:dyDescent="0.25">
      <c r="B20" s="49" t="s">
        <v>32</v>
      </c>
      <c r="C20" s="3">
        <f>Utilidad!A17</f>
        <v>0</v>
      </c>
      <c r="D20" s="2">
        <f>IF(Utilidad!C17&gt;1,Utilidad!C17/100,Utilidad!C17)</f>
        <v>0</v>
      </c>
      <c r="F20" s="49" t="s">
        <v>32</v>
      </c>
      <c r="G20" s="3">
        <f>Utilidad!B17</f>
        <v>0</v>
      </c>
      <c r="H20" s="2">
        <f>IF(Utilidad!D17&gt;1,Utilidad!D17/100,Utilidad!D17)</f>
        <v>0</v>
      </c>
      <c r="J20" s="72">
        <f t="shared" si="1"/>
        <v>0</v>
      </c>
      <c r="K20" s="72">
        <f t="shared" si="2"/>
        <v>0</v>
      </c>
      <c r="L20" s="73"/>
      <c r="M20" s="74">
        <f t="shared" si="3"/>
        <v>0</v>
      </c>
      <c r="N20" s="75">
        <f t="shared" si="4"/>
        <v>0</v>
      </c>
    </row>
    <row r="21" spans="2:14" ht="19" x14ac:dyDescent="0.25">
      <c r="B21" s="49" t="s">
        <v>34</v>
      </c>
      <c r="C21" s="3">
        <f>Utilidad!A18</f>
        <v>69993</v>
      </c>
      <c r="D21" s="2">
        <f>IF(Utilidad!C18&gt;1,Utilidad!C18/100,Utilidad!C18)</f>
        <v>0.65780000000000005</v>
      </c>
      <c r="F21" s="49" t="s">
        <v>34</v>
      </c>
      <c r="G21" s="3">
        <f>Utilidad!B18</f>
        <v>69993</v>
      </c>
      <c r="H21" s="2">
        <f>IF(Utilidad!D18&gt;1,Utilidad!D18/100,Utilidad!D18)</f>
        <v>0.65779996690999998</v>
      </c>
      <c r="J21" s="72">
        <f t="shared" si="1"/>
        <v>0</v>
      </c>
      <c r="K21" s="72">
        <f t="shared" si="2"/>
        <v>-5.0304043893803005E-8</v>
      </c>
      <c r="L21" s="73"/>
      <c r="M21" s="74">
        <f t="shared" si="3"/>
        <v>0</v>
      </c>
      <c r="N21" s="75">
        <f t="shared" si="4"/>
        <v>5.0304043893803005E-8</v>
      </c>
    </row>
    <row r="22" spans="2:14" ht="19" x14ac:dyDescent="0.25">
      <c r="B22" s="49" t="s">
        <v>35</v>
      </c>
      <c r="C22" s="3">
        <f>Utilidad!A19</f>
        <v>383</v>
      </c>
      <c r="D22" s="2">
        <f>IF(Utilidad!C19&gt;1,Utilidad!C19/100,Utilidad!C19)</f>
        <v>0.65780000000000005</v>
      </c>
      <c r="F22" s="49" t="s">
        <v>35</v>
      </c>
      <c r="G22" s="3">
        <f>Utilidad!B19</f>
        <v>383</v>
      </c>
      <c r="H22" s="2">
        <f>IF(Utilidad!D19&gt;1,Utilidad!D19/100,Utilidad!D19)</f>
        <v>0.65779395218000003</v>
      </c>
      <c r="J22" s="72">
        <f t="shared" si="1"/>
        <v>0</v>
      </c>
      <c r="K22" s="72">
        <f t="shared" si="2"/>
        <v>-9.19401033752106E-6</v>
      </c>
      <c r="L22" s="73"/>
      <c r="M22" s="74">
        <f t="shared" si="3"/>
        <v>0</v>
      </c>
      <c r="N22" s="75">
        <f t="shared" si="4"/>
        <v>9.19401033752106E-6</v>
      </c>
    </row>
    <row r="23" spans="2:14" ht="19" x14ac:dyDescent="0.25">
      <c r="B23" s="49" t="s">
        <v>20</v>
      </c>
      <c r="C23" s="3">
        <f>Utilidad!A20</f>
        <v>69610</v>
      </c>
      <c r="D23" s="2">
        <f>IF(Utilidad!C20&gt;1,Utilidad!C20/100,Utilidad!C20)</f>
        <v>0.65780000000000005</v>
      </c>
      <c r="F23" s="49" t="s">
        <v>20</v>
      </c>
      <c r="G23" s="3">
        <f>Utilidad!B20</f>
        <v>69610</v>
      </c>
      <c r="H23" s="2">
        <f>IF(Utilidad!D20&gt;1,Utilidad!D20/100,Utilidad!D20)</f>
        <v>0.65780000000000005</v>
      </c>
      <c r="J23" s="72">
        <f t="shared" si="1"/>
        <v>0</v>
      </c>
      <c r="K23" s="72">
        <f t="shared" si="2"/>
        <v>0</v>
      </c>
      <c r="L23" s="73"/>
      <c r="M23" s="74">
        <f t="shared" si="3"/>
        <v>0</v>
      </c>
      <c r="N23" s="75">
        <f t="shared" si="4"/>
        <v>0</v>
      </c>
    </row>
    <row r="24" spans="2:14" ht="19" x14ac:dyDescent="0.25">
      <c r="B24" s="49" t="s">
        <v>4</v>
      </c>
      <c r="C24" s="3">
        <f>Utilidad!A21</f>
        <v>0</v>
      </c>
      <c r="D24" s="2">
        <f>IF(Utilidad!C21&gt;1,Utilidad!C21/100,Utilidad!C21)</f>
        <v>0</v>
      </c>
      <c r="F24" s="49" t="s">
        <v>4</v>
      </c>
      <c r="G24" s="3">
        <f>Utilidad!B21</f>
        <v>0</v>
      </c>
      <c r="H24" s="2">
        <f>IF(Utilidad!D21&gt;1,Utilidad!D21/100,Utilidad!D21)</f>
        <v>0</v>
      </c>
      <c r="J24" s="72">
        <f t="shared" si="1"/>
        <v>0</v>
      </c>
      <c r="K24" s="72">
        <f t="shared" si="2"/>
        <v>0</v>
      </c>
      <c r="L24" s="73"/>
      <c r="M24" s="74">
        <f t="shared" si="3"/>
        <v>0</v>
      </c>
      <c r="N24" s="75">
        <f t="shared" si="4"/>
        <v>0</v>
      </c>
    </row>
    <row r="25" spans="2:14" ht="19" x14ac:dyDescent="0.25">
      <c r="B25" s="49" t="s">
        <v>5</v>
      </c>
      <c r="C25" s="3">
        <f>Utilidad!A22</f>
        <v>69610</v>
      </c>
      <c r="D25" s="2">
        <f>IF(Utilidad!C22&gt;1,Utilidad!C22/100,Utilidad!C22)</f>
        <v>0.65780000000000005</v>
      </c>
      <c r="F25" s="49" t="s">
        <v>5</v>
      </c>
      <c r="G25" s="3">
        <f>Utilidad!B22</f>
        <v>69610</v>
      </c>
      <c r="H25" s="2">
        <f>IF(Utilidad!D22&gt;1,Utilidad!D22/100,Utilidad!D22)</f>
        <v>0.65780000000000005</v>
      </c>
      <c r="J25" s="72">
        <f t="shared" si="1"/>
        <v>0</v>
      </c>
      <c r="K25" s="72">
        <f t="shared" si="2"/>
        <v>0</v>
      </c>
      <c r="L25" s="73"/>
      <c r="M25" s="74">
        <f t="shared" si="3"/>
        <v>0</v>
      </c>
      <c r="N25" s="75">
        <f t="shared" si="4"/>
        <v>0</v>
      </c>
    </row>
    <row r="26" spans="2:14" ht="19" x14ac:dyDescent="0.25">
      <c r="B26" s="49" t="s">
        <v>6</v>
      </c>
      <c r="C26" s="3">
        <f>Utilidad!A23</f>
        <v>0</v>
      </c>
      <c r="D26" s="2">
        <f>IF(Utilidad!C23&gt;1,Utilidad!C23/100,Utilidad!C23)</f>
        <v>0</v>
      </c>
      <c r="F26" s="49" t="s">
        <v>6</v>
      </c>
      <c r="G26" s="3">
        <f>Utilidad!B23</f>
        <v>0</v>
      </c>
      <c r="H26" s="2">
        <f>IF(Utilidad!D23&gt;1,Utilidad!D23/100,Utilidad!D23)</f>
        <v>0</v>
      </c>
      <c r="J26" s="72">
        <f t="shared" si="1"/>
        <v>0</v>
      </c>
      <c r="K26" s="72">
        <f t="shared" si="2"/>
        <v>0</v>
      </c>
      <c r="L26" s="73"/>
      <c r="M26" s="74">
        <f t="shared" si="3"/>
        <v>0</v>
      </c>
      <c r="N26" s="75">
        <f t="shared" si="4"/>
        <v>0</v>
      </c>
    </row>
    <row r="27" spans="2:14" ht="19" x14ac:dyDescent="0.25">
      <c r="B27" s="49" t="s">
        <v>9</v>
      </c>
      <c r="C27" s="3">
        <f>Utilidad!A24</f>
        <v>69610</v>
      </c>
      <c r="D27" s="2">
        <f>IF(Utilidad!C24&gt;1,Utilidad!C24/100,Utilidad!C24)</f>
        <v>0.65780000000000005</v>
      </c>
      <c r="F27" s="49" t="s">
        <v>9</v>
      </c>
      <c r="G27" s="3">
        <f>Utilidad!B24</f>
        <v>69610</v>
      </c>
      <c r="H27" s="2">
        <f>IF(Utilidad!D24&gt;1,Utilidad!D24/100,Utilidad!D24)</f>
        <v>0.65780000000000005</v>
      </c>
      <c r="J27" s="72">
        <f t="shared" si="1"/>
        <v>0</v>
      </c>
      <c r="K27" s="72">
        <f t="shared" si="2"/>
        <v>0</v>
      </c>
      <c r="L27" s="73"/>
      <c r="M27" s="74">
        <f t="shared" si="3"/>
        <v>0</v>
      </c>
      <c r="N27" s="75">
        <f t="shared" si="4"/>
        <v>0</v>
      </c>
    </row>
    <row r="28" spans="2:14" ht="19" x14ac:dyDescent="0.25">
      <c r="B28" s="49" t="s">
        <v>8</v>
      </c>
      <c r="C28" s="3">
        <f>Utilidad!A25</f>
        <v>0</v>
      </c>
      <c r="D28" s="2">
        <f>IF(Utilidad!C25&gt;1,Utilidad!C25/100,Utilidad!C25)</f>
        <v>0</v>
      </c>
      <c r="F28" s="49" t="s">
        <v>8</v>
      </c>
      <c r="G28" s="3">
        <f>Utilidad!B25</f>
        <v>0</v>
      </c>
      <c r="H28" s="2">
        <f>IF(Utilidad!D25&gt;1,Utilidad!D25/100,Utilidad!D25)</f>
        <v>0</v>
      </c>
      <c r="J28" s="72">
        <f t="shared" si="1"/>
        <v>0</v>
      </c>
      <c r="K28" s="72">
        <f t="shared" si="2"/>
        <v>0</v>
      </c>
      <c r="L28" s="73"/>
      <c r="M28" s="74">
        <f t="shared" si="3"/>
        <v>0</v>
      </c>
      <c r="N28" s="75">
        <f t="shared" si="4"/>
        <v>0</v>
      </c>
    </row>
    <row r="29" spans="2:14" ht="19" x14ac:dyDescent="0.25">
      <c r="B29" s="49" t="s">
        <v>17</v>
      </c>
      <c r="C29" s="3">
        <f>Utilidad!A26</f>
        <v>-23857</v>
      </c>
      <c r="D29" s="2">
        <f>IF(Utilidad!C26&gt;1,Utilidad!C26/100,Utilidad!C26)</f>
        <v>0.65780000000000005</v>
      </c>
      <c r="F29" s="49" t="s">
        <v>17</v>
      </c>
      <c r="G29" s="3">
        <f>Utilidad!B26</f>
        <v>-23857</v>
      </c>
      <c r="H29" s="2">
        <f>IF(Utilidad!D26&gt;1,Utilidad!D26/100,Utilidad!D26)</f>
        <v>0.65466575848000008</v>
      </c>
      <c r="J29" s="72">
        <f t="shared" si="1"/>
        <v>0</v>
      </c>
      <c r="K29" s="72">
        <f t="shared" si="2"/>
        <v>-4.764733231985359E-3</v>
      </c>
      <c r="L29" s="73"/>
      <c r="M29" s="74">
        <f t="shared" si="3"/>
        <v>0</v>
      </c>
      <c r="N29" s="75">
        <f t="shared" si="4"/>
        <v>4.764733231985359E-3</v>
      </c>
    </row>
    <row r="30" spans="2:14" ht="19" x14ac:dyDescent="0.25">
      <c r="B30" s="49" t="s">
        <v>7</v>
      </c>
      <c r="C30" s="3">
        <f>Utilidad!A27</f>
        <v>93467</v>
      </c>
      <c r="D30" s="2">
        <f>IF(Utilidad!C27&gt;1,Utilidad!C27/100,Utilidad!C27)</f>
        <v>0.65700000000000003</v>
      </c>
      <c r="F30" s="49" t="s">
        <v>7</v>
      </c>
      <c r="G30" s="3">
        <f>Utilidad!B27</f>
        <v>93467</v>
      </c>
      <c r="H30" s="2">
        <f>IF(Utilidad!D27&gt;1,Utilidad!D27/100,Utilidad!D27)</f>
        <v>0.65700000000000003</v>
      </c>
      <c r="J30" s="72">
        <f t="shared" si="1"/>
        <v>0</v>
      </c>
      <c r="K30" s="72">
        <f t="shared" si="2"/>
        <v>0</v>
      </c>
      <c r="L30" s="73"/>
      <c r="M30" s="74">
        <f t="shared" si="3"/>
        <v>0</v>
      </c>
      <c r="N30" s="75">
        <f t="shared" si="4"/>
        <v>0</v>
      </c>
    </row>
    <row r="31" spans="2:14" ht="19" x14ac:dyDescent="0.25">
      <c r="B31" s="49" t="s">
        <v>11</v>
      </c>
      <c r="C31" s="3">
        <f>Utilidad!A28</f>
        <v>-4430</v>
      </c>
      <c r="D31" s="2">
        <f>IF(Utilidad!C28&gt;1,Utilidad!C28/100,Utilidad!C28)</f>
        <v>0.65709999999999991</v>
      </c>
      <c r="F31" s="49" t="s">
        <v>11</v>
      </c>
      <c r="G31" s="3">
        <f>Utilidad!B28</f>
        <v>-4430</v>
      </c>
      <c r="H31" s="2">
        <f>IF(Utilidad!D28&gt;1,Utilidad!D28/100,Utilidad!D28)</f>
        <v>0.65920986455999997</v>
      </c>
      <c r="J31" s="72">
        <f t="shared" si="1"/>
        <v>0</v>
      </c>
      <c r="K31" s="72">
        <f t="shared" si="2"/>
        <v>3.2108728656217674E-3</v>
      </c>
      <c r="L31" s="73"/>
      <c r="M31" s="74">
        <f t="shared" si="3"/>
        <v>0</v>
      </c>
      <c r="N31" s="75">
        <f t="shared" si="4"/>
        <v>3.2108728656217674E-3</v>
      </c>
    </row>
    <row r="32" spans="2:14" ht="19" x14ac:dyDescent="0.25">
      <c r="B32" s="49" t="s">
        <v>12</v>
      </c>
      <c r="C32" s="3">
        <f>Utilidad!A29</f>
        <v>4430</v>
      </c>
      <c r="D32" s="2">
        <f>IF(Utilidad!C29&gt;1,Utilidad!C29/100,Utilidad!C29)</f>
        <v>0.65709999999999991</v>
      </c>
      <c r="F32" s="49" t="s">
        <v>12</v>
      </c>
      <c r="G32" s="3">
        <f>Utilidad!B29</f>
        <v>4430</v>
      </c>
      <c r="H32" s="2">
        <f>IF(Utilidad!D29&gt;1,Utilidad!D29/100,Utilidad!D29)</f>
        <v>0.65920986455999997</v>
      </c>
      <c r="J32" s="72">
        <f t="shared" si="1"/>
        <v>0</v>
      </c>
      <c r="K32" s="72">
        <f t="shared" si="2"/>
        <v>3.2108728656217674E-3</v>
      </c>
      <c r="L32" s="73"/>
      <c r="M32" s="74">
        <f t="shared" si="3"/>
        <v>0</v>
      </c>
      <c r="N32" s="75">
        <f t="shared" si="4"/>
        <v>3.2108728656217674E-3</v>
      </c>
    </row>
    <row r="33" spans="2:14" ht="19" x14ac:dyDescent="0.25">
      <c r="B33" s="49" t="s">
        <v>10</v>
      </c>
      <c r="C33" s="3">
        <f>Utilidad!A30</f>
        <v>0</v>
      </c>
      <c r="D33" s="2">
        <f>IF(Utilidad!C30&gt;1,Utilidad!C30/100,Utilidad!C30)</f>
        <v>0</v>
      </c>
      <c r="F33" s="49" t="s">
        <v>10</v>
      </c>
      <c r="G33" s="3">
        <f>Utilidad!B30</f>
        <v>0</v>
      </c>
      <c r="H33" s="2">
        <f>IF(Utilidad!D30&gt;1,Utilidad!D30/100,Utilidad!D30)</f>
        <v>0</v>
      </c>
      <c r="J33" s="72">
        <f t="shared" si="1"/>
        <v>0</v>
      </c>
      <c r="K33" s="72">
        <f t="shared" si="2"/>
        <v>0</v>
      </c>
      <c r="L33" s="73"/>
      <c r="M33" s="74">
        <f t="shared" si="3"/>
        <v>0</v>
      </c>
      <c r="N33" s="75">
        <f t="shared" si="4"/>
        <v>0</v>
      </c>
    </row>
    <row r="34" spans="2:14" ht="19" x14ac:dyDescent="0.25">
      <c r="B34" s="49" t="s">
        <v>13</v>
      </c>
      <c r="C34" s="3">
        <f>Utilidad!A31</f>
        <v>4430</v>
      </c>
      <c r="D34" s="2">
        <f>IF(Utilidad!C31&gt;1,Utilidad!C31/100,Utilidad!C31)</f>
        <v>0.65709999999999991</v>
      </c>
      <c r="F34" s="49" t="s">
        <v>13</v>
      </c>
      <c r="G34" s="3">
        <f>Utilidad!B31</f>
        <v>4430</v>
      </c>
      <c r="H34" s="2">
        <f>IF(Utilidad!D31&gt;1,Utilidad!D31/100,Utilidad!D31)</f>
        <v>0.65920986455999997</v>
      </c>
      <c r="J34" s="72">
        <f t="shared" si="1"/>
        <v>0</v>
      </c>
      <c r="K34" s="72">
        <f t="shared" si="2"/>
        <v>3.2108728656217674E-3</v>
      </c>
      <c r="L34" s="73"/>
      <c r="M34" s="74">
        <f t="shared" si="3"/>
        <v>0</v>
      </c>
      <c r="N34" s="75">
        <f t="shared" si="4"/>
        <v>3.2108728656217674E-3</v>
      </c>
    </row>
    <row r="35" spans="2:14" ht="19" x14ac:dyDescent="0.25">
      <c r="B35" s="49" t="s">
        <v>14</v>
      </c>
      <c r="C35" s="3">
        <f>Utilidad!A32</f>
        <v>324816</v>
      </c>
      <c r="D35" s="2">
        <f>IF(Utilidad!C32&gt;1,Utilidad!C32/100,Utilidad!C32)</f>
        <v>0.65709999999999991</v>
      </c>
      <c r="F35" s="49" t="s">
        <v>14</v>
      </c>
      <c r="G35" s="3">
        <f>Utilidad!B32</f>
        <v>324816</v>
      </c>
      <c r="H35" s="2">
        <f>IF(Utilidad!D32&gt;1,Utilidad!D32/100,Utilidad!D32)</f>
        <v>0.65709999999999991</v>
      </c>
      <c r="J35" s="72">
        <f t="shared" si="1"/>
        <v>0</v>
      </c>
      <c r="K35" s="72">
        <f t="shared" si="2"/>
        <v>0</v>
      </c>
      <c r="L35" s="73"/>
      <c r="M35" s="74">
        <f t="shared" si="3"/>
        <v>0</v>
      </c>
      <c r="N35" s="75">
        <f t="shared" si="4"/>
        <v>0</v>
      </c>
    </row>
  </sheetData>
  <mergeCells count="3">
    <mergeCell ref="B2:D2"/>
    <mergeCell ref="F2:H2"/>
    <mergeCell ref="J2:K2"/>
  </mergeCells>
  <conditionalFormatting sqref="J4:L35">
    <cfRule type="expression" dxfId="0" priority="1">
      <formula>ABS(J4)&gt;=10%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S90"/>
  <sheetViews>
    <sheetView showGridLines="0" topLeftCell="A69" zoomScale="90" zoomScaleNormal="90" workbookViewId="0">
      <selection activeCell="R69" sqref="R69"/>
    </sheetView>
  </sheetViews>
  <sheetFormatPr baseColWidth="10" defaultColWidth="10.83203125" defaultRowHeight="15" x14ac:dyDescent="0.2"/>
  <cols>
    <col min="1" max="1" width="4" customWidth="1"/>
    <col min="5" max="5" width="19.6640625" customWidth="1"/>
    <col min="9" max="9" width="17.5" customWidth="1"/>
    <col min="14" max="14" width="10.83203125" customWidth="1"/>
    <col min="15" max="15" width="12.5" customWidth="1"/>
    <col min="16" max="16" width="14.5" customWidth="1"/>
    <col min="17" max="17" width="10.83203125" customWidth="1"/>
  </cols>
  <sheetData>
    <row r="1" spans="2:19" ht="16" thickBot="1" x14ac:dyDescent="0.25"/>
    <row r="2" spans="2:19" x14ac:dyDescent="0.2"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6"/>
    </row>
    <row r="3" spans="2:19" ht="21" x14ac:dyDescent="0.25">
      <c r="B3" s="7"/>
      <c r="C3" s="8" t="s">
        <v>22</v>
      </c>
      <c r="E3" s="9">
        <f>+Utilidad!J38</f>
        <v>164563</v>
      </c>
      <c r="P3" s="8" t="s">
        <v>29</v>
      </c>
      <c r="R3" s="9">
        <f>+Utilidad!J51</f>
        <v>69887</v>
      </c>
      <c r="S3" s="10"/>
    </row>
    <row r="4" spans="2:19" ht="16" x14ac:dyDescent="0.2">
      <c r="B4" s="7"/>
      <c r="E4" s="11">
        <f>+Utilidad!K38</f>
        <v>0.6552</v>
      </c>
      <c r="P4" s="12"/>
      <c r="R4" s="11">
        <f>+Utilidad!K51</f>
        <v>0.65779996432999999</v>
      </c>
      <c r="S4" s="10"/>
    </row>
    <row r="5" spans="2:19" ht="19" x14ac:dyDescent="0.25">
      <c r="B5" s="7"/>
      <c r="E5" s="13">
        <f>+Utilidad!L38</f>
        <v>107821.6776</v>
      </c>
      <c r="P5" s="12"/>
      <c r="R5" s="13">
        <f>+Utilidad!L51</f>
        <v>45971.66610713071</v>
      </c>
      <c r="S5" s="10"/>
    </row>
    <row r="6" spans="2:19" x14ac:dyDescent="0.2">
      <c r="B6" s="7"/>
      <c r="P6" s="12"/>
      <c r="R6" s="14">
        <f>+R3-R9</f>
        <v>-106</v>
      </c>
      <c r="S6" s="10"/>
    </row>
    <row r="7" spans="2:19" x14ac:dyDescent="0.2">
      <c r="B7" s="7"/>
      <c r="E7" s="14">
        <f>+E3-E10</f>
        <v>-2425</v>
      </c>
      <c r="P7" s="12"/>
      <c r="R7" s="15">
        <f>+Utilidad!K52</f>
        <v>0.65780166322</v>
      </c>
      <c r="S7" s="10"/>
    </row>
    <row r="8" spans="2:19" x14ac:dyDescent="0.2">
      <c r="B8" s="7"/>
      <c r="C8" t="s">
        <v>41</v>
      </c>
      <c r="E8" s="15">
        <f>+Utilidad!K39</f>
        <v>0.6552</v>
      </c>
      <c r="P8" s="12" t="s">
        <v>42</v>
      </c>
      <c r="R8" s="16">
        <f>+Utilidad!L52</f>
        <v>-69.726976301319993</v>
      </c>
      <c r="S8" s="10"/>
    </row>
    <row r="9" spans="2:19" x14ac:dyDescent="0.2">
      <c r="B9" s="7"/>
      <c r="E9" s="16">
        <f>+Utilidad!L39</f>
        <v>-1588.86</v>
      </c>
      <c r="P9" s="12"/>
      <c r="R9" s="17">
        <f>+Utilidad!J53</f>
        <v>69993</v>
      </c>
      <c r="S9" s="10"/>
    </row>
    <row r="10" spans="2:19" x14ac:dyDescent="0.2">
      <c r="B10" s="7"/>
      <c r="E10" s="17">
        <f>+Utilidad!J40</f>
        <v>166988</v>
      </c>
      <c r="G10" s="18"/>
      <c r="P10" s="12"/>
      <c r="R10" s="15">
        <f>+Utilidad!K53</f>
        <v>0.65779996690999998</v>
      </c>
      <c r="S10" s="10"/>
    </row>
    <row r="11" spans="2:19" x14ac:dyDescent="0.2">
      <c r="B11" s="7"/>
      <c r="E11" s="15">
        <f>+Utilidad!K40</f>
        <v>0.6552</v>
      </c>
      <c r="P11" s="12"/>
      <c r="R11" s="19">
        <f>+Utilidad!L53</f>
        <v>46041.393083931631</v>
      </c>
      <c r="S11" s="10"/>
    </row>
    <row r="12" spans="2:19" x14ac:dyDescent="0.2">
      <c r="B12" s="7"/>
      <c r="C12" s="20" t="s">
        <v>0</v>
      </c>
      <c r="E12" s="19">
        <f>+Utilidad!L40</f>
        <v>109410.5376</v>
      </c>
      <c r="P12" s="12" t="s">
        <v>40</v>
      </c>
      <c r="S12" s="10"/>
    </row>
    <row r="13" spans="2:19" x14ac:dyDescent="0.2">
      <c r="B13" s="7"/>
      <c r="R13" s="14">
        <f>+R9-R18</f>
        <v>0</v>
      </c>
      <c r="S13" s="10"/>
    </row>
    <row r="14" spans="2:19" x14ac:dyDescent="0.2">
      <c r="B14" s="7"/>
      <c r="E14" s="14">
        <f>+E10-E19</f>
        <v>0</v>
      </c>
      <c r="R14" s="15">
        <f>+Utilidad!K54</f>
        <v>0</v>
      </c>
      <c r="S14" s="10"/>
    </row>
    <row r="15" spans="2:19" x14ac:dyDescent="0.2">
      <c r="B15" s="7"/>
      <c r="E15" s="15">
        <f>+Utilidad!K41</f>
        <v>0</v>
      </c>
      <c r="R15" s="21">
        <f>+Utilidad!L54</f>
        <v>0</v>
      </c>
      <c r="S15" s="10"/>
    </row>
    <row r="16" spans="2:19" x14ac:dyDescent="0.2">
      <c r="B16" s="7"/>
      <c r="E16" s="21">
        <f>+Utilidad!L41</f>
        <v>0</v>
      </c>
      <c r="S16" s="10"/>
    </row>
    <row r="17" spans="2:19" x14ac:dyDescent="0.2">
      <c r="B17" s="7"/>
      <c r="S17" s="10"/>
    </row>
    <row r="18" spans="2:19" x14ac:dyDescent="0.2">
      <c r="B18" s="7"/>
      <c r="R18" s="17">
        <f>+Utilidad!J55</f>
        <v>69993</v>
      </c>
      <c r="S18" s="10"/>
    </row>
    <row r="19" spans="2:19" x14ac:dyDescent="0.2">
      <c r="B19" s="7"/>
      <c r="E19" s="17">
        <f>+Utilidad!J42</f>
        <v>166988</v>
      </c>
      <c r="R19" s="15">
        <f>+Utilidad!K53</f>
        <v>0.65779996690999998</v>
      </c>
      <c r="S19" s="10"/>
    </row>
    <row r="20" spans="2:19" x14ac:dyDescent="0.2">
      <c r="B20" s="7"/>
      <c r="E20" s="15">
        <f>+Utilidad!K42</f>
        <v>0.6552</v>
      </c>
      <c r="R20" s="19">
        <f>+Utilidad!L55</f>
        <v>46041.393083931631</v>
      </c>
      <c r="S20" s="10"/>
    </row>
    <row r="21" spans="2:19" x14ac:dyDescent="0.2">
      <c r="B21" s="7"/>
      <c r="E21" s="19">
        <f>+Utilidad!L42</f>
        <v>109410.5376</v>
      </c>
      <c r="S21" s="10"/>
    </row>
    <row r="22" spans="2:19" x14ac:dyDescent="0.2">
      <c r="B22" s="7"/>
      <c r="E22" s="14">
        <f>+E19-E25</f>
        <v>-1585</v>
      </c>
      <c r="G22" s="22">
        <f>+Utilidad!J45</f>
        <v>0</v>
      </c>
      <c r="N22" s="22">
        <f>+Utilidad!J58</f>
        <v>0</v>
      </c>
      <c r="P22" s="20" t="s">
        <v>38</v>
      </c>
      <c r="R22" s="14">
        <f>+R18-R25</f>
        <v>383</v>
      </c>
      <c r="S22" s="10"/>
    </row>
    <row r="23" spans="2:19" ht="22" customHeight="1" x14ac:dyDescent="0.2">
      <c r="B23" s="7"/>
      <c r="E23" s="15">
        <f>+Utilidad!K43</f>
        <v>0.6552</v>
      </c>
      <c r="G23" s="23">
        <f>+Utilidad!K45</f>
        <v>0</v>
      </c>
      <c r="N23" s="23">
        <f>+Utilidad!K58</f>
        <v>0</v>
      </c>
      <c r="R23" s="15">
        <f>+Utilidad!K56</f>
        <v>0.65779395218000003</v>
      </c>
      <c r="S23" s="10"/>
    </row>
    <row r="24" spans="2:19" x14ac:dyDescent="0.2">
      <c r="B24" s="7"/>
      <c r="E24" s="21">
        <f>+Utilidad!L43</f>
        <v>-1038.492</v>
      </c>
      <c r="G24" s="24">
        <f>+Utilidad!L45</f>
        <v>0</v>
      </c>
      <c r="N24" s="24">
        <f>+Utilidad!L58</f>
        <v>0</v>
      </c>
      <c r="R24" s="21">
        <f>+Utilidad!L56</f>
        <v>251.93508368494003</v>
      </c>
      <c r="S24" s="10"/>
    </row>
    <row r="25" spans="2:19" x14ac:dyDescent="0.2">
      <c r="B25" s="7"/>
      <c r="C25" t="s">
        <v>37</v>
      </c>
      <c r="E25" s="17">
        <f>+Utilidad!J44</f>
        <v>168573</v>
      </c>
      <c r="R25" s="17">
        <f>+Utilidad!J57</f>
        <v>69610</v>
      </c>
      <c r="S25" s="10"/>
    </row>
    <row r="26" spans="2:19" x14ac:dyDescent="0.2">
      <c r="B26" s="7"/>
      <c r="E26" s="15">
        <f>+Utilidad!K44</f>
        <v>0.6552</v>
      </c>
      <c r="R26" s="15">
        <f>+Utilidad!K57</f>
        <v>0.65780000000000005</v>
      </c>
      <c r="S26" s="10"/>
    </row>
    <row r="27" spans="2:19" x14ac:dyDescent="0.2">
      <c r="B27" s="7"/>
      <c r="E27" s="19">
        <f>+Utilidad!L44</f>
        <v>110449.02959999999</v>
      </c>
      <c r="K27" s="25" t="e">
        <f>+G22+N22-K29</f>
        <v>#REF!</v>
      </c>
      <c r="R27" s="19">
        <f>+Utilidad!L57</f>
        <v>45789.458000000006</v>
      </c>
      <c r="S27" s="10"/>
    </row>
    <row r="28" spans="2:19" x14ac:dyDescent="0.2">
      <c r="B28" s="7"/>
      <c r="S28" s="10"/>
    </row>
    <row r="29" spans="2:19" x14ac:dyDescent="0.2">
      <c r="B29" s="7"/>
      <c r="G29" s="22">
        <f>+Utilidad!J48</f>
        <v>0</v>
      </c>
      <c r="K29" s="17" t="e">
        <f>+[1]Utilidad!J66</f>
        <v>#REF!</v>
      </c>
      <c r="S29" s="10"/>
    </row>
    <row r="30" spans="2:19" x14ac:dyDescent="0.2">
      <c r="B30" s="7"/>
      <c r="G30" s="23">
        <f>+Utilidad!K48</f>
        <v>0</v>
      </c>
      <c r="K30" s="15" t="e">
        <f>+[1]Utilidad!K66</f>
        <v>#REF!</v>
      </c>
      <c r="R30" s="17">
        <f>+Utilidad!J59</f>
        <v>69610</v>
      </c>
      <c r="S30" s="10"/>
    </row>
    <row r="31" spans="2:19" x14ac:dyDescent="0.2">
      <c r="B31" s="7"/>
      <c r="E31" s="17">
        <f>+Utilidad!J46</f>
        <v>168573</v>
      </c>
      <c r="G31" s="24">
        <f>+Utilidad!L48</f>
        <v>0</v>
      </c>
      <c r="K31" s="19" t="e">
        <f>+[1]Utilidad!L66</f>
        <v>#REF!</v>
      </c>
      <c r="R31" s="15">
        <f>+Utilidad!K59</f>
        <v>0.65780000000000005</v>
      </c>
      <c r="S31" s="10"/>
    </row>
    <row r="32" spans="2:19" ht="14.5" customHeight="1" x14ac:dyDescent="0.2">
      <c r="B32" s="7"/>
      <c r="E32" s="15">
        <f>+Utilidad!K46</f>
        <v>0.6552</v>
      </c>
      <c r="I32" s="189" t="s">
        <v>39</v>
      </c>
      <c r="R32" s="19">
        <f>+Utilidad!L59</f>
        <v>45789.458000000006</v>
      </c>
      <c r="S32" s="10"/>
    </row>
    <row r="33" spans="2:19" x14ac:dyDescent="0.2">
      <c r="B33" s="7"/>
      <c r="E33" s="19">
        <f>+Utilidad!L46</f>
        <v>110449.02959999999</v>
      </c>
      <c r="I33" s="189"/>
      <c r="K33" s="25" t="e">
        <f>+K29-K39</f>
        <v>#REF!</v>
      </c>
      <c r="S33" s="10"/>
    </row>
    <row r="34" spans="2:19" x14ac:dyDescent="0.2">
      <c r="B34" s="7"/>
      <c r="I34" s="189"/>
      <c r="K34" s="23" t="e">
        <f>+[1]Utilidad!K67</f>
        <v>#REF!</v>
      </c>
      <c r="S34" s="10"/>
    </row>
    <row r="35" spans="2:19" x14ac:dyDescent="0.2">
      <c r="B35" s="7"/>
      <c r="I35" s="189"/>
      <c r="K35" s="26" t="e">
        <f>+[1]Utilidad!L67</f>
        <v>#REF!</v>
      </c>
      <c r="M35" s="17">
        <f>+Utilidad!J62</f>
        <v>0</v>
      </c>
      <c r="S35" s="10"/>
    </row>
    <row r="36" spans="2:19" ht="20.25" customHeight="1" x14ac:dyDescent="0.2">
      <c r="B36" s="7"/>
      <c r="M36" s="15">
        <f>+Utilidad!K62</f>
        <v>0</v>
      </c>
      <c r="S36" s="10"/>
    </row>
    <row r="37" spans="2:19" x14ac:dyDescent="0.2">
      <c r="B37" s="7"/>
      <c r="M37" s="19">
        <f>+Utilidad!L62</f>
        <v>0</v>
      </c>
      <c r="S37" s="10"/>
    </row>
    <row r="38" spans="2:19" x14ac:dyDescent="0.2">
      <c r="B38" s="7"/>
      <c r="E38" s="17">
        <f>+E31</f>
        <v>168573</v>
      </c>
      <c r="S38" s="10"/>
    </row>
    <row r="39" spans="2:19" x14ac:dyDescent="0.2">
      <c r="B39" s="7"/>
      <c r="E39" s="15">
        <f>+E32</f>
        <v>0.6552</v>
      </c>
      <c r="K39" s="17">
        <f>+Utilidad!J68</f>
        <v>4430</v>
      </c>
      <c r="R39" s="17">
        <f>+Utilidad!J61</f>
        <v>69610</v>
      </c>
      <c r="S39" s="10"/>
    </row>
    <row r="40" spans="2:19" x14ac:dyDescent="0.2">
      <c r="B40" s="7"/>
      <c r="E40" s="19">
        <f>+E33</f>
        <v>110449.02959999999</v>
      </c>
      <c r="H40" s="27">
        <f>+Utilidad!J50</f>
        <v>226919</v>
      </c>
      <c r="K40" s="15">
        <f>+Utilidad!K68</f>
        <v>0.65920986455999997</v>
      </c>
      <c r="M40" s="27">
        <f>+Utilidad!J64</f>
        <v>93467</v>
      </c>
      <c r="R40" s="15">
        <f>+Utilidad!K61</f>
        <v>0.65780000000000005</v>
      </c>
      <c r="S40" s="10"/>
    </row>
    <row r="41" spans="2:19" x14ac:dyDescent="0.2">
      <c r="B41" s="7"/>
      <c r="H41" s="28">
        <f>+Utilidad!K50</f>
        <v>0.65709999999999991</v>
      </c>
      <c r="K41" s="19">
        <f>+Utilidad!L68</f>
        <v>2920.2997000007999</v>
      </c>
      <c r="M41" s="28">
        <f>+Utilidad!K64</f>
        <v>0.65700000000000003</v>
      </c>
      <c r="R41" s="19">
        <f>+Utilidad!L61</f>
        <v>45789.458000000006</v>
      </c>
      <c r="S41" s="10"/>
    </row>
    <row r="42" spans="2:19" x14ac:dyDescent="0.2">
      <c r="B42" s="7"/>
      <c r="F42" s="14">
        <f>+E38+M35-H40</f>
        <v>-58346</v>
      </c>
      <c r="H42" s="29">
        <f>+Utilidad!L50</f>
        <v>149108.47489999997</v>
      </c>
      <c r="M42" s="29">
        <f>+Utilidad!L64</f>
        <v>61407.819000000003</v>
      </c>
      <c r="O42" s="14">
        <f>+R39-M40</f>
        <v>-23857</v>
      </c>
      <c r="S42" s="10"/>
    </row>
    <row r="43" spans="2:19" x14ac:dyDescent="0.2">
      <c r="B43" s="7"/>
      <c r="F43" s="15">
        <f>+Utilidad!K49</f>
        <v>0.66258947143000002</v>
      </c>
      <c r="O43" s="15">
        <f>+Utilidad!K63</f>
        <v>0.65466575848000008</v>
      </c>
      <c r="S43" s="10"/>
    </row>
    <row r="44" spans="2:19" x14ac:dyDescent="0.2">
      <c r="B44" s="7"/>
      <c r="F44" s="21">
        <f>+Utilidad!L49</f>
        <v>-38659.44530005478</v>
      </c>
      <c r="O44" s="21">
        <f>+Utilidad!L61</f>
        <v>45789.458000000006</v>
      </c>
      <c r="S44" s="10"/>
    </row>
    <row r="45" spans="2:19" x14ac:dyDescent="0.2">
      <c r="B45" s="7"/>
      <c r="K45" s="17">
        <f>+Utilidad!J69</f>
        <v>324816</v>
      </c>
      <c r="O45" s="14"/>
      <c r="S45" s="10"/>
    </row>
    <row r="46" spans="2:19" x14ac:dyDescent="0.2">
      <c r="B46" s="7"/>
      <c r="K46" s="15">
        <f>+Utilidad!K69</f>
        <v>0.65709999999999991</v>
      </c>
      <c r="S46" s="10"/>
    </row>
    <row r="47" spans="2:19" x14ac:dyDescent="0.2">
      <c r="B47" s="7"/>
      <c r="K47" s="19">
        <f>+Utilidad!L69</f>
        <v>213436.59359999996</v>
      </c>
      <c r="S47" s="10"/>
    </row>
    <row r="48" spans="2:19" x14ac:dyDescent="0.2">
      <c r="B48" s="7"/>
      <c r="S48" s="10"/>
    </row>
    <row r="49" spans="2:19" x14ac:dyDescent="0.2">
      <c r="B49" s="7"/>
      <c r="S49" s="10"/>
    </row>
    <row r="50" spans="2:19" x14ac:dyDescent="0.2">
      <c r="B50" s="7"/>
      <c r="S50" s="10"/>
    </row>
    <row r="51" spans="2:19" x14ac:dyDescent="0.2">
      <c r="B51" s="7"/>
      <c r="S51" s="10"/>
    </row>
    <row r="52" spans="2:19" x14ac:dyDescent="0.2">
      <c r="B52" s="7"/>
      <c r="S52" s="10"/>
    </row>
    <row r="53" spans="2:19" ht="16" thickBot="1" x14ac:dyDescent="0.25">
      <c r="B53" s="30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2"/>
    </row>
    <row r="55" spans="2:19" ht="16" x14ac:dyDescent="0.2">
      <c r="G55" s="33" t="s">
        <v>43</v>
      </c>
    </row>
    <row r="56" spans="2:19" ht="19" x14ac:dyDescent="0.2">
      <c r="G56" s="190" t="s">
        <v>44</v>
      </c>
      <c r="H56" s="190"/>
      <c r="I56" s="191"/>
      <c r="J56" s="192" t="s">
        <v>45</v>
      </c>
      <c r="K56" s="192"/>
      <c r="L56" s="192"/>
      <c r="M56" s="193" t="s">
        <v>46</v>
      </c>
      <c r="N56" s="193"/>
      <c r="O56" s="193"/>
      <c r="P56" s="193"/>
    </row>
    <row r="57" spans="2:19" ht="24.75" customHeight="1" x14ac:dyDescent="0.2">
      <c r="G57" s="194" t="s">
        <v>22</v>
      </c>
      <c r="H57" s="195"/>
      <c r="I57" s="34">
        <f>+E3</f>
        <v>164563</v>
      </c>
      <c r="J57" s="196" t="s">
        <v>52</v>
      </c>
      <c r="K57" s="196"/>
      <c r="L57" s="35">
        <f>+Utilidad!J39</f>
        <v>-2425</v>
      </c>
      <c r="M57" s="197" t="s">
        <v>51</v>
      </c>
      <c r="N57" s="197"/>
      <c r="O57" s="197"/>
      <c r="P57" s="35">
        <f>+K45</f>
        <v>324816</v>
      </c>
    </row>
    <row r="58" spans="2:19" ht="24.75" customHeight="1" x14ac:dyDescent="0.2">
      <c r="G58" s="194" t="s">
        <v>29</v>
      </c>
      <c r="H58" s="195"/>
      <c r="I58" s="34">
        <f>+R3</f>
        <v>69887</v>
      </c>
      <c r="J58" s="196" t="s">
        <v>0</v>
      </c>
      <c r="K58" s="196"/>
      <c r="L58" s="35">
        <f>+Utilidad!J41</f>
        <v>0</v>
      </c>
      <c r="M58" s="197"/>
      <c r="N58" s="197"/>
      <c r="O58" s="197"/>
      <c r="P58" s="35"/>
    </row>
    <row r="59" spans="2:19" ht="24.75" customHeight="1" x14ac:dyDescent="0.2">
      <c r="G59" s="36"/>
      <c r="H59" s="37"/>
      <c r="I59" s="34"/>
      <c r="J59" s="196" t="s">
        <v>37</v>
      </c>
      <c r="K59" s="196"/>
      <c r="L59" s="35">
        <f>+Utilidad!J43</f>
        <v>-1585</v>
      </c>
      <c r="M59" s="197"/>
      <c r="N59" s="197"/>
      <c r="O59" s="197"/>
      <c r="P59" s="35"/>
    </row>
    <row r="60" spans="2:19" ht="24.75" customHeight="1" x14ac:dyDescent="0.2">
      <c r="G60" s="36"/>
      <c r="H60" s="37"/>
      <c r="I60" s="34"/>
      <c r="J60" s="196" t="s">
        <v>53</v>
      </c>
      <c r="K60" s="196"/>
      <c r="L60" s="35">
        <v>0</v>
      </c>
      <c r="M60" s="197"/>
      <c r="N60" s="197"/>
      <c r="O60" s="197"/>
      <c r="P60" s="35"/>
    </row>
    <row r="61" spans="2:19" ht="24.75" customHeight="1" x14ac:dyDescent="0.2">
      <c r="G61" s="36"/>
      <c r="H61" s="37"/>
      <c r="I61" s="34"/>
      <c r="J61" s="196" t="s">
        <v>58</v>
      </c>
      <c r="K61" s="196"/>
      <c r="L61" s="35">
        <f>+Utilidad!J49</f>
        <v>-58346</v>
      </c>
      <c r="M61" s="197"/>
      <c r="N61" s="197"/>
      <c r="O61" s="197"/>
      <c r="P61" s="35"/>
    </row>
    <row r="62" spans="2:19" ht="24.75" customHeight="1" x14ac:dyDescent="0.2">
      <c r="G62" s="36"/>
      <c r="H62" s="37"/>
      <c r="I62" s="34"/>
      <c r="J62" s="196" t="s">
        <v>54</v>
      </c>
      <c r="K62" s="196"/>
      <c r="L62" s="35">
        <f>+Utilidad!J52</f>
        <v>-106</v>
      </c>
      <c r="M62" s="197"/>
      <c r="N62" s="197"/>
      <c r="O62" s="197"/>
      <c r="P62" s="35"/>
    </row>
    <row r="63" spans="2:19" ht="24.75" customHeight="1" x14ac:dyDescent="0.2">
      <c r="G63" s="36"/>
      <c r="H63" s="37"/>
      <c r="I63" s="34"/>
      <c r="J63" s="196" t="s">
        <v>55</v>
      </c>
      <c r="K63" s="196"/>
      <c r="L63" s="35">
        <f>+Utilidad!J54</f>
        <v>0</v>
      </c>
      <c r="M63" s="197"/>
      <c r="N63" s="197"/>
      <c r="O63" s="197"/>
      <c r="P63" s="35"/>
    </row>
    <row r="64" spans="2:19" ht="24.75" customHeight="1" x14ac:dyDescent="0.2">
      <c r="G64" s="36"/>
      <c r="H64" s="37"/>
      <c r="I64" s="34"/>
      <c r="J64" s="196" t="s">
        <v>38</v>
      </c>
      <c r="K64" s="196"/>
      <c r="L64" s="35">
        <f>+Utilidad!J56</f>
        <v>383</v>
      </c>
      <c r="M64" s="197"/>
      <c r="N64" s="197"/>
      <c r="O64" s="197"/>
      <c r="P64" s="35"/>
    </row>
    <row r="65" spans="7:16" ht="24.75" customHeight="1" x14ac:dyDescent="0.2">
      <c r="G65" s="36"/>
      <c r="H65" s="37"/>
      <c r="I65" s="34"/>
      <c r="J65" s="196" t="s">
        <v>56</v>
      </c>
      <c r="K65" s="196"/>
      <c r="L65" s="35">
        <v>0</v>
      </c>
      <c r="M65" s="197"/>
      <c r="N65" s="197"/>
      <c r="O65" s="197"/>
      <c r="P65" s="35"/>
    </row>
    <row r="66" spans="7:16" ht="24.75" customHeight="1" x14ac:dyDescent="0.2">
      <c r="G66" s="36"/>
      <c r="H66" s="37"/>
      <c r="I66" s="34"/>
      <c r="J66" s="196" t="s">
        <v>57</v>
      </c>
      <c r="K66" s="196"/>
      <c r="L66" s="35">
        <f>+Utilidad!J63</f>
        <v>-23857</v>
      </c>
      <c r="M66" s="197"/>
      <c r="N66" s="197"/>
      <c r="O66" s="197"/>
      <c r="P66" s="35"/>
    </row>
    <row r="67" spans="7:16" ht="24.75" customHeight="1" x14ac:dyDescent="0.2">
      <c r="G67" s="194"/>
      <c r="H67" s="195"/>
      <c r="I67" s="34"/>
      <c r="J67" s="196" t="s">
        <v>59</v>
      </c>
      <c r="K67" s="196"/>
      <c r="L67" s="35" t="e">
        <f>+K27</f>
        <v>#REF!</v>
      </c>
      <c r="M67" s="197"/>
      <c r="N67" s="197"/>
      <c r="O67" s="197"/>
      <c r="P67" s="35"/>
    </row>
    <row r="68" spans="7:16" ht="29.25" customHeight="1" x14ac:dyDescent="0.2">
      <c r="G68" s="198"/>
      <c r="H68" s="199"/>
      <c r="I68" s="34"/>
      <c r="J68" s="196" t="s">
        <v>60</v>
      </c>
      <c r="K68" s="196"/>
      <c r="L68" s="35" t="e">
        <f>+K33</f>
        <v>#REF!</v>
      </c>
      <c r="M68" s="197"/>
      <c r="N68" s="197"/>
      <c r="O68" s="197"/>
      <c r="P68" s="35"/>
    </row>
    <row r="69" spans="7:16" ht="19" x14ac:dyDescent="0.2">
      <c r="G69" s="200" t="s">
        <v>47</v>
      </c>
      <c r="H69" s="201"/>
      <c r="I69" s="38">
        <f>+SUM(I57:I68)</f>
        <v>234450</v>
      </c>
      <c r="J69" s="202" t="s">
        <v>48</v>
      </c>
      <c r="K69" s="202"/>
      <c r="L69" s="39" t="e">
        <f>+SUM(L57:L68)</f>
        <v>#REF!</v>
      </c>
      <c r="M69" s="202" t="s">
        <v>49</v>
      </c>
      <c r="N69" s="202"/>
      <c r="O69" s="202"/>
      <c r="P69" s="38">
        <f>+SUM(P57:P68)</f>
        <v>324816</v>
      </c>
    </row>
    <row r="71" spans="7:16" ht="19" x14ac:dyDescent="0.2">
      <c r="L71" s="40" t="s">
        <v>50</v>
      </c>
      <c r="M71" s="41"/>
      <c r="N71" s="42"/>
      <c r="O71" s="41"/>
      <c r="P71" s="43" t="e">
        <f>+I69-L69-P69</f>
        <v>#REF!</v>
      </c>
    </row>
    <row r="74" spans="7:16" ht="16" x14ac:dyDescent="0.2">
      <c r="G74" s="33" t="s">
        <v>61</v>
      </c>
    </row>
    <row r="75" spans="7:16" ht="19" x14ac:dyDescent="0.2">
      <c r="G75" s="203" t="s">
        <v>44</v>
      </c>
      <c r="H75" s="203"/>
      <c r="I75" s="204"/>
      <c r="J75" s="205" t="s">
        <v>45</v>
      </c>
      <c r="K75" s="205"/>
      <c r="L75" s="205"/>
      <c r="M75" s="206" t="s">
        <v>46</v>
      </c>
      <c r="N75" s="206"/>
      <c r="O75" s="206"/>
      <c r="P75" s="206"/>
    </row>
    <row r="76" spans="7:16" x14ac:dyDescent="0.2">
      <c r="G76" s="194" t="s">
        <v>22</v>
      </c>
      <c r="H76" s="195"/>
      <c r="I76" s="34">
        <f>+E5</f>
        <v>107821.6776</v>
      </c>
      <c r="J76" s="196" t="s">
        <v>52</v>
      </c>
      <c r="K76" s="196"/>
      <c r="L76" s="35">
        <f>+Utilidad!L39</f>
        <v>-1588.86</v>
      </c>
      <c r="M76" s="197" t="s">
        <v>51</v>
      </c>
      <c r="N76" s="197"/>
      <c r="O76" s="197"/>
      <c r="P76" s="35">
        <f>+K47</f>
        <v>213436.59359999996</v>
      </c>
    </row>
    <row r="77" spans="7:16" x14ac:dyDescent="0.2">
      <c r="G77" s="194" t="s">
        <v>29</v>
      </c>
      <c r="H77" s="195"/>
      <c r="I77" s="34">
        <f>+R5</f>
        <v>45971.66610713071</v>
      </c>
      <c r="J77" s="196" t="s">
        <v>0</v>
      </c>
      <c r="K77" s="196"/>
      <c r="L77" s="35">
        <f>+Utilidad!L41</f>
        <v>0</v>
      </c>
      <c r="M77" s="197"/>
      <c r="N77" s="197"/>
      <c r="O77" s="197"/>
      <c r="P77" s="35"/>
    </row>
    <row r="78" spans="7:16" x14ac:dyDescent="0.2">
      <c r="G78" s="36"/>
      <c r="H78" s="37"/>
      <c r="I78" s="34"/>
      <c r="J78" s="196" t="s">
        <v>37</v>
      </c>
      <c r="K78" s="196"/>
      <c r="L78" s="35">
        <f>+Utilidad!L43</f>
        <v>-1038.492</v>
      </c>
      <c r="M78" s="197"/>
      <c r="N78" s="197"/>
      <c r="O78" s="197"/>
      <c r="P78" s="35"/>
    </row>
    <row r="79" spans="7:16" x14ac:dyDescent="0.2">
      <c r="G79" s="36"/>
      <c r="H79" s="37"/>
      <c r="I79" s="34"/>
      <c r="J79" s="196" t="s">
        <v>53</v>
      </c>
      <c r="K79" s="196"/>
      <c r="L79" s="35">
        <v>0</v>
      </c>
      <c r="M79" s="197"/>
      <c r="N79" s="197"/>
      <c r="O79" s="197"/>
      <c r="P79" s="35"/>
    </row>
    <row r="80" spans="7:16" x14ac:dyDescent="0.2">
      <c r="G80" s="36"/>
      <c r="H80" s="37"/>
      <c r="I80" s="34"/>
      <c r="J80" s="196" t="s">
        <v>58</v>
      </c>
      <c r="K80" s="196"/>
      <c r="L80" s="35">
        <f>+Utilidad!L49</f>
        <v>-38659.44530005478</v>
      </c>
      <c r="M80" s="197"/>
      <c r="N80" s="197"/>
      <c r="O80" s="197"/>
      <c r="P80" s="35"/>
    </row>
    <row r="81" spans="7:16" x14ac:dyDescent="0.2">
      <c r="G81" s="36"/>
      <c r="H81" s="37"/>
      <c r="I81" s="34"/>
      <c r="J81" s="196" t="s">
        <v>54</v>
      </c>
      <c r="K81" s="196"/>
      <c r="L81" s="35">
        <f>+Utilidad!L52</f>
        <v>-69.726976301319993</v>
      </c>
      <c r="M81" s="197"/>
      <c r="N81" s="197"/>
      <c r="O81" s="197"/>
      <c r="P81" s="35"/>
    </row>
    <row r="82" spans="7:16" x14ac:dyDescent="0.2">
      <c r="G82" s="36"/>
      <c r="H82" s="37"/>
      <c r="I82" s="34"/>
      <c r="J82" s="196" t="s">
        <v>55</v>
      </c>
      <c r="K82" s="196"/>
      <c r="L82" s="35">
        <f>+Utilidad!L54</f>
        <v>0</v>
      </c>
      <c r="M82" s="197"/>
      <c r="N82" s="197"/>
      <c r="O82" s="197"/>
      <c r="P82" s="35"/>
    </row>
    <row r="83" spans="7:16" x14ac:dyDescent="0.2">
      <c r="G83" s="36"/>
      <c r="H83" s="37"/>
      <c r="I83" s="34"/>
      <c r="J83" s="196" t="s">
        <v>38</v>
      </c>
      <c r="K83" s="196"/>
      <c r="L83" s="35">
        <f>+Utilidad!L56</f>
        <v>251.93508368494003</v>
      </c>
      <c r="M83" s="197"/>
      <c r="N83" s="197"/>
      <c r="O83" s="197"/>
      <c r="P83" s="35"/>
    </row>
    <row r="84" spans="7:16" x14ac:dyDescent="0.2">
      <c r="G84" s="36"/>
      <c r="H84" s="37"/>
      <c r="I84" s="34"/>
      <c r="J84" s="196" t="s">
        <v>56</v>
      </c>
      <c r="K84" s="196"/>
      <c r="L84" s="35">
        <v>0</v>
      </c>
      <c r="M84" s="197"/>
      <c r="N84" s="197"/>
      <c r="O84" s="197"/>
      <c r="P84" s="35"/>
    </row>
    <row r="85" spans="7:16" x14ac:dyDescent="0.2">
      <c r="G85" s="36"/>
      <c r="H85" s="37"/>
      <c r="I85" s="34"/>
      <c r="J85" s="196" t="s">
        <v>57</v>
      </c>
      <c r="K85" s="196"/>
      <c r="L85" s="35">
        <f>+Utilidad!L63</f>
        <v>-15618.361000057363</v>
      </c>
      <c r="M85" s="197"/>
      <c r="N85" s="197"/>
      <c r="O85" s="197"/>
      <c r="P85" s="35"/>
    </row>
    <row r="86" spans="7:16" x14ac:dyDescent="0.2">
      <c r="G86" s="194"/>
      <c r="H86" s="195"/>
      <c r="I86" s="34"/>
      <c r="J86" s="196" t="s">
        <v>59</v>
      </c>
      <c r="K86" s="196"/>
      <c r="L86" s="35">
        <f>+Utilidad!L65</f>
        <v>-2920.2997000007999</v>
      </c>
      <c r="M86" s="197"/>
      <c r="N86" s="197"/>
      <c r="O86" s="197"/>
      <c r="P86" s="35"/>
    </row>
    <row r="87" spans="7:16" x14ac:dyDescent="0.2">
      <c r="G87" s="198"/>
      <c r="H87" s="199"/>
      <c r="I87" s="34"/>
      <c r="J87" s="196" t="s">
        <v>60</v>
      </c>
      <c r="K87" s="196"/>
      <c r="L87" s="35">
        <f>+Utilidad!L67</f>
        <v>0</v>
      </c>
      <c r="M87" s="197"/>
      <c r="N87" s="197"/>
      <c r="O87" s="197"/>
      <c r="P87" s="35"/>
    </row>
    <row r="88" spans="7:16" ht="19" x14ac:dyDescent="0.2">
      <c r="G88" s="200" t="s">
        <v>47</v>
      </c>
      <c r="H88" s="201"/>
      <c r="I88" s="38">
        <f>+SUM(I76:I87)</f>
        <v>153793.3437071307</v>
      </c>
      <c r="J88" s="202" t="s">
        <v>48</v>
      </c>
      <c r="K88" s="202"/>
      <c r="L88" s="39">
        <f>+SUM(L76:L87)</f>
        <v>-59643.24989272932</v>
      </c>
      <c r="M88" s="202" t="s">
        <v>49</v>
      </c>
      <c r="N88" s="202"/>
      <c r="O88" s="202"/>
      <c r="P88" s="38">
        <f>+SUM(P76:P87)</f>
        <v>213436.59359999996</v>
      </c>
    </row>
    <row r="90" spans="7:16" ht="19" x14ac:dyDescent="0.2">
      <c r="L90" s="40" t="s">
        <v>50</v>
      </c>
      <c r="M90" s="41"/>
      <c r="N90" s="42"/>
      <c r="O90" s="41"/>
      <c r="P90" s="43">
        <f>+I88-L88-P88</f>
        <v>-1.3993121683597565E-7</v>
      </c>
    </row>
  </sheetData>
  <mergeCells count="69">
    <mergeCell ref="G87:H87"/>
    <mergeCell ref="J87:K87"/>
    <mergeCell ref="M87:O87"/>
    <mergeCell ref="G88:H88"/>
    <mergeCell ref="J88:K88"/>
    <mergeCell ref="M88:O88"/>
    <mergeCell ref="J85:K85"/>
    <mergeCell ref="M85:O85"/>
    <mergeCell ref="G86:H86"/>
    <mergeCell ref="J86:K86"/>
    <mergeCell ref="M86:O86"/>
    <mergeCell ref="J82:K82"/>
    <mergeCell ref="M82:O82"/>
    <mergeCell ref="J83:K83"/>
    <mergeCell ref="M83:O83"/>
    <mergeCell ref="J84:K84"/>
    <mergeCell ref="M84:O84"/>
    <mergeCell ref="J79:K79"/>
    <mergeCell ref="M79:O79"/>
    <mergeCell ref="J80:K80"/>
    <mergeCell ref="M80:O80"/>
    <mergeCell ref="J81:K81"/>
    <mergeCell ref="M81:O81"/>
    <mergeCell ref="G77:H77"/>
    <mergeCell ref="J77:K77"/>
    <mergeCell ref="M77:O77"/>
    <mergeCell ref="J78:K78"/>
    <mergeCell ref="M78:O78"/>
    <mergeCell ref="G75:I75"/>
    <mergeCell ref="J75:L75"/>
    <mergeCell ref="M75:P75"/>
    <mergeCell ref="G76:H76"/>
    <mergeCell ref="J76:K76"/>
    <mergeCell ref="M76:O76"/>
    <mergeCell ref="M63:O63"/>
    <mergeCell ref="M64:O64"/>
    <mergeCell ref="J65:K65"/>
    <mergeCell ref="J66:K66"/>
    <mergeCell ref="M65:O65"/>
    <mergeCell ref="M66:O66"/>
    <mergeCell ref="G68:H68"/>
    <mergeCell ref="J68:K68"/>
    <mergeCell ref="M68:O68"/>
    <mergeCell ref="G69:H69"/>
    <mergeCell ref="J69:K69"/>
    <mergeCell ref="M69:O69"/>
    <mergeCell ref="G58:H58"/>
    <mergeCell ref="J58:K58"/>
    <mergeCell ref="M58:O58"/>
    <mergeCell ref="G67:H67"/>
    <mergeCell ref="J67:K67"/>
    <mergeCell ref="M67:O67"/>
    <mergeCell ref="J59:K59"/>
    <mergeCell ref="J60:K60"/>
    <mergeCell ref="M59:O59"/>
    <mergeCell ref="M60:O60"/>
    <mergeCell ref="J61:K61"/>
    <mergeCell ref="J62:K62"/>
    <mergeCell ref="M61:O61"/>
    <mergeCell ref="M62:O62"/>
    <mergeCell ref="J63:K63"/>
    <mergeCell ref="J64:K64"/>
    <mergeCell ref="I32:I35"/>
    <mergeCell ref="G56:I56"/>
    <mergeCell ref="J56:L56"/>
    <mergeCell ref="M56:P56"/>
    <mergeCell ref="G57:H57"/>
    <mergeCell ref="J57:K57"/>
    <mergeCell ref="M57:O57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0" id="{F9CC1162-4D85-466B-BC5A-6E504FA05EC9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E7</xm:sqref>
        </x14:conditionalFormatting>
        <x14:conditionalFormatting xmlns:xm="http://schemas.microsoft.com/office/excel/2006/main">
          <x14:cfRule type="iconSet" priority="9" id="{52C0BEA9-D4D9-47CA-B868-DA562EEE37B5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E14</xm:sqref>
        </x14:conditionalFormatting>
        <x14:conditionalFormatting xmlns:xm="http://schemas.microsoft.com/office/excel/2006/main">
          <x14:cfRule type="iconSet" priority="8" id="{6DE9E117-B614-485D-83F5-5CAB58EC93A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E22</xm:sqref>
        </x14:conditionalFormatting>
        <x14:conditionalFormatting xmlns:xm="http://schemas.microsoft.com/office/excel/2006/main">
          <x14:cfRule type="iconSet" priority="7" id="{36A7A1E3-D695-4B26-A0F4-CC82340F1E7D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F42</xm:sqref>
        </x14:conditionalFormatting>
        <x14:conditionalFormatting xmlns:xm="http://schemas.microsoft.com/office/excel/2006/main">
          <x14:cfRule type="iconSet" priority="1" id="{9875C1F0-16F5-1041-ADE6-7B4FDE31E57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K27</xm:sqref>
        </x14:conditionalFormatting>
        <x14:conditionalFormatting xmlns:xm="http://schemas.microsoft.com/office/excel/2006/main">
          <x14:cfRule type="iconSet" priority="2" id="{B61EA57E-2A12-374B-A93E-1F69F4F35CE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K33</xm:sqref>
        </x14:conditionalFormatting>
        <x14:conditionalFormatting xmlns:xm="http://schemas.microsoft.com/office/excel/2006/main">
          <x14:cfRule type="iconSet" priority="5" id="{B01FD190-62BE-4459-B2A0-716D9802C413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L69</xm:sqref>
        </x14:conditionalFormatting>
        <x14:conditionalFormatting xmlns:xm="http://schemas.microsoft.com/office/excel/2006/main">
          <x14:cfRule type="iconSet" priority="3" id="{550657F3-BE2F-4861-ACC6-5ACBB0C0BA61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L88</xm:sqref>
        </x14:conditionalFormatting>
        <x14:conditionalFormatting xmlns:xm="http://schemas.microsoft.com/office/excel/2006/main">
          <x14:cfRule type="iconSet" priority="14" id="{C66335D4-AA50-46BC-AD3C-CACD6C42245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O42</xm:sqref>
        </x14:conditionalFormatting>
        <x14:conditionalFormatting xmlns:xm="http://schemas.microsoft.com/office/excel/2006/main">
          <x14:cfRule type="iconSet" priority="15" id="{9129E902-8FA5-474F-8BAB-4FF269580EEC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O45</xm:sqref>
        </x14:conditionalFormatting>
        <x14:conditionalFormatting xmlns:xm="http://schemas.microsoft.com/office/excel/2006/main">
          <x14:cfRule type="iconSet" priority="11" id="{2375EB51-8EF9-4BA6-930D-FF8EFCF70FB7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R6</xm:sqref>
        </x14:conditionalFormatting>
        <x14:conditionalFormatting xmlns:xm="http://schemas.microsoft.com/office/excel/2006/main">
          <x14:cfRule type="iconSet" priority="12" id="{B9933F35-6337-4D2A-87D0-7EE60258E2E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R13</xm:sqref>
        </x14:conditionalFormatting>
        <x14:conditionalFormatting xmlns:xm="http://schemas.microsoft.com/office/excel/2006/main">
          <x14:cfRule type="iconSet" priority="13" id="{7B3F2F6E-3593-4FC2-A036-11A408837EF5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R22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F3DE-21BA-446F-B840-768A0F40EBC6}">
  <dimension ref="B1:U43"/>
  <sheetViews>
    <sheetView tabSelected="1" topLeftCell="A3" zoomScale="150" zoomScaleNormal="150" workbookViewId="0">
      <selection activeCell="H31" sqref="H31"/>
    </sheetView>
  </sheetViews>
  <sheetFormatPr baseColWidth="10" defaultColWidth="6.5" defaultRowHeight="15" customHeight="1" x14ac:dyDescent="0.2"/>
  <cols>
    <col min="1" max="2" width="2.5" style="101" customWidth="1"/>
    <col min="3" max="3" width="15.5" style="101" hidden="1" customWidth="1"/>
    <col min="4" max="5" width="12.5" style="101" customWidth="1"/>
    <col min="6" max="6" width="15.5" style="101" customWidth="1"/>
    <col min="7" max="8" width="12" style="101" customWidth="1"/>
    <col min="9" max="9" width="14.83203125" style="101" customWidth="1"/>
    <col min="10" max="10" width="15.5" style="101" customWidth="1"/>
    <col min="11" max="13" width="13" style="101" customWidth="1"/>
    <col min="14" max="15" width="14.5" style="101" customWidth="1"/>
    <col min="16" max="17" width="13.5" style="101" customWidth="1"/>
    <col min="18" max="18" width="2.5" style="101" customWidth="1"/>
    <col min="19" max="19" width="13.5" style="101" customWidth="1"/>
    <col min="20" max="20" width="10.5" style="101" customWidth="1"/>
    <col min="21" max="21" width="12" style="101" customWidth="1"/>
    <col min="22" max="22" width="11.5" style="101" customWidth="1"/>
    <col min="23" max="23" width="16" style="101" customWidth="1"/>
    <col min="24" max="25" width="10.5" style="101" customWidth="1"/>
    <col min="26" max="26" width="15.5" style="101" customWidth="1"/>
    <col min="27" max="27" width="11.5" style="101" customWidth="1"/>
    <col min="28" max="28" width="12" style="101" customWidth="1"/>
    <col min="29" max="29" width="11.5" style="101" customWidth="1"/>
    <col min="30" max="30" width="12" style="101" customWidth="1"/>
    <col min="31" max="31" width="11.5" style="101" customWidth="1"/>
    <col min="32" max="32" width="12.5" style="101" customWidth="1"/>
    <col min="33" max="33" width="10.5" style="101" customWidth="1"/>
    <col min="34" max="34" width="19" style="101" customWidth="1"/>
    <col min="35" max="35" width="13.5" style="101" customWidth="1"/>
    <col min="36" max="36" width="18" style="101" customWidth="1"/>
    <col min="37" max="37" width="42.5" style="101" customWidth="1"/>
    <col min="38" max="38" width="31" style="101" customWidth="1"/>
    <col min="39" max="39" width="35" style="101" customWidth="1"/>
    <col min="40" max="40" width="31" style="101" customWidth="1"/>
    <col min="41" max="41" width="35" style="101" customWidth="1"/>
    <col min="42" max="42" width="31" style="101" customWidth="1"/>
    <col min="43" max="43" width="37.5" style="101" customWidth="1"/>
    <col min="44" max="44" width="11.5" style="101" customWidth="1"/>
    <col min="45" max="45" width="54" style="101" customWidth="1"/>
    <col min="46" max="46" width="43.5" style="101" customWidth="1"/>
    <col min="47" max="47" width="44.5" style="101" customWidth="1"/>
    <col min="48" max="257" width="6.5" style="101"/>
    <col min="258" max="259" width="2.5" style="101" customWidth="1"/>
    <col min="260" max="260" width="0" style="101" hidden="1" customWidth="1"/>
    <col min="261" max="263" width="12.5" style="101" customWidth="1"/>
    <col min="264" max="264" width="12" style="101" customWidth="1"/>
    <col min="265" max="265" width="12.5" style="101" customWidth="1"/>
    <col min="266" max="266" width="13.5" style="101" customWidth="1"/>
    <col min="267" max="267" width="0" style="101" hidden="1" customWidth="1"/>
    <col min="268" max="270" width="13" style="101" customWidth="1"/>
    <col min="271" max="271" width="14.5" style="101" customWidth="1"/>
    <col min="272" max="273" width="13.5" style="101" customWidth="1"/>
    <col min="274" max="274" width="2.5" style="101" customWidth="1"/>
    <col min="275" max="275" width="13.5" style="101" customWidth="1"/>
    <col min="276" max="276" width="10.5" style="101" customWidth="1"/>
    <col min="277" max="277" width="12" style="101" customWidth="1"/>
    <col min="278" max="278" width="11.5" style="101" customWidth="1"/>
    <col min="279" max="279" width="16" style="101" customWidth="1"/>
    <col min="280" max="281" width="10.5" style="101" customWidth="1"/>
    <col min="282" max="282" width="15.5" style="101" customWidth="1"/>
    <col min="283" max="283" width="11.5" style="101" customWidth="1"/>
    <col min="284" max="284" width="12" style="101" customWidth="1"/>
    <col min="285" max="285" width="11.5" style="101" customWidth="1"/>
    <col min="286" max="286" width="12" style="101" customWidth="1"/>
    <col min="287" max="287" width="11.5" style="101" customWidth="1"/>
    <col min="288" max="288" width="12.5" style="101" customWidth="1"/>
    <col min="289" max="289" width="10.5" style="101" customWidth="1"/>
    <col min="290" max="290" width="19" style="101" customWidth="1"/>
    <col min="291" max="291" width="13.5" style="101" customWidth="1"/>
    <col min="292" max="292" width="18" style="101" customWidth="1"/>
    <col min="293" max="293" width="42.5" style="101" customWidth="1"/>
    <col min="294" max="294" width="31" style="101" customWidth="1"/>
    <col min="295" max="295" width="35" style="101" customWidth="1"/>
    <col min="296" max="296" width="31" style="101" customWidth="1"/>
    <col min="297" max="297" width="35" style="101" customWidth="1"/>
    <col min="298" max="298" width="31" style="101" customWidth="1"/>
    <col min="299" max="299" width="37.5" style="101" customWidth="1"/>
    <col min="300" max="300" width="11.5" style="101" customWidth="1"/>
    <col min="301" max="301" width="54" style="101" customWidth="1"/>
    <col min="302" max="302" width="43.5" style="101" customWidth="1"/>
    <col min="303" max="303" width="44.5" style="101" customWidth="1"/>
    <col min="304" max="513" width="6.5" style="101"/>
    <col min="514" max="515" width="2.5" style="101" customWidth="1"/>
    <col min="516" max="516" width="0" style="101" hidden="1" customWidth="1"/>
    <col min="517" max="519" width="12.5" style="101" customWidth="1"/>
    <col min="520" max="520" width="12" style="101" customWidth="1"/>
    <col min="521" max="521" width="12.5" style="101" customWidth="1"/>
    <col min="522" max="522" width="13.5" style="101" customWidth="1"/>
    <col min="523" max="523" width="0" style="101" hidden="1" customWidth="1"/>
    <col min="524" max="526" width="13" style="101" customWidth="1"/>
    <col min="527" max="527" width="14.5" style="101" customWidth="1"/>
    <col min="528" max="529" width="13.5" style="101" customWidth="1"/>
    <col min="530" max="530" width="2.5" style="101" customWidth="1"/>
    <col min="531" max="531" width="13.5" style="101" customWidth="1"/>
    <col min="532" max="532" width="10.5" style="101" customWidth="1"/>
    <col min="533" max="533" width="12" style="101" customWidth="1"/>
    <col min="534" max="534" width="11.5" style="101" customWidth="1"/>
    <col min="535" max="535" width="16" style="101" customWidth="1"/>
    <col min="536" max="537" width="10.5" style="101" customWidth="1"/>
    <col min="538" max="538" width="15.5" style="101" customWidth="1"/>
    <col min="539" max="539" width="11.5" style="101" customWidth="1"/>
    <col min="540" max="540" width="12" style="101" customWidth="1"/>
    <col min="541" max="541" width="11.5" style="101" customWidth="1"/>
    <col min="542" max="542" width="12" style="101" customWidth="1"/>
    <col min="543" max="543" width="11.5" style="101" customWidth="1"/>
    <col min="544" max="544" width="12.5" style="101" customWidth="1"/>
    <col min="545" max="545" width="10.5" style="101" customWidth="1"/>
    <col min="546" max="546" width="19" style="101" customWidth="1"/>
    <col min="547" max="547" width="13.5" style="101" customWidth="1"/>
    <col min="548" max="548" width="18" style="101" customWidth="1"/>
    <col min="549" max="549" width="42.5" style="101" customWidth="1"/>
    <col min="550" max="550" width="31" style="101" customWidth="1"/>
    <col min="551" max="551" width="35" style="101" customWidth="1"/>
    <col min="552" max="552" width="31" style="101" customWidth="1"/>
    <col min="553" max="553" width="35" style="101" customWidth="1"/>
    <col min="554" max="554" width="31" style="101" customWidth="1"/>
    <col min="555" max="555" width="37.5" style="101" customWidth="1"/>
    <col min="556" max="556" width="11.5" style="101" customWidth="1"/>
    <col min="557" max="557" width="54" style="101" customWidth="1"/>
    <col min="558" max="558" width="43.5" style="101" customWidth="1"/>
    <col min="559" max="559" width="44.5" style="101" customWidth="1"/>
    <col min="560" max="769" width="6.5" style="101"/>
    <col min="770" max="771" width="2.5" style="101" customWidth="1"/>
    <col min="772" max="772" width="0" style="101" hidden="1" customWidth="1"/>
    <col min="773" max="775" width="12.5" style="101" customWidth="1"/>
    <col min="776" max="776" width="12" style="101" customWidth="1"/>
    <col min="777" max="777" width="12.5" style="101" customWidth="1"/>
    <col min="778" max="778" width="13.5" style="101" customWidth="1"/>
    <col min="779" max="779" width="0" style="101" hidden="1" customWidth="1"/>
    <col min="780" max="782" width="13" style="101" customWidth="1"/>
    <col min="783" max="783" width="14.5" style="101" customWidth="1"/>
    <col min="784" max="785" width="13.5" style="101" customWidth="1"/>
    <col min="786" max="786" width="2.5" style="101" customWidth="1"/>
    <col min="787" max="787" width="13.5" style="101" customWidth="1"/>
    <col min="788" max="788" width="10.5" style="101" customWidth="1"/>
    <col min="789" max="789" width="12" style="101" customWidth="1"/>
    <col min="790" max="790" width="11.5" style="101" customWidth="1"/>
    <col min="791" max="791" width="16" style="101" customWidth="1"/>
    <col min="792" max="793" width="10.5" style="101" customWidth="1"/>
    <col min="794" max="794" width="15.5" style="101" customWidth="1"/>
    <col min="795" max="795" width="11.5" style="101" customWidth="1"/>
    <col min="796" max="796" width="12" style="101" customWidth="1"/>
    <col min="797" max="797" width="11.5" style="101" customWidth="1"/>
    <col min="798" max="798" width="12" style="101" customWidth="1"/>
    <col min="799" max="799" width="11.5" style="101" customWidth="1"/>
    <col min="800" max="800" width="12.5" style="101" customWidth="1"/>
    <col min="801" max="801" width="10.5" style="101" customWidth="1"/>
    <col min="802" max="802" width="19" style="101" customWidth="1"/>
    <col min="803" max="803" width="13.5" style="101" customWidth="1"/>
    <col min="804" max="804" width="18" style="101" customWidth="1"/>
    <col min="805" max="805" width="42.5" style="101" customWidth="1"/>
    <col min="806" max="806" width="31" style="101" customWidth="1"/>
    <col min="807" max="807" width="35" style="101" customWidth="1"/>
    <col min="808" max="808" width="31" style="101" customWidth="1"/>
    <col min="809" max="809" width="35" style="101" customWidth="1"/>
    <col min="810" max="810" width="31" style="101" customWidth="1"/>
    <col min="811" max="811" width="37.5" style="101" customWidth="1"/>
    <col min="812" max="812" width="11.5" style="101" customWidth="1"/>
    <col min="813" max="813" width="54" style="101" customWidth="1"/>
    <col min="814" max="814" width="43.5" style="101" customWidth="1"/>
    <col min="815" max="815" width="44.5" style="101" customWidth="1"/>
    <col min="816" max="1025" width="6.5" style="101"/>
    <col min="1026" max="1027" width="2.5" style="101" customWidth="1"/>
    <col min="1028" max="1028" width="0" style="101" hidden="1" customWidth="1"/>
    <col min="1029" max="1031" width="12.5" style="101" customWidth="1"/>
    <col min="1032" max="1032" width="12" style="101" customWidth="1"/>
    <col min="1033" max="1033" width="12.5" style="101" customWidth="1"/>
    <col min="1034" max="1034" width="13.5" style="101" customWidth="1"/>
    <col min="1035" max="1035" width="0" style="101" hidden="1" customWidth="1"/>
    <col min="1036" max="1038" width="13" style="101" customWidth="1"/>
    <col min="1039" max="1039" width="14.5" style="101" customWidth="1"/>
    <col min="1040" max="1041" width="13.5" style="101" customWidth="1"/>
    <col min="1042" max="1042" width="2.5" style="101" customWidth="1"/>
    <col min="1043" max="1043" width="13.5" style="101" customWidth="1"/>
    <col min="1044" max="1044" width="10.5" style="101" customWidth="1"/>
    <col min="1045" max="1045" width="12" style="101" customWidth="1"/>
    <col min="1046" max="1046" width="11.5" style="101" customWidth="1"/>
    <col min="1047" max="1047" width="16" style="101" customWidth="1"/>
    <col min="1048" max="1049" width="10.5" style="101" customWidth="1"/>
    <col min="1050" max="1050" width="15.5" style="101" customWidth="1"/>
    <col min="1051" max="1051" width="11.5" style="101" customWidth="1"/>
    <col min="1052" max="1052" width="12" style="101" customWidth="1"/>
    <col min="1053" max="1053" width="11.5" style="101" customWidth="1"/>
    <col min="1054" max="1054" width="12" style="101" customWidth="1"/>
    <col min="1055" max="1055" width="11.5" style="101" customWidth="1"/>
    <col min="1056" max="1056" width="12.5" style="101" customWidth="1"/>
    <col min="1057" max="1057" width="10.5" style="101" customWidth="1"/>
    <col min="1058" max="1058" width="19" style="101" customWidth="1"/>
    <col min="1059" max="1059" width="13.5" style="101" customWidth="1"/>
    <col min="1060" max="1060" width="18" style="101" customWidth="1"/>
    <col min="1061" max="1061" width="42.5" style="101" customWidth="1"/>
    <col min="1062" max="1062" width="31" style="101" customWidth="1"/>
    <col min="1063" max="1063" width="35" style="101" customWidth="1"/>
    <col min="1064" max="1064" width="31" style="101" customWidth="1"/>
    <col min="1065" max="1065" width="35" style="101" customWidth="1"/>
    <col min="1066" max="1066" width="31" style="101" customWidth="1"/>
    <col min="1067" max="1067" width="37.5" style="101" customWidth="1"/>
    <col min="1068" max="1068" width="11.5" style="101" customWidth="1"/>
    <col min="1069" max="1069" width="54" style="101" customWidth="1"/>
    <col min="1070" max="1070" width="43.5" style="101" customWidth="1"/>
    <col min="1071" max="1071" width="44.5" style="101" customWidth="1"/>
    <col min="1072" max="1281" width="6.5" style="101"/>
    <col min="1282" max="1283" width="2.5" style="101" customWidth="1"/>
    <col min="1284" max="1284" width="0" style="101" hidden="1" customWidth="1"/>
    <col min="1285" max="1287" width="12.5" style="101" customWidth="1"/>
    <col min="1288" max="1288" width="12" style="101" customWidth="1"/>
    <col min="1289" max="1289" width="12.5" style="101" customWidth="1"/>
    <col min="1290" max="1290" width="13.5" style="101" customWidth="1"/>
    <col min="1291" max="1291" width="0" style="101" hidden="1" customWidth="1"/>
    <col min="1292" max="1294" width="13" style="101" customWidth="1"/>
    <col min="1295" max="1295" width="14.5" style="101" customWidth="1"/>
    <col min="1296" max="1297" width="13.5" style="101" customWidth="1"/>
    <col min="1298" max="1298" width="2.5" style="101" customWidth="1"/>
    <col min="1299" max="1299" width="13.5" style="101" customWidth="1"/>
    <col min="1300" max="1300" width="10.5" style="101" customWidth="1"/>
    <col min="1301" max="1301" width="12" style="101" customWidth="1"/>
    <col min="1302" max="1302" width="11.5" style="101" customWidth="1"/>
    <col min="1303" max="1303" width="16" style="101" customWidth="1"/>
    <col min="1304" max="1305" width="10.5" style="101" customWidth="1"/>
    <col min="1306" max="1306" width="15.5" style="101" customWidth="1"/>
    <col min="1307" max="1307" width="11.5" style="101" customWidth="1"/>
    <col min="1308" max="1308" width="12" style="101" customWidth="1"/>
    <col min="1309" max="1309" width="11.5" style="101" customWidth="1"/>
    <col min="1310" max="1310" width="12" style="101" customWidth="1"/>
    <col min="1311" max="1311" width="11.5" style="101" customWidth="1"/>
    <col min="1312" max="1312" width="12.5" style="101" customWidth="1"/>
    <col min="1313" max="1313" width="10.5" style="101" customWidth="1"/>
    <col min="1314" max="1314" width="19" style="101" customWidth="1"/>
    <col min="1315" max="1315" width="13.5" style="101" customWidth="1"/>
    <col min="1316" max="1316" width="18" style="101" customWidth="1"/>
    <col min="1317" max="1317" width="42.5" style="101" customWidth="1"/>
    <col min="1318" max="1318" width="31" style="101" customWidth="1"/>
    <col min="1319" max="1319" width="35" style="101" customWidth="1"/>
    <col min="1320" max="1320" width="31" style="101" customWidth="1"/>
    <col min="1321" max="1321" width="35" style="101" customWidth="1"/>
    <col min="1322" max="1322" width="31" style="101" customWidth="1"/>
    <col min="1323" max="1323" width="37.5" style="101" customWidth="1"/>
    <col min="1324" max="1324" width="11.5" style="101" customWidth="1"/>
    <col min="1325" max="1325" width="54" style="101" customWidth="1"/>
    <col min="1326" max="1326" width="43.5" style="101" customWidth="1"/>
    <col min="1327" max="1327" width="44.5" style="101" customWidth="1"/>
    <col min="1328" max="1537" width="6.5" style="101"/>
    <col min="1538" max="1539" width="2.5" style="101" customWidth="1"/>
    <col min="1540" max="1540" width="0" style="101" hidden="1" customWidth="1"/>
    <col min="1541" max="1543" width="12.5" style="101" customWidth="1"/>
    <col min="1544" max="1544" width="12" style="101" customWidth="1"/>
    <col min="1545" max="1545" width="12.5" style="101" customWidth="1"/>
    <col min="1546" max="1546" width="13.5" style="101" customWidth="1"/>
    <col min="1547" max="1547" width="0" style="101" hidden="1" customWidth="1"/>
    <col min="1548" max="1550" width="13" style="101" customWidth="1"/>
    <col min="1551" max="1551" width="14.5" style="101" customWidth="1"/>
    <col min="1552" max="1553" width="13.5" style="101" customWidth="1"/>
    <col min="1554" max="1554" width="2.5" style="101" customWidth="1"/>
    <col min="1555" max="1555" width="13.5" style="101" customWidth="1"/>
    <col min="1556" max="1556" width="10.5" style="101" customWidth="1"/>
    <col min="1557" max="1557" width="12" style="101" customWidth="1"/>
    <col min="1558" max="1558" width="11.5" style="101" customWidth="1"/>
    <col min="1559" max="1559" width="16" style="101" customWidth="1"/>
    <col min="1560" max="1561" width="10.5" style="101" customWidth="1"/>
    <col min="1562" max="1562" width="15.5" style="101" customWidth="1"/>
    <col min="1563" max="1563" width="11.5" style="101" customWidth="1"/>
    <col min="1564" max="1564" width="12" style="101" customWidth="1"/>
    <col min="1565" max="1565" width="11.5" style="101" customWidth="1"/>
    <col min="1566" max="1566" width="12" style="101" customWidth="1"/>
    <col min="1567" max="1567" width="11.5" style="101" customWidth="1"/>
    <col min="1568" max="1568" width="12.5" style="101" customWidth="1"/>
    <col min="1569" max="1569" width="10.5" style="101" customWidth="1"/>
    <col min="1570" max="1570" width="19" style="101" customWidth="1"/>
    <col min="1571" max="1571" width="13.5" style="101" customWidth="1"/>
    <col min="1572" max="1572" width="18" style="101" customWidth="1"/>
    <col min="1573" max="1573" width="42.5" style="101" customWidth="1"/>
    <col min="1574" max="1574" width="31" style="101" customWidth="1"/>
    <col min="1575" max="1575" width="35" style="101" customWidth="1"/>
    <col min="1576" max="1576" width="31" style="101" customWidth="1"/>
    <col min="1577" max="1577" width="35" style="101" customWidth="1"/>
    <col min="1578" max="1578" width="31" style="101" customWidth="1"/>
    <col min="1579" max="1579" width="37.5" style="101" customWidth="1"/>
    <col min="1580" max="1580" width="11.5" style="101" customWidth="1"/>
    <col min="1581" max="1581" width="54" style="101" customWidth="1"/>
    <col min="1582" max="1582" width="43.5" style="101" customWidth="1"/>
    <col min="1583" max="1583" width="44.5" style="101" customWidth="1"/>
    <col min="1584" max="1793" width="6.5" style="101"/>
    <col min="1794" max="1795" width="2.5" style="101" customWidth="1"/>
    <col min="1796" max="1796" width="0" style="101" hidden="1" customWidth="1"/>
    <col min="1797" max="1799" width="12.5" style="101" customWidth="1"/>
    <col min="1800" max="1800" width="12" style="101" customWidth="1"/>
    <col min="1801" max="1801" width="12.5" style="101" customWidth="1"/>
    <col min="1802" max="1802" width="13.5" style="101" customWidth="1"/>
    <col min="1803" max="1803" width="0" style="101" hidden="1" customWidth="1"/>
    <col min="1804" max="1806" width="13" style="101" customWidth="1"/>
    <col min="1807" max="1807" width="14.5" style="101" customWidth="1"/>
    <col min="1808" max="1809" width="13.5" style="101" customWidth="1"/>
    <col min="1810" max="1810" width="2.5" style="101" customWidth="1"/>
    <col min="1811" max="1811" width="13.5" style="101" customWidth="1"/>
    <col min="1812" max="1812" width="10.5" style="101" customWidth="1"/>
    <col min="1813" max="1813" width="12" style="101" customWidth="1"/>
    <col min="1814" max="1814" width="11.5" style="101" customWidth="1"/>
    <col min="1815" max="1815" width="16" style="101" customWidth="1"/>
    <col min="1816" max="1817" width="10.5" style="101" customWidth="1"/>
    <col min="1818" max="1818" width="15.5" style="101" customWidth="1"/>
    <col min="1819" max="1819" width="11.5" style="101" customWidth="1"/>
    <col min="1820" max="1820" width="12" style="101" customWidth="1"/>
    <col min="1821" max="1821" width="11.5" style="101" customWidth="1"/>
    <col min="1822" max="1822" width="12" style="101" customWidth="1"/>
    <col min="1823" max="1823" width="11.5" style="101" customWidth="1"/>
    <col min="1824" max="1824" width="12.5" style="101" customWidth="1"/>
    <col min="1825" max="1825" width="10.5" style="101" customWidth="1"/>
    <col min="1826" max="1826" width="19" style="101" customWidth="1"/>
    <col min="1827" max="1827" width="13.5" style="101" customWidth="1"/>
    <col min="1828" max="1828" width="18" style="101" customWidth="1"/>
    <col min="1829" max="1829" width="42.5" style="101" customWidth="1"/>
    <col min="1830" max="1830" width="31" style="101" customWidth="1"/>
    <col min="1831" max="1831" width="35" style="101" customWidth="1"/>
    <col min="1832" max="1832" width="31" style="101" customWidth="1"/>
    <col min="1833" max="1833" width="35" style="101" customWidth="1"/>
    <col min="1834" max="1834" width="31" style="101" customWidth="1"/>
    <col min="1835" max="1835" width="37.5" style="101" customWidth="1"/>
    <col min="1836" max="1836" width="11.5" style="101" customWidth="1"/>
    <col min="1837" max="1837" width="54" style="101" customWidth="1"/>
    <col min="1838" max="1838" width="43.5" style="101" customWidth="1"/>
    <col min="1839" max="1839" width="44.5" style="101" customWidth="1"/>
    <col min="1840" max="2049" width="6.5" style="101"/>
    <col min="2050" max="2051" width="2.5" style="101" customWidth="1"/>
    <col min="2052" max="2052" width="0" style="101" hidden="1" customWidth="1"/>
    <col min="2053" max="2055" width="12.5" style="101" customWidth="1"/>
    <col min="2056" max="2056" width="12" style="101" customWidth="1"/>
    <col min="2057" max="2057" width="12.5" style="101" customWidth="1"/>
    <col min="2058" max="2058" width="13.5" style="101" customWidth="1"/>
    <col min="2059" max="2059" width="0" style="101" hidden="1" customWidth="1"/>
    <col min="2060" max="2062" width="13" style="101" customWidth="1"/>
    <col min="2063" max="2063" width="14.5" style="101" customWidth="1"/>
    <col min="2064" max="2065" width="13.5" style="101" customWidth="1"/>
    <col min="2066" max="2066" width="2.5" style="101" customWidth="1"/>
    <col min="2067" max="2067" width="13.5" style="101" customWidth="1"/>
    <col min="2068" max="2068" width="10.5" style="101" customWidth="1"/>
    <col min="2069" max="2069" width="12" style="101" customWidth="1"/>
    <col min="2070" max="2070" width="11.5" style="101" customWidth="1"/>
    <col min="2071" max="2071" width="16" style="101" customWidth="1"/>
    <col min="2072" max="2073" width="10.5" style="101" customWidth="1"/>
    <col min="2074" max="2074" width="15.5" style="101" customWidth="1"/>
    <col min="2075" max="2075" width="11.5" style="101" customWidth="1"/>
    <col min="2076" max="2076" width="12" style="101" customWidth="1"/>
    <col min="2077" max="2077" width="11.5" style="101" customWidth="1"/>
    <col min="2078" max="2078" width="12" style="101" customWidth="1"/>
    <col min="2079" max="2079" width="11.5" style="101" customWidth="1"/>
    <col min="2080" max="2080" width="12.5" style="101" customWidth="1"/>
    <col min="2081" max="2081" width="10.5" style="101" customWidth="1"/>
    <col min="2082" max="2082" width="19" style="101" customWidth="1"/>
    <col min="2083" max="2083" width="13.5" style="101" customWidth="1"/>
    <col min="2084" max="2084" width="18" style="101" customWidth="1"/>
    <col min="2085" max="2085" width="42.5" style="101" customWidth="1"/>
    <col min="2086" max="2086" width="31" style="101" customWidth="1"/>
    <col min="2087" max="2087" width="35" style="101" customWidth="1"/>
    <col min="2088" max="2088" width="31" style="101" customWidth="1"/>
    <col min="2089" max="2089" width="35" style="101" customWidth="1"/>
    <col min="2090" max="2090" width="31" style="101" customWidth="1"/>
    <col min="2091" max="2091" width="37.5" style="101" customWidth="1"/>
    <col min="2092" max="2092" width="11.5" style="101" customWidth="1"/>
    <col min="2093" max="2093" width="54" style="101" customWidth="1"/>
    <col min="2094" max="2094" width="43.5" style="101" customWidth="1"/>
    <col min="2095" max="2095" width="44.5" style="101" customWidth="1"/>
    <col min="2096" max="2305" width="6.5" style="101"/>
    <col min="2306" max="2307" width="2.5" style="101" customWidth="1"/>
    <col min="2308" max="2308" width="0" style="101" hidden="1" customWidth="1"/>
    <col min="2309" max="2311" width="12.5" style="101" customWidth="1"/>
    <col min="2312" max="2312" width="12" style="101" customWidth="1"/>
    <col min="2313" max="2313" width="12.5" style="101" customWidth="1"/>
    <col min="2314" max="2314" width="13.5" style="101" customWidth="1"/>
    <col min="2315" max="2315" width="0" style="101" hidden="1" customWidth="1"/>
    <col min="2316" max="2318" width="13" style="101" customWidth="1"/>
    <col min="2319" max="2319" width="14.5" style="101" customWidth="1"/>
    <col min="2320" max="2321" width="13.5" style="101" customWidth="1"/>
    <col min="2322" max="2322" width="2.5" style="101" customWidth="1"/>
    <col min="2323" max="2323" width="13.5" style="101" customWidth="1"/>
    <col min="2324" max="2324" width="10.5" style="101" customWidth="1"/>
    <col min="2325" max="2325" width="12" style="101" customWidth="1"/>
    <col min="2326" max="2326" width="11.5" style="101" customWidth="1"/>
    <col min="2327" max="2327" width="16" style="101" customWidth="1"/>
    <col min="2328" max="2329" width="10.5" style="101" customWidth="1"/>
    <col min="2330" max="2330" width="15.5" style="101" customWidth="1"/>
    <col min="2331" max="2331" width="11.5" style="101" customWidth="1"/>
    <col min="2332" max="2332" width="12" style="101" customWidth="1"/>
    <col min="2333" max="2333" width="11.5" style="101" customWidth="1"/>
    <col min="2334" max="2334" width="12" style="101" customWidth="1"/>
    <col min="2335" max="2335" width="11.5" style="101" customWidth="1"/>
    <col min="2336" max="2336" width="12.5" style="101" customWidth="1"/>
    <col min="2337" max="2337" width="10.5" style="101" customWidth="1"/>
    <col min="2338" max="2338" width="19" style="101" customWidth="1"/>
    <col min="2339" max="2339" width="13.5" style="101" customWidth="1"/>
    <col min="2340" max="2340" width="18" style="101" customWidth="1"/>
    <col min="2341" max="2341" width="42.5" style="101" customWidth="1"/>
    <col min="2342" max="2342" width="31" style="101" customWidth="1"/>
    <col min="2343" max="2343" width="35" style="101" customWidth="1"/>
    <col min="2344" max="2344" width="31" style="101" customWidth="1"/>
    <col min="2345" max="2345" width="35" style="101" customWidth="1"/>
    <col min="2346" max="2346" width="31" style="101" customWidth="1"/>
    <col min="2347" max="2347" width="37.5" style="101" customWidth="1"/>
    <col min="2348" max="2348" width="11.5" style="101" customWidth="1"/>
    <col min="2349" max="2349" width="54" style="101" customWidth="1"/>
    <col min="2350" max="2350" width="43.5" style="101" customWidth="1"/>
    <col min="2351" max="2351" width="44.5" style="101" customWidth="1"/>
    <col min="2352" max="2561" width="6.5" style="101"/>
    <col min="2562" max="2563" width="2.5" style="101" customWidth="1"/>
    <col min="2564" max="2564" width="0" style="101" hidden="1" customWidth="1"/>
    <col min="2565" max="2567" width="12.5" style="101" customWidth="1"/>
    <col min="2568" max="2568" width="12" style="101" customWidth="1"/>
    <col min="2569" max="2569" width="12.5" style="101" customWidth="1"/>
    <col min="2570" max="2570" width="13.5" style="101" customWidth="1"/>
    <col min="2571" max="2571" width="0" style="101" hidden="1" customWidth="1"/>
    <col min="2572" max="2574" width="13" style="101" customWidth="1"/>
    <col min="2575" max="2575" width="14.5" style="101" customWidth="1"/>
    <col min="2576" max="2577" width="13.5" style="101" customWidth="1"/>
    <col min="2578" max="2578" width="2.5" style="101" customWidth="1"/>
    <col min="2579" max="2579" width="13.5" style="101" customWidth="1"/>
    <col min="2580" max="2580" width="10.5" style="101" customWidth="1"/>
    <col min="2581" max="2581" width="12" style="101" customWidth="1"/>
    <col min="2582" max="2582" width="11.5" style="101" customWidth="1"/>
    <col min="2583" max="2583" width="16" style="101" customWidth="1"/>
    <col min="2584" max="2585" width="10.5" style="101" customWidth="1"/>
    <col min="2586" max="2586" width="15.5" style="101" customWidth="1"/>
    <col min="2587" max="2587" width="11.5" style="101" customWidth="1"/>
    <col min="2588" max="2588" width="12" style="101" customWidth="1"/>
    <col min="2589" max="2589" width="11.5" style="101" customWidth="1"/>
    <col min="2590" max="2590" width="12" style="101" customWidth="1"/>
    <col min="2591" max="2591" width="11.5" style="101" customWidth="1"/>
    <col min="2592" max="2592" width="12.5" style="101" customWidth="1"/>
    <col min="2593" max="2593" width="10.5" style="101" customWidth="1"/>
    <col min="2594" max="2594" width="19" style="101" customWidth="1"/>
    <col min="2595" max="2595" width="13.5" style="101" customWidth="1"/>
    <col min="2596" max="2596" width="18" style="101" customWidth="1"/>
    <col min="2597" max="2597" width="42.5" style="101" customWidth="1"/>
    <col min="2598" max="2598" width="31" style="101" customWidth="1"/>
    <col min="2599" max="2599" width="35" style="101" customWidth="1"/>
    <col min="2600" max="2600" width="31" style="101" customWidth="1"/>
    <col min="2601" max="2601" width="35" style="101" customWidth="1"/>
    <col min="2602" max="2602" width="31" style="101" customWidth="1"/>
    <col min="2603" max="2603" width="37.5" style="101" customWidth="1"/>
    <col min="2604" max="2604" width="11.5" style="101" customWidth="1"/>
    <col min="2605" max="2605" width="54" style="101" customWidth="1"/>
    <col min="2606" max="2606" width="43.5" style="101" customWidth="1"/>
    <col min="2607" max="2607" width="44.5" style="101" customWidth="1"/>
    <col min="2608" max="2817" width="6.5" style="101"/>
    <col min="2818" max="2819" width="2.5" style="101" customWidth="1"/>
    <col min="2820" max="2820" width="0" style="101" hidden="1" customWidth="1"/>
    <col min="2821" max="2823" width="12.5" style="101" customWidth="1"/>
    <col min="2824" max="2824" width="12" style="101" customWidth="1"/>
    <col min="2825" max="2825" width="12.5" style="101" customWidth="1"/>
    <col min="2826" max="2826" width="13.5" style="101" customWidth="1"/>
    <col min="2827" max="2827" width="0" style="101" hidden="1" customWidth="1"/>
    <col min="2828" max="2830" width="13" style="101" customWidth="1"/>
    <col min="2831" max="2831" width="14.5" style="101" customWidth="1"/>
    <col min="2832" max="2833" width="13.5" style="101" customWidth="1"/>
    <col min="2834" max="2834" width="2.5" style="101" customWidth="1"/>
    <col min="2835" max="2835" width="13.5" style="101" customWidth="1"/>
    <col min="2836" max="2836" width="10.5" style="101" customWidth="1"/>
    <col min="2837" max="2837" width="12" style="101" customWidth="1"/>
    <col min="2838" max="2838" width="11.5" style="101" customWidth="1"/>
    <col min="2839" max="2839" width="16" style="101" customWidth="1"/>
    <col min="2840" max="2841" width="10.5" style="101" customWidth="1"/>
    <col min="2842" max="2842" width="15.5" style="101" customWidth="1"/>
    <col min="2843" max="2843" width="11.5" style="101" customWidth="1"/>
    <col min="2844" max="2844" width="12" style="101" customWidth="1"/>
    <col min="2845" max="2845" width="11.5" style="101" customWidth="1"/>
    <col min="2846" max="2846" width="12" style="101" customWidth="1"/>
    <col min="2847" max="2847" width="11.5" style="101" customWidth="1"/>
    <col min="2848" max="2848" width="12.5" style="101" customWidth="1"/>
    <col min="2849" max="2849" width="10.5" style="101" customWidth="1"/>
    <col min="2850" max="2850" width="19" style="101" customWidth="1"/>
    <col min="2851" max="2851" width="13.5" style="101" customWidth="1"/>
    <col min="2852" max="2852" width="18" style="101" customWidth="1"/>
    <col min="2853" max="2853" width="42.5" style="101" customWidth="1"/>
    <col min="2854" max="2854" width="31" style="101" customWidth="1"/>
    <col min="2855" max="2855" width="35" style="101" customWidth="1"/>
    <col min="2856" max="2856" width="31" style="101" customWidth="1"/>
    <col min="2857" max="2857" width="35" style="101" customWidth="1"/>
    <col min="2858" max="2858" width="31" style="101" customWidth="1"/>
    <col min="2859" max="2859" width="37.5" style="101" customWidth="1"/>
    <col min="2860" max="2860" width="11.5" style="101" customWidth="1"/>
    <col min="2861" max="2861" width="54" style="101" customWidth="1"/>
    <col min="2862" max="2862" width="43.5" style="101" customWidth="1"/>
    <col min="2863" max="2863" width="44.5" style="101" customWidth="1"/>
    <col min="2864" max="3073" width="6.5" style="101"/>
    <col min="3074" max="3075" width="2.5" style="101" customWidth="1"/>
    <col min="3076" max="3076" width="0" style="101" hidden="1" customWidth="1"/>
    <col min="3077" max="3079" width="12.5" style="101" customWidth="1"/>
    <col min="3080" max="3080" width="12" style="101" customWidth="1"/>
    <col min="3081" max="3081" width="12.5" style="101" customWidth="1"/>
    <col min="3082" max="3082" width="13.5" style="101" customWidth="1"/>
    <col min="3083" max="3083" width="0" style="101" hidden="1" customWidth="1"/>
    <col min="3084" max="3086" width="13" style="101" customWidth="1"/>
    <col min="3087" max="3087" width="14.5" style="101" customWidth="1"/>
    <col min="3088" max="3089" width="13.5" style="101" customWidth="1"/>
    <col min="3090" max="3090" width="2.5" style="101" customWidth="1"/>
    <col min="3091" max="3091" width="13.5" style="101" customWidth="1"/>
    <col min="3092" max="3092" width="10.5" style="101" customWidth="1"/>
    <col min="3093" max="3093" width="12" style="101" customWidth="1"/>
    <col min="3094" max="3094" width="11.5" style="101" customWidth="1"/>
    <col min="3095" max="3095" width="16" style="101" customWidth="1"/>
    <col min="3096" max="3097" width="10.5" style="101" customWidth="1"/>
    <col min="3098" max="3098" width="15.5" style="101" customWidth="1"/>
    <col min="3099" max="3099" width="11.5" style="101" customWidth="1"/>
    <col min="3100" max="3100" width="12" style="101" customWidth="1"/>
    <col min="3101" max="3101" width="11.5" style="101" customWidth="1"/>
    <col min="3102" max="3102" width="12" style="101" customWidth="1"/>
    <col min="3103" max="3103" width="11.5" style="101" customWidth="1"/>
    <col min="3104" max="3104" width="12.5" style="101" customWidth="1"/>
    <col min="3105" max="3105" width="10.5" style="101" customWidth="1"/>
    <col min="3106" max="3106" width="19" style="101" customWidth="1"/>
    <col min="3107" max="3107" width="13.5" style="101" customWidth="1"/>
    <col min="3108" max="3108" width="18" style="101" customWidth="1"/>
    <col min="3109" max="3109" width="42.5" style="101" customWidth="1"/>
    <col min="3110" max="3110" width="31" style="101" customWidth="1"/>
    <col min="3111" max="3111" width="35" style="101" customWidth="1"/>
    <col min="3112" max="3112" width="31" style="101" customWidth="1"/>
    <col min="3113" max="3113" width="35" style="101" customWidth="1"/>
    <col min="3114" max="3114" width="31" style="101" customWidth="1"/>
    <col min="3115" max="3115" width="37.5" style="101" customWidth="1"/>
    <col min="3116" max="3116" width="11.5" style="101" customWidth="1"/>
    <col min="3117" max="3117" width="54" style="101" customWidth="1"/>
    <col min="3118" max="3118" width="43.5" style="101" customWidth="1"/>
    <col min="3119" max="3119" width="44.5" style="101" customWidth="1"/>
    <col min="3120" max="3329" width="6.5" style="101"/>
    <col min="3330" max="3331" width="2.5" style="101" customWidth="1"/>
    <col min="3332" max="3332" width="0" style="101" hidden="1" customWidth="1"/>
    <col min="3333" max="3335" width="12.5" style="101" customWidth="1"/>
    <col min="3336" max="3336" width="12" style="101" customWidth="1"/>
    <col min="3337" max="3337" width="12.5" style="101" customWidth="1"/>
    <col min="3338" max="3338" width="13.5" style="101" customWidth="1"/>
    <col min="3339" max="3339" width="0" style="101" hidden="1" customWidth="1"/>
    <col min="3340" max="3342" width="13" style="101" customWidth="1"/>
    <col min="3343" max="3343" width="14.5" style="101" customWidth="1"/>
    <col min="3344" max="3345" width="13.5" style="101" customWidth="1"/>
    <col min="3346" max="3346" width="2.5" style="101" customWidth="1"/>
    <col min="3347" max="3347" width="13.5" style="101" customWidth="1"/>
    <col min="3348" max="3348" width="10.5" style="101" customWidth="1"/>
    <col min="3349" max="3349" width="12" style="101" customWidth="1"/>
    <col min="3350" max="3350" width="11.5" style="101" customWidth="1"/>
    <col min="3351" max="3351" width="16" style="101" customWidth="1"/>
    <col min="3352" max="3353" width="10.5" style="101" customWidth="1"/>
    <col min="3354" max="3354" width="15.5" style="101" customWidth="1"/>
    <col min="3355" max="3355" width="11.5" style="101" customWidth="1"/>
    <col min="3356" max="3356" width="12" style="101" customWidth="1"/>
    <col min="3357" max="3357" width="11.5" style="101" customWidth="1"/>
    <col min="3358" max="3358" width="12" style="101" customWidth="1"/>
    <col min="3359" max="3359" width="11.5" style="101" customWidth="1"/>
    <col min="3360" max="3360" width="12.5" style="101" customWidth="1"/>
    <col min="3361" max="3361" width="10.5" style="101" customWidth="1"/>
    <col min="3362" max="3362" width="19" style="101" customWidth="1"/>
    <col min="3363" max="3363" width="13.5" style="101" customWidth="1"/>
    <col min="3364" max="3364" width="18" style="101" customWidth="1"/>
    <col min="3365" max="3365" width="42.5" style="101" customWidth="1"/>
    <col min="3366" max="3366" width="31" style="101" customWidth="1"/>
    <col min="3367" max="3367" width="35" style="101" customWidth="1"/>
    <col min="3368" max="3368" width="31" style="101" customWidth="1"/>
    <col min="3369" max="3369" width="35" style="101" customWidth="1"/>
    <col min="3370" max="3370" width="31" style="101" customWidth="1"/>
    <col min="3371" max="3371" width="37.5" style="101" customWidth="1"/>
    <col min="3372" max="3372" width="11.5" style="101" customWidth="1"/>
    <col min="3373" max="3373" width="54" style="101" customWidth="1"/>
    <col min="3374" max="3374" width="43.5" style="101" customWidth="1"/>
    <col min="3375" max="3375" width="44.5" style="101" customWidth="1"/>
    <col min="3376" max="3585" width="6.5" style="101"/>
    <col min="3586" max="3587" width="2.5" style="101" customWidth="1"/>
    <col min="3588" max="3588" width="0" style="101" hidden="1" customWidth="1"/>
    <col min="3589" max="3591" width="12.5" style="101" customWidth="1"/>
    <col min="3592" max="3592" width="12" style="101" customWidth="1"/>
    <col min="3593" max="3593" width="12.5" style="101" customWidth="1"/>
    <col min="3594" max="3594" width="13.5" style="101" customWidth="1"/>
    <col min="3595" max="3595" width="0" style="101" hidden="1" customWidth="1"/>
    <col min="3596" max="3598" width="13" style="101" customWidth="1"/>
    <col min="3599" max="3599" width="14.5" style="101" customWidth="1"/>
    <col min="3600" max="3601" width="13.5" style="101" customWidth="1"/>
    <col min="3602" max="3602" width="2.5" style="101" customWidth="1"/>
    <col min="3603" max="3603" width="13.5" style="101" customWidth="1"/>
    <col min="3604" max="3604" width="10.5" style="101" customWidth="1"/>
    <col min="3605" max="3605" width="12" style="101" customWidth="1"/>
    <col min="3606" max="3606" width="11.5" style="101" customWidth="1"/>
    <col min="3607" max="3607" width="16" style="101" customWidth="1"/>
    <col min="3608" max="3609" width="10.5" style="101" customWidth="1"/>
    <col min="3610" max="3610" width="15.5" style="101" customWidth="1"/>
    <col min="3611" max="3611" width="11.5" style="101" customWidth="1"/>
    <col min="3612" max="3612" width="12" style="101" customWidth="1"/>
    <col min="3613" max="3613" width="11.5" style="101" customWidth="1"/>
    <col min="3614" max="3614" width="12" style="101" customWidth="1"/>
    <col min="3615" max="3615" width="11.5" style="101" customWidth="1"/>
    <col min="3616" max="3616" width="12.5" style="101" customWidth="1"/>
    <col min="3617" max="3617" width="10.5" style="101" customWidth="1"/>
    <col min="3618" max="3618" width="19" style="101" customWidth="1"/>
    <col min="3619" max="3619" width="13.5" style="101" customWidth="1"/>
    <col min="3620" max="3620" width="18" style="101" customWidth="1"/>
    <col min="3621" max="3621" width="42.5" style="101" customWidth="1"/>
    <col min="3622" max="3622" width="31" style="101" customWidth="1"/>
    <col min="3623" max="3623" width="35" style="101" customWidth="1"/>
    <col min="3624" max="3624" width="31" style="101" customWidth="1"/>
    <col min="3625" max="3625" width="35" style="101" customWidth="1"/>
    <col min="3626" max="3626" width="31" style="101" customWidth="1"/>
    <col min="3627" max="3627" width="37.5" style="101" customWidth="1"/>
    <col min="3628" max="3628" width="11.5" style="101" customWidth="1"/>
    <col min="3629" max="3629" width="54" style="101" customWidth="1"/>
    <col min="3630" max="3630" width="43.5" style="101" customWidth="1"/>
    <col min="3631" max="3631" width="44.5" style="101" customWidth="1"/>
    <col min="3632" max="3841" width="6.5" style="101"/>
    <col min="3842" max="3843" width="2.5" style="101" customWidth="1"/>
    <col min="3844" max="3844" width="0" style="101" hidden="1" customWidth="1"/>
    <col min="3845" max="3847" width="12.5" style="101" customWidth="1"/>
    <col min="3848" max="3848" width="12" style="101" customWidth="1"/>
    <col min="3849" max="3849" width="12.5" style="101" customWidth="1"/>
    <col min="3850" max="3850" width="13.5" style="101" customWidth="1"/>
    <col min="3851" max="3851" width="0" style="101" hidden="1" customWidth="1"/>
    <col min="3852" max="3854" width="13" style="101" customWidth="1"/>
    <col min="3855" max="3855" width="14.5" style="101" customWidth="1"/>
    <col min="3856" max="3857" width="13.5" style="101" customWidth="1"/>
    <col min="3858" max="3858" width="2.5" style="101" customWidth="1"/>
    <col min="3859" max="3859" width="13.5" style="101" customWidth="1"/>
    <col min="3860" max="3860" width="10.5" style="101" customWidth="1"/>
    <col min="3861" max="3861" width="12" style="101" customWidth="1"/>
    <col min="3862" max="3862" width="11.5" style="101" customWidth="1"/>
    <col min="3863" max="3863" width="16" style="101" customWidth="1"/>
    <col min="3864" max="3865" width="10.5" style="101" customWidth="1"/>
    <col min="3866" max="3866" width="15.5" style="101" customWidth="1"/>
    <col min="3867" max="3867" width="11.5" style="101" customWidth="1"/>
    <col min="3868" max="3868" width="12" style="101" customWidth="1"/>
    <col min="3869" max="3869" width="11.5" style="101" customWidth="1"/>
    <col min="3870" max="3870" width="12" style="101" customWidth="1"/>
    <col min="3871" max="3871" width="11.5" style="101" customWidth="1"/>
    <col min="3872" max="3872" width="12.5" style="101" customWidth="1"/>
    <col min="3873" max="3873" width="10.5" style="101" customWidth="1"/>
    <col min="3874" max="3874" width="19" style="101" customWidth="1"/>
    <col min="3875" max="3875" width="13.5" style="101" customWidth="1"/>
    <col min="3876" max="3876" width="18" style="101" customWidth="1"/>
    <col min="3877" max="3877" width="42.5" style="101" customWidth="1"/>
    <col min="3878" max="3878" width="31" style="101" customWidth="1"/>
    <col min="3879" max="3879" width="35" style="101" customWidth="1"/>
    <col min="3880" max="3880" width="31" style="101" customWidth="1"/>
    <col min="3881" max="3881" width="35" style="101" customWidth="1"/>
    <col min="3882" max="3882" width="31" style="101" customWidth="1"/>
    <col min="3883" max="3883" width="37.5" style="101" customWidth="1"/>
    <col min="3884" max="3884" width="11.5" style="101" customWidth="1"/>
    <col min="3885" max="3885" width="54" style="101" customWidth="1"/>
    <col min="3886" max="3886" width="43.5" style="101" customWidth="1"/>
    <col min="3887" max="3887" width="44.5" style="101" customWidth="1"/>
    <col min="3888" max="4097" width="6.5" style="101"/>
    <col min="4098" max="4099" width="2.5" style="101" customWidth="1"/>
    <col min="4100" max="4100" width="0" style="101" hidden="1" customWidth="1"/>
    <col min="4101" max="4103" width="12.5" style="101" customWidth="1"/>
    <col min="4104" max="4104" width="12" style="101" customWidth="1"/>
    <col min="4105" max="4105" width="12.5" style="101" customWidth="1"/>
    <col min="4106" max="4106" width="13.5" style="101" customWidth="1"/>
    <col min="4107" max="4107" width="0" style="101" hidden="1" customWidth="1"/>
    <col min="4108" max="4110" width="13" style="101" customWidth="1"/>
    <col min="4111" max="4111" width="14.5" style="101" customWidth="1"/>
    <col min="4112" max="4113" width="13.5" style="101" customWidth="1"/>
    <col min="4114" max="4114" width="2.5" style="101" customWidth="1"/>
    <col min="4115" max="4115" width="13.5" style="101" customWidth="1"/>
    <col min="4116" max="4116" width="10.5" style="101" customWidth="1"/>
    <col min="4117" max="4117" width="12" style="101" customWidth="1"/>
    <col min="4118" max="4118" width="11.5" style="101" customWidth="1"/>
    <col min="4119" max="4119" width="16" style="101" customWidth="1"/>
    <col min="4120" max="4121" width="10.5" style="101" customWidth="1"/>
    <col min="4122" max="4122" width="15.5" style="101" customWidth="1"/>
    <col min="4123" max="4123" width="11.5" style="101" customWidth="1"/>
    <col min="4124" max="4124" width="12" style="101" customWidth="1"/>
    <col min="4125" max="4125" width="11.5" style="101" customWidth="1"/>
    <col min="4126" max="4126" width="12" style="101" customWidth="1"/>
    <col min="4127" max="4127" width="11.5" style="101" customWidth="1"/>
    <col min="4128" max="4128" width="12.5" style="101" customWidth="1"/>
    <col min="4129" max="4129" width="10.5" style="101" customWidth="1"/>
    <col min="4130" max="4130" width="19" style="101" customWidth="1"/>
    <col min="4131" max="4131" width="13.5" style="101" customWidth="1"/>
    <col min="4132" max="4132" width="18" style="101" customWidth="1"/>
    <col min="4133" max="4133" width="42.5" style="101" customWidth="1"/>
    <col min="4134" max="4134" width="31" style="101" customWidth="1"/>
    <col min="4135" max="4135" width="35" style="101" customWidth="1"/>
    <col min="4136" max="4136" width="31" style="101" customWidth="1"/>
    <col min="4137" max="4137" width="35" style="101" customWidth="1"/>
    <col min="4138" max="4138" width="31" style="101" customWidth="1"/>
    <col min="4139" max="4139" width="37.5" style="101" customWidth="1"/>
    <col min="4140" max="4140" width="11.5" style="101" customWidth="1"/>
    <col min="4141" max="4141" width="54" style="101" customWidth="1"/>
    <col min="4142" max="4142" width="43.5" style="101" customWidth="1"/>
    <col min="4143" max="4143" width="44.5" style="101" customWidth="1"/>
    <col min="4144" max="4353" width="6.5" style="101"/>
    <col min="4354" max="4355" width="2.5" style="101" customWidth="1"/>
    <col min="4356" max="4356" width="0" style="101" hidden="1" customWidth="1"/>
    <col min="4357" max="4359" width="12.5" style="101" customWidth="1"/>
    <col min="4360" max="4360" width="12" style="101" customWidth="1"/>
    <col min="4361" max="4361" width="12.5" style="101" customWidth="1"/>
    <col min="4362" max="4362" width="13.5" style="101" customWidth="1"/>
    <col min="4363" max="4363" width="0" style="101" hidden="1" customWidth="1"/>
    <col min="4364" max="4366" width="13" style="101" customWidth="1"/>
    <col min="4367" max="4367" width="14.5" style="101" customWidth="1"/>
    <col min="4368" max="4369" width="13.5" style="101" customWidth="1"/>
    <col min="4370" max="4370" width="2.5" style="101" customWidth="1"/>
    <col min="4371" max="4371" width="13.5" style="101" customWidth="1"/>
    <col min="4372" max="4372" width="10.5" style="101" customWidth="1"/>
    <col min="4373" max="4373" width="12" style="101" customWidth="1"/>
    <col min="4374" max="4374" width="11.5" style="101" customWidth="1"/>
    <col min="4375" max="4375" width="16" style="101" customWidth="1"/>
    <col min="4376" max="4377" width="10.5" style="101" customWidth="1"/>
    <col min="4378" max="4378" width="15.5" style="101" customWidth="1"/>
    <col min="4379" max="4379" width="11.5" style="101" customWidth="1"/>
    <col min="4380" max="4380" width="12" style="101" customWidth="1"/>
    <col min="4381" max="4381" width="11.5" style="101" customWidth="1"/>
    <col min="4382" max="4382" width="12" style="101" customWidth="1"/>
    <col min="4383" max="4383" width="11.5" style="101" customWidth="1"/>
    <col min="4384" max="4384" width="12.5" style="101" customWidth="1"/>
    <col min="4385" max="4385" width="10.5" style="101" customWidth="1"/>
    <col min="4386" max="4386" width="19" style="101" customWidth="1"/>
    <col min="4387" max="4387" width="13.5" style="101" customWidth="1"/>
    <col min="4388" max="4388" width="18" style="101" customWidth="1"/>
    <col min="4389" max="4389" width="42.5" style="101" customWidth="1"/>
    <col min="4390" max="4390" width="31" style="101" customWidth="1"/>
    <col min="4391" max="4391" width="35" style="101" customWidth="1"/>
    <col min="4392" max="4392" width="31" style="101" customWidth="1"/>
    <col min="4393" max="4393" width="35" style="101" customWidth="1"/>
    <col min="4394" max="4394" width="31" style="101" customWidth="1"/>
    <col min="4395" max="4395" width="37.5" style="101" customWidth="1"/>
    <col min="4396" max="4396" width="11.5" style="101" customWidth="1"/>
    <col min="4397" max="4397" width="54" style="101" customWidth="1"/>
    <col min="4398" max="4398" width="43.5" style="101" customWidth="1"/>
    <col min="4399" max="4399" width="44.5" style="101" customWidth="1"/>
    <col min="4400" max="4609" width="6.5" style="101"/>
    <col min="4610" max="4611" width="2.5" style="101" customWidth="1"/>
    <col min="4612" max="4612" width="0" style="101" hidden="1" customWidth="1"/>
    <col min="4613" max="4615" width="12.5" style="101" customWidth="1"/>
    <col min="4616" max="4616" width="12" style="101" customWidth="1"/>
    <col min="4617" max="4617" width="12.5" style="101" customWidth="1"/>
    <col min="4618" max="4618" width="13.5" style="101" customWidth="1"/>
    <col min="4619" max="4619" width="0" style="101" hidden="1" customWidth="1"/>
    <col min="4620" max="4622" width="13" style="101" customWidth="1"/>
    <col min="4623" max="4623" width="14.5" style="101" customWidth="1"/>
    <col min="4624" max="4625" width="13.5" style="101" customWidth="1"/>
    <col min="4626" max="4626" width="2.5" style="101" customWidth="1"/>
    <col min="4627" max="4627" width="13.5" style="101" customWidth="1"/>
    <col min="4628" max="4628" width="10.5" style="101" customWidth="1"/>
    <col min="4629" max="4629" width="12" style="101" customWidth="1"/>
    <col min="4630" max="4630" width="11.5" style="101" customWidth="1"/>
    <col min="4631" max="4631" width="16" style="101" customWidth="1"/>
    <col min="4632" max="4633" width="10.5" style="101" customWidth="1"/>
    <col min="4634" max="4634" width="15.5" style="101" customWidth="1"/>
    <col min="4635" max="4635" width="11.5" style="101" customWidth="1"/>
    <col min="4636" max="4636" width="12" style="101" customWidth="1"/>
    <col min="4637" max="4637" width="11.5" style="101" customWidth="1"/>
    <col min="4638" max="4638" width="12" style="101" customWidth="1"/>
    <col min="4639" max="4639" width="11.5" style="101" customWidth="1"/>
    <col min="4640" max="4640" width="12.5" style="101" customWidth="1"/>
    <col min="4641" max="4641" width="10.5" style="101" customWidth="1"/>
    <col min="4642" max="4642" width="19" style="101" customWidth="1"/>
    <col min="4643" max="4643" width="13.5" style="101" customWidth="1"/>
    <col min="4644" max="4644" width="18" style="101" customWidth="1"/>
    <col min="4645" max="4645" width="42.5" style="101" customWidth="1"/>
    <col min="4646" max="4646" width="31" style="101" customWidth="1"/>
    <col min="4647" max="4647" width="35" style="101" customWidth="1"/>
    <col min="4648" max="4648" width="31" style="101" customWidth="1"/>
    <col min="4649" max="4649" width="35" style="101" customWidth="1"/>
    <col min="4650" max="4650" width="31" style="101" customWidth="1"/>
    <col min="4651" max="4651" width="37.5" style="101" customWidth="1"/>
    <col min="4652" max="4652" width="11.5" style="101" customWidth="1"/>
    <col min="4653" max="4653" width="54" style="101" customWidth="1"/>
    <col min="4654" max="4654" width="43.5" style="101" customWidth="1"/>
    <col min="4655" max="4655" width="44.5" style="101" customWidth="1"/>
    <col min="4656" max="4865" width="6.5" style="101"/>
    <col min="4866" max="4867" width="2.5" style="101" customWidth="1"/>
    <col min="4868" max="4868" width="0" style="101" hidden="1" customWidth="1"/>
    <col min="4869" max="4871" width="12.5" style="101" customWidth="1"/>
    <col min="4872" max="4872" width="12" style="101" customWidth="1"/>
    <col min="4873" max="4873" width="12.5" style="101" customWidth="1"/>
    <col min="4874" max="4874" width="13.5" style="101" customWidth="1"/>
    <col min="4875" max="4875" width="0" style="101" hidden="1" customWidth="1"/>
    <col min="4876" max="4878" width="13" style="101" customWidth="1"/>
    <col min="4879" max="4879" width="14.5" style="101" customWidth="1"/>
    <col min="4880" max="4881" width="13.5" style="101" customWidth="1"/>
    <col min="4882" max="4882" width="2.5" style="101" customWidth="1"/>
    <col min="4883" max="4883" width="13.5" style="101" customWidth="1"/>
    <col min="4884" max="4884" width="10.5" style="101" customWidth="1"/>
    <col min="4885" max="4885" width="12" style="101" customWidth="1"/>
    <col min="4886" max="4886" width="11.5" style="101" customWidth="1"/>
    <col min="4887" max="4887" width="16" style="101" customWidth="1"/>
    <col min="4888" max="4889" width="10.5" style="101" customWidth="1"/>
    <col min="4890" max="4890" width="15.5" style="101" customWidth="1"/>
    <col min="4891" max="4891" width="11.5" style="101" customWidth="1"/>
    <col min="4892" max="4892" width="12" style="101" customWidth="1"/>
    <col min="4893" max="4893" width="11.5" style="101" customWidth="1"/>
    <col min="4894" max="4894" width="12" style="101" customWidth="1"/>
    <col min="4895" max="4895" width="11.5" style="101" customWidth="1"/>
    <col min="4896" max="4896" width="12.5" style="101" customWidth="1"/>
    <col min="4897" max="4897" width="10.5" style="101" customWidth="1"/>
    <col min="4898" max="4898" width="19" style="101" customWidth="1"/>
    <col min="4899" max="4899" width="13.5" style="101" customWidth="1"/>
    <col min="4900" max="4900" width="18" style="101" customWidth="1"/>
    <col min="4901" max="4901" width="42.5" style="101" customWidth="1"/>
    <col min="4902" max="4902" width="31" style="101" customWidth="1"/>
    <col min="4903" max="4903" width="35" style="101" customWidth="1"/>
    <col min="4904" max="4904" width="31" style="101" customWidth="1"/>
    <col min="4905" max="4905" width="35" style="101" customWidth="1"/>
    <col min="4906" max="4906" width="31" style="101" customWidth="1"/>
    <col min="4907" max="4907" width="37.5" style="101" customWidth="1"/>
    <col min="4908" max="4908" width="11.5" style="101" customWidth="1"/>
    <col min="4909" max="4909" width="54" style="101" customWidth="1"/>
    <col min="4910" max="4910" width="43.5" style="101" customWidth="1"/>
    <col min="4911" max="4911" width="44.5" style="101" customWidth="1"/>
    <col min="4912" max="5121" width="6.5" style="101"/>
    <col min="5122" max="5123" width="2.5" style="101" customWidth="1"/>
    <col min="5124" max="5124" width="0" style="101" hidden="1" customWidth="1"/>
    <col min="5125" max="5127" width="12.5" style="101" customWidth="1"/>
    <col min="5128" max="5128" width="12" style="101" customWidth="1"/>
    <col min="5129" max="5129" width="12.5" style="101" customWidth="1"/>
    <col min="5130" max="5130" width="13.5" style="101" customWidth="1"/>
    <col min="5131" max="5131" width="0" style="101" hidden="1" customWidth="1"/>
    <col min="5132" max="5134" width="13" style="101" customWidth="1"/>
    <col min="5135" max="5135" width="14.5" style="101" customWidth="1"/>
    <col min="5136" max="5137" width="13.5" style="101" customWidth="1"/>
    <col min="5138" max="5138" width="2.5" style="101" customWidth="1"/>
    <col min="5139" max="5139" width="13.5" style="101" customWidth="1"/>
    <col min="5140" max="5140" width="10.5" style="101" customWidth="1"/>
    <col min="5141" max="5141" width="12" style="101" customWidth="1"/>
    <col min="5142" max="5142" width="11.5" style="101" customWidth="1"/>
    <col min="5143" max="5143" width="16" style="101" customWidth="1"/>
    <col min="5144" max="5145" width="10.5" style="101" customWidth="1"/>
    <col min="5146" max="5146" width="15.5" style="101" customWidth="1"/>
    <col min="5147" max="5147" width="11.5" style="101" customWidth="1"/>
    <col min="5148" max="5148" width="12" style="101" customWidth="1"/>
    <col min="5149" max="5149" width="11.5" style="101" customWidth="1"/>
    <col min="5150" max="5150" width="12" style="101" customWidth="1"/>
    <col min="5151" max="5151" width="11.5" style="101" customWidth="1"/>
    <col min="5152" max="5152" width="12.5" style="101" customWidth="1"/>
    <col min="5153" max="5153" width="10.5" style="101" customWidth="1"/>
    <col min="5154" max="5154" width="19" style="101" customWidth="1"/>
    <col min="5155" max="5155" width="13.5" style="101" customWidth="1"/>
    <col min="5156" max="5156" width="18" style="101" customWidth="1"/>
    <col min="5157" max="5157" width="42.5" style="101" customWidth="1"/>
    <col min="5158" max="5158" width="31" style="101" customWidth="1"/>
    <col min="5159" max="5159" width="35" style="101" customWidth="1"/>
    <col min="5160" max="5160" width="31" style="101" customWidth="1"/>
    <col min="5161" max="5161" width="35" style="101" customWidth="1"/>
    <col min="5162" max="5162" width="31" style="101" customWidth="1"/>
    <col min="5163" max="5163" width="37.5" style="101" customWidth="1"/>
    <col min="5164" max="5164" width="11.5" style="101" customWidth="1"/>
    <col min="5165" max="5165" width="54" style="101" customWidth="1"/>
    <col min="5166" max="5166" width="43.5" style="101" customWidth="1"/>
    <col min="5167" max="5167" width="44.5" style="101" customWidth="1"/>
    <col min="5168" max="5377" width="6.5" style="101"/>
    <col min="5378" max="5379" width="2.5" style="101" customWidth="1"/>
    <col min="5380" max="5380" width="0" style="101" hidden="1" customWidth="1"/>
    <col min="5381" max="5383" width="12.5" style="101" customWidth="1"/>
    <col min="5384" max="5384" width="12" style="101" customWidth="1"/>
    <col min="5385" max="5385" width="12.5" style="101" customWidth="1"/>
    <col min="5386" max="5386" width="13.5" style="101" customWidth="1"/>
    <col min="5387" max="5387" width="0" style="101" hidden="1" customWidth="1"/>
    <col min="5388" max="5390" width="13" style="101" customWidth="1"/>
    <col min="5391" max="5391" width="14.5" style="101" customWidth="1"/>
    <col min="5392" max="5393" width="13.5" style="101" customWidth="1"/>
    <col min="5394" max="5394" width="2.5" style="101" customWidth="1"/>
    <col min="5395" max="5395" width="13.5" style="101" customWidth="1"/>
    <col min="5396" max="5396" width="10.5" style="101" customWidth="1"/>
    <col min="5397" max="5397" width="12" style="101" customWidth="1"/>
    <col min="5398" max="5398" width="11.5" style="101" customWidth="1"/>
    <col min="5399" max="5399" width="16" style="101" customWidth="1"/>
    <col min="5400" max="5401" width="10.5" style="101" customWidth="1"/>
    <col min="5402" max="5402" width="15.5" style="101" customWidth="1"/>
    <col min="5403" max="5403" width="11.5" style="101" customWidth="1"/>
    <col min="5404" max="5404" width="12" style="101" customWidth="1"/>
    <col min="5405" max="5405" width="11.5" style="101" customWidth="1"/>
    <col min="5406" max="5406" width="12" style="101" customWidth="1"/>
    <col min="5407" max="5407" width="11.5" style="101" customWidth="1"/>
    <col min="5408" max="5408" width="12.5" style="101" customWidth="1"/>
    <col min="5409" max="5409" width="10.5" style="101" customWidth="1"/>
    <col min="5410" max="5410" width="19" style="101" customWidth="1"/>
    <col min="5411" max="5411" width="13.5" style="101" customWidth="1"/>
    <col min="5412" max="5412" width="18" style="101" customWidth="1"/>
    <col min="5413" max="5413" width="42.5" style="101" customWidth="1"/>
    <col min="5414" max="5414" width="31" style="101" customWidth="1"/>
    <col min="5415" max="5415" width="35" style="101" customWidth="1"/>
    <col min="5416" max="5416" width="31" style="101" customWidth="1"/>
    <col min="5417" max="5417" width="35" style="101" customWidth="1"/>
    <col min="5418" max="5418" width="31" style="101" customWidth="1"/>
    <col min="5419" max="5419" width="37.5" style="101" customWidth="1"/>
    <col min="5420" max="5420" width="11.5" style="101" customWidth="1"/>
    <col min="5421" max="5421" width="54" style="101" customWidth="1"/>
    <col min="5422" max="5422" width="43.5" style="101" customWidth="1"/>
    <col min="5423" max="5423" width="44.5" style="101" customWidth="1"/>
    <col min="5424" max="5633" width="6.5" style="101"/>
    <col min="5634" max="5635" width="2.5" style="101" customWidth="1"/>
    <col min="5636" max="5636" width="0" style="101" hidden="1" customWidth="1"/>
    <col min="5637" max="5639" width="12.5" style="101" customWidth="1"/>
    <col min="5640" max="5640" width="12" style="101" customWidth="1"/>
    <col min="5641" max="5641" width="12.5" style="101" customWidth="1"/>
    <col min="5642" max="5642" width="13.5" style="101" customWidth="1"/>
    <col min="5643" max="5643" width="0" style="101" hidden="1" customWidth="1"/>
    <col min="5644" max="5646" width="13" style="101" customWidth="1"/>
    <col min="5647" max="5647" width="14.5" style="101" customWidth="1"/>
    <col min="5648" max="5649" width="13.5" style="101" customWidth="1"/>
    <col min="5650" max="5650" width="2.5" style="101" customWidth="1"/>
    <col min="5651" max="5651" width="13.5" style="101" customWidth="1"/>
    <col min="5652" max="5652" width="10.5" style="101" customWidth="1"/>
    <col min="5653" max="5653" width="12" style="101" customWidth="1"/>
    <col min="5654" max="5654" width="11.5" style="101" customWidth="1"/>
    <col min="5655" max="5655" width="16" style="101" customWidth="1"/>
    <col min="5656" max="5657" width="10.5" style="101" customWidth="1"/>
    <col min="5658" max="5658" width="15.5" style="101" customWidth="1"/>
    <col min="5659" max="5659" width="11.5" style="101" customWidth="1"/>
    <col min="5660" max="5660" width="12" style="101" customWidth="1"/>
    <col min="5661" max="5661" width="11.5" style="101" customWidth="1"/>
    <col min="5662" max="5662" width="12" style="101" customWidth="1"/>
    <col min="5663" max="5663" width="11.5" style="101" customWidth="1"/>
    <col min="5664" max="5664" width="12.5" style="101" customWidth="1"/>
    <col min="5665" max="5665" width="10.5" style="101" customWidth="1"/>
    <col min="5666" max="5666" width="19" style="101" customWidth="1"/>
    <col min="5667" max="5667" width="13.5" style="101" customWidth="1"/>
    <col min="5668" max="5668" width="18" style="101" customWidth="1"/>
    <col min="5669" max="5669" width="42.5" style="101" customWidth="1"/>
    <col min="5670" max="5670" width="31" style="101" customWidth="1"/>
    <col min="5671" max="5671" width="35" style="101" customWidth="1"/>
    <col min="5672" max="5672" width="31" style="101" customWidth="1"/>
    <col min="5673" max="5673" width="35" style="101" customWidth="1"/>
    <col min="5674" max="5674" width="31" style="101" customWidth="1"/>
    <col min="5675" max="5675" width="37.5" style="101" customWidth="1"/>
    <col min="5676" max="5676" width="11.5" style="101" customWidth="1"/>
    <col min="5677" max="5677" width="54" style="101" customWidth="1"/>
    <col min="5678" max="5678" width="43.5" style="101" customWidth="1"/>
    <col min="5679" max="5679" width="44.5" style="101" customWidth="1"/>
    <col min="5680" max="5889" width="6.5" style="101"/>
    <col min="5890" max="5891" width="2.5" style="101" customWidth="1"/>
    <col min="5892" max="5892" width="0" style="101" hidden="1" customWidth="1"/>
    <col min="5893" max="5895" width="12.5" style="101" customWidth="1"/>
    <col min="5896" max="5896" width="12" style="101" customWidth="1"/>
    <col min="5897" max="5897" width="12.5" style="101" customWidth="1"/>
    <col min="5898" max="5898" width="13.5" style="101" customWidth="1"/>
    <col min="5899" max="5899" width="0" style="101" hidden="1" customWidth="1"/>
    <col min="5900" max="5902" width="13" style="101" customWidth="1"/>
    <col min="5903" max="5903" width="14.5" style="101" customWidth="1"/>
    <col min="5904" max="5905" width="13.5" style="101" customWidth="1"/>
    <col min="5906" max="5906" width="2.5" style="101" customWidth="1"/>
    <col min="5907" max="5907" width="13.5" style="101" customWidth="1"/>
    <col min="5908" max="5908" width="10.5" style="101" customWidth="1"/>
    <col min="5909" max="5909" width="12" style="101" customWidth="1"/>
    <col min="5910" max="5910" width="11.5" style="101" customWidth="1"/>
    <col min="5911" max="5911" width="16" style="101" customWidth="1"/>
    <col min="5912" max="5913" width="10.5" style="101" customWidth="1"/>
    <col min="5914" max="5914" width="15.5" style="101" customWidth="1"/>
    <col min="5915" max="5915" width="11.5" style="101" customWidth="1"/>
    <col min="5916" max="5916" width="12" style="101" customWidth="1"/>
    <col min="5917" max="5917" width="11.5" style="101" customWidth="1"/>
    <col min="5918" max="5918" width="12" style="101" customWidth="1"/>
    <col min="5919" max="5919" width="11.5" style="101" customWidth="1"/>
    <col min="5920" max="5920" width="12.5" style="101" customWidth="1"/>
    <col min="5921" max="5921" width="10.5" style="101" customWidth="1"/>
    <col min="5922" max="5922" width="19" style="101" customWidth="1"/>
    <col min="5923" max="5923" width="13.5" style="101" customWidth="1"/>
    <col min="5924" max="5924" width="18" style="101" customWidth="1"/>
    <col min="5925" max="5925" width="42.5" style="101" customWidth="1"/>
    <col min="5926" max="5926" width="31" style="101" customWidth="1"/>
    <col min="5927" max="5927" width="35" style="101" customWidth="1"/>
    <col min="5928" max="5928" width="31" style="101" customWidth="1"/>
    <col min="5929" max="5929" width="35" style="101" customWidth="1"/>
    <col min="5930" max="5930" width="31" style="101" customWidth="1"/>
    <col min="5931" max="5931" width="37.5" style="101" customWidth="1"/>
    <col min="5932" max="5932" width="11.5" style="101" customWidth="1"/>
    <col min="5933" max="5933" width="54" style="101" customWidth="1"/>
    <col min="5934" max="5934" width="43.5" style="101" customWidth="1"/>
    <col min="5935" max="5935" width="44.5" style="101" customWidth="1"/>
    <col min="5936" max="6145" width="6.5" style="101"/>
    <col min="6146" max="6147" width="2.5" style="101" customWidth="1"/>
    <col min="6148" max="6148" width="0" style="101" hidden="1" customWidth="1"/>
    <col min="6149" max="6151" width="12.5" style="101" customWidth="1"/>
    <col min="6152" max="6152" width="12" style="101" customWidth="1"/>
    <col min="6153" max="6153" width="12.5" style="101" customWidth="1"/>
    <col min="6154" max="6154" width="13.5" style="101" customWidth="1"/>
    <col min="6155" max="6155" width="0" style="101" hidden="1" customWidth="1"/>
    <col min="6156" max="6158" width="13" style="101" customWidth="1"/>
    <col min="6159" max="6159" width="14.5" style="101" customWidth="1"/>
    <col min="6160" max="6161" width="13.5" style="101" customWidth="1"/>
    <col min="6162" max="6162" width="2.5" style="101" customWidth="1"/>
    <col min="6163" max="6163" width="13.5" style="101" customWidth="1"/>
    <col min="6164" max="6164" width="10.5" style="101" customWidth="1"/>
    <col min="6165" max="6165" width="12" style="101" customWidth="1"/>
    <col min="6166" max="6166" width="11.5" style="101" customWidth="1"/>
    <col min="6167" max="6167" width="16" style="101" customWidth="1"/>
    <col min="6168" max="6169" width="10.5" style="101" customWidth="1"/>
    <col min="6170" max="6170" width="15.5" style="101" customWidth="1"/>
    <col min="6171" max="6171" width="11.5" style="101" customWidth="1"/>
    <col min="6172" max="6172" width="12" style="101" customWidth="1"/>
    <col min="6173" max="6173" width="11.5" style="101" customWidth="1"/>
    <col min="6174" max="6174" width="12" style="101" customWidth="1"/>
    <col min="6175" max="6175" width="11.5" style="101" customWidth="1"/>
    <col min="6176" max="6176" width="12.5" style="101" customWidth="1"/>
    <col min="6177" max="6177" width="10.5" style="101" customWidth="1"/>
    <col min="6178" max="6178" width="19" style="101" customWidth="1"/>
    <col min="6179" max="6179" width="13.5" style="101" customWidth="1"/>
    <col min="6180" max="6180" width="18" style="101" customWidth="1"/>
    <col min="6181" max="6181" width="42.5" style="101" customWidth="1"/>
    <col min="6182" max="6182" width="31" style="101" customWidth="1"/>
    <col min="6183" max="6183" width="35" style="101" customWidth="1"/>
    <col min="6184" max="6184" width="31" style="101" customWidth="1"/>
    <col min="6185" max="6185" width="35" style="101" customWidth="1"/>
    <col min="6186" max="6186" width="31" style="101" customWidth="1"/>
    <col min="6187" max="6187" width="37.5" style="101" customWidth="1"/>
    <col min="6188" max="6188" width="11.5" style="101" customWidth="1"/>
    <col min="6189" max="6189" width="54" style="101" customWidth="1"/>
    <col min="6190" max="6190" width="43.5" style="101" customWidth="1"/>
    <col min="6191" max="6191" width="44.5" style="101" customWidth="1"/>
    <col min="6192" max="6401" width="6.5" style="101"/>
    <col min="6402" max="6403" width="2.5" style="101" customWidth="1"/>
    <col min="6404" max="6404" width="0" style="101" hidden="1" customWidth="1"/>
    <col min="6405" max="6407" width="12.5" style="101" customWidth="1"/>
    <col min="6408" max="6408" width="12" style="101" customWidth="1"/>
    <col min="6409" max="6409" width="12.5" style="101" customWidth="1"/>
    <col min="6410" max="6410" width="13.5" style="101" customWidth="1"/>
    <col min="6411" max="6411" width="0" style="101" hidden="1" customWidth="1"/>
    <col min="6412" max="6414" width="13" style="101" customWidth="1"/>
    <col min="6415" max="6415" width="14.5" style="101" customWidth="1"/>
    <col min="6416" max="6417" width="13.5" style="101" customWidth="1"/>
    <col min="6418" max="6418" width="2.5" style="101" customWidth="1"/>
    <col min="6419" max="6419" width="13.5" style="101" customWidth="1"/>
    <col min="6420" max="6420" width="10.5" style="101" customWidth="1"/>
    <col min="6421" max="6421" width="12" style="101" customWidth="1"/>
    <col min="6422" max="6422" width="11.5" style="101" customWidth="1"/>
    <col min="6423" max="6423" width="16" style="101" customWidth="1"/>
    <col min="6424" max="6425" width="10.5" style="101" customWidth="1"/>
    <col min="6426" max="6426" width="15.5" style="101" customWidth="1"/>
    <col min="6427" max="6427" width="11.5" style="101" customWidth="1"/>
    <col min="6428" max="6428" width="12" style="101" customWidth="1"/>
    <col min="6429" max="6429" width="11.5" style="101" customWidth="1"/>
    <col min="6430" max="6430" width="12" style="101" customWidth="1"/>
    <col min="6431" max="6431" width="11.5" style="101" customWidth="1"/>
    <col min="6432" max="6432" width="12.5" style="101" customWidth="1"/>
    <col min="6433" max="6433" width="10.5" style="101" customWidth="1"/>
    <col min="6434" max="6434" width="19" style="101" customWidth="1"/>
    <col min="6435" max="6435" width="13.5" style="101" customWidth="1"/>
    <col min="6436" max="6436" width="18" style="101" customWidth="1"/>
    <col min="6437" max="6437" width="42.5" style="101" customWidth="1"/>
    <col min="6438" max="6438" width="31" style="101" customWidth="1"/>
    <col min="6439" max="6439" width="35" style="101" customWidth="1"/>
    <col min="6440" max="6440" width="31" style="101" customWidth="1"/>
    <col min="6441" max="6441" width="35" style="101" customWidth="1"/>
    <col min="6442" max="6442" width="31" style="101" customWidth="1"/>
    <col min="6443" max="6443" width="37.5" style="101" customWidth="1"/>
    <col min="6444" max="6444" width="11.5" style="101" customWidth="1"/>
    <col min="6445" max="6445" width="54" style="101" customWidth="1"/>
    <col min="6446" max="6446" width="43.5" style="101" customWidth="1"/>
    <col min="6447" max="6447" width="44.5" style="101" customWidth="1"/>
    <col min="6448" max="6657" width="6.5" style="101"/>
    <col min="6658" max="6659" width="2.5" style="101" customWidth="1"/>
    <col min="6660" max="6660" width="0" style="101" hidden="1" customWidth="1"/>
    <col min="6661" max="6663" width="12.5" style="101" customWidth="1"/>
    <col min="6664" max="6664" width="12" style="101" customWidth="1"/>
    <col min="6665" max="6665" width="12.5" style="101" customWidth="1"/>
    <col min="6666" max="6666" width="13.5" style="101" customWidth="1"/>
    <col min="6667" max="6667" width="0" style="101" hidden="1" customWidth="1"/>
    <col min="6668" max="6670" width="13" style="101" customWidth="1"/>
    <col min="6671" max="6671" width="14.5" style="101" customWidth="1"/>
    <col min="6672" max="6673" width="13.5" style="101" customWidth="1"/>
    <col min="6674" max="6674" width="2.5" style="101" customWidth="1"/>
    <col min="6675" max="6675" width="13.5" style="101" customWidth="1"/>
    <col min="6676" max="6676" width="10.5" style="101" customWidth="1"/>
    <col min="6677" max="6677" width="12" style="101" customWidth="1"/>
    <col min="6678" max="6678" width="11.5" style="101" customWidth="1"/>
    <col min="6679" max="6679" width="16" style="101" customWidth="1"/>
    <col min="6680" max="6681" width="10.5" style="101" customWidth="1"/>
    <col min="6682" max="6682" width="15.5" style="101" customWidth="1"/>
    <col min="6683" max="6683" width="11.5" style="101" customWidth="1"/>
    <col min="6684" max="6684" width="12" style="101" customWidth="1"/>
    <col min="6685" max="6685" width="11.5" style="101" customWidth="1"/>
    <col min="6686" max="6686" width="12" style="101" customWidth="1"/>
    <col min="6687" max="6687" width="11.5" style="101" customWidth="1"/>
    <col min="6688" max="6688" width="12.5" style="101" customWidth="1"/>
    <col min="6689" max="6689" width="10.5" style="101" customWidth="1"/>
    <col min="6690" max="6690" width="19" style="101" customWidth="1"/>
    <col min="6691" max="6691" width="13.5" style="101" customWidth="1"/>
    <col min="6692" max="6692" width="18" style="101" customWidth="1"/>
    <col min="6693" max="6693" width="42.5" style="101" customWidth="1"/>
    <col min="6694" max="6694" width="31" style="101" customWidth="1"/>
    <col min="6695" max="6695" width="35" style="101" customWidth="1"/>
    <col min="6696" max="6696" width="31" style="101" customWidth="1"/>
    <col min="6697" max="6697" width="35" style="101" customWidth="1"/>
    <col min="6698" max="6698" width="31" style="101" customWidth="1"/>
    <col min="6699" max="6699" width="37.5" style="101" customWidth="1"/>
    <col min="6700" max="6700" width="11.5" style="101" customWidth="1"/>
    <col min="6701" max="6701" width="54" style="101" customWidth="1"/>
    <col min="6702" max="6702" width="43.5" style="101" customWidth="1"/>
    <col min="6703" max="6703" width="44.5" style="101" customWidth="1"/>
    <col min="6704" max="6913" width="6.5" style="101"/>
    <col min="6914" max="6915" width="2.5" style="101" customWidth="1"/>
    <col min="6916" max="6916" width="0" style="101" hidden="1" customWidth="1"/>
    <col min="6917" max="6919" width="12.5" style="101" customWidth="1"/>
    <col min="6920" max="6920" width="12" style="101" customWidth="1"/>
    <col min="6921" max="6921" width="12.5" style="101" customWidth="1"/>
    <col min="6922" max="6922" width="13.5" style="101" customWidth="1"/>
    <col min="6923" max="6923" width="0" style="101" hidden="1" customWidth="1"/>
    <col min="6924" max="6926" width="13" style="101" customWidth="1"/>
    <col min="6927" max="6927" width="14.5" style="101" customWidth="1"/>
    <col min="6928" max="6929" width="13.5" style="101" customWidth="1"/>
    <col min="6930" max="6930" width="2.5" style="101" customWidth="1"/>
    <col min="6931" max="6931" width="13.5" style="101" customWidth="1"/>
    <col min="6932" max="6932" width="10.5" style="101" customWidth="1"/>
    <col min="6933" max="6933" width="12" style="101" customWidth="1"/>
    <col min="6934" max="6934" width="11.5" style="101" customWidth="1"/>
    <col min="6935" max="6935" width="16" style="101" customWidth="1"/>
    <col min="6936" max="6937" width="10.5" style="101" customWidth="1"/>
    <col min="6938" max="6938" width="15.5" style="101" customWidth="1"/>
    <col min="6939" max="6939" width="11.5" style="101" customWidth="1"/>
    <col min="6940" max="6940" width="12" style="101" customWidth="1"/>
    <col min="6941" max="6941" width="11.5" style="101" customWidth="1"/>
    <col min="6942" max="6942" width="12" style="101" customWidth="1"/>
    <col min="6943" max="6943" width="11.5" style="101" customWidth="1"/>
    <col min="6944" max="6944" width="12.5" style="101" customWidth="1"/>
    <col min="6945" max="6945" width="10.5" style="101" customWidth="1"/>
    <col min="6946" max="6946" width="19" style="101" customWidth="1"/>
    <col min="6947" max="6947" width="13.5" style="101" customWidth="1"/>
    <col min="6948" max="6948" width="18" style="101" customWidth="1"/>
    <col min="6949" max="6949" width="42.5" style="101" customWidth="1"/>
    <col min="6950" max="6950" width="31" style="101" customWidth="1"/>
    <col min="6951" max="6951" width="35" style="101" customWidth="1"/>
    <col min="6952" max="6952" width="31" style="101" customWidth="1"/>
    <col min="6953" max="6953" width="35" style="101" customWidth="1"/>
    <col min="6954" max="6954" width="31" style="101" customWidth="1"/>
    <col min="6955" max="6955" width="37.5" style="101" customWidth="1"/>
    <col min="6956" max="6956" width="11.5" style="101" customWidth="1"/>
    <col min="6957" max="6957" width="54" style="101" customWidth="1"/>
    <col min="6958" max="6958" width="43.5" style="101" customWidth="1"/>
    <col min="6959" max="6959" width="44.5" style="101" customWidth="1"/>
    <col min="6960" max="7169" width="6.5" style="101"/>
    <col min="7170" max="7171" width="2.5" style="101" customWidth="1"/>
    <col min="7172" max="7172" width="0" style="101" hidden="1" customWidth="1"/>
    <col min="7173" max="7175" width="12.5" style="101" customWidth="1"/>
    <col min="7176" max="7176" width="12" style="101" customWidth="1"/>
    <col min="7177" max="7177" width="12.5" style="101" customWidth="1"/>
    <col min="7178" max="7178" width="13.5" style="101" customWidth="1"/>
    <col min="7179" max="7179" width="0" style="101" hidden="1" customWidth="1"/>
    <col min="7180" max="7182" width="13" style="101" customWidth="1"/>
    <col min="7183" max="7183" width="14.5" style="101" customWidth="1"/>
    <col min="7184" max="7185" width="13.5" style="101" customWidth="1"/>
    <col min="7186" max="7186" width="2.5" style="101" customWidth="1"/>
    <col min="7187" max="7187" width="13.5" style="101" customWidth="1"/>
    <col min="7188" max="7188" width="10.5" style="101" customWidth="1"/>
    <col min="7189" max="7189" width="12" style="101" customWidth="1"/>
    <col min="7190" max="7190" width="11.5" style="101" customWidth="1"/>
    <col min="7191" max="7191" width="16" style="101" customWidth="1"/>
    <col min="7192" max="7193" width="10.5" style="101" customWidth="1"/>
    <col min="7194" max="7194" width="15.5" style="101" customWidth="1"/>
    <col min="7195" max="7195" width="11.5" style="101" customWidth="1"/>
    <col min="7196" max="7196" width="12" style="101" customWidth="1"/>
    <col min="7197" max="7197" width="11.5" style="101" customWidth="1"/>
    <col min="7198" max="7198" width="12" style="101" customWidth="1"/>
    <col min="7199" max="7199" width="11.5" style="101" customWidth="1"/>
    <col min="7200" max="7200" width="12.5" style="101" customWidth="1"/>
    <col min="7201" max="7201" width="10.5" style="101" customWidth="1"/>
    <col min="7202" max="7202" width="19" style="101" customWidth="1"/>
    <col min="7203" max="7203" width="13.5" style="101" customWidth="1"/>
    <col min="7204" max="7204" width="18" style="101" customWidth="1"/>
    <col min="7205" max="7205" width="42.5" style="101" customWidth="1"/>
    <col min="7206" max="7206" width="31" style="101" customWidth="1"/>
    <col min="7207" max="7207" width="35" style="101" customWidth="1"/>
    <col min="7208" max="7208" width="31" style="101" customWidth="1"/>
    <col min="7209" max="7209" width="35" style="101" customWidth="1"/>
    <col min="7210" max="7210" width="31" style="101" customWidth="1"/>
    <col min="7211" max="7211" width="37.5" style="101" customWidth="1"/>
    <col min="7212" max="7212" width="11.5" style="101" customWidth="1"/>
    <col min="7213" max="7213" width="54" style="101" customWidth="1"/>
    <col min="7214" max="7214" width="43.5" style="101" customWidth="1"/>
    <col min="7215" max="7215" width="44.5" style="101" customWidth="1"/>
    <col min="7216" max="7425" width="6.5" style="101"/>
    <col min="7426" max="7427" width="2.5" style="101" customWidth="1"/>
    <col min="7428" max="7428" width="0" style="101" hidden="1" customWidth="1"/>
    <col min="7429" max="7431" width="12.5" style="101" customWidth="1"/>
    <col min="7432" max="7432" width="12" style="101" customWidth="1"/>
    <col min="7433" max="7433" width="12.5" style="101" customWidth="1"/>
    <col min="7434" max="7434" width="13.5" style="101" customWidth="1"/>
    <col min="7435" max="7435" width="0" style="101" hidden="1" customWidth="1"/>
    <col min="7436" max="7438" width="13" style="101" customWidth="1"/>
    <col min="7439" max="7439" width="14.5" style="101" customWidth="1"/>
    <col min="7440" max="7441" width="13.5" style="101" customWidth="1"/>
    <col min="7442" max="7442" width="2.5" style="101" customWidth="1"/>
    <col min="7443" max="7443" width="13.5" style="101" customWidth="1"/>
    <col min="7444" max="7444" width="10.5" style="101" customWidth="1"/>
    <col min="7445" max="7445" width="12" style="101" customWidth="1"/>
    <col min="7446" max="7446" width="11.5" style="101" customWidth="1"/>
    <col min="7447" max="7447" width="16" style="101" customWidth="1"/>
    <col min="7448" max="7449" width="10.5" style="101" customWidth="1"/>
    <col min="7450" max="7450" width="15.5" style="101" customWidth="1"/>
    <col min="7451" max="7451" width="11.5" style="101" customWidth="1"/>
    <col min="7452" max="7452" width="12" style="101" customWidth="1"/>
    <col min="7453" max="7453" width="11.5" style="101" customWidth="1"/>
    <col min="7454" max="7454" width="12" style="101" customWidth="1"/>
    <col min="7455" max="7455" width="11.5" style="101" customWidth="1"/>
    <col min="7456" max="7456" width="12.5" style="101" customWidth="1"/>
    <col min="7457" max="7457" width="10.5" style="101" customWidth="1"/>
    <col min="7458" max="7458" width="19" style="101" customWidth="1"/>
    <col min="7459" max="7459" width="13.5" style="101" customWidth="1"/>
    <col min="7460" max="7460" width="18" style="101" customWidth="1"/>
    <col min="7461" max="7461" width="42.5" style="101" customWidth="1"/>
    <col min="7462" max="7462" width="31" style="101" customWidth="1"/>
    <col min="7463" max="7463" width="35" style="101" customWidth="1"/>
    <col min="7464" max="7464" width="31" style="101" customWidth="1"/>
    <col min="7465" max="7465" width="35" style="101" customWidth="1"/>
    <col min="7466" max="7466" width="31" style="101" customWidth="1"/>
    <col min="7467" max="7467" width="37.5" style="101" customWidth="1"/>
    <col min="7468" max="7468" width="11.5" style="101" customWidth="1"/>
    <col min="7469" max="7469" width="54" style="101" customWidth="1"/>
    <col min="7470" max="7470" width="43.5" style="101" customWidth="1"/>
    <col min="7471" max="7471" width="44.5" style="101" customWidth="1"/>
    <col min="7472" max="7681" width="6.5" style="101"/>
    <col min="7682" max="7683" width="2.5" style="101" customWidth="1"/>
    <col min="7684" max="7684" width="0" style="101" hidden="1" customWidth="1"/>
    <col min="7685" max="7687" width="12.5" style="101" customWidth="1"/>
    <col min="7688" max="7688" width="12" style="101" customWidth="1"/>
    <col min="7689" max="7689" width="12.5" style="101" customWidth="1"/>
    <col min="7690" max="7690" width="13.5" style="101" customWidth="1"/>
    <col min="7691" max="7691" width="0" style="101" hidden="1" customWidth="1"/>
    <col min="7692" max="7694" width="13" style="101" customWidth="1"/>
    <col min="7695" max="7695" width="14.5" style="101" customWidth="1"/>
    <col min="7696" max="7697" width="13.5" style="101" customWidth="1"/>
    <col min="7698" max="7698" width="2.5" style="101" customWidth="1"/>
    <col min="7699" max="7699" width="13.5" style="101" customWidth="1"/>
    <col min="7700" max="7700" width="10.5" style="101" customWidth="1"/>
    <col min="7701" max="7701" width="12" style="101" customWidth="1"/>
    <col min="7702" max="7702" width="11.5" style="101" customWidth="1"/>
    <col min="7703" max="7703" width="16" style="101" customWidth="1"/>
    <col min="7704" max="7705" width="10.5" style="101" customWidth="1"/>
    <col min="7706" max="7706" width="15.5" style="101" customWidth="1"/>
    <col min="7707" max="7707" width="11.5" style="101" customWidth="1"/>
    <col min="7708" max="7708" width="12" style="101" customWidth="1"/>
    <col min="7709" max="7709" width="11.5" style="101" customWidth="1"/>
    <col min="7710" max="7710" width="12" style="101" customWidth="1"/>
    <col min="7711" max="7711" width="11.5" style="101" customWidth="1"/>
    <col min="7712" max="7712" width="12.5" style="101" customWidth="1"/>
    <col min="7713" max="7713" width="10.5" style="101" customWidth="1"/>
    <col min="7714" max="7714" width="19" style="101" customWidth="1"/>
    <col min="7715" max="7715" width="13.5" style="101" customWidth="1"/>
    <col min="7716" max="7716" width="18" style="101" customWidth="1"/>
    <col min="7717" max="7717" width="42.5" style="101" customWidth="1"/>
    <col min="7718" max="7718" width="31" style="101" customWidth="1"/>
    <col min="7719" max="7719" width="35" style="101" customWidth="1"/>
    <col min="7720" max="7720" width="31" style="101" customWidth="1"/>
    <col min="7721" max="7721" width="35" style="101" customWidth="1"/>
    <col min="7722" max="7722" width="31" style="101" customWidth="1"/>
    <col min="7723" max="7723" width="37.5" style="101" customWidth="1"/>
    <col min="7724" max="7724" width="11.5" style="101" customWidth="1"/>
    <col min="7725" max="7725" width="54" style="101" customWidth="1"/>
    <col min="7726" max="7726" width="43.5" style="101" customWidth="1"/>
    <col min="7727" max="7727" width="44.5" style="101" customWidth="1"/>
    <col min="7728" max="7937" width="6.5" style="101"/>
    <col min="7938" max="7939" width="2.5" style="101" customWidth="1"/>
    <col min="7940" max="7940" width="0" style="101" hidden="1" customWidth="1"/>
    <col min="7941" max="7943" width="12.5" style="101" customWidth="1"/>
    <col min="7944" max="7944" width="12" style="101" customWidth="1"/>
    <col min="7945" max="7945" width="12.5" style="101" customWidth="1"/>
    <col min="7946" max="7946" width="13.5" style="101" customWidth="1"/>
    <col min="7947" max="7947" width="0" style="101" hidden="1" customWidth="1"/>
    <col min="7948" max="7950" width="13" style="101" customWidth="1"/>
    <col min="7951" max="7951" width="14.5" style="101" customWidth="1"/>
    <col min="7952" max="7953" width="13.5" style="101" customWidth="1"/>
    <col min="7954" max="7954" width="2.5" style="101" customWidth="1"/>
    <col min="7955" max="7955" width="13.5" style="101" customWidth="1"/>
    <col min="7956" max="7956" width="10.5" style="101" customWidth="1"/>
    <col min="7957" max="7957" width="12" style="101" customWidth="1"/>
    <col min="7958" max="7958" width="11.5" style="101" customWidth="1"/>
    <col min="7959" max="7959" width="16" style="101" customWidth="1"/>
    <col min="7960" max="7961" width="10.5" style="101" customWidth="1"/>
    <col min="7962" max="7962" width="15.5" style="101" customWidth="1"/>
    <col min="7963" max="7963" width="11.5" style="101" customWidth="1"/>
    <col min="7964" max="7964" width="12" style="101" customWidth="1"/>
    <col min="7965" max="7965" width="11.5" style="101" customWidth="1"/>
    <col min="7966" max="7966" width="12" style="101" customWidth="1"/>
    <col min="7967" max="7967" width="11.5" style="101" customWidth="1"/>
    <col min="7968" max="7968" width="12.5" style="101" customWidth="1"/>
    <col min="7969" max="7969" width="10.5" style="101" customWidth="1"/>
    <col min="7970" max="7970" width="19" style="101" customWidth="1"/>
    <col min="7971" max="7971" width="13.5" style="101" customWidth="1"/>
    <col min="7972" max="7972" width="18" style="101" customWidth="1"/>
    <col min="7973" max="7973" width="42.5" style="101" customWidth="1"/>
    <col min="7974" max="7974" width="31" style="101" customWidth="1"/>
    <col min="7975" max="7975" width="35" style="101" customWidth="1"/>
    <col min="7976" max="7976" width="31" style="101" customWidth="1"/>
    <col min="7977" max="7977" width="35" style="101" customWidth="1"/>
    <col min="7978" max="7978" width="31" style="101" customWidth="1"/>
    <col min="7979" max="7979" width="37.5" style="101" customWidth="1"/>
    <col min="7980" max="7980" width="11.5" style="101" customWidth="1"/>
    <col min="7981" max="7981" width="54" style="101" customWidth="1"/>
    <col min="7982" max="7982" width="43.5" style="101" customWidth="1"/>
    <col min="7983" max="7983" width="44.5" style="101" customWidth="1"/>
    <col min="7984" max="8193" width="6.5" style="101"/>
    <col min="8194" max="8195" width="2.5" style="101" customWidth="1"/>
    <col min="8196" max="8196" width="0" style="101" hidden="1" customWidth="1"/>
    <col min="8197" max="8199" width="12.5" style="101" customWidth="1"/>
    <col min="8200" max="8200" width="12" style="101" customWidth="1"/>
    <col min="8201" max="8201" width="12.5" style="101" customWidth="1"/>
    <col min="8202" max="8202" width="13.5" style="101" customWidth="1"/>
    <col min="8203" max="8203" width="0" style="101" hidden="1" customWidth="1"/>
    <col min="8204" max="8206" width="13" style="101" customWidth="1"/>
    <col min="8207" max="8207" width="14.5" style="101" customWidth="1"/>
    <col min="8208" max="8209" width="13.5" style="101" customWidth="1"/>
    <col min="8210" max="8210" width="2.5" style="101" customWidth="1"/>
    <col min="8211" max="8211" width="13.5" style="101" customWidth="1"/>
    <col min="8212" max="8212" width="10.5" style="101" customWidth="1"/>
    <col min="8213" max="8213" width="12" style="101" customWidth="1"/>
    <col min="8214" max="8214" width="11.5" style="101" customWidth="1"/>
    <col min="8215" max="8215" width="16" style="101" customWidth="1"/>
    <col min="8216" max="8217" width="10.5" style="101" customWidth="1"/>
    <col min="8218" max="8218" width="15.5" style="101" customWidth="1"/>
    <col min="8219" max="8219" width="11.5" style="101" customWidth="1"/>
    <col min="8220" max="8220" width="12" style="101" customWidth="1"/>
    <col min="8221" max="8221" width="11.5" style="101" customWidth="1"/>
    <col min="8222" max="8222" width="12" style="101" customWidth="1"/>
    <col min="8223" max="8223" width="11.5" style="101" customWidth="1"/>
    <col min="8224" max="8224" width="12.5" style="101" customWidth="1"/>
    <col min="8225" max="8225" width="10.5" style="101" customWidth="1"/>
    <col min="8226" max="8226" width="19" style="101" customWidth="1"/>
    <col min="8227" max="8227" width="13.5" style="101" customWidth="1"/>
    <col min="8228" max="8228" width="18" style="101" customWidth="1"/>
    <col min="8229" max="8229" width="42.5" style="101" customWidth="1"/>
    <col min="8230" max="8230" width="31" style="101" customWidth="1"/>
    <col min="8231" max="8231" width="35" style="101" customWidth="1"/>
    <col min="8232" max="8232" width="31" style="101" customWidth="1"/>
    <col min="8233" max="8233" width="35" style="101" customWidth="1"/>
    <col min="8234" max="8234" width="31" style="101" customWidth="1"/>
    <col min="8235" max="8235" width="37.5" style="101" customWidth="1"/>
    <col min="8236" max="8236" width="11.5" style="101" customWidth="1"/>
    <col min="8237" max="8237" width="54" style="101" customWidth="1"/>
    <col min="8238" max="8238" width="43.5" style="101" customWidth="1"/>
    <col min="8239" max="8239" width="44.5" style="101" customWidth="1"/>
    <col min="8240" max="8449" width="6.5" style="101"/>
    <col min="8450" max="8451" width="2.5" style="101" customWidth="1"/>
    <col min="8452" max="8452" width="0" style="101" hidden="1" customWidth="1"/>
    <col min="8453" max="8455" width="12.5" style="101" customWidth="1"/>
    <col min="8456" max="8456" width="12" style="101" customWidth="1"/>
    <col min="8457" max="8457" width="12.5" style="101" customWidth="1"/>
    <col min="8458" max="8458" width="13.5" style="101" customWidth="1"/>
    <col min="8459" max="8459" width="0" style="101" hidden="1" customWidth="1"/>
    <col min="8460" max="8462" width="13" style="101" customWidth="1"/>
    <col min="8463" max="8463" width="14.5" style="101" customWidth="1"/>
    <col min="8464" max="8465" width="13.5" style="101" customWidth="1"/>
    <col min="8466" max="8466" width="2.5" style="101" customWidth="1"/>
    <col min="8467" max="8467" width="13.5" style="101" customWidth="1"/>
    <col min="8468" max="8468" width="10.5" style="101" customWidth="1"/>
    <col min="8469" max="8469" width="12" style="101" customWidth="1"/>
    <col min="8470" max="8470" width="11.5" style="101" customWidth="1"/>
    <col min="8471" max="8471" width="16" style="101" customWidth="1"/>
    <col min="8472" max="8473" width="10.5" style="101" customWidth="1"/>
    <col min="8474" max="8474" width="15.5" style="101" customWidth="1"/>
    <col min="8475" max="8475" width="11.5" style="101" customWidth="1"/>
    <col min="8476" max="8476" width="12" style="101" customWidth="1"/>
    <col min="8477" max="8477" width="11.5" style="101" customWidth="1"/>
    <col min="8478" max="8478" width="12" style="101" customWidth="1"/>
    <col min="8479" max="8479" width="11.5" style="101" customWidth="1"/>
    <col min="8480" max="8480" width="12.5" style="101" customWidth="1"/>
    <col min="8481" max="8481" width="10.5" style="101" customWidth="1"/>
    <col min="8482" max="8482" width="19" style="101" customWidth="1"/>
    <col min="8483" max="8483" width="13.5" style="101" customWidth="1"/>
    <col min="8484" max="8484" width="18" style="101" customWidth="1"/>
    <col min="8485" max="8485" width="42.5" style="101" customWidth="1"/>
    <col min="8486" max="8486" width="31" style="101" customWidth="1"/>
    <col min="8487" max="8487" width="35" style="101" customWidth="1"/>
    <col min="8488" max="8488" width="31" style="101" customWidth="1"/>
    <col min="8489" max="8489" width="35" style="101" customWidth="1"/>
    <col min="8490" max="8490" width="31" style="101" customWidth="1"/>
    <col min="8491" max="8491" width="37.5" style="101" customWidth="1"/>
    <col min="8492" max="8492" width="11.5" style="101" customWidth="1"/>
    <col min="8493" max="8493" width="54" style="101" customWidth="1"/>
    <col min="8494" max="8494" width="43.5" style="101" customWidth="1"/>
    <col min="8495" max="8495" width="44.5" style="101" customWidth="1"/>
    <col min="8496" max="8705" width="6.5" style="101"/>
    <col min="8706" max="8707" width="2.5" style="101" customWidth="1"/>
    <col min="8708" max="8708" width="0" style="101" hidden="1" customWidth="1"/>
    <col min="8709" max="8711" width="12.5" style="101" customWidth="1"/>
    <col min="8712" max="8712" width="12" style="101" customWidth="1"/>
    <col min="8713" max="8713" width="12.5" style="101" customWidth="1"/>
    <col min="8714" max="8714" width="13.5" style="101" customWidth="1"/>
    <col min="8715" max="8715" width="0" style="101" hidden="1" customWidth="1"/>
    <col min="8716" max="8718" width="13" style="101" customWidth="1"/>
    <col min="8719" max="8719" width="14.5" style="101" customWidth="1"/>
    <col min="8720" max="8721" width="13.5" style="101" customWidth="1"/>
    <col min="8722" max="8722" width="2.5" style="101" customWidth="1"/>
    <col min="8723" max="8723" width="13.5" style="101" customWidth="1"/>
    <col min="8724" max="8724" width="10.5" style="101" customWidth="1"/>
    <col min="8725" max="8725" width="12" style="101" customWidth="1"/>
    <col min="8726" max="8726" width="11.5" style="101" customWidth="1"/>
    <col min="8727" max="8727" width="16" style="101" customWidth="1"/>
    <col min="8728" max="8729" width="10.5" style="101" customWidth="1"/>
    <col min="8730" max="8730" width="15.5" style="101" customWidth="1"/>
    <col min="8731" max="8731" width="11.5" style="101" customWidth="1"/>
    <col min="8732" max="8732" width="12" style="101" customWidth="1"/>
    <col min="8733" max="8733" width="11.5" style="101" customWidth="1"/>
    <col min="8734" max="8734" width="12" style="101" customWidth="1"/>
    <col min="8735" max="8735" width="11.5" style="101" customWidth="1"/>
    <col min="8736" max="8736" width="12.5" style="101" customWidth="1"/>
    <col min="8737" max="8737" width="10.5" style="101" customWidth="1"/>
    <col min="8738" max="8738" width="19" style="101" customWidth="1"/>
    <col min="8739" max="8739" width="13.5" style="101" customWidth="1"/>
    <col min="8740" max="8740" width="18" style="101" customWidth="1"/>
    <col min="8741" max="8741" width="42.5" style="101" customWidth="1"/>
    <col min="8742" max="8742" width="31" style="101" customWidth="1"/>
    <col min="8743" max="8743" width="35" style="101" customWidth="1"/>
    <col min="8744" max="8744" width="31" style="101" customWidth="1"/>
    <col min="8745" max="8745" width="35" style="101" customWidth="1"/>
    <col min="8746" max="8746" width="31" style="101" customWidth="1"/>
    <col min="8747" max="8747" width="37.5" style="101" customWidth="1"/>
    <col min="8748" max="8748" width="11.5" style="101" customWidth="1"/>
    <col min="8749" max="8749" width="54" style="101" customWidth="1"/>
    <col min="8750" max="8750" width="43.5" style="101" customWidth="1"/>
    <col min="8751" max="8751" width="44.5" style="101" customWidth="1"/>
    <col min="8752" max="8961" width="6.5" style="101"/>
    <col min="8962" max="8963" width="2.5" style="101" customWidth="1"/>
    <col min="8964" max="8964" width="0" style="101" hidden="1" customWidth="1"/>
    <col min="8965" max="8967" width="12.5" style="101" customWidth="1"/>
    <col min="8968" max="8968" width="12" style="101" customWidth="1"/>
    <col min="8969" max="8969" width="12.5" style="101" customWidth="1"/>
    <col min="8970" max="8970" width="13.5" style="101" customWidth="1"/>
    <col min="8971" max="8971" width="0" style="101" hidden="1" customWidth="1"/>
    <col min="8972" max="8974" width="13" style="101" customWidth="1"/>
    <col min="8975" max="8975" width="14.5" style="101" customWidth="1"/>
    <col min="8976" max="8977" width="13.5" style="101" customWidth="1"/>
    <col min="8978" max="8978" width="2.5" style="101" customWidth="1"/>
    <col min="8979" max="8979" width="13.5" style="101" customWidth="1"/>
    <col min="8980" max="8980" width="10.5" style="101" customWidth="1"/>
    <col min="8981" max="8981" width="12" style="101" customWidth="1"/>
    <col min="8982" max="8982" width="11.5" style="101" customWidth="1"/>
    <col min="8983" max="8983" width="16" style="101" customWidth="1"/>
    <col min="8984" max="8985" width="10.5" style="101" customWidth="1"/>
    <col min="8986" max="8986" width="15.5" style="101" customWidth="1"/>
    <col min="8987" max="8987" width="11.5" style="101" customWidth="1"/>
    <col min="8988" max="8988" width="12" style="101" customWidth="1"/>
    <col min="8989" max="8989" width="11.5" style="101" customWidth="1"/>
    <col min="8990" max="8990" width="12" style="101" customWidth="1"/>
    <col min="8991" max="8991" width="11.5" style="101" customWidth="1"/>
    <col min="8992" max="8992" width="12.5" style="101" customWidth="1"/>
    <col min="8993" max="8993" width="10.5" style="101" customWidth="1"/>
    <col min="8994" max="8994" width="19" style="101" customWidth="1"/>
    <col min="8995" max="8995" width="13.5" style="101" customWidth="1"/>
    <col min="8996" max="8996" width="18" style="101" customWidth="1"/>
    <col min="8997" max="8997" width="42.5" style="101" customWidth="1"/>
    <col min="8998" max="8998" width="31" style="101" customWidth="1"/>
    <col min="8999" max="8999" width="35" style="101" customWidth="1"/>
    <col min="9000" max="9000" width="31" style="101" customWidth="1"/>
    <col min="9001" max="9001" width="35" style="101" customWidth="1"/>
    <col min="9002" max="9002" width="31" style="101" customWidth="1"/>
    <col min="9003" max="9003" width="37.5" style="101" customWidth="1"/>
    <col min="9004" max="9004" width="11.5" style="101" customWidth="1"/>
    <col min="9005" max="9005" width="54" style="101" customWidth="1"/>
    <col min="9006" max="9006" width="43.5" style="101" customWidth="1"/>
    <col min="9007" max="9007" width="44.5" style="101" customWidth="1"/>
    <col min="9008" max="9217" width="6.5" style="101"/>
    <col min="9218" max="9219" width="2.5" style="101" customWidth="1"/>
    <col min="9220" max="9220" width="0" style="101" hidden="1" customWidth="1"/>
    <col min="9221" max="9223" width="12.5" style="101" customWidth="1"/>
    <col min="9224" max="9224" width="12" style="101" customWidth="1"/>
    <col min="9225" max="9225" width="12.5" style="101" customWidth="1"/>
    <col min="9226" max="9226" width="13.5" style="101" customWidth="1"/>
    <col min="9227" max="9227" width="0" style="101" hidden="1" customWidth="1"/>
    <col min="9228" max="9230" width="13" style="101" customWidth="1"/>
    <col min="9231" max="9231" width="14.5" style="101" customWidth="1"/>
    <col min="9232" max="9233" width="13.5" style="101" customWidth="1"/>
    <col min="9234" max="9234" width="2.5" style="101" customWidth="1"/>
    <col min="9235" max="9235" width="13.5" style="101" customWidth="1"/>
    <col min="9236" max="9236" width="10.5" style="101" customWidth="1"/>
    <col min="9237" max="9237" width="12" style="101" customWidth="1"/>
    <col min="9238" max="9238" width="11.5" style="101" customWidth="1"/>
    <col min="9239" max="9239" width="16" style="101" customWidth="1"/>
    <col min="9240" max="9241" width="10.5" style="101" customWidth="1"/>
    <col min="9242" max="9242" width="15.5" style="101" customWidth="1"/>
    <col min="9243" max="9243" width="11.5" style="101" customWidth="1"/>
    <col min="9244" max="9244" width="12" style="101" customWidth="1"/>
    <col min="9245" max="9245" width="11.5" style="101" customWidth="1"/>
    <col min="9246" max="9246" width="12" style="101" customWidth="1"/>
    <col min="9247" max="9247" width="11.5" style="101" customWidth="1"/>
    <col min="9248" max="9248" width="12.5" style="101" customWidth="1"/>
    <col min="9249" max="9249" width="10.5" style="101" customWidth="1"/>
    <col min="9250" max="9250" width="19" style="101" customWidth="1"/>
    <col min="9251" max="9251" width="13.5" style="101" customWidth="1"/>
    <col min="9252" max="9252" width="18" style="101" customWidth="1"/>
    <col min="9253" max="9253" width="42.5" style="101" customWidth="1"/>
    <col min="9254" max="9254" width="31" style="101" customWidth="1"/>
    <col min="9255" max="9255" width="35" style="101" customWidth="1"/>
    <col min="9256" max="9256" width="31" style="101" customWidth="1"/>
    <col min="9257" max="9257" width="35" style="101" customWidth="1"/>
    <col min="9258" max="9258" width="31" style="101" customWidth="1"/>
    <col min="9259" max="9259" width="37.5" style="101" customWidth="1"/>
    <col min="9260" max="9260" width="11.5" style="101" customWidth="1"/>
    <col min="9261" max="9261" width="54" style="101" customWidth="1"/>
    <col min="9262" max="9262" width="43.5" style="101" customWidth="1"/>
    <col min="9263" max="9263" width="44.5" style="101" customWidth="1"/>
    <col min="9264" max="9473" width="6.5" style="101"/>
    <col min="9474" max="9475" width="2.5" style="101" customWidth="1"/>
    <col min="9476" max="9476" width="0" style="101" hidden="1" customWidth="1"/>
    <col min="9477" max="9479" width="12.5" style="101" customWidth="1"/>
    <col min="9480" max="9480" width="12" style="101" customWidth="1"/>
    <col min="9481" max="9481" width="12.5" style="101" customWidth="1"/>
    <col min="9482" max="9482" width="13.5" style="101" customWidth="1"/>
    <col min="9483" max="9483" width="0" style="101" hidden="1" customWidth="1"/>
    <col min="9484" max="9486" width="13" style="101" customWidth="1"/>
    <col min="9487" max="9487" width="14.5" style="101" customWidth="1"/>
    <col min="9488" max="9489" width="13.5" style="101" customWidth="1"/>
    <col min="9490" max="9490" width="2.5" style="101" customWidth="1"/>
    <col min="9491" max="9491" width="13.5" style="101" customWidth="1"/>
    <col min="9492" max="9492" width="10.5" style="101" customWidth="1"/>
    <col min="9493" max="9493" width="12" style="101" customWidth="1"/>
    <col min="9494" max="9494" width="11.5" style="101" customWidth="1"/>
    <col min="9495" max="9495" width="16" style="101" customWidth="1"/>
    <col min="9496" max="9497" width="10.5" style="101" customWidth="1"/>
    <col min="9498" max="9498" width="15.5" style="101" customWidth="1"/>
    <col min="9499" max="9499" width="11.5" style="101" customWidth="1"/>
    <col min="9500" max="9500" width="12" style="101" customWidth="1"/>
    <col min="9501" max="9501" width="11.5" style="101" customWidth="1"/>
    <col min="9502" max="9502" width="12" style="101" customWidth="1"/>
    <col min="9503" max="9503" width="11.5" style="101" customWidth="1"/>
    <col min="9504" max="9504" width="12.5" style="101" customWidth="1"/>
    <col min="9505" max="9505" width="10.5" style="101" customWidth="1"/>
    <col min="9506" max="9506" width="19" style="101" customWidth="1"/>
    <col min="9507" max="9507" width="13.5" style="101" customWidth="1"/>
    <col min="9508" max="9508" width="18" style="101" customWidth="1"/>
    <col min="9509" max="9509" width="42.5" style="101" customWidth="1"/>
    <col min="9510" max="9510" width="31" style="101" customWidth="1"/>
    <col min="9511" max="9511" width="35" style="101" customWidth="1"/>
    <col min="9512" max="9512" width="31" style="101" customWidth="1"/>
    <col min="9513" max="9513" width="35" style="101" customWidth="1"/>
    <col min="9514" max="9514" width="31" style="101" customWidth="1"/>
    <col min="9515" max="9515" width="37.5" style="101" customWidth="1"/>
    <col min="9516" max="9516" width="11.5" style="101" customWidth="1"/>
    <col min="9517" max="9517" width="54" style="101" customWidth="1"/>
    <col min="9518" max="9518" width="43.5" style="101" customWidth="1"/>
    <col min="9519" max="9519" width="44.5" style="101" customWidth="1"/>
    <col min="9520" max="9729" width="6.5" style="101"/>
    <col min="9730" max="9731" width="2.5" style="101" customWidth="1"/>
    <col min="9732" max="9732" width="0" style="101" hidden="1" customWidth="1"/>
    <col min="9733" max="9735" width="12.5" style="101" customWidth="1"/>
    <col min="9736" max="9736" width="12" style="101" customWidth="1"/>
    <col min="9737" max="9737" width="12.5" style="101" customWidth="1"/>
    <col min="9738" max="9738" width="13.5" style="101" customWidth="1"/>
    <col min="9739" max="9739" width="0" style="101" hidden="1" customWidth="1"/>
    <col min="9740" max="9742" width="13" style="101" customWidth="1"/>
    <col min="9743" max="9743" width="14.5" style="101" customWidth="1"/>
    <col min="9744" max="9745" width="13.5" style="101" customWidth="1"/>
    <col min="9746" max="9746" width="2.5" style="101" customWidth="1"/>
    <col min="9747" max="9747" width="13.5" style="101" customWidth="1"/>
    <col min="9748" max="9748" width="10.5" style="101" customWidth="1"/>
    <col min="9749" max="9749" width="12" style="101" customWidth="1"/>
    <col min="9750" max="9750" width="11.5" style="101" customWidth="1"/>
    <col min="9751" max="9751" width="16" style="101" customWidth="1"/>
    <col min="9752" max="9753" width="10.5" style="101" customWidth="1"/>
    <col min="9754" max="9754" width="15.5" style="101" customWidth="1"/>
    <col min="9755" max="9755" width="11.5" style="101" customWidth="1"/>
    <col min="9756" max="9756" width="12" style="101" customWidth="1"/>
    <col min="9757" max="9757" width="11.5" style="101" customWidth="1"/>
    <col min="9758" max="9758" width="12" style="101" customWidth="1"/>
    <col min="9759" max="9759" width="11.5" style="101" customWidth="1"/>
    <col min="9760" max="9760" width="12.5" style="101" customWidth="1"/>
    <col min="9761" max="9761" width="10.5" style="101" customWidth="1"/>
    <col min="9762" max="9762" width="19" style="101" customWidth="1"/>
    <col min="9763" max="9763" width="13.5" style="101" customWidth="1"/>
    <col min="9764" max="9764" width="18" style="101" customWidth="1"/>
    <col min="9765" max="9765" width="42.5" style="101" customWidth="1"/>
    <col min="9766" max="9766" width="31" style="101" customWidth="1"/>
    <col min="9767" max="9767" width="35" style="101" customWidth="1"/>
    <col min="9768" max="9768" width="31" style="101" customWidth="1"/>
    <col min="9769" max="9769" width="35" style="101" customWidth="1"/>
    <col min="9770" max="9770" width="31" style="101" customWidth="1"/>
    <col min="9771" max="9771" width="37.5" style="101" customWidth="1"/>
    <col min="9772" max="9772" width="11.5" style="101" customWidth="1"/>
    <col min="9773" max="9773" width="54" style="101" customWidth="1"/>
    <col min="9774" max="9774" width="43.5" style="101" customWidth="1"/>
    <col min="9775" max="9775" width="44.5" style="101" customWidth="1"/>
    <col min="9776" max="9985" width="6.5" style="101"/>
    <col min="9986" max="9987" width="2.5" style="101" customWidth="1"/>
    <col min="9988" max="9988" width="0" style="101" hidden="1" customWidth="1"/>
    <col min="9989" max="9991" width="12.5" style="101" customWidth="1"/>
    <col min="9992" max="9992" width="12" style="101" customWidth="1"/>
    <col min="9993" max="9993" width="12.5" style="101" customWidth="1"/>
    <col min="9994" max="9994" width="13.5" style="101" customWidth="1"/>
    <col min="9995" max="9995" width="0" style="101" hidden="1" customWidth="1"/>
    <col min="9996" max="9998" width="13" style="101" customWidth="1"/>
    <col min="9999" max="9999" width="14.5" style="101" customWidth="1"/>
    <col min="10000" max="10001" width="13.5" style="101" customWidth="1"/>
    <col min="10002" max="10002" width="2.5" style="101" customWidth="1"/>
    <col min="10003" max="10003" width="13.5" style="101" customWidth="1"/>
    <col min="10004" max="10004" width="10.5" style="101" customWidth="1"/>
    <col min="10005" max="10005" width="12" style="101" customWidth="1"/>
    <col min="10006" max="10006" width="11.5" style="101" customWidth="1"/>
    <col min="10007" max="10007" width="16" style="101" customWidth="1"/>
    <col min="10008" max="10009" width="10.5" style="101" customWidth="1"/>
    <col min="10010" max="10010" width="15.5" style="101" customWidth="1"/>
    <col min="10011" max="10011" width="11.5" style="101" customWidth="1"/>
    <col min="10012" max="10012" width="12" style="101" customWidth="1"/>
    <col min="10013" max="10013" width="11.5" style="101" customWidth="1"/>
    <col min="10014" max="10014" width="12" style="101" customWidth="1"/>
    <col min="10015" max="10015" width="11.5" style="101" customWidth="1"/>
    <col min="10016" max="10016" width="12.5" style="101" customWidth="1"/>
    <col min="10017" max="10017" width="10.5" style="101" customWidth="1"/>
    <col min="10018" max="10018" width="19" style="101" customWidth="1"/>
    <col min="10019" max="10019" width="13.5" style="101" customWidth="1"/>
    <col min="10020" max="10020" width="18" style="101" customWidth="1"/>
    <col min="10021" max="10021" width="42.5" style="101" customWidth="1"/>
    <col min="10022" max="10022" width="31" style="101" customWidth="1"/>
    <col min="10023" max="10023" width="35" style="101" customWidth="1"/>
    <col min="10024" max="10024" width="31" style="101" customWidth="1"/>
    <col min="10025" max="10025" width="35" style="101" customWidth="1"/>
    <col min="10026" max="10026" width="31" style="101" customWidth="1"/>
    <col min="10027" max="10027" width="37.5" style="101" customWidth="1"/>
    <col min="10028" max="10028" width="11.5" style="101" customWidth="1"/>
    <col min="10029" max="10029" width="54" style="101" customWidth="1"/>
    <col min="10030" max="10030" width="43.5" style="101" customWidth="1"/>
    <col min="10031" max="10031" width="44.5" style="101" customWidth="1"/>
    <col min="10032" max="10241" width="6.5" style="101"/>
    <col min="10242" max="10243" width="2.5" style="101" customWidth="1"/>
    <col min="10244" max="10244" width="0" style="101" hidden="1" customWidth="1"/>
    <col min="10245" max="10247" width="12.5" style="101" customWidth="1"/>
    <col min="10248" max="10248" width="12" style="101" customWidth="1"/>
    <col min="10249" max="10249" width="12.5" style="101" customWidth="1"/>
    <col min="10250" max="10250" width="13.5" style="101" customWidth="1"/>
    <col min="10251" max="10251" width="0" style="101" hidden="1" customWidth="1"/>
    <col min="10252" max="10254" width="13" style="101" customWidth="1"/>
    <col min="10255" max="10255" width="14.5" style="101" customWidth="1"/>
    <col min="10256" max="10257" width="13.5" style="101" customWidth="1"/>
    <col min="10258" max="10258" width="2.5" style="101" customWidth="1"/>
    <col min="10259" max="10259" width="13.5" style="101" customWidth="1"/>
    <col min="10260" max="10260" width="10.5" style="101" customWidth="1"/>
    <col min="10261" max="10261" width="12" style="101" customWidth="1"/>
    <col min="10262" max="10262" width="11.5" style="101" customWidth="1"/>
    <col min="10263" max="10263" width="16" style="101" customWidth="1"/>
    <col min="10264" max="10265" width="10.5" style="101" customWidth="1"/>
    <col min="10266" max="10266" width="15.5" style="101" customWidth="1"/>
    <col min="10267" max="10267" width="11.5" style="101" customWidth="1"/>
    <col min="10268" max="10268" width="12" style="101" customWidth="1"/>
    <col min="10269" max="10269" width="11.5" style="101" customWidth="1"/>
    <col min="10270" max="10270" width="12" style="101" customWidth="1"/>
    <col min="10271" max="10271" width="11.5" style="101" customWidth="1"/>
    <col min="10272" max="10272" width="12.5" style="101" customWidth="1"/>
    <col min="10273" max="10273" width="10.5" style="101" customWidth="1"/>
    <col min="10274" max="10274" width="19" style="101" customWidth="1"/>
    <col min="10275" max="10275" width="13.5" style="101" customWidth="1"/>
    <col min="10276" max="10276" width="18" style="101" customWidth="1"/>
    <col min="10277" max="10277" width="42.5" style="101" customWidth="1"/>
    <col min="10278" max="10278" width="31" style="101" customWidth="1"/>
    <col min="10279" max="10279" width="35" style="101" customWidth="1"/>
    <col min="10280" max="10280" width="31" style="101" customWidth="1"/>
    <col min="10281" max="10281" width="35" style="101" customWidth="1"/>
    <col min="10282" max="10282" width="31" style="101" customWidth="1"/>
    <col min="10283" max="10283" width="37.5" style="101" customWidth="1"/>
    <col min="10284" max="10284" width="11.5" style="101" customWidth="1"/>
    <col min="10285" max="10285" width="54" style="101" customWidth="1"/>
    <col min="10286" max="10286" width="43.5" style="101" customWidth="1"/>
    <col min="10287" max="10287" width="44.5" style="101" customWidth="1"/>
    <col min="10288" max="10497" width="6.5" style="101"/>
    <col min="10498" max="10499" width="2.5" style="101" customWidth="1"/>
    <col min="10500" max="10500" width="0" style="101" hidden="1" customWidth="1"/>
    <col min="10501" max="10503" width="12.5" style="101" customWidth="1"/>
    <col min="10504" max="10504" width="12" style="101" customWidth="1"/>
    <col min="10505" max="10505" width="12.5" style="101" customWidth="1"/>
    <col min="10506" max="10506" width="13.5" style="101" customWidth="1"/>
    <col min="10507" max="10507" width="0" style="101" hidden="1" customWidth="1"/>
    <col min="10508" max="10510" width="13" style="101" customWidth="1"/>
    <col min="10511" max="10511" width="14.5" style="101" customWidth="1"/>
    <col min="10512" max="10513" width="13.5" style="101" customWidth="1"/>
    <col min="10514" max="10514" width="2.5" style="101" customWidth="1"/>
    <col min="10515" max="10515" width="13.5" style="101" customWidth="1"/>
    <col min="10516" max="10516" width="10.5" style="101" customWidth="1"/>
    <col min="10517" max="10517" width="12" style="101" customWidth="1"/>
    <col min="10518" max="10518" width="11.5" style="101" customWidth="1"/>
    <col min="10519" max="10519" width="16" style="101" customWidth="1"/>
    <col min="10520" max="10521" width="10.5" style="101" customWidth="1"/>
    <col min="10522" max="10522" width="15.5" style="101" customWidth="1"/>
    <col min="10523" max="10523" width="11.5" style="101" customWidth="1"/>
    <col min="10524" max="10524" width="12" style="101" customWidth="1"/>
    <col min="10525" max="10525" width="11.5" style="101" customWidth="1"/>
    <col min="10526" max="10526" width="12" style="101" customWidth="1"/>
    <col min="10527" max="10527" width="11.5" style="101" customWidth="1"/>
    <col min="10528" max="10528" width="12.5" style="101" customWidth="1"/>
    <col min="10529" max="10529" width="10.5" style="101" customWidth="1"/>
    <col min="10530" max="10530" width="19" style="101" customWidth="1"/>
    <col min="10531" max="10531" width="13.5" style="101" customWidth="1"/>
    <col min="10532" max="10532" width="18" style="101" customWidth="1"/>
    <col min="10533" max="10533" width="42.5" style="101" customWidth="1"/>
    <col min="10534" max="10534" width="31" style="101" customWidth="1"/>
    <col min="10535" max="10535" width="35" style="101" customWidth="1"/>
    <col min="10536" max="10536" width="31" style="101" customWidth="1"/>
    <col min="10537" max="10537" width="35" style="101" customWidth="1"/>
    <col min="10538" max="10538" width="31" style="101" customWidth="1"/>
    <col min="10539" max="10539" width="37.5" style="101" customWidth="1"/>
    <col min="10540" max="10540" width="11.5" style="101" customWidth="1"/>
    <col min="10541" max="10541" width="54" style="101" customWidth="1"/>
    <col min="10542" max="10542" width="43.5" style="101" customWidth="1"/>
    <col min="10543" max="10543" width="44.5" style="101" customWidth="1"/>
    <col min="10544" max="10753" width="6.5" style="101"/>
    <col min="10754" max="10755" width="2.5" style="101" customWidth="1"/>
    <col min="10756" max="10756" width="0" style="101" hidden="1" customWidth="1"/>
    <col min="10757" max="10759" width="12.5" style="101" customWidth="1"/>
    <col min="10760" max="10760" width="12" style="101" customWidth="1"/>
    <col min="10761" max="10761" width="12.5" style="101" customWidth="1"/>
    <col min="10762" max="10762" width="13.5" style="101" customWidth="1"/>
    <col min="10763" max="10763" width="0" style="101" hidden="1" customWidth="1"/>
    <col min="10764" max="10766" width="13" style="101" customWidth="1"/>
    <col min="10767" max="10767" width="14.5" style="101" customWidth="1"/>
    <col min="10768" max="10769" width="13.5" style="101" customWidth="1"/>
    <col min="10770" max="10770" width="2.5" style="101" customWidth="1"/>
    <col min="10771" max="10771" width="13.5" style="101" customWidth="1"/>
    <col min="10772" max="10772" width="10.5" style="101" customWidth="1"/>
    <col min="10773" max="10773" width="12" style="101" customWidth="1"/>
    <col min="10774" max="10774" width="11.5" style="101" customWidth="1"/>
    <col min="10775" max="10775" width="16" style="101" customWidth="1"/>
    <col min="10776" max="10777" width="10.5" style="101" customWidth="1"/>
    <col min="10778" max="10778" width="15.5" style="101" customWidth="1"/>
    <col min="10779" max="10779" width="11.5" style="101" customWidth="1"/>
    <col min="10780" max="10780" width="12" style="101" customWidth="1"/>
    <col min="10781" max="10781" width="11.5" style="101" customWidth="1"/>
    <col min="10782" max="10782" width="12" style="101" customWidth="1"/>
    <col min="10783" max="10783" width="11.5" style="101" customWidth="1"/>
    <col min="10784" max="10784" width="12.5" style="101" customWidth="1"/>
    <col min="10785" max="10785" width="10.5" style="101" customWidth="1"/>
    <col min="10786" max="10786" width="19" style="101" customWidth="1"/>
    <col min="10787" max="10787" width="13.5" style="101" customWidth="1"/>
    <col min="10788" max="10788" width="18" style="101" customWidth="1"/>
    <col min="10789" max="10789" width="42.5" style="101" customWidth="1"/>
    <col min="10790" max="10790" width="31" style="101" customWidth="1"/>
    <col min="10791" max="10791" width="35" style="101" customWidth="1"/>
    <col min="10792" max="10792" width="31" style="101" customWidth="1"/>
    <col min="10793" max="10793" width="35" style="101" customWidth="1"/>
    <col min="10794" max="10794" width="31" style="101" customWidth="1"/>
    <col min="10795" max="10795" width="37.5" style="101" customWidth="1"/>
    <col min="10796" max="10796" width="11.5" style="101" customWidth="1"/>
    <col min="10797" max="10797" width="54" style="101" customWidth="1"/>
    <col min="10798" max="10798" width="43.5" style="101" customWidth="1"/>
    <col min="10799" max="10799" width="44.5" style="101" customWidth="1"/>
    <col min="10800" max="11009" width="6.5" style="101"/>
    <col min="11010" max="11011" width="2.5" style="101" customWidth="1"/>
    <col min="11012" max="11012" width="0" style="101" hidden="1" customWidth="1"/>
    <col min="11013" max="11015" width="12.5" style="101" customWidth="1"/>
    <col min="11016" max="11016" width="12" style="101" customWidth="1"/>
    <col min="11017" max="11017" width="12.5" style="101" customWidth="1"/>
    <col min="11018" max="11018" width="13.5" style="101" customWidth="1"/>
    <col min="11019" max="11019" width="0" style="101" hidden="1" customWidth="1"/>
    <col min="11020" max="11022" width="13" style="101" customWidth="1"/>
    <col min="11023" max="11023" width="14.5" style="101" customWidth="1"/>
    <col min="11024" max="11025" width="13.5" style="101" customWidth="1"/>
    <col min="11026" max="11026" width="2.5" style="101" customWidth="1"/>
    <col min="11027" max="11027" width="13.5" style="101" customWidth="1"/>
    <col min="11028" max="11028" width="10.5" style="101" customWidth="1"/>
    <col min="11029" max="11029" width="12" style="101" customWidth="1"/>
    <col min="11030" max="11030" width="11.5" style="101" customWidth="1"/>
    <col min="11031" max="11031" width="16" style="101" customWidth="1"/>
    <col min="11032" max="11033" width="10.5" style="101" customWidth="1"/>
    <col min="11034" max="11034" width="15.5" style="101" customWidth="1"/>
    <col min="11035" max="11035" width="11.5" style="101" customWidth="1"/>
    <col min="11036" max="11036" width="12" style="101" customWidth="1"/>
    <col min="11037" max="11037" width="11.5" style="101" customWidth="1"/>
    <col min="11038" max="11038" width="12" style="101" customWidth="1"/>
    <col min="11039" max="11039" width="11.5" style="101" customWidth="1"/>
    <col min="11040" max="11040" width="12.5" style="101" customWidth="1"/>
    <col min="11041" max="11041" width="10.5" style="101" customWidth="1"/>
    <col min="11042" max="11042" width="19" style="101" customWidth="1"/>
    <col min="11043" max="11043" width="13.5" style="101" customWidth="1"/>
    <col min="11044" max="11044" width="18" style="101" customWidth="1"/>
    <col min="11045" max="11045" width="42.5" style="101" customWidth="1"/>
    <col min="11046" max="11046" width="31" style="101" customWidth="1"/>
    <col min="11047" max="11047" width="35" style="101" customWidth="1"/>
    <col min="11048" max="11048" width="31" style="101" customWidth="1"/>
    <col min="11049" max="11049" width="35" style="101" customWidth="1"/>
    <col min="11050" max="11050" width="31" style="101" customWidth="1"/>
    <col min="11051" max="11051" width="37.5" style="101" customWidth="1"/>
    <col min="11052" max="11052" width="11.5" style="101" customWidth="1"/>
    <col min="11053" max="11053" width="54" style="101" customWidth="1"/>
    <col min="11054" max="11054" width="43.5" style="101" customWidth="1"/>
    <col min="11055" max="11055" width="44.5" style="101" customWidth="1"/>
    <col min="11056" max="11265" width="6.5" style="101"/>
    <col min="11266" max="11267" width="2.5" style="101" customWidth="1"/>
    <col min="11268" max="11268" width="0" style="101" hidden="1" customWidth="1"/>
    <col min="11269" max="11271" width="12.5" style="101" customWidth="1"/>
    <col min="11272" max="11272" width="12" style="101" customWidth="1"/>
    <col min="11273" max="11273" width="12.5" style="101" customWidth="1"/>
    <col min="11274" max="11274" width="13.5" style="101" customWidth="1"/>
    <col min="11275" max="11275" width="0" style="101" hidden="1" customWidth="1"/>
    <col min="11276" max="11278" width="13" style="101" customWidth="1"/>
    <col min="11279" max="11279" width="14.5" style="101" customWidth="1"/>
    <col min="11280" max="11281" width="13.5" style="101" customWidth="1"/>
    <col min="11282" max="11282" width="2.5" style="101" customWidth="1"/>
    <col min="11283" max="11283" width="13.5" style="101" customWidth="1"/>
    <col min="11284" max="11284" width="10.5" style="101" customWidth="1"/>
    <col min="11285" max="11285" width="12" style="101" customWidth="1"/>
    <col min="11286" max="11286" width="11.5" style="101" customWidth="1"/>
    <col min="11287" max="11287" width="16" style="101" customWidth="1"/>
    <col min="11288" max="11289" width="10.5" style="101" customWidth="1"/>
    <col min="11290" max="11290" width="15.5" style="101" customWidth="1"/>
    <col min="11291" max="11291" width="11.5" style="101" customWidth="1"/>
    <col min="11292" max="11292" width="12" style="101" customWidth="1"/>
    <col min="11293" max="11293" width="11.5" style="101" customWidth="1"/>
    <col min="11294" max="11294" width="12" style="101" customWidth="1"/>
    <col min="11295" max="11295" width="11.5" style="101" customWidth="1"/>
    <col min="11296" max="11296" width="12.5" style="101" customWidth="1"/>
    <col min="11297" max="11297" width="10.5" style="101" customWidth="1"/>
    <col min="11298" max="11298" width="19" style="101" customWidth="1"/>
    <col min="11299" max="11299" width="13.5" style="101" customWidth="1"/>
    <col min="11300" max="11300" width="18" style="101" customWidth="1"/>
    <col min="11301" max="11301" width="42.5" style="101" customWidth="1"/>
    <col min="11302" max="11302" width="31" style="101" customWidth="1"/>
    <col min="11303" max="11303" width="35" style="101" customWidth="1"/>
    <col min="11304" max="11304" width="31" style="101" customWidth="1"/>
    <col min="11305" max="11305" width="35" style="101" customWidth="1"/>
    <col min="11306" max="11306" width="31" style="101" customWidth="1"/>
    <col min="11307" max="11307" width="37.5" style="101" customWidth="1"/>
    <col min="11308" max="11308" width="11.5" style="101" customWidth="1"/>
    <col min="11309" max="11309" width="54" style="101" customWidth="1"/>
    <col min="11310" max="11310" width="43.5" style="101" customWidth="1"/>
    <col min="11311" max="11311" width="44.5" style="101" customWidth="1"/>
    <col min="11312" max="11521" width="6.5" style="101"/>
    <col min="11522" max="11523" width="2.5" style="101" customWidth="1"/>
    <col min="11524" max="11524" width="0" style="101" hidden="1" customWidth="1"/>
    <col min="11525" max="11527" width="12.5" style="101" customWidth="1"/>
    <col min="11528" max="11528" width="12" style="101" customWidth="1"/>
    <col min="11529" max="11529" width="12.5" style="101" customWidth="1"/>
    <col min="11530" max="11530" width="13.5" style="101" customWidth="1"/>
    <col min="11531" max="11531" width="0" style="101" hidden="1" customWidth="1"/>
    <col min="11532" max="11534" width="13" style="101" customWidth="1"/>
    <col min="11535" max="11535" width="14.5" style="101" customWidth="1"/>
    <col min="11536" max="11537" width="13.5" style="101" customWidth="1"/>
    <col min="11538" max="11538" width="2.5" style="101" customWidth="1"/>
    <col min="11539" max="11539" width="13.5" style="101" customWidth="1"/>
    <col min="11540" max="11540" width="10.5" style="101" customWidth="1"/>
    <col min="11541" max="11541" width="12" style="101" customWidth="1"/>
    <col min="11542" max="11542" width="11.5" style="101" customWidth="1"/>
    <col min="11543" max="11543" width="16" style="101" customWidth="1"/>
    <col min="11544" max="11545" width="10.5" style="101" customWidth="1"/>
    <col min="11546" max="11546" width="15.5" style="101" customWidth="1"/>
    <col min="11547" max="11547" width="11.5" style="101" customWidth="1"/>
    <col min="11548" max="11548" width="12" style="101" customWidth="1"/>
    <col min="11549" max="11549" width="11.5" style="101" customWidth="1"/>
    <col min="11550" max="11550" width="12" style="101" customWidth="1"/>
    <col min="11551" max="11551" width="11.5" style="101" customWidth="1"/>
    <col min="11552" max="11552" width="12.5" style="101" customWidth="1"/>
    <col min="11553" max="11553" width="10.5" style="101" customWidth="1"/>
    <col min="11554" max="11554" width="19" style="101" customWidth="1"/>
    <col min="11555" max="11555" width="13.5" style="101" customWidth="1"/>
    <col min="11556" max="11556" width="18" style="101" customWidth="1"/>
    <col min="11557" max="11557" width="42.5" style="101" customWidth="1"/>
    <col min="11558" max="11558" width="31" style="101" customWidth="1"/>
    <col min="11559" max="11559" width="35" style="101" customWidth="1"/>
    <col min="11560" max="11560" width="31" style="101" customWidth="1"/>
    <col min="11561" max="11561" width="35" style="101" customWidth="1"/>
    <col min="11562" max="11562" width="31" style="101" customWidth="1"/>
    <col min="11563" max="11563" width="37.5" style="101" customWidth="1"/>
    <col min="11564" max="11564" width="11.5" style="101" customWidth="1"/>
    <col min="11565" max="11565" width="54" style="101" customWidth="1"/>
    <col min="11566" max="11566" width="43.5" style="101" customWidth="1"/>
    <col min="11567" max="11567" width="44.5" style="101" customWidth="1"/>
    <col min="11568" max="11777" width="6.5" style="101"/>
    <col min="11778" max="11779" width="2.5" style="101" customWidth="1"/>
    <col min="11780" max="11780" width="0" style="101" hidden="1" customWidth="1"/>
    <col min="11781" max="11783" width="12.5" style="101" customWidth="1"/>
    <col min="11784" max="11784" width="12" style="101" customWidth="1"/>
    <col min="11785" max="11785" width="12.5" style="101" customWidth="1"/>
    <col min="11786" max="11786" width="13.5" style="101" customWidth="1"/>
    <col min="11787" max="11787" width="0" style="101" hidden="1" customWidth="1"/>
    <col min="11788" max="11790" width="13" style="101" customWidth="1"/>
    <col min="11791" max="11791" width="14.5" style="101" customWidth="1"/>
    <col min="11792" max="11793" width="13.5" style="101" customWidth="1"/>
    <col min="11794" max="11794" width="2.5" style="101" customWidth="1"/>
    <col min="11795" max="11795" width="13.5" style="101" customWidth="1"/>
    <col min="11796" max="11796" width="10.5" style="101" customWidth="1"/>
    <col min="11797" max="11797" width="12" style="101" customWidth="1"/>
    <col min="11798" max="11798" width="11.5" style="101" customWidth="1"/>
    <col min="11799" max="11799" width="16" style="101" customWidth="1"/>
    <col min="11800" max="11801" width="10.5" style="101" customWidth="1"/>
    <col min="11802" max="11802" width="15.5" style="101" customWidth="1"/>
    <col min="11803" max="11803" width="11.5" style="101" customWidth="1"/>
    <col min="11804" max="11804" width="12" style="101" customWidth="1"/>
    <col min="11805" max="11805" width="11.5" style="101" customWidth="1"/>
    <col min="11806" max="11806" width="12" style="101" customWidth="1"/>
    <col min="11807" max="11807" width="11.5" style="101" customWidth="1"/>
    <col min="11808" max="11808" width="12.5" style="101" customWidth="1"/>
    <col min="11809" max="11809" width="10.5" style="101" customWidth="1"/>
    <col min="11810" max="11810" width="19" style="101" customWidth="1"/>
    <col min="11811" max="11811" width="13.5" style="101" customWidth="1"/>
    <col min="11812" max="11812" width="18" style="101" customWidth="1"/>
    <col min="11813" max="11813" width="42.5" style="101" customWidth="1"/>
    <col min="11814" max="11814" width="31" style="101" customWidth="1"/>
    <col min="11815" max="11815" width="35" style="101" customWidth="1"/>
    <col min="11816" max="11816" width="31" style="101" customWidth="1"/>
    <col min="11817" max="11817" width="35" style="101" customWidth="1"/>
    <col min="11818" max="11818" width="31" style="101" customWidth="1"/>
    <col min="11819" max="11819" width="37.5" style="101" customWidth="1"/>
    <col min="11820" max="11820" width="11.5" style="101" customWidth="1"/>
    <col min="11821" max="11821" width="54" style="101" customWidth="1"/>
    <col min="11822" max="11822" width="43.5" style="101" customWidth="1"/>
    <col min="11823" max="11823" width="44.5" style="101" customWidth="1"/>
    <col min="11824" max="12033" width="6.5" style="101"/>
    <col min="12034" max="12035" width="2.5" style="101" customWidth="1"/>
    <col min="12036" max="12036" width="0" style="101" hidden="1" customWidth="1"/>
    <col min="12037" max="12039" width="12.5" style="101" customWidth="1"/>
    <col min="12040" max="12040" width="12" style="101" customWidth="1"/>
    <col min="12041" max="12041" width="12.5" style="101" customWidth="1"/>
    <col min="12042" max="12042" width="13.5" style="101" customWidth="1"/>
    <col min="12043" max="12043" width="0" style="101" hidden="1" customWidth="1"/>
    <col min="12044" max="12046" width="13" style="101" customWidth="1"/>
    <col min="12047" max="12047" width="14.5" style="101" customWidth="1"/>
    <col min="12048" max="12049" width="13.5" style="101" customWidth="1"/>
    <col min="12050" max="12050" width="2.5" style="101" customWidth="1"/>
    <col min="12051" max="12051" width="13.5" style="101" customWidth="1"/>
    <col min="12052" max="12052" width="10.5" style="101" customWidth="1"/>
    <col min="12053" max="12053" width="12" style="101" customWidth="1"/>
    <col min="12054" max="12054" width="11.5" style="101" customWidth="1"/>
    <col min="12055" max="12055" width="16" style="101" customWidth="1"/>
    <col min="12056" max="12057" width="10.5" style="101" customWidth="1"/>
    <col min="12058" max="12058" width="15.5" style="101" customWidth="1"/>
    <col min="12059" max="12059" width="11.5" style="101" customWidth="1"/>
    <col min="12060" max="12060" width="12" style="101" customWidth="1"/>
    <col min="12061" max="12061" width="11.5" style="101" customWidth="1"/>
    <col min="12062" max="12062" width="12" style="101" customWidth="1"/>
    <col min="12063" max="12063" width="11.5" style="101" customWidth="1"/>
    <col min="12064" max="12064" width="12.5" style="101" customWidth="1"/>
    <col min="12065" max="12065" width="10.5" style="101" customWidth="1"/>
    <col min="12066" max="12066" width="19" style="101" customWidth="1"/>
    <col min="12067" max="12067" width="13.5" style="101" customWidth="1"/>
    <col min="12068" max="12068" width="18" style="101" customWidth="1"/>
    <col min="12069" max="12069" width="42.5" style="101" customWidth="1"/>
    <col min="12070" max="12070" width="31" style="101" customWidth="1"/>
    <col min="12071" max="12071" width="35" style="101" customWidth="1"/>
    <col min="12072" max="12072" width="31" style="101" customWidth="1"/>
    <col min="12073" max="12073" width="35" style="101" customWidth="1"/>
    <col min="12074" max="12074" width="31" style="101" customWidth="1"/>
    <col min="12075" max="12075" width="37.5" style="101" customWidth="1"/>
    <col min="12076" max="12076" width="11.5" style="101" customWidth="1"/>
    <col min="12077" max="12077" width="54" style="101" customWidth="1"/>
    <col min="12078" max="12078" width="43.5" style="101" customWidth="1"/>
    <col min="12079" max="12079" width="44.5" style="101" customWidth="1"/>
    <col min="12080" max="12289" width="6.5" style="101"/>
    <col min="12290" max="12291" width="2.5" style="101" customWidth="1"/>
    <col min="12292" max="12292" width="0" style="101" hidden="1" customWidth="1"/>
    <col min="12293" max="12295" width="12.5" style="101" customWidth="1"/>
    <col min="12296" max="12296" width="12" style="101" customWidth="1"/>
    <col min="12297" max="12297" width="12.5" style="101" customWidth="1"/>
    <col min="12298" max="12298" width="13.5" style="101" customWidth="1"/>
    <col min="12299" max="12299" width="0" style="101" hidden="1" customWidth="1"/>
    <col min="12300" max="12302" width="13" style="101" customWidth="1"/>
    <col min="12303" max="12303" width="14.5" style="101" customWidth="1"/>
    <col min="12304" max="12305" width="13.5" style="101" customWidth="1"/>
    <col min="12306" max="12306" width="2.5" style="101" customWidth="1"/>
    <col min="12307" max="12307" width="13.5" style="101" customWidth="1"/>
    <col min="12308" max="12308" width="10.5" style="101" customWidth="1"/>
    <col min="12309" max="12309" width="12" style="101" customWidth="1"/>
    <col min="12310" max="12310" width="11.5" style="101" customWidth="1"/>
    <col min="12311" max="12311" width="16" style="101" customWidth="1"/>
    <col min="12312" max="12313" width="10.5" style="101" customWidth="1"/>
    <col min="12314" max="12314" width="15.5" style="101" customWidth="1"/>
    <col min="12315" max="12315" width="11.5" style="101" customWidth="1"/>
    <col min="12316" max="12316" width="12" style="101" customWidth="1"/>
    <col min="12317" max="12317" width="11.5" style="101" customWidth="1"/>
    <col min="12318" max="12318" width="12" style="101" customWidth="1"/>
    <col min="12319" max="12319" width="11.5" style="101" customWidth="1"/>
    <col min="12320" max="12320" width="12.5" style="101" customWidth="1"/>
    <col min="12321" max="12321" width="10.5" style="101" customWidth="1"/>
    <col min="12322" max="12322" width="19" style="101" customWidth="1"/>
    <col min="12323" max="12323" width="13.5" style="101" customWidth="1"/>
    <col min="12324" max="12324" width="18" style="101" customWidth="1"/>
    <col min="12325" max="12325" width="42.5" style="101" customWidth="1"/>
    <col min="12326" max="12326" width="31" style="101" customWidth="1"/>
    <col min="12327" max="12327" width="35" style="101" customWidth="1"/>
    <col min="12328" max="12328" width="31" style="101" customWidth="1"/>
    <col min="12329" max="12329" width="35" style="101" customWidth="1"/>
    <col min="12330" max="12330" width="31" style="101" customWidth="1"/>
    <col min="12331" max="12331" width="37.5" style="101" customWidth="1"/>
    <col min="12332" max="12332" width="11.5" style="101" customWidth="1"/>
    <col min="12333" max="12333" width="54" style="101" customWidth="1"/>
    <col min="12334" max="12334" width="43.5" style="101" customWidth="1"/>
    <col min="12335" max="12335" width="44.5" style="101" customWidth="1"/>
    <col min="12336" max="12545" width="6.5" style="101"/>
    <col min="12546" max="12547" width="2.5" style="101" customWidth="1"/>
    <col min="12548" max="12548" width="0" style="101" hidden="1" customWidth="1"/>
    <col min="12549" max="12551" width="12.5" style="101" customWidth="1"/>
    <col min="12552" max="12552" width="12" style="101" customWidth="1"/>
    <col min="12553" max="12553" width="12.5" style="101" customWidth="1"/>
    <col min="12554" max="12554" width="13.5" style="101" customWidth="1"/>
    <col min="12555" max="12555" width="0" style="101" hidden="1" customWidth="1"/>
    <col min="12556" max="12558" width="13" style="101" customWidth="1"/>
    <col min="12559" max="12559" width="14.5" style="101" customWidth="1"/>
    <col min="12560" max="12561" width="13.5" style="101" customWidth="1"/>
    <col min="12562" max="12562" width="2.5" style="101" customWidth="1"/>
    <col min="12563" max="12563" width="13.5" style="101" customWidth="1"/>
    <col min="12564" max="12564" width="10.5" style="101" customWidth="1"/>
    <col min="12565" max="12565" width="12" style="101" customWidth="1"/>
    <col min="12566" max="12566" width="11.5" style="101" customWidth="1"/>
    <col min="12567" max="12567" width="16" style="101" customWidth="1"/>
    <col min="12568" max="12569" width="10.5" style="101" customWidth="1"/>
    <col min="12570" max="12570" width="15.5" style="101" customWidth="1"/>
    <col min="12571" max="12571" width="11.5" style="101" customWidth="1"/>
    <col min="12572" max="12572" width="12" style="101" customWidth="1"/>
    <col min="12573" max="12573" width="11.5" style="101" customWidth="1"/>
    <col min="12574" max="12574" width="12" style="101" customWidth="1"/>
    <col min="12575" max="12575" width="11.5" style="101" customWidth="1"/>
    <col min="12576" max="12576" width="12.5" style="101" customWidth="1"/>
    <col min="12577" max="12577" width="10.5" style="101" customWidth="1"/>
    <col min="12578" max="12578" width="19" style="101" customWidth="1"/>
    <col min="12579" max="12579" width="13.5" style="101" customWidth="1"/>
    <col min="12580" max="12580" width="18" style="101" customWidth="1"/>
    <col min="12581" max="12581" width="42.5" style="101" customWidth="1"/>
    <col min="12582" max="12582" width="31" style="101" customWidth="1"/>
    <col min="12583" max="12583" width="35" style="101" customWidth="1"/>
    <col min="12584" max="12584" width="31" style="101" customWidth="1"/>
    <col min="12585" max="12585" width="35" style="101" customWidth="1"/>
    <col min="12586" max="12586" width="31" style="101" customWidth="1"/>
    <col min="12587" max="12587" width="37.5" style="101" customWidth="1"/>
    <col min="12588" max="12588" width="11.5" style="101" customWidth="1"/>
    <col min="12589" max="12589" width="54" style="101" customWidth="1"/>
    <col min="12590" max="12590" width="43.5" style="101" customWidth="1"/>
    <col min="12591" max="12591" width="44.5" style="101" customWidth="1"/>
    <col min="12592" max="12801" width="6.5" style="101"/>
    <col min="12802" max="12803" width="2.5" style="101" customWidth="1"/>
    <col min="12804" max="12804" width="0" style="101" hidden="1" customWidth="1"/>
    <col min="12805" max="12807" width="12.5" style="101" customWidth="1"/>
    <col min="12808" max="12808" width="12" style="101" customWidth="1"/>
    <col min="12809" max="12809" width="12.5" style="101" customWidth="1"/>
    <col min="12810" max="12810" width="13.5" style="101" customWidth="1"/>
    <col min="12811" max="12811" width="0" style="101" hidden="1" customWidth="1"/>
    <col min="12812" max="12814" width="13" style="101" customWidth="1"/>
    <col min="12815" max="12815" width="14.5" style="101" customWidth="1"/>
    <col min="12816" max="12817" width="13.5" style="101" customWidth="1"/>
    <col min="12818" max="12818" width="2.5" style="101" customWidth="1"/>
    <col min="12819" max="12819" width="13.5" style="101" customWidth="1"/>
    <col min="12820" max="12820" width="10.5" style="101" customWidth="1"/>
    <col min="12821" max="12821" width="12" style="101" customWidth="1"/>
    <col min="12822" max="12822" width="11.5" style="101" customWidth="1"/>
    <col min="12823" max="12823" width="16" style="101" customWidth="1"/>
    <col min="12824" max="12825" width="10.5" style="101" customWidth="1"/>
    <col min="12826" max="12826" width="15.5" style="101" customWidth="1"/>
    <col min="12827" max="12827" width="11.5" style="101" customWidth="1"/>
    <col min="12828" max="12828" width="12" style="101" customWidth="1"/>
    <col min="12829" max="12829" width="11.5" style="101" customWidth="1"/>
    <col min="12830" max="12830" width="12" style="101" customWidth="1"/>
    <col min="12831" max="12831" width="11.5" style="101" customWidth="1"/>
    <col min="12832" max="12832" width="12.5" style="101" customWidth="1"/>
    <col min="12833" max="12833" width="10.5" style="101" customWidth="1"/>
    <col min="12834" max="12834" width="19" style="101" customWidth="1"/>
    <col min="12835" max="12835" width="13.5" style="101" customWidth="1"/>
    <col min="12836" max="12836" width="18" style="101" customWidth="1"/>
    <col min="12837" max="12837" width="42.5" style="101" customWidth="1"/>
    <col min="12838" max="12838" width="31" style="101" customWidth="1"/>
    <col min="12839" max="12839" width="35" style="101" customWidth="1"/>
    <col min="12840" max="12840" width="31" style="101" customWidth="1"/>
    <col min="12841" max="12841" width="35" style="101" customWidth="1"/>
    <col min="12842" max="12842" width="31" style="101" customWidth="1"/>
    <col min="12843" max="12843" width="37.5" style="101" customWidth="1"/>
    <col min="12844" max="12844" width="11.5" style="101" customWidth="1"/>
    <col min="12845" max="12845" width="54" style="101" customWidth="1"/>
    <col min="12846" max="12846" width="43.5" style="101" customWidth="1"/>
    <col min="12847" max="12847" width="44.5" style="101" customWidth="1"/>
    <col min="12848" max="13057" width="6.5" style="101"/>
    <col min="13058" max="13059" width="2.5" style="101" customWidth="1"/>
    <col min="13060" max="13060" width="0" style="101" hidden="1" customWidth="1"/>
    <col min="13061" max="13063" width="12.5" style="101" customWidth="1"/>
    <col min="13064" max="13064" width="12" style="101" customWidth="1"/>
    <col min="13065" max="13065" width="12.5" style="101" customWidth="1"/>
    <col min="13066" max="13066" width="13.5" style="101" customWidth="1"/>
    <col min="13067" max="13067" width="0" style="101" hidden="1" customWidth="1"/>
    <col min="13068" max="13070" width="13" style="101" customWidth="1"/>
    <col min="13071" max="13071" width="14.5" style="101" customWidth="1"/>
    <col min="13072" max="13073" width="13.5" style="101" customWidth="1"/>
    <col min="13074" max="13074" width="2.5" style="101" customWidth="1"/>
    <col min="13075" max="13075" width="13.5" style="101" customWidth="1"/>
    <col min="13076" max="13076" width="10.5" style="101" customWidth="1"/>
    <col min="13077" max="13077" width="12" style="101" customWidth="1"/>
    <col min="13078" max="13078" width="11.5" style="101" customWidth="1"/>
    <col min="13079" max="13079" width="16" style="101" customWidth="1"/>
    <col min="13080" max="13081" width="10.5" style="101" customWidth="1"/>
    <col min="13082" max="13082" width="15.5" style="101" customWidth="1"/>
    <col min="13083" max="13083" width="11.5" style="101" customWidth="1"/>
    <col min="13084" max="13084" width="12" style="101" customWidth="1"/>
    <col min="13085" max="13085" width="11.5" style="101" customWidth="1"/>
    <col min="13086" max="13086" width="12" style="101" customWidth="1"/>
    <col min="13087" max="13087" width="11.5" style="101" customWidth="1"/>
    <col min="13088" max="13088" width="12.5" style="101" customWidth="1"/>
    <col min="13089" max="13089" width="10.5" style="101" customWidth="1"/>
    <col min="13090" max="13090" width="19" style="101" customWidth="1"/>
    <col min="13091" max="13091" width="13.5" style="101" customWidth="1"/>
    <col min="13092" max="13092" width="18" style="101" customWidth="1"/>
    <col min="13093" max="13093" width="42.5" style="101" customWidth="1"/>
    <col min="13094" max="13094" width="31" style="101" customWidth="1"/>
    <col min="13095" max="13095" width="35" style="101" customWidth="1"/>
    <col min="13096" max="13096" width="31" style="101" customWidth="1"/>
    <col min="13097" max="13097" width="35" style="101" customWidth="1"/>
    <col min="13098" max="13098" width="31" style="101" customWidth="1"/>
    <col min="13099" max="13099" width="37.5" style="101" customWidth="1"/>
    <col min="13100" max="13100" width="11.5" style="101" customWidth="1"/>
    <col min="13101" max="13101" width="54" style="101" customWidth="1"/>
    <col min="13102" max="13102" width="43.5" style="101" customWidth="1"/>
    <col min="13103" max="13103" width="44.5" style="101" customWidth="1"/>
    <col min="13104" max="13313" width="6.5" style="101"/>
    <col min="13314" max="13315" width="2.5" style="101" customWidth="1"/>
    <col min="13316" max="13316" width="0" style="101" hidden="1" customWidth="1"/>
    <col min="13317" max="13319" width="12.5" style="101" customWidth="1"/>
    <col min="13320" max="13320" width="12" style="101" customWidth="1"/>
    <col min="13321" max="13321" width="12.5" style="101" customWidth="1"/>
    <col min="13322" max="13322" width="13.5" style="101" customWidth="1"/>
    <col min="13323" max="13323" width="0" style="101" hidden="1" customWidth="1"/>
    <col min="13324" max="13326" width="13" style="101" customWidth="1"/>
    <col min="13327" max="13327" width="14.5" style="101" customWidth="1"/>
    <col min="13328" max="13329" width="13.5" style="101" customWidth="1"/>
    <col min="13330" max="13330" width="2.5" style="101" customWidth="1"/>
    <col min="13331" max="13331" width="13.5" style="101" customWidth="1"/>
    <col min="13332" max="13332" width="10.5" style="101" customWidth="1"/>
    <col min="13333" max="13333" width="12" style="101" customWidth="1"/>
    <col min="13334" max="13334" width="11.5" style="101" customWidth="1"/>
    <col min="13335" max="13335" width="16" style="101" customWidth="1"/>
    <col min="13336" max="13337" width="10.5" style="101" customWidth="1"/>
    <col min="13338" max="13338" width="15.5" style="101" customWidth="1"/>
    <col min="13339" max="13339" width="11.5" style="101" customWidth="1"/>
    <col min="13340" max="13340" width="12" style="101" customWidth="1"/>
    <col min="13341" max="13341" width="11.5" style="101" customWidth="1"/>
    <col min="13342" max="13342" width="12" style="101" customWidth="1"/>
    <col min="13343" max="13343" width="11.5" style="101" customWidth="1"/>
    <col min="13344" max="13344" width="12.5" style="101" customWidth="1"/>
    <col min="13345" max="13345" width="10.5" style="101" customWidth="1"/>
    <col min="13346" max="13346" width="19" style="101" customWidth="1"/>
    <col min="13347" max="13347" width="13.5" style="101" customWidth="1"/>
    <col min="13348" max="13348" width="18" style="101" customWidth="1"/>
    <col min="13349" max="13349" width="42.5" style="101" customWidth="1"/>
    <col min="13350" max="13350" width="31" style="101" customWidth="1"/>
    <col min="13351" max="13351" width="35" style="101" customWidth="1"/>
    <col min="13352" max="13352" width="31" style="101" customWidth="1"/>
    <col min="13353" max="13353" width="35" style="101" customWidth="1"/>
    <col min="13354" max="13354" width="31" style="101" customWidth="1"/>
    <col min="13355" max="13355" width="37.5" style="101" customWidth="1"/>
    <col min="13356" max="13356" width="11.5" style="101" customWidth="1"/>
    <col min="13357" max="13357" width="54" style="101" customWidth="1"/>
    <col min="13358" max="13358" width="43.5" style="101" customWidth="1"/>
    <col min="13359" max="13359" width="44.5" style="101" customWidth="1"/>
    <col min="13360" max="13569" width="6.5" style="101"/>
    <col min="13570" max="13571" width="2.5" style="101" customWidth="1"/>
    <col min="13572" max="13572" width="0" style="101" hidden="1" customWidth="1"/>
    <col min="13573" max="13575" width="12.5" style="101" customWidth="1"/>
    <col min="13576" max="13576" width="12" style="101" customWidth="1"/>
    <col min="13577" max="13577" width="12.5" style="101" customWidth="1"/>
    <col min="13578" max="13578" width="13.5" style="101" customWidth="1"/>
    <col min="13579" max="13579" width="0" style="101" hidden="1" customWidth="1"/>
    <col min="13580" max="13582" width="13" style="101" customWidth="1"/>
    <col min="13583" max="13583" width="14.5" style="101" customWidth="1"/>
    <col min="13584" max="13585" width="13.5" style="101" customWidth="1"/>
    <col min="13586" max="13586" width="2.5" style="101" customWidth="1"/>
    <col min="13587" max="13587" width="13.5" style="101" customWidth="1"/>
    <col min="13588" max="13588" width="10.5" style="101" customWidth="1"/>
    <col min="13589" max="13589" width="12" style="101" customWidth="1"/>
    <col min="13590" max="13590" width="11.5" style="101" customWidth="1"/>
    <col min="13591" max="13591" width="16" style="101" customWidth="1"/>
    <col min="13592" max="13593" width="10.5" style="101" customWidth="1"/>
    <col min="13594" max="13594" width="15.5" style="101" customWidth="1"/>
    <col min="13595" max="13595" width="11.5" style="101" customWidth="1"/>
    <col min="13596" max="13596" width="12" style="101" customWidth="1"/>
    <col min="13597" max="13597" width="11.5" style="101" customWidth="1"/>
    <col min="13598" max="13598" width="12" style="101" customWidth="1"/>
    <col min="13599" max="13599" width="11.5" style="101" customWidth="1"/>
    <col min="13600" max="13600" width="12.5" style="101" customWidth="1"/>
    <col min="13601" max="13601" width="10.5" style="101" customWidth="1"/>
    <col min="13602" max="13602" width="19" style="101" customWidth="1"/>
    <col min="13603" max="13603" width="13.5" style="101" customWidth="1"/>
    <col min="13604" max="13604" width="18" style="101" customWidth="1"/>
    <col min="13605" max="13605" width="42.5" style="101" customWidth="1"/>
    <col min="13606" max="13606" width="31" style="101" customWidth="1"/>
    <col min="13607" max="13607" width="35" style="101" customWidth="1"/>
    <col min="13608" max="13608" width="31" style="101" customWidth="1"/>
    <col min="13609" max="13609" width="35" style="101" customWidth="1"/>
    <col min="13610" max="13610" width="31" style="101" customWidth="1"/>
    <col min="13611" max="13611" width="37.5" style="101" customWidth="1"/>
    <col min="13612" max="13612" width="11.5" style="101" customWidth="1"/>
    <col min="13613" max="13613" width="54" style="101" customWidth="1"/>
    <col min="13614" max="13614" width="43.5" style="101" customWidth="1"/>
    <col min="13615" max="13615" width="44.5" style="101" customWidth="1"/>
    <col min="13616" max="13825" width="6.5" style="101"/>
    <col min="13826" max="13827" width="2.5" style="101" customWidth="1"/>
    <col min="13828" max="13828" width="0" style="101" hidden="1" customWidth="1"/>
    <col min="13829" max="13831" width="12.5" style="101" customWidth="1"/>
    <col min="13832" max="13832" width="12" style="101" customWidth="1"/>
    <col min="13833" max="13833" width="12.5" style="101" customWidth="1"/>
    <col min="13834" max="13834" width="13.5" style="101" customWidth="1"/>
    <col min="13835" max="13835" width="0" style="101" hidden="1" customWidth="1"/>
    <col min="13836" max="13838" width="13" style="101" customWidth="1"/>
    <col min="13839" max="13839" width="14.5" style="101" customWidth="1"/>
    <col min="13840" max="13841" width="13.5" style="101" customWidth="1"/>
    <col min="13842" max="13842" width="2.5" style="101" customWidth="1"/>
    <col min="13843" max="13843" width="13.5" style="101" customWidth="1"/>
    <col min="13844" max="13844" width="10.5" style="101" customWidth="1"/>
    <col min="13845" max="13845" width="12" style="101" customWidth="1"/>
    <col min="13846" max="13846" width="11.5" style="101" customWidth="1"/>
    <col min="13847" max="13847" width="16" style="101" customWidth="1"/>
    <col min="13848" max="13849" width="10.5" style="101" customWidth="1"/>
    <col min="13850" max="13850" width="15.5" style="101" customWidth="1"/>
    <col min="13851" max="13851" width="11.5" style="101" customWidth="1"/>
    <col min="13852" max="13852" width="12" style="101" customWidth="1"/>
    <col min="13853" max="13853" width="11.5" style="101" customWidth="1"/>
    <col min="13854" max="13854" width="12" style="101" customWidth="1"/>
    <col min="13855" max="13855" width="11.5" style="101" customWidth="1"/>
    <col min="13856" max="13856" width="12.5" style="101" customWidth="1"/>
    <col min="13857" max="13857" width="10.5" style="101" customWidth="1"/>
    <col min="13858" max="13858" width="19" style="101" customWidth="1"/>
    <col min="13859" max="13859" width="13.5" style="101" customWidth="1"/>
    <col min="13860" max="13860" width="18" style="101" customWidth="1"/>
    <col min="13861" max="13861" width="42.5" style="101" customWidth="1"/>
    <col min="13862" max="13862" width="31" style="101" customWidth="1"/>
    <col min="13863" max="13863" width="35" style="101" customWidth="1"/>
    <col min="13864" max="13864" width="31" style="101" customWidth="1"/>
    <col min="13865" max="13865" width="35" style="101" customWidth="1"/>
    <col min="13866" max="13866" width="31" style="101" customWidth="1"/>
    <col min="13867" max="13867" width="37.5" style="101" customWidth="1"/>
    <col min="13868" max="13868" width="11.5" style="101" customWidth="1"/>
    <col min="13869" max="13869" width="54" style="101" customWidth="1"/>
    <col min="13870" max="13870" width="43.5" style="101" customWidth="1"/>
    <col min="13871" max="13871" width="44.5" style="101" customWidth="1"/>
    <col min="13872" max="14081" width="6.5" style="101"/>
    <col min="14082" max="14083" width="2.5" style="101" customWidth="1"/>
    <col min="14084" max="14084" width="0" style="101" hidden="1" customWidth="1"/>
    <col min="14085" max="14087" width="12.5" style="101" customWidth="1"/>
    <col min="14088" max="14088" width="12" style="101" customWidth="1"/>
    <col min="14089" max="14089" width="12.5" style="101" customWidth="1"/>
    <col min="14090" max="14090" width="13.5" style="101" customWidth="1"/>
    <col min="14091" max="14091" width="0" style="101" hidden="1" customWidth="1"/>
    <col min="14092" max="14094" width="13" style="101" customWidth="1"/>
    <col min="14095" max="14095" width="14.5" style="101" customWidth="1"/>
    <col min="14096" max="14097" width="13.5" style="101" customWidth="1"/>
    <col min="14098" max="14098" width="2.5" style="101" customWidth="1"/>
    <col min="14099" max="14099" width="13.5" style="101" customWidth="1"/>
    <col min="14100" max="14100" width="10.5" style="101" customWidth="1"/>
    <col min="14101" max="14101" width="12" style="101" customWidth="1"/>
    <col min="14102" max="14102" width="11.5" style="101" customWidth="1"/>
    <col min="14103" max="14103" width="16" style="101" customWidth="1"/>
    <col min="14104" max="14105" width="10.5" style="101" customWidth="1"/>
    <col min="14106" max="14106" width="15.5" style="101" customWidth="1"/>
    <col min="14107" max="14107" width="11.5" style="101" customWidth="1"/>
    <col min="14108" max="14108" width="12" style="101" customWidth="1"/>
    <col min="14109" max="14109" width="11.5" style="101" customWidth="1"/>
    <col min="14110" max="14110" width="12" style="101" customWidth="1"/>
    <col min="14111" max="14111" width="11.5" style="101" customWidth="1"/>
    <col min="14112" max="14112" width="12.5" style="101" customWidth="1"/>
    <col min="14113" max="14113" width="10.5" style="101" customWidth="1"/>
    <col min="14114" max="14114" width="19" style="101" customWidth="1"/>
    <col min="14115" max="14115" width="13.5" style="101" customWidth="1"/>
    <col min="14116" max="14116" width="18" style="101" customWidth="1"/>
    <col min="14117" max="14117" width="42.5" style="101" customWidth="1"/>
    <col min="14118" max="14118" width="31" style="101" customWidth="1"/>
    <col min="14119" max="14119" width="35" style="101" customWidth="1"/>
    <col min="14120" max="14120" width="31" style="101" customWidth="1"/>
    <col min="14121" max="14121" width="35" style="101" customWidth="1"/>
    <col min="14122" max="14122" width="31" style="101" customWidth="1"/>
    <col min="14123" max="14123" width="37.5" style="101" customWidth="1"/>
    <col min="14124" max="14124" width="11.5" style="101" customWidth="1"/>
    <col min="14125" max="14125" width="54" style="101" customWidth="1"/>
    <col min="14126" max="14126" width="43.5" style="101" customWidth="1"/>
    <col min="14127" max="14127" width="44.5" style="101" customWidth="1"/>
    <col min="14128" max="14337" width="6.5" style="101"/>
    <col min="14338" max="14339" width="2.5" style="101" customWidth="1"/>
    <col min="14340" max="14340" width="0" style="101" hidden="1" customWidth="1"/>
    <col min="14341" max="14343" width="12.5" style="101" customWidth="1"/>
    <col min="14344" max="14344" width="12" style="101" customWidth="1"/>
    <col min="14345" max="14345" width="12.5" style="101" customWidth="1"/>
    <col min="14346" max="14346" width="13.5" style="101" customWidth="1"/>
    <col min="14347" max="14347" width="0" style="101" hidden="1" customWidth="1"/>
    <col min="14348" max="14350" width="13" style="101" customWidth="1"/>
    <col min="14351" max="14351" width="14.5" style="101" customWidth="1"/>
    <col min="14352" max="14353" width="13.5" style="101" customWidth="1"/>
    <col min="14354" max="14354" width="2.5" style="101" customWidth="1"/>
    <col min="14355" max="14355" width="13.5" style="101" customWidth="1"/>
    <col min="14356" max="14356" width="10.5" style="101" customWidth="1"/>
    <col min="14357" max="14357" width="12" style="101" customWidth="1"/>
    <col min="14358" max="14358" width="11.5" style="101" customWidth="1"/>
    <col min="14359" max="14359" width="16" style="101" customWidth="1"/>
    <col min="14360" max="14361" width="10.5" style="101" customWidth="1"/>
    <col min="14362" max="14362" width="15.5" style="101" customWidth="1"/>
    <col min="14363" max="14363" width="11.5" style="101" customWidth="1"/>
    <col min="14364" max="14364" width="12" style="101" customWidth="1"/>
    <col min="14365" max="14365" width="11.5" style="101" customWidth="1"/>
    <col min="14366" max="14366" width="12" style="101" customWidth="1"/>
    <col min="14367" max="14367" width="11.5" style="101" customWidth="1"/>
    <col min="14368" max="14368" width="12.5" style="101" customWidth="1"/>
    <col min="14369" max="14369" width="10.5" style="101" customWidth="1"/>
    <col min="14370" max="14370" width="19" style="101" customWidth="1"/>
    <col min="14371" max="14371" width="13.5" style="101" customWidth="1"/>
    <col min="14372" max="14372" width="18" style="101" customWidth="1"/>
    <col min="14373" max="14373" width="42.5" style="101" customWidth="1"/>
    <col min="14374" max="14374" width="31" style="101" customWidth="1"/>
    <col min="14375" max="14375" width="35" style="101" customWidth="1"/>
    <col min="14376" max="14376" width="31" style="101" customWidth="1"/>
    <col min="14377" max="14377" width="35" style="101" customWidth="1"/>
    <col min="14378" max="14378" width="31" style="101" customWidth="1"/>
    <col min="14379" max="14379" width="37.5" style="101" customWidth="1"/>
    <col min="14380" max="14380" width="11.5" style="101" customWidth="1"/>
    <col min="14381" max="14381" width="54" style="101" customWidth="1"/>
    <col min="14382" max="14382" width="43.5" style="101" customWidth="1"/>
    <col min="14383" max="14383" width="44.5" style="101" customWidth="1"/>
    <col min="14384" max="14593" width="6.5" style="101"/>
    <col min="14594" max="14595" width="2.5" style="101" customWidth="1"/>
    <col min="14596" max="14596" width="0" style="101" hidden="1" customWidth="1"/>
    <col min="14597" max="14599" width="12.5" style="101" customWidth="1"/>
    <col min="14600" max="14600" width="12" style="101" customWidth="1"/>
    <col min="14601" max="14601" width="12.5" style="101" customWidth="1"/>
    <col min="14602" max="14602" width="13.5" style="101" customWidth="1"/>
    <col min="14603" max="14603" width="0" style="101" hidden="1" customWidth="1"/>
    <col min="14604" max="14606" width="13" style="101" customWidth="1"/>
    <col min="14607" max="14607" width="14.5" style="101" customWidth="1"/>
    <col min="14608" max="14609" width="13.5" style="101" customWidth="1"/>
    <col min="14610" max="14610" width="2.5" style="101" customWidth="1"/>
    <col min="14611" max="14611" width="13.5" style="101" customWidth="1"/>
    <col min="14612" max="14612" width="10.5" style="101" customWidth="1"/>
    <col min="14613" max="14613" width="12" style="101" customWidth="1"/>
    <col min="14614" max="14614" width="11.5" style="101" customWidth="1"/>
    <col min="14615" max="14615" width="16" style="101" customWidth="1"/>
    <col min="14616" max="14617" width="10.5" style="101" customWidth="1"/>
    <col min="14618" max="14618" width="15.5" style="101" customWidth="1"/>
    <col min="14619" max="14619" width="11.5" style="101" customWidth="1"/>
    <col min="14620" max="14620" width="12" style="101" customWidth="1"/>
    <col min="14621" max="14621" width="11.5" style="101" customWidth="1"/>
    <col min="14622" max="14622" width="12" style="101" customWidth="1"/>
    <col min="14623" max="14623" width="11.5" style="101" customWidth="1"/>
    <col min="14624" max="14624" width="12.5" style="101" customWidth="1"/>
    <col min="14625" max="14625" width="10.5" style="101" customWidth="1"/>
    <col min="14626" max="14626" width="19" style="101" customWidth="1"/>
    <col min="14627" max="14627" width="13.5" style="101" customWidth="1"/>
    <col min="14628" max="14628" width="18" style="101" customWidth="1"/>
    <col min="14629" max="14629" width="42.5" style="101" customWidth="1"/>
    <col min="14630" max="14630" width="31" style="101" customWidth="1"/>
    <col min="14631" max="14631" width="35" style="101" customWidth="1"/>
    <col min="14632" max="14632" width="31" style="101" customWidth="1"/>
    <col min="14633" max="14633" width="35" style="101" customWidth="1"/>
    <col min="14634" max="14634" width="31" style="101" customWidth="1"/>
    <col min="14635" max="14635" width="37.5" style="101" customWidth="1"/>
    <col min="14636" max="14636" width="11.5" style="101" customWidth="1"/>
    <col min="14637" max="14637" width="54" style="101" customWidth="1"/>
    <col min="14638" max="14638" width="43.5" style="101" customWidth="1"/>
    <col min="14639" max="14639" width="44.5" style="101" customWidth="1"/>
    <col min="14640" max="14849" width="6.5" style="101"/>
    <col min="14850" max="14851" width="2.5" style="101" customWidth="1"/>
    <col min="14852" max="14852" width="0" style="101" hidden="1" customWidth="1"/>
    <col min="14853" max="14855" width="12.5" style="101" customWidth="1"/>
    <col min="14856" max="14856" width="12" style="101" customWidth="1"/>
    <col min="14857" max="14857" width="12.5" style="101" customWidth="1"/>
    <col min="14858" max="14858" width="13.5" style="101" customWidth="1"/>
    <col min="14859" max="14859" width="0" style="101" hidden="1" customWidth="1"/>
    <col min="14860" max="14862" width="13" style="101" customWidth="1"/>
    <col min="14863" max="14863" width="14.5" style="101" customWidth="1"/>
    <col min="14864" max="14865" width="13.5" style="101" customWidth="1"/>
    <col min="14866" max="14866" width="2.5" style="101" customWidth="1"/>
    <col min="14867" max="14867" width="13.5" style="101" customWidth="1"/>
    <col min="14868" max="14868" width="10.5" style="101" customWidth="1"/>
    <col min="14869" max="14869" width="12" style="101" customWidth="1"/>
    <col min="14870" max="14870" width="11.5" style="101" customWidth="1"/>
    <col min="14871" max="14871" width="16" style="101" customWidth="1"/>
    <col min="14872" max="14873" width="10.5" style="101" customWidth="1"/>
    <col min="14874" max="14874" width="15.5" style="101" customWidth="1"/>
    <col min="14875" max="14875" width="11.5" style="101" customWidth="1"/>
    <col min="14876" max="14876" width="12" style="101" customWidth="1"/>
    <col min="14877" max="14877" width="11.5" style="101" customWidth="1"/>
    <col min="14878" max="14878" width="12" style="101" customWidth="1"/>
    <col min="14879" max="14879" width="11.5" style="101" customWidth="1"/>
    <col min="14880" max="14880" width="12.5" style="101" customWidth="1"/>
    <col min="14881" max="14881" width="10.5" style="101" customWidth="1"/>
    <col min="14882" max="14882" width="19" style="101" customWidth="1"/>
    <col min="14883" max="14883" width="13.5" style="101" customWidth="1"/>
    <col min="14884" max="14884" width="18" style="101" customWidth="1"/>
    <col min="14885" max="14885" width="42.5" style="101" customWidth="1"/>
    <col min="14886" max="14886" width="31" style="101" customWidth="1"/>
    <col min="14887" max="14887" width="35" style="101" customWidth="1"/>
    <col min="14888" max="14888" width="31" style="101" customWidth="1"/>
    <col min="14889" max="14889" width="35" style="101" customWidth="1"/>
    <col min="14890" max="14890" width="31" style="101" customWidth="1"/>
    <col min="14891" max="14891" width="37.5" style="101" customWidth="1"/>
    <col min="14892" max="14892" width="11.5" style="101" customWidth="1"/>
    <col min="14893" max="14893" width="54" style="101" customWidth="1"/>
    <col min="14894" max="14894" width="43.5" style="101" customWidth="1"/>
    <col min="14895" max="14895" width="44.5" style="101" customWidth="1"/>
    <col min="14896" max="15105" width="6.5" style="101"/>
    <col min="15106" max="15107" width="2.5" style="101" customWidth="1"/>
    <col min="15108" max="15108" width="0" style="101" hidden="1" customWidth="1"/>
    <col min="15109" max="15111" width="12.5" style="101" customWidth="1"/>
    <col min="15112" max="15112" width="12" style="101" customWidth="1"/>
    <col min="15113" max="15113" width="12.5" style="101" customWidth="1"/>
    <col min="15114" max="15114" width="13.5" style="101" customWidth="1"/>
    <col min="15115" max="15115" width="0" style="101" hidden="1" customWidth="1"/>
    <col min="15116" max="15118" width="13" style="101" customWidth="1"/>
    <col min="15119" max="15119" width="14.5" style="101" customWidth="1"/>
    <col min="15120" max="15121" width="13.5" style="101" customWidth="1"/>
    <col min="15122" max="15122" width="2.5" style="101" customWidth="1"/>
    <col min="15123" max="15123" width="13.5" style="101" customWidth="1"/>
    <col min="15124" max="15124" width="10.5" style="101" customWidth="1"/>
    <col min="15125" max="15125" width="12" style="101" customWidth="1"/>
    <col min="15126" max="15126" width="11.5" style="101" customWidth="1"/>
    <col min="15127" max="15127" width="16" style="101" customWidth="1"/>
    <col min="15128" max="15129" width="10.5" style="101" customWidth="1"/>
    <col min="15130" max="15130" width="15.5" style="101" customWidth="1"/>
    <col min="15131" max="15131" width="11.5" style="101" customWidth="1"/>
    <col min="15132" max="15132" width="12" style="101" customWidth="1"/>
    <col min="15133" max="15133" width="11.5" style="101" customWidth="1"/>
    <col min="15134" max="15134" width="12" style="101" customWidth="1"/>
    <col min="15135" max="15135" width="11.5" style="101" customWidth="1"/>
    <col min="15136" max="15136" width="12.5" style="101" customWidth="1"/>
    <col min="15137" max="15137" width="10.5" style="101" customWidth="1"/>
    <col min="15138" max="15138" width="19" style="101" customWidth="1"/>
    <col min="15139" max="15139" width="13.5" style="101" customWidth="1"/>
    <col min="15140" max="15140" width="18" style="101" customWidth="1"/>
    <col min="15141" max="15141" width="42.5" style="101" customWidth="1"/>
    <col min="15142" max="15142" width="31" style="101" customWidth="1"/>
    <col min="15143" max="15143" width="35" style="101" customWidth="1"/>
    <col min="15144" max="15144" width="31" style="101" customWidth="1"/>
    <col min="15145" max="15145" width="35" style="101" customWidth="1"/>
    <col min="15146" max="15146" width="31" style="101" customWidth="1"/>
    <col min="15147" max="15147" width="37.5" style="101" customWidth="1"/>
    <col min="15148" max="15148" width="11.5" style="101" customWidth="1"/>
    <col min="15149" max="15149" width="54" style="101" customWidth="1"/>
    <col min="15150" max="15150" width="43.5" style="101" customWidth="1"/>
    <col min="15151" max="15151" width="44.5" style="101" customWidth="1"/>
    <col min="15152" max="15361" width="6.5" style="101"/>
    <col min="15362" max="15363" width="2.5" style="101" customWidth="1"/>
    <col min="15364" max="15364" width="0" style="101" hidden="1" customWidth="1"/>
    <col min="15365" max="15367" width="12.5" style="101" customWidth="1"/>
    <col min="15368" max="15368" width="12" style="101" customWidth="1"/>
    <col min="15369" max="15369" width="12.5" style="101" customWidth="1"/>
    <col min="15370" max="15370" width="13.5" style="101" customWidth="1"/>
    <col min="15371" max="15371" width="0" style="101" hidden="1" customWidth="1"/>
    <col min="15372" max="15374" width="13" style="101" customWidth="1"/>
    <col min="15375" max="15375" width="14.5" style="101" customWidth="1"/>
    <col min="15376" max="15377" width="13.5" style="101" customWidth="1"/>
    <col min="15378" max="15378" width="2.5" style="101" customWidth="1"/>
    <col min="15379" max="15379" width="13.5" style="101" customWidth="1"/>
    <col min="15380" max="15380" width="10.5" style="101" customWidth="1"/>
    <col min="15381" max="15381" width="12" style="101" customWidth="1"/>
    <col min="15382" max="15382" width="11.5" style="101" customWidth="1"/>
    <col min="15383" max="15383" width="16" style="101" customWidth="1"/>
    <col min="15384" max="15385" width="10.5" style="101" customWidth="1"/>
    <col min="15386" max="15386" width="15.5" style="101" customWidth="1"/>
    <col min="15387" max="15387" width="11.5" style="101" customWidth="1"/>
    <col min="15388" max="15388" width="12" style="101" customWidth="1"/>
    <col min="15389" max="15389" width="11.5" style="101" customWidth="1"/>
    <col min="15390" max="15390" width="12" style="101" customWidth="1"/>
    <col min="15391" max="15391" width="11.5" style="101" customWidth="1"/>
    <col min="15392" max="15392" width="12.5" style="101" customWidth="1"/>
    <col min="15393" max="15393" width="10.5" style="101" customWidth="1"/>
    <col min="15394" max="15394" width="19" style="101" customWidth="1"/>
    <col min="15395" max="15395" width="13.5" style="101" customWidth="1"/>
    <col min="15396" max="15396" width="18" style="101" customWidth="1"/>
    <col min="15397" max="15397" width="42.5" style="101" customWidth="1"/>
    <col min="15398" max="15398" width="31" style="101" customWidth="1"/>
    <col min="15399" max="15399" width="35" style="101" customWidth="1"/>
    <col min="15400" max="15400" width="31" style="101" customWidth="1"/>
    <col min="15401" max="15401" width="35" style="101" customWidth="1"/>
    <col min="15402" max="15402" width="31" style="101" customWidth="1"/>
    <col min="15403" max="15403" width="37.5" style="101" customWidth="1"/>
    <col min="15404" max="15404" width="11.5" style="101" customWidth="1"/>
    <col min="15405" max="15405" width="54" style="101" customWidth="1"/>
    <col min="15406" max="15406" width="43.5" style="101" customWidth="1"/>
    <col min="15407" max="15407" width="44.5" style="101" customWidth="1"/>
    <col min="15408" max="15617" width="6.5" style="101"/>
    <col min="15618" max="15619" width="2.5" style="101" customWidth="1"/>
    <col min="15620" max="15620" width="0" style="101" hidden="1" customWidth="1"/>
    <col min="15621" max="15623" width="12.5" style="101" customWidth="1"/>
    <col min="15624" max="15624" width="12" style="101" customWidth="1"/>
    <col min="15625" max="15625" width="12.5" style="101" customWidth="1"/>
    <col min="15626" max="15626" width="13.5" style="101" customWidth="1"/>
    <col min="15627" max="15627" width="0" style="101" hidden="1" customWidth="1"/>
    <col min="15628" max="15630" width="13" style="101" customWidth="1"/>
    <col min="15631" max="15631" width="14.5" style="101" customWidth="1"/>
    <col min="15632" max="15633" width="13.5" style="101" customWidth="1"/>
    <col min="15634" max="15634" width="2.5" style="101" customWidth="1"/>
    <col min="15635" max="15635" width="13.5" style="101" customWidth="1"/>
    <col min="15636" max="15636" width="10.5" style="101" customWidth="1"/>
    <col min="15637" max="15637" width="12" style="101" customWidth="1"/>
    <col min="15638" max="15638" width="11.5" style="101" customWidth="1"/>
    <col min="15639" max="15639" width="16" style="101" customWidth="1"/>
    <col min="15640" max="15641" width="10.5" style="101" customWidth="1"/>
    <col min="15642" max="15642" width="15.5" style="101" customWidth="1"/>
    <col min="15643" max="15643" width="11.5" style="101" customWidth="1"/>
    <col min="15644" max="15644" width="12" style="101" customWidth="1"/>
    <col min="15645" max="15645" width="11.5" style="101" customWidth="1"/>
    <col min="15646" max="15646" width="12" style="101" customWidth="1"/>
    <col min="15647" max="15647" width="11.5" style="101" customWidth="1"/>
    <col min="15648" max="15648" width="12.5" style="101" customWidth="1"/>
    <col min="15649" max="15649" width="10.5" style="101" customWidth="1"/>
    <col min="15650" max="15650" width="19" style="101" customWidth="1"/>
    <col min="15651" max="15651" width="13.5" style="101" customWidth="1"/>
    <col min="15652" max="15652" width="18" style="101" customWidth="1"/>
    <col min="15653" max="15653" width="42.5" style="101" customWidth="1"/>
    <col min="15654" max="15654" width="31" style="101" customWidth="1"/>
    <col min="15655" max="15655" width="35" style="101" customWidth="1"/>
    <col min="15656" max="15656" width="31" style="101" customWidth="1"/>
    <col min="15657" max="15657" width="35" style="101" customWidth="1"/>
    <col min="15658" max="15658" width="31" style="101" customWidth="1"/>
    <col min="15659" max="15659" width="37.5" style="101" customWidth="1"/>
    <col min="15660" max="15660" width="11.5" style="101" customWidth="1"/>
    <col min="15661" max="15661" width="54" style="101" customWidth="1"/>
    <col min="15662" max="15662" width="43.5" style="101" customWidth="1"/>
    <col min="15663" max="15663" width="44.5" style="101" customWidth="1"/>
    <col min="15664" max="15873" width="6.5" style="101"/>
    <col min="15874" max="15875" width="2.5" style="101" customWidth="1"/>
    <col min="15876" max="15876" width="0" style="101" hidden="1" customWidth="1"/>
    <col min="15877" max="15879" width="12.5" style="101" customWidth="1"/>
    <col min="15880" max="15880" width="12" style="101" customWidth="1"/>
    <col min="15881" max="15881" width="12.5" style="101" customWidth="1"/>
    <col min="15882" max="15882" width="13.5" style="101" customWidth="1"/>
    <col min="15883" max="15883" width="0" style="101" hidden="1" customWidth="1"/>
    <col min="15884" max="15886" width="13" style="101" customWidth="1"/>
    <col min="15887" max="15887" width="14.5" style="101" customWidth="1"/>
    <col min="15888" max="15889" width="13.5" style="101" customWidth="1"/>
    <col min="15890" max="15890" width="2.5" style="101" customWidth="1"/>
    <col min="15891" max="15891" width="13.5" style="101" customWidth="1"/>
    <col min="15892" max="15892" width="10.5" style="101" customWidth="1"/>
    <col min="15893" max="15893" width="12" style="101" customWidth="1"/>
    <col min="15894" max="15894" width="11.5" style="101" customWidth="1"/>
    <col min="15895" max="15895" width="16" style="101" customWidth="1"/>
    <col min="15896" max="15897" width="10.5" style="101" customWidth="1"/>
    <col min="15898" max="15898" width="15.5" style="101" customWidth="1"/>
    <col min="15899" max="15899" width="11.5" style="101" customWidth="1"/>
    <col min="15900" max="15900" width="12" style="101" customWidth="1"/>
    <col min="15901" max="15901" width="11.5" style="101" customWidth="1"/>
    <col min="15902" max="15902" width="12" style="101" customWidth="1"/>
    <col min="15903" max="15903" width="11.5" style="101" customWidth="1"/>
    <col min="15904" max="15904" width="12.5" style="101" customWidth="1"/>
    <col min="15905" max="15905" width="10.5" style="101" customWidth="1"/>
    <col min="15906" max="15906" width="19" style="101" customWidth="1"/>
    <col min="15907" max="15907" width="13.5" style="101" customWidth="1"/>
    <col min="15908" max="15908" width="18" style="101" customWidth="1"/>
    <col min="15909" max="15909" width="42.5" style="101" customWidth="1"/>
    <col min="15910" max="15910" width="31" style="101" customWidth="1"/>
    <col min="15911" max="15911" width="35" style="101" customWidth="1"/>
    <col min="15912" max="15912" width="31" style="101" customWidth="1"/>
    <col min="15913" max="15913" width="35" style="101" customWidth="1"/>
    <col min="15914" max="15914" width="31" style="101" customWidth="1"/>
    <col min="15915" max="15915" width="37.5" style="101" customWidth="1"/>
    <col min="15916" max="15916" width="11.5" style="101" customWidth="1"/>
    <col min="15917" max="15917" width="54" style="101" customWidth="1"/>
    <col min="15918" max="15918" width="43.5" style="101" customWidth="1"/>
    <col min="15919" max="15919" width="44.5" style="101" customWidth="1"/>
    <col min="15920" max="16129" width="6.5" style="101"/>
    <col min="16130" max="16131" width="2.5" style="101" customWidth="1"/>
    <col min="16132" max="16132" width="0" style="101" hidden="1" customWidth="1"/>
    <col min="16133" max="16135" width="12.5" style="101" customWidth="1"/>
    <col min="16136" max="16136" width="12" style="101" customWidth="1"/>
    <col min="16137" max="16137" width="12.5" style="101" customWidth="1"/>
    <col min="16138" max="16138" width="13.5" style="101" customWidth="1"/>
    <col min="16139" max="16139" width="0" style="101" hidden="1" customWidth="1"/>
    <col min="16140" max="16142" width="13" style="101" customWidth="1"/>
    <col min="16143" max="16143" width="14.5" style="101" customWidth="1"/>
    <col min="16144" max="16145" width="13.5" style="101" customWidth="1"/>
    <col min="16146" max="16146" width="2.5" style="101" customWidth="1"/>
    <col min="16147" max="16147" width="13.5" style="101" customWidth="1"/>
    <col min="16148" max="16148" width="10.5" style="101" customWidth="1"/>
    <col min="16149" max="16149" width="12" style="101" customWidth="1"/>
    <col min="16150" max="16150" width="11.5" style="101" customWidth="1"/>
    <col min="16151" max="16151" width="16" style="101" customWidth="1"/>
    <col min="16152" max="16153" width="10.5" style="101" customWidth="1"/>
    <col min="16154" max="16154" width="15.5" style="101" customWidth="1"/>
    <col min="16155" max="16155" width="11.5" style="101" customWidth="1"/>
    <col min="16156" max="16156" width="12" style="101" customWidth="1"/>
    <col min="16157" max="16157" width="11.5" style="101" customWidth="1"/>
    <col min="16158" max="16158" width="12" style="101" customWidth="1"/>
    <col min="16159" max="16159" width="11.5" style="101" customWidth="1"/>
    <col min="16160" max="16160" width="12.5" style="101" customWidth="1"/>
    <col min="16161" max="16161" width="10.5" style="101" customWidth="1"/>
    <col min="16162" max="16162" width="19" style="101" customWidth="1"/>
    <col min="16163" max="16163" width="13.5" style="101" customWidth="1"/>
    <col min="16164" max="16164" width="18" style="101" customWidth="1"/>
    <col min="16165" max="16165" width="42.5" style="101" customWidth="1"/>
    <col min="16166" max="16166" width="31" style="101" customWidth="1"/>
    <col min="16167" max="16167" width="35" style="101" customWidth="1"/>
    <col min="16168" max="16168" width="31" style="101" customWidth="1"/>
    <col min="16169" max="16169" width="35" style="101" customWidth="1"/>
    <col min="16170" max="16170" width="31" style="101" customWidth="1"/>
    <col min="16171" max="16171" width="37.5" style="101" customWidth="1"/>
    <col min="16172" max="16172" width="11.5" style="101" customWidth="1"/>
    <col min="16173" max="16173" width="54" style="101" customWidth="1"/>
    <col min="16174" max="16174" width="43.5" style="101" customWidth="1"/>
    <col min="16175" max="16175" width="44.5" style="101" customWidth="1"/>
    <col min="16176" max="16384" width="6.5" style="101"/>
  </cols>
  <sheetData>
    <row r="1" spans="2:20" thickBot="1" x14ac:dyDescent="0.25">
      <c r="B1" s="97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9"/>
      <c r="Q1" s="99"/>
      <c r="R1" s="100"/>
    </row>
    <row r="2" spans="2:20" ht="14" x14ac:dyDescent="0.2">
      <c r="B2" s="102"/>
      <c r="C2" s="103"/>
      <c r="D2" s="244"/>
      <c r="E2" s="245"/>
      <c r="F2" s="250" t="s">
        <v>88</v>
      </c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1"/>
      <c r="R2" s="104"/>
    </row>
    <row r="3" spans="2:20" ht="14" x14ac:dyDescent="0.2">
      <c r="B3" s="102"/>
      <c r="C3" s="103"/>
      <c r="D3" s="246"/>
      <c r="E3" s="247"/>
      <c r="F3" s="252"/>
      <c r="G3" s="252"/>
      <c r="H3" s="252"/>
      <c r="I3" s="252"/>
      <c r="J3" s="252"/>
      <c r="K3" s="252"/>
      <c r="L3" s="252"/>
      <c r="M3" s="252"/>
      <c r="N3" s="252"/>
      <c r="O3" s="252"/>
      <c r="P3" s="252"/>
      <c r="Q3" s="253"/>
      <c r="R3" s="104"/>
    </row>
    <row r="4" spans="2:20" ht="16" x14ac:dyDescent="0.2">
      <c r="B4" s="102"/>
      <c r="C4" s="103"/>
      <c r="D4" s="246"/>
      <c r="E4" s="247"/>
      <c r="F4" s="252" t="s">
        <v>89</v>
      </c>
      <c r="G4" s="252"/>
      <c r="H4" s="252"/>
      <c r="I4" s="252"/>
      <c r="J4" s="252"/>
      <c r="K4" s="252"/>
      <c r="L4" s="252"/>
      <c r="M4" s="252" t="s">
        <v>73</v>
      </c>
      <c r="N4" s="252"/>
      <c r="O4" s="105"/>
      <c r="P4" s="255">
        <v>45884</v>
      </c>
      <c r="Q4" s="256"/>
      <c r="R4" s="104"/>
    </row>
    <row r="5" spans="2:20" ht="17" thickBot="1" x14ac:dyDescent="0.25">
      <c r="B5" s="102"/>
      <c r="C5" s="103"/>
      <c r="D5" s="248"/>
      <c r="E5" s="249"/>
      <c r="F5" s="254"/>
      <c r="G5" s="254"/>
      <c r="H5" s="254"/>
      <c r="I5" s="254"/>
      <c r="J5" s="254"/>
      <c r="K5" s="254"/>
      <c r="L5" s="254"/>
      <c r="M5" s="254"/>
      <c r="N5" s="254"/>
      <c r="O5" s="106"/>
      <c r="P5" s="257"/>
      <c r="Q5" s="258"/>
      <c r="R5" s="104"/>
    </row>
    <row r="6" spans="2:20" thickBot="1" x14ac:dyDescent="0.25">
      <c r="B6" s="102"/>
      <c r="C6" s="103"/>
      <c r="D6" s="107"/>
      <c r="E6" s="107"/>
      <c r="F6" s="107"/>
      <c r="G6" s="107"/>
      <c r="H6" s="107"/>
      <c r="I6" s="107"/>
      <c r="J6" s="107"/>
      <c r="K6" s="107"/>
      <c r="L6" s="107"/>
      <c r="M6" s="108"/>
      <c r="N6" s="103"/>
      <c r="O6" s="103"/>
      <c r="R6" s="104"/>
    </row>
    <row r="7" spans="2:20" ht="15" customHeight="1" thickBot="1" x14ac:dyDescent="0.25">
      <c r="B7" s="109"/>
      <c r="C7" s="110"/>
      <c r="D7" s="259"/>
      <c r="E7" s="260"/>
      <c r="F7" s="260"/>
      <c r="G7" s="263"/>
      <c r="H7" s="264"/>
      <c r="I7" s="111"/>
      <c r="J7" s="112"/>
      <c r="K7" s="265"/>
      <c r="L7" s="266"/>
      <c r="M7" s="266"/>
      <c r="N7" s="263" t="s">
        <v>74</v>
      </c>
      <c r="O7" s="264"/>
      <c r="P7" s="111" t="s">
        <v>75</v>
      </c>
      <c r="Q7" s="112" t="s">
        <v>76</v>
      </c>
      <c r="R7" s="104"/>
    </row>
    <row r="8" spans="2:20" thickBot="1" x14ac:dyDescent="0.25">
      <c r="B8" s="109"/>
      <c r="C8" s="110"/>
      <c r="D8" s="261"/>
      <c r="E8" s="262"/>
      <c r="F8" s="262"/>
      <c r="G8" s="263" t="s">
        <v>74</v>
      </c>
      <c r="H8" s="264"/>
      <c r="I8" s="111" t="s">
        <v>75</v>
      </c>
      <c r="J8" s="112" t="s">
        <v>76</v>
      </c>
      <c r="K8" s="267"/>
      <c r="L8" s="268"/>
      <c r="M8" s="268"/>
      <c r="N8" s="113" t="s">
        <v>15</v>
      </c>
      <c r="O8" s="236" t="s">
        <v>90</v>
      </c>
      <c r="P8" s="237" t="s">
        <v>78</v>
      </c>
      <c r="Q8" s="238" t="s">
        <v>79</v>
      </c>
      <c r="R8" s="104"/>
    </row>
    <row r="9" spans="2:20" thickBot="1" x14ac:dyDescent="0.25">
      <c r="B9" s="109"/>
      <c r="C9" s="110"/>
      <c r="D9" s="269" t="s">
        <v>86</v>
      </c>
      <c r="E9" s="270"/>
      <c r="F9" s="270"/>
      <c r="G9" s="270"/>
      <c r="H9" s="270"/>
      <c r="I9" s="270"/>
      <c r="J9" s="271"/>
      <c r="K9" s="230" t="s">
        <v>94</v>
      </c>
      <c r="L9" s="231"/>
      <c r="M9" s="231"/>
      <c r="N9" s="231"/>
      <c r="O9" s="231"/>
      <c r="P9" s="231"/>
      <c r="Q9" s="272"/>
      <c r="R9" s="104"/>
    </row>
    <row r="10" spans="2:20" ht="14" x14ac:dyDescent="0.2">
      <c r="B10" s="109"/>
      <c r="C10" s="110" t="s">
        <v>80</v>
      </c>
      <c r="D10" s="211" t="s">
        <v>91</v>
      </c>
      <c r="E10" s="212"/>
      <c r="F10" s="213"/>
      <c r="G10" s="154" t="s">
        <v>15</v>
      </c>
      <c r="H10" s="155" t="s">
        <v>90</v>
      </c>
      <c r="I10" s="155" t="s">
        <v>78</v>
      </c>
      <c r="J10" s="156" t="s">
        <v>79</v>
      </c>
      <c r="K10" s="236" t="s">
        <v>91</v>
      </c>
      <c r="L10" s="237"/>
      <c r="M10" s="238"/>
      <c r="N10" s="164" t="s">
        <v>15</v>
      </c>
      <c r="O10" s="165" t="s">
        <v>90</v>
      </c>
      <c r="P10" s="165" t="s">
        <v>78</v>
      </c>
      <c r="Q10" s="166" t="s">
        <v>79</v>
      </c>
      <c r="R10" s="104"/>
      <c r="T10" s="120"/>
    </row>
    <row r="11" spans="2:20" ht="14" x14ac:dyDescent="0.2">
      <c r="B11" s="109"/>
      <c r="C11" s="110"/>
      <c r="D11" s="220" t="s">
        <v>92</v>
      </c>
      <c r="E11" s="221"/>
      <c r="F11" s="222"/>
      <c r="G11" s="121">
        <f>Flujos!G4</f>
        <v>164563</v>
      </c>
      <c r="H11" s="121">
        <f>G11/0.915</f>
        <v>179850.27322404372</v>
      </c>
      <c r="I11" s="131">
        <f>Flujos!H4</f>
        <v>0.6552</v>
      </c>
      <c r="J11" s="121">
        <f>+I11*G11</f>
        <v>107821.6776</v>
      </c>
      <c r="K11" s="223" t="s">
        <v>28</v>
      </c>
      <c r="L11" s="224"/>
      <c r="M11" s="225"/>
      <c r="N11" s="121">
        <f>Flujos!G12</f>
        <v>168573</v>
      </c>
      <c r="O11" s="121">
        <f>N11/0.915</f>
        <v>184232.78688524591</v>
      </c>
      <c r="P11" s="125">
        <f>Flujos!H12</f>
        <v>0.6552</v>
      </c>
      <c r="Q11" s="163">
        <f>+P11*N11</f>
        <v>110449.02959999999</v>
      </c>
      <c r="R11" s="104"/>
      <c r="T11" s="120"/>
    </row>
    <row r="12" spans="2:20" thickBot="1" x14ac:dyDescent="0.25">
      <c r="B12" s="109"/>
      <c r="C12" s="110"/>
      <c r="D12" s="220" t="s">
        <v>72</v>
      </c>
      <c r="E12" s="221"/>
      <c r="F12" s="222"/>
      <c r="G12" s="121">
        <f>Flujos!G6</f>
        <v>166988</v>
      </c>
      <c r="H12" s="121">
        <f>G12/0.915</f>
        <v>182500.54644808744</v>
      </c>
      <c r="I12" s="131">
        <f>Flujos!H6</f>
        <v>0.6552</v>
      </c>
      <c r="J12" s="121">
        <f>+I12*G12</f>
        <v>109410.5376</v>
      </c>
      <c r="K12" s="223" t="s">
        <v>97</v>
      </c>
      <c r="L12" s="224"/>
      <c r="M12" s="225"/>
      <c r="N12" s="121">
        <f>'Datos Extra'!B6</f>
        <v>4430.0640000000003</v>
      </c>
      <c r="O12" s="121">
        <f>N12/0.915</f>
        <v>4841.6000000000004</v>
      </c>
      <c r="P12" s="125">
        <f>Flujos!H31</f>
        <v>0.65920986455999997</v>
      </c>
      <c r="Q12" s="163">
        <f>+P12*N12</f>
        <v>2920.3418894321321</v>
      </c>
      <c r="R12" s="104"/>
    </row>
    <row r="13" spans="2:20" ht="15" customHeight="1" thickBot="1" x14ac:dyDescent="0.25">
      <c r="B13" s="109"/>
      <c r="C13" s="110"/>
      <c r="D13" s="211"/>
      <c r="E13" s="212"/>
      <c r="F13" s="213"/>
      <c r="G13" s="208"/>
      <c r="H13" s="209"/>
      <c r="I13" s="209"/>
      <c r="J13" s="210"/>
      <c r="K13" s="214" t="s">
        <v>81</v>
      </c>
      <c r="L13" s="215"/>
      <c r="M13" s="216"/>
      <c r="N13" s="129">
        <f>+SUM(N9:N12)</f>
        <v>173003.06400000001</v>
      </c>
      <c r="O13" s="129">
        <f>+SUM(O9:O12)</f>
        <v>189074.38688524591</v>
      </c>
      <c r="P13" s="129"/>
      <c r="Q13" s="130">
        <f>+SUM(Q9:Q12)</f>
        <v>113369.37148943213</v>
      </c>
      <c r="R13" s="104"/>
    </row>
    <row r="14" spans="2:20" ht="14.5" customHeight="1" x14ac:dyDescent="0.2">
      <c r="B14" s="109"/>
      <c r="C14" s="110"/>
      <c r="D14" s="211" t="s">
        <v>93</v>
      </c>
      <c r="E14" s="212"/>
      <c r="F14" s="213"/>
      <c r="G14" s="154" t="s">
        <v>15</v>
      </c>
      <c r="H14" s="155" t="s">
        <v>90</v>
      </c>
      <c r="I14" s="155" t="s">
        <v>78</v>
      </c>
      <c r="J14" s="156" t="s">
        <v>79</v>
      </c>
      <c r="K14" s="226"/>
      <c r="L14" s="227"/>
      <c r="M14" s="227"/>
      <c r="N14" s="227"/>
      <c r="O14" s="227"/>
      <c r="P14" s="227"/>
      <c r="Q14" s="228"/>
      <c r="R14" s="104"/>
    </row>
    <row r="15" spans="2:20" ht="14" x14ac:dyDescent="0.2">
      <c r="B15" s="109"/>
      <c r="C15" s="110"/>
      <c r="D15" s="116" t="s">
        <v>95</v>
      </c>
      <c r="E15" s="117"/>
      <c r="F15" s="118"/>
      <c r="G15" s="121">
        <f>Flujos!G17</f>
        <v>69887</v>
      </c>
      <c r="H15" s="121">
        <f>G15/0.915</f>
        <v>76379.234972677586</v>
      </c>
      <c r="I15" s="131">
        <f>Flujos!H17</f>
        <v>0.65779996432999999</v>
      </c>
      <c r="J15" s="172">
        <f>+I15*G15</f>
        <v>45971.66610713071</v>
      </c>
      <c r="K15" s="229" t="s">
        <v>93</v>
      </c>
      <c r="L15" s="212"/>
      <c r="M15" s="213"/>
      <c r="N15" s="154" t="s">
        <v>15</v>
      </c>
      <c r="O15" s="155" t="s">
        <v>90</v>
      </c>
      <c r="P15" s="155" t="s">
        <v>78</v>
      </c>
      <c r="Q15" s="171" t="s">
        <v>79</v>
      </c>
      <c r="R15" s="104"/>
    </row>
    <row r="16" spans="2:20" ht="14" x14ac:dyDescent="0.2">
      <c r="B16" s="109"/>
      <c r="C16" s="110"/>
      <c r="D16" s="116" t="s">
        <v>96</v>
      </c>
      <c r="E16" s="117"/>
      <c r="F16" s="118"/>
      <c r="G16" s="121">
        <f>Flujos!G19</f>
        <v>69993</v>
      </c>
      <c r="H16" s="121">
        <f>G16/0.915</f>
        <v>76495.081967213118</v>
      </c>
      <c r="I16" s="131">
        <f>Flujos!H19</f>
        <v>0.65779996690999998</v>
      </c>
      <c r="J16" s="121">
        <f>+I16*G16</f>
        <v>46041.393083931631</v>
      </c>
      <c r="K16" s="217" t="s">
        <v>99</v>
      </c>
      <c r="L16" s="218"/>
      <c r="M16" s="219"/>
      <c r="N16" s="160">
        <f>Flujos!G27</f>
        <v>69610</v>
      </c>
      <c r="O16" s="121">
        <f>N16/0.915</f>
        <v>76076.502732240435</v>
      </c>
      <c r="P16" s="161">
        <f>Flujos!H27</f>
        <v>0.65780000000000005</v>
      </c>
      <c r="Q16" s="170">
        <f>+P16*N16</f>
        <v>45789.458000000006</v>
      </c>
      <c r="R16" s="104"/>
    </row>
    <row r="17" spans="2:21" ht="15" customHeight="1" thickBot="1" x14ac:dyDescent="0.25">
      <c r="B17" s="109"/>
      <c r="C17" s="110"/>
      <c r="D17" s="220"/>
      <c r="E17" s="221"/>
      <c r="F17" s="222"/>
      <c r="G17" s="121"/>
      <c r="H17" s="121"/>
      <c r="I17" s="128"/>
      <c r="J17" s="121"/>
      <c r="K17" s="122" t="s">
        <v>100</v>
      </c>
      <c r="L17" s="123"/>
      <c r="M17" s="124"/>
      <c r="N17" s="126">
        <f>'Datos Extra'!B7</f>
        <v>0</v>
      </c>
      <c r="O17" s="121">
        <f>N17/0.915</f>
        <v>0</v>
      </c>
      <c r="P17" s="127">
        <f>Flujos!H31</f>
        <v>0.65920986455999997</v>
      </c>
      <c r="Q17" s="163">
        <f>+P17*N17</f>
        <v>0</v>
      </c>
      <c r="R17" s="104"/>
    </row>
    <row r="18" spans="2:21" thickBot="1" x14ac:dyDescent="0.25">
      <c r="B18" s="109"/>
      <c r="C18" s="110" t="s">
        <v>82</v>
      </c>
      <c r="D18" s="242" t="s">
        <v>81</v>
      </c>
      <c r="E18" s="243"/>
      <c r="F18" s="243"/>
      <c r="G18" s="129">
        <f>+SUM(G10:G17)</f>
        <v>471431</v>
      </c>
      <c r="H18" s="129">
        <f>+SUM(H10:H17)</f>
        <v>515225.13661202189</v>
      </c>
      <c r="I18" s="129"/>
      <c r="J18" s="129">
        <f>+SUM(J10:J17)</f>
        <v>309245.27439106232</v>
      </c>
      <c r="K18" s="157" t="s">
        <v>81</v>
      </c>
      <c r="L18" s="158"/>
      <c r="M18" s="159"/>
      <c r="N18" s="129">
        <f>+SUM(N14:N17)</f>
        <v>69610</v>
      </c>
      <c r="O18" s="129">
        <f>+SUM(O14:O17)</f>
        <v>76076.502732240435</v>
      </c>
      <c r="P18" s="129"/>
      <c r="Q18" s="130">
        <f>+SUM(Q14:Q17)</f>
        <v>45789.458000000006</v>
      </c>
      <c r="R18" s="104"/>
      <c r="S18" s="132"/>
      <c r="T18" s="133"/>
    </row>
    <row r="19" spans="2:21" ht="14.5" customHeight="1" thickBot="1" x14ac:dyDescent="0.25">
      <c r="B19" s="109"/>
      <c r="C19" s="110"/>
      <c r="D19" s="230" t="s">
        <v>87</v>
      </c>
      <c r="E19" s="231"/>
      <c r="F19" s="231"/>
      <c r="G19" s="231"/>
      <c r="H19" s="231"/>
      <c r="I19" s="231"/>
      <c r="J19" s="232"/>
      <c r="K19" s="233"/>
      <c r="L19" s="234"/>
      <c r="M19" s="235"/>
      <c r="N19" s="114"/>
      <c r="O19" s="114"/>
      <c r="P19" s="114"/>
      <c r="Q19" s="115"/>
      <c r="R19" s="104"/>
      <c r="S19" s="134"/>
    </row>
    <row r="20" spans="2:21" ht="14" x14ac:dyDescent="0.2">
      <c r="B20" s="109"/>
      <c r="C20" s="110"/>
      <c r="D20" s="236" t="s">
        <v>98</v>
      </c>
      <c r="E20" s="237"/>
      <c r="F20" s="238"/>
      <c r="G20" s="164" t="s">
        <v>15</v>
      </c>
      <c r="H20" s="236" t="s">
        <v>77</v>
      </c>
      <c r="I20" s="237" t="s">
        <v>78</v>
      </c>
      <c r="J20" s="238" t="s">
        <v>79</v>
      </c>
      <c r="K20" s="236" t="s">
        <v>107</v>
      </c>
      <c r="L20" s="237"/>
      <c r="M20" s="238"/>
      <c r="N20" s="162" t="s">
        <v>15</v>
      </c>
      <c r="O20" s="175" t="s">
        <v>90</v>
      </c>
      <c r="P20" s="152"/>
      <c r="Q20" s="152"/>
      <c r="R20" s="104"/>
      <c r="S20" s="135"/>
    </row>
    <row r="21" spans="2:21" ht="14" x14ac:dyDescent="0.2">
      <c r="B21" s="109"/>
      <c r="C21" s="110"/>
      <c r="D21" s="220" t="s">
        <v>101</v>
      </c>
      <c r="E21" s="221"/>
      <c r="F21" s="222"/>
      <c r="G21" s="121">
        <f>'Datos Extra'!B2</f>
        <v>231348.6</v>
      </c>
      <c r="H21" s="121">
        <f>G21/0.915</f>
        <v>252840</v>
      </c>
      <c r="I21" s="131">
        <f>'Datos Extra'!C2</f>
        <v>0.65703901615271665</v>
      </c>
      <c r="J21" s="163">
        <f>+I21*G21</f>
        <v>152005.0565323084</v>
      </c>
      <c r="K21" s="217" t="s">
        <v>104</v>
      </c>
      <c r="L21" s="218"/>
      <c r="M21" s="219"/>
      <c r="N21" s="119">
        <f>'Datos Extra'!B4</f>
        <v>49628.806237727345</v>
      </c>
      <c r="O21" s="121">
        <f>N21/0.915</f>
        <v>54239.132500248466</v>
      </c>
      <c r="P21" s="173"/>
      <c r="Q21" s="120"/>
      <c r="R21" s="104"/>
      <c r="S21" s="135"/>
    </row>
    <row r="22" spans="2:21" ht="14" x14ac:dyDescent="0.2">
      <c r="B22" s="109"/>
      <c r="C22" s="110"/>
      <c r="D22" s="220" t="s">
        <v>102</v>
      </c>
      <c r="E22" s="221"/>
      <c r="F22" s="222"/>
      <c r="G22" s="121">
        <f>'Datos Extra'!B3</f>
        <v>93467.25</v>
      </c>
      <c r="H22" s="121">
        <f>G22/0.915</f>
        <v>102150</v>
      </c>
      <c r="I22" s="131">
        <f>'Datos Extra'!C3</f>
        <v>0.65706081514000947</v>
      </c>
      <c r="J22" s="163">
        <f>+I22*G22</f>
        <v>61413.667473895053</v>
      </c>
      <c r="K22" s="217" t="s">
        <v>101</v>
      </c>
      <c r="L22" s="218"/>
      <c r="M22" s="219"/>
      <c r="N22" s="119">
        <f>'Datos Extra'!B5</f>
        <v>85951.221222310167</v>
      </c>
      <c r="O22" s="121">
        <f>N22/0.915</f>
        <v>93935.760898699635</v>
      </c>
      <c r="P22" s="173"/>
      <c r="Q22" s="120"/>
      <c r="R22" s="104"/>
      <c r="S22" s="135"/>
    </row>
    <row r="23" spans="2:21" ht="14" x14ac:dyDescent="0.2">
      <c r="B23" s="109"/>
      <c r="C23" s="110"/>
      <c r="D23" s="220" t="s">
        <v>113</v>
      </c>
      <c r="E23" s="221"/>
      <c r="F23" s="222"/>
      <c r="G23" s="121"/>
      <c r="H23" s="121"/>
      <c r="I23" s="121"/>
      <c r="J23" s="121"/>
      <c r="K23" s="217" t="s">
        <v>71</v>
      </c>
      <c r="L23" s="218"/>
      <c r="M23" s="219"/>
      <c r="N23" s="119"/>
      <c r="O23" s="121">
        <v>177785.75399999999</v>
      </c>
      <c r="P23" s="173"/>
      <c r="Q23" s="120"/>
      <c r="R23" s="104"/>
      <c r="S23" s="135"/>
    </row>
    <row r="24" spans="2:21" thickBot="1" x14ac:dyDescent="0.25">
      <c r="B24" s="109"/>
      <c r="C24" s="110"/>
      <c r="D24" s="220" t="s">
        <v>112</v>
      </c>
      <c r="E24" s="221"/>
      <c r="F24" s="222"/>
      <c r="G24" s="121"/>
      <c r="H24" s="121"/>
      <c r="I24" s="121"/>
      <c r="J24" s="121"/>
      <c r="K24" s="220" t="s">
        <v>113</v>
      </c>
      <c r="L24" s="221"/>
      <c r="M24" s="222"/>
      <c r="N24" s="119"/>
      <c r="O24" s="119"/>
      <c r="P24" s="173"/>
      <c r="Q24" s="120"/>
      <c r="R24" s="104"/>
      <c r="S24" s="135"/>
    </row>
    <row r="25" spans="2:21" ht="15" customHeight="1" thickBot="1" x14ac:dyDescent="0.25">
      <c r="B25" s="109"/>
      <c r="C25" s="110"/>
      <c r="D25" s="214" t="s">
        <v>103</v>
      </c>
      <c r="E25" s="215"/>
      <c r="F25" s="216"/>
      <c r="G25" s="129">
        <f>+SUM(G21:G24)</f>
        <v>324815.84999999998</v>
      </c>
      <c r="H25" s="129">
        <f>+SUM(H21:H24)</f>
        <v>354990</v>
      </c>
      <c r="I25" s="136"/>
      <c r="J25" s="130">
        <f>+SUM(J21:J22)</f>
        <v>213418.72400620347</v>
      </c>
      <c r="K25" s="220" t="s">
        <v>114</v>
      </c>
      <c r="L25" s="221"/>
      <c r="M25" s="222"/>
      <c r="N25" s="119"/>
      <c r="O25" s="119"/>
      <c r="P25" s="173"/>
      <c r="Q25" s="120"/>
      <c r="R25" s="104"/>
      <c r="S25" s="134"/>
    </row>
    <row r="26" spans="2:21" ht="16" customHeight="1" thickBot="1" x14ac:dyDescent="0.25">
      <c r="B26" s="109"/>
      <c r="C26" s="110"/>
      <c r="D26" s="176" t="s">
        <v>71</v>
      </c>
      <c r="E26" s="177"/>
      <c r="F26" s="178"/>
      <c r="G26" s="167"/>
      <c r="H26" s="167"/>
      <c r="I26" s="168"/>
      <c r="J26" s="169">
        <f>+I26*G26</f>
        <v>0</v>
      </c>
      <c r="N26" s="119"/>
      <c r="O26" s="119"/>
      <c r="P26" s="174"/>
      <c r="Q26" s="174"/>
      <c r="R26" s="104"/>
    </row>
    <row r="27" spans="2:21" thickBot="1" x14ac:dyDescent="0.25">
      <c r="B27" s="109"/>
      <c r="C27" s="110"/>
      <c r="D27" s="220" t="s">
        <v>114</v>
      </c>
      <c r="E27" s="221"/>
      <c r="F27" s="222"/>
      <c r="G27" s="167"/>
      <c r="H27" s="167"/>
      <c r="I27" s="167"/>
      <c r="J27" s="167"/>
      <c r="K27" s="239"/>
      <c r="L27" s="240"/>
      <c r="M27" s="240"/>
      <c r="N27" s="240"/>
      <c r="O27" s="241"/>
      <c r="R27" s="104"/>
      <c r="S27" s="135"/>
    </row>
    <row r="28" spans="2:21" ht="14.5" customHeight="1" x14ac:dyDescent="0.2">
      <c r="B28" s="109"/>
      <c r="C28" s="110"/>
      <c r="I28" s="140"/>
      <c r="J28" s="140"/>
      <c r="N28" s="140"/>
      <c r="O28" s="140"/>
      <c r="R28" s="137"/>
    </row>
    <row r="29" spans="2:21" ht="14" x14ac:dyDescent="0.2">
      <c r="B29" s="109"/>
      <c r="C29" s="110"/>
      <c r="I29" s="140" t="s">
        <v>83</v>
      </c>
      <c r="J29" s="140" t="s">
        <v>84</v>
      </c>
      <c r="N29" s="140"/>
      <c r="O29" s="140"/>
      <c r="P29" s="138"/>
      <c r="Q29" s="138"/>
      <c r="R29" s="104"/>
      <c r="U29" s="139"/>
    </row>
    <row r="30" spans="2:21" ht="14" x14ac:dyDescent="0.2">
      <c r="B30" s="109"/>
      <c r="C30" s="110"/>
      <c r="I30" s="140">
        <f>[2]Flujos!G9</f>
        <v>-19721</v>
      </c>
      <c r="J30" s="140">
        <f>'[2]Mapa de Procesos'!L118</f>
        <v>-8270.0017400813813</v>
      </c>
      <c r="N30" s="140"/>
      <c r="O30" s="140"/>
      <c r="P30" s="138"/>
      <c r="Q30" s="138"/>
      <c r="R30" s="137"/>
      <c r="U30" s="139"/>
    </row>
    <row r="31" spans="2:21" ht="14" x14ac:dyDescent="0.2">
      <c r="B31" s="109"/>
      <c r="C31" s="110"/>
      <c r="I31" s="140">
        <f>[2]Flujos!G17</f>
        <v>-2071</v>
      </c>
      <c r="J31" s="140">
        <f>'[2]Mapa de Procesos'!L119</f>
        <v>-852.7457844552099</v>
      </c>
      <c r="N31" s="140"/>
      <c r="O31" s="140"/>
      <c r="P31" s="138" t="s">
        <v>85</v>
      </c>
      <c r="Q31" s="138"/>
      <c r="R31" s="104"/>
      <c r="U31" s="139"/>
    </row>
    <row r="32" spans="2:21" ht="14" x14ac:dyDescent="0.2">
      <c r="B32" s="109"/>
      <c r="C32" s="110"/>
      <c r="I32" s="140">
        <f>[2]Flujos!G21</f>
        <v>51</v>
      </c>
      <c r="J32" s="140">
        <f>'[2]Mapa de Procesos'!L121</f>
        <v>34.489375057529998</v>
      </c>
      <c r="N32" s="140"/>
      <c r="O32" s="140"/>
      <c r="P32" s="141"/>
      <c r="Q32" s="138"/>
      <c r="R32" s="104"/>
      <c r="U32" s="139"/>
    </row>
    <row r="33" spans="2:21" ht="14" x14ac:dyDescent="0.2">
      <c r="B33" s="109"/>
      <c r="C33" s="110"/>
      <c r="I33" s="140">
        <f>[2]Flujos!G31</f>
        <v>0</v>
      </c>
      <c r="J33" s="140">
        <f>'[2]Mapa de Procesos'!L122</f>
        <v>0</v>
      </c>
      <c r="N33" s="140"/>
      <c r="O33" s="140"/>
      <c r="P33" s="141"/>
      <c r="Q33" s="138"/>
      <c r="R33" s="137"/>
      <c r="U33" s="139"/>
    </row>
    <row r="34" spans="2:21" ht="14" x14ac:dyDescent="0.2">
      <c r="B34" s="109"/>
      <c r="C34" s="110"/>
      <c r="I34" s="140">
        <f>[2]Flujos!G26</f>
        <v>-21285</v>
      </c>
      <c r="J34" s="140">
        <f>'[2]Mapa de Procesos'!L128</f>
        <v>-13448.820825000001</v>
      </c>
      <c r="N34" s="140"/>
      <c r="O34" s="140"/>
      <c r="P34" s="138"/>
      <c r="Q34" s="138"/>
      <c r="R34" s="104"/>
      <c r="U34" s="139"/>
    </row>
    <row r="35" spans="2:21" ht="14" x14ac:dyDescent="0.2">
      <c r="B35" s="109"/>
      <c r="C35" s="110"/>
      <c r="I35" s="140">
        <f>[2]Flujos!G34</f>
        <v>-63213</v>
      </c>
      <c r="J35" s="140">
        <f>'[2]Mapa de Procesos'!L129</f>
        <v>-38546.283837997558</v>
      </c>
      <c r="N35" s="140"/>
      <c r="O35" s="140"/>
      <c r="P35" s="142"/>
      <c r="Q35" s="143"/>
      <c r="R35" s="137"/>
      <c r="U35" s="139"/>
    </row>
    <row r="36" spans="2:21" ht="14" x14ac:dyDescent="0.2">
      <c r="B36" s="109"/>
      <c r="C36" s="110"/>
      <c r="I36" s="140">
        <f>[2]Flujos!G39</f>
        <v>1032</v>
      </c>
      <c r="J36" s="140">
        <f>'[2]Mapa de Procesos'!L130</f>
        <v>613.62720000000002</v>
      </c>
      <c r="N36" s="140"/>
      <c r="O36" s="140"/>
      <c r="P36" s="143"/>
      <c r="Q36" s="143"/>
      <c r="R36" s="104"/>
      <c r="U36" s="139"/>
    </row>
    <row r="37" spans="2:21" thickBot="1" x14ac:dyDescent="0.25">
      <c r="B37" s="144"/>
      <c r="C37" s="145"/>
      <c r="D37" s="145"/>
      <c r="E37" s="145"/>
      <c r="F37" s="145"/>
      <c r="G37" s="145"/>
      <c r="H37" s="145"/>
      <c r="I37" s="146">
        <f>SUM(I30:I36)</f>
        <v>-105207</v>
      </c>
      <c r="J37" s="146">
        <f>SUM(J30:J36)</f>
        <v>-60469.735612476616</v>
      </c>
      <c r="K37" s="145"/>
      <c r="L37" s="145"/>
      <c r="M37" s="145"/>
      <c r="N37" s="145"/>
      <c r="O37" s="145"/>
      <c r="P37" s="145"/>
      <c r="Q37" s="145"/>
      <c r="R37" s="147"/>
    </row>
    <row r="40" spans="2:21" ht="15" customHeight="1" x14ac:dyDescent="0.2">
      <c r="E40" s="148"/>
      <c r="F40" s="148"/>
      <c r="G40" s="148"/>
      <c r="H40" s="148"/>
      <c r="I40" s="149"/>
      <c r="J40" s="149"/>
    </row>
    <row r="41" spans="2:21" ht="14" x14ac:dyDescent="0.2">
      <c r="E41" s="148"/>
      <c r="F41" s="148"/>
      <c r="G41" s="148"/>
      <c r="H41" s="148"/>
      <c r="I41" s="149"/>
      <c r="J41" s="149"/>
    </row>
    <row r="42" spans="2:21" ht="14" x14ac:dyDescent="0.2">
      <c r="E42" s="150"/>
      <c r="F42" s="150"/>
      <c r="G42" s="150"/>
      <c r="H42" s="150"/>
      <c r="I42" s="150"/>
      <c r="J42" s="150"/>
      <c r="K42" s="150"/>
    </row>
    <row r="43" spans="2:21" ht="15" customHeight="1" x14ac:dyDescent="0.2">
      <c r="E43" s="207"/>
      <c r="F43" s="207"/>
      <c r="G43" s="207"/>
      <c r="H43" s="151"/>
      <c r="I43" s="152"/>
      <c r="J43" s="153"/>
      <c r="K43" s="120"/>
    </row>
  </sheetData>
  <mergeCells count="46">
    <mergeCell ref="D9:J9"/>
    <mergeCell ref="K9:Q9"/>
    <mergeCell ref="D10:F10"/>
    <mergeCell ref="K10:M10"/>
    <mergeCell ref="D11:F11"/>
    <mergeCell ref="K11:M11"/>
    <mergeCell ref="D7:F8"/>
    <mergeCell ref="G7:H7"/>
    <mergeCell ref="K7:M8"/>
    <mergeCell ref="N7:O7"/>
    <mergeCell ref="G8:H8"/>
    <mergeCell ref="O8:Q8"/>
    <mergeCell ref="D2:E5"/>
    <mergeCell ref="F2:Q3"/>
    <mergeCell ref="F4:L5"/>
    <mergeCell ref="M4:N5"/>
    <mergeCell ref="P4:Q5"/>
    <mergeCell ref="D21:F21"/>
    <mergeCell ref="K21:M21"/>
    <mergeCell ref="K16:M16"/>
    <mergeCell ref="K27:O27"/>
    <mergeCell ref="D18:F18"/>
    <mergeCell ref="H20:J20"/>
    <mergeCell ref="D27:F27"/>
    <mergeCell ref="D12:F12"/>
    <mergeCell ref="K12:M12"/>
    <mergeCell ref="D17:F17"/>
    <mergeCell ref="D14:F14"/>
    <mergeCell ref="K14:Q14"/>
    <mergeCell ref="K15:M15"/>
    <mergeCell ref="E43:G43"/>
    <mergeCell ref="G13:J13"/>
    <mergeCell ref="D13:F13"/>
    <mergeCell ref="K13:M13"/>
    <mergeCell ref="D23:F23"/>
    <mergeCell ref="D24:F24"/>
    <mergeCell ref="K22:M22"/>
    <mergeCell ref="K23:M23"/>
    <mergeCell ref="K24:M24"/>
    <mergeCell ref="K25:M25"/>
    <mergeCell ref="D22:F22"/>
    <mergeCell ref="D25:F25"/>
    <mergeCell ref="D19:J19"/>
    <mergeCell ref="K19:M19"/>
    <mergeCell ref="D20:F20"/>
    <mergeCell ref="K20:M20"/>
  </mergeCells>
  <pageMargins left="0.7" right="0.7" top="0.75" bottom="0.75" header="0.3" footer="0.3"/>
  <pageSetup scale="45" orientation="portrait" horizontalDpi="4294967293" verticalDpi="4294967293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96D1C8DA7105F4CB87B4385458BEB46" ma:contentTypeVersion="18" ma:contentTypeDescription="Crear nuevo documento." ma:contentTypeScope="" ma:versionID="12ecc2a5cef7c9c08ff27678654d45d8">
  <xsd:schema xmlns:xsd="http://www.w3.org/2001/XMLSchema" xmlns:xs="http://www.w3.org/2001/XMLSchema" xmlns:p="http://schemas.microsoft.com/office/2006/metadata/properties" xmlns:ns2="190a67bf-4793-449f-a9eb-d5296f44b3b4" xmlns:ns3="428c3ae0-30fa-4419-8107-8524dfe65e99" targetNamespace="http://schemas.microsoft.com/office/2006/metadata/properties" ma:root="true" ma:fieldsID="2bf7e5ccdea9f3ab0485f36443829a86" ns2:_="" ns3:_="">
    <xsd:import namespace="190a67bf-4793-449f-a9eb-d5296f44b3b4"/>
    <xsd:import namespace="428c3ae0-30fa-4419-8107-8524dfe65e9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0a67bf-4793-449f-a9eb-d5296f44b3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n" ma:readOnly="false" ma:fieldId="{5cf76f15-5ced-4ddc-b409-7134ff3c332f}" ma:taxonomyMulti="true" ma:sspId="073516ef-4520-404e-ac3f-ac1cf3bdf19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8c3ae0-30fa-4419-8107-8524dfe65e9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48bbe907-eb43-4f95-8cfc-9ab54aa6d5f6}" ma:internalName="TaxCatchAll" ma:showField="CatchAllData" ma:web="428c3ae0-30fa-4419-8107-8524dfe65e9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0E05C9C-2653-4E39-8924-4BCCDDCAEA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0a67bf-4793-449f-a9eb-d5296f44b3b4"/>
    <ds:schemaRef ds:uri="428c3ae0-30fa-4419-8107-8524dfe65e9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737F6E-4C71-4349-B87B-7CF62438022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Utilidad</vt:lpstr>
      <vt:lpstr>Datos Extra</vt:lpstr>
      <vt:lpstr>Flujos</vt:lpstr>
      <vt:lpstr>Diag Proceso Balance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Arru</dc:creator>
  <cp:lastModifiedBy>Fernando</cp:lastModifiedBy>
  <cp:lastPrinted>2025-08-18T14:08:40Z</cp:lastPrinted>
  <dcterms:created xsi:type="dcterms:W3CDTF">2021-07-07T15:29:28Z</dcterms:created>
  <dcterms:modified xsi:type="dcterms:W3CDTF">2025-08-28T14:43:16Z</dcterms:modified>
</cp:coreProperties>
</file>