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2.png" ContentType="image/png"/>
  <Override PartName="/xl/media/image1.wmf" ContentType="image/x-wmf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comments7.xml" ContentType="application/vnd.openxmlformats-officedocument.spreadsheetml.comment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MLC" sheetId="1" state="visible" r:id="rId3"/>
    <sheet name="Tabla Entrega" sheetId="2" state="visible" r:id="rId4"/>
    <sheet name="Utilidad" sheetId="3" state="visible" r:id="rId5"/>
    <sheet name="Datos Extra" sheetId="4" state="visible" r:id="rId6"/>
    <sheet name="Flujos" sheetId="5" state="visible" r:id="rId7"/>
    <sheet name="Diag Proc Los Colorados" sheetId="6" state="visible" r:id="rId8"/>
    <sheet name="Bal Fet Pta Pellets" sheetId="7" state="hidden" r:id="rId9"/>
  </sheets>
  <externalReferences>
    <externalReference r:id="rId10"/>
  </externalReferences>
  <definedNames>
    <definedName function="false" hidden="false" name="CONC" vbProcedure="false">#REF!</definedName>
    <definedName function="false" hidden="false" name="CuNuevo_ConPelaCama_tmf" vbProcedure="false">[1]FUNDICIÓN!$P$73</definedName>
    <definedName function="false" hidden="false" name="CuNuevo_ConPelaCama_tms" vbProcedure="false">[1]FUNDICIÓN!$O$73</definedName>
    <definedName function="false" hidden="false" name="FEED" vbProcedure="false">#REF!</definedName>
    <definedName function="false" hidden="false" name="GCONC" vbProcedure="false">#REF!</definedName>
    <definedName function="false" hidden="false" name="GFEED" vbProcedure="false">#REF!</definedName>
    <definedName function="false" hidden="false" name="GTAIL" vbProcedure="false">#REF!</definedName>
    <definedName function="false" hidden="false" name="INVROLL" vbProcedure="false">#REF!</definedName>
    <definedName function="false" hidden="false" name="MENU" vbProcedure="false">#REF!</definedName>
    <definedName function="false" hidden="false" name="Month" vbProcedure="false">#REF!</definedName>
    <definedName function="false" hidden="false" name="SUMCHECK" vbProcedure="false">#REF!</definedName>
    <definedName function="false" hidden="false" name="SUMCUTONNES" vbProcedure="false">#REF!</definedName>
    <definedName function="false" hidden="false" name="SUMDMT" vbProcedure="false">#REF!</definedName>
    <definedName function="false" hidden="false" name="TAIL" vbProcedure="false">#REF!</definedName>
    <definedName function="false" hidden="false" name="UNI_AA_VERSION" vbProcedure="false">"202.1.0"</definedName>
    <definedName function="false" hidden="false" name="UNI_FILT_END" vbProcedure="false">8</definedName>
    <definedName function="false" hidden="false" name="UNI_FILT_OFFSPEC" vbProcedure="false">2</definedName>
    <definedName function="false" hidden="false" name="UNI_FILT_ONSPEC" vbProcedure="false">1</definedName>
    <definedName function="false" hidden="false" name="UNI_FILT_START" vbProcedure="false">4</definedName>
    <definedName function="false" hidden="false" name="UNI_NOTHING" vbProcedure="false">0</definedName>
    <definedName function="false" hidden="false" name="UNI_PRES_CLOSEST" vbProcedure="false">512</definedName>
    <definedName function="false" hidden="false" name="UNI_PRES_FILTER" vbProcedure="false">1</definedName>
    <definedName function="false" hidden="false" name="UNI_PRES_HEADINGS" vbProcedure="false">16</definedName>
    <definedName function="false" hidden="false" name="UNI_PRES_INVERT" vbProcedure="false">2</definedName>
    <definedName function="false" hidden="false" name="UNI_PRES_MATRIX" vbProcedure="false">4</definedName>
    <definedName function="false" hidden="false" name="UNI_PRES_MERGED" vbProcedure="false">8</definedName>
    <definedName function="false" hidden="false" name="UNI_PRES_MRECORD" vbProcedure="false">64</definedName>
    <definedName function="false" hidden="false" name="UNI_PRES_OUTLIERS" vbProcedure="false">32</definedName>
    <definedName function="false" hidden="false" name="UNI_PRES_POST" vbProcedure="false">256</definedName>
    <definedName function="false" hidden="false" name="UNI_PRES_PRIOR" vbProcedure="false">2048</definedName>
    <definedName function="false" hidden="false" name="UNI_PRES_RECENT" vbProcedure="false">1024</definedName>
    <definedName function="false" hidden="false" name="UNI_PRES_STATIC" vbProcedure="false">128</definedName>
    <definedName function="false" hidden="false" name="UNI_PRES_TRANSPOSE" vbProcedure="false">4096</definedName>
    <definedName function="false" hidden="false" name="UNI_RET_ATTRIB" vbProcedure="false">64</definedName>
    <definedName function="false" hidden="false" name="UNI_RET_CONF" vbProcedure="false">32</definedName>
    <definedName function="false" hidden="false" name="UNI_RET_DESC" vbProcedure="false">4</definedName>
    <definedName function="false" hidden="false" name="UNI_RET_END" vbProcedure="false">16384</definedName>
    <definedName function="false" hidden="false" name="UNI_RET_EQUIP" vbProcedure="false">32768</definedName>
    <definedName function="false" hidden="false" name="UNI_RET_EVENT" vbProcedure="false">4096</definedName>
    <definedName function="false" hidden="false" name="UNI_RET_OFFSPEC" vbProcedure="false">512</definedName>
    <definedName function="false" hidden="false" name="UNI_RET_ONSPEC" vbProcedure="false">256</definedName>
    <definedName function="false" hidden="false" name="UNI_RET_PROP" vbProcedure="false">131072</definedName>
    <definedName function="false" hidden="false" name="UNI_RET_PROPDESC" vbProcedure="false">262144</definedName>
    <definedName function="false" hidden="false" name="UNI_RET_SMPLPNT" vbProcedure="false">65536</definedName>
    <definedName function="false" hidden="false" name="UNI_RET_SPECMAX" vbProcedure="false">2048</definedName>
    <definedName function="false" hidden="false" name="UNI_RET_SPECMIN" vbProcedure="false">1024</definedName>
    <definedName function="false" hidden="false" name="UNI_RET_START" vbProcedure="false">8192</definedName>
    <definedName function="false" hidden="false" name="UNI_RET_TAG" vbProcedure="false">1</definedName>
    <definedName function="false" hidden="false" name="UNI_RET_TESTTIME" vbProcedure="false">128</definedName>
    <definedName function="false" hidden="false" name="UNI_RET_TIME" vbProcedure="false">8</definedName>
    <definedName function="false" hidden="false" name="UNI_RET_UNIT" vbProcedure="false">2</definedName>
    <definedName function="false" hidden="false" name="UNI_RET_VALUE" vbProcedure="false">16</definedName>
    <definedName function="false" hidden="false" name="\P" vbProcedure="false">#REF!</definedName>
    <definedName function="false" hidden="false" name="\W" vbProcedure="false">#REF!</definedName>
    <definedName function="false" hidden="false" name="\Z" vbProcedure="false">#REF!</definedName>
    <definedName function="false" hidden="false" name="_PAG1" vbProcedure="false">#REF!</definedName>
    <definedName function="false" hidden="false" name="_PAG3" vbProcedure="false">#REF!</definedName>
    <definedName function="false" hidden="false" name="_PAG4" vbProcedure="false">#REF!</definedName>
    <definedName function="false" hidden="false" name="_PAG5" vbProcedure="false">#REF!</definedName>
    <definedName function="false" hidden="false" name="_PAG6" vbProcedure="false">#REF!</definedName>
    <definedName function="false" hidden="false" localSheetId="2" name="solver_adj" vbProcedure="false">Utilidad!$M$40:$N$70</definedName>
    <definedName function="false" hidden="false" localSheetId="2" name="solver_cvg" vbProcedure="false">0.0001</definedName>
    <definedName function="false" hidden="false" localSheetId="2" name="solver_drv" vbProcedure="false">1</definedName>
    <definedName function="false" hidden="false" localSheetId="2" name="solver_eng" vbProcedure="false">1</definedName>
    <definedName function="false" hidden="false" localSheetId="2" name="solver_est" vbProcedure="false">1</definedName>
    <definedName function="false" hidden="false" localSheetId="2" name="solver_itr" vbProcedure="false">2147483647</definedName>
    <definedName function="false" hidden="false" localSheetId="2" name="solver_lhs1" vbProcedure="false">Utilidad!$AB$39:$AB$52</definedName>
    <definedName function="false" hidden="false" localSheetId="2" name="solver_lhs10" vbProcedure="false">Utilidad!$T$70</definedName>
    <definedName function="false" hidden="false" localSheetId="2" name="solver_lhs11" vbProcedure="false">Utilidad!$V$40</definedName>
    <definedName function="false" hidden="false" localSheetId="2" name="solver_lhs12" vbProcedure="false">Utilidad!$V$49</definedName>
    <definedName function="false" hidden="false" localSheetId="2" name="solver_lhs13" vbProcedure="false">Utilidad!$V$51</definedName>
    <definedName function="false" hidden="false" localSheetId="2" name="solver_lhs14" vbProcedure="false">Utilidad!$V$56</definedName>
    <definedName function="false" hidden="false" localSheetId="2" name="solver_lhs15" vbProcedure="false">Utilidad!$V$59</definedName>
    <definedName function="false" hidden="false" localSheetId="2" name="solver_lhs16" vbProcedure="false">Utilidad!$V$62</definedName>
    <definedName function="false" hidden="false" localSheetId="2" name="solver_lhs17" vbProcedure="false">Utilidad!$V$63</definedName>
    <definedName function="false" hidden="false" localSheetId="2" name="solver_lhs18" vbProcedure="false">Utilidad!$V$66</definedName>
    <definedName function="false" hidden="false" localSheetId="2" name="solver_lhs19" vbProcedure="false">Utilidad!$V$66</definedName>
    <definedName function="false" hidden="false" localSheetId="2" name="solver_lhs2" vbProcedure="false">Utilidad!$AC$39:$AC$52</definedName>
    <definedName function="false" hidden="false" localSheetId="2" name="solver_lhs20" vbProcedure="false">Utilidad!$V$66</definedName>
    <definedName function="false" hidden="false" localSheetId="2" name="solver_lhs21" vbProcedure="false">Utilidad!$V$66</definedName>
    <definedName function="false" hidden="false" localSheetId="2" name="solver_lhs22" vbProcedure="false">Utilidad!$V$66</definedName>
    <definedName function="false" hidden="false" localSheetId="2" name="solver_lhs23" vbProcedure="false">Utilidad!$V$66</definedName>
    <definedName function="false" hidden="false" localSheetId="2" name="solver_lhs24" vbProcedure="false">Utilidad!$V$66</definedName>
    <definedName function="false" hidden="false" localSheetId="2" name="solver_lhs25" vbProcedure="false">Utilidad!$V$66</definedName>
    <definedName function="false" hidden="false" localSheetId="2" name="solver_lhs26" vbProcedure="false">Utilidad!$V$63</definedName>
    <definedName function="false" hidden="false" localSheetId="2" name="solver_lhs27" vbProcedure="false">Utilidad!$V$63</definedName>
    <definedName function="false" hidden="false" localSheetId="2" name="solver_lhs28" vbProcedure="false">Utilidad!$V$63</definedName>
    <definedName function="false" hidden="false" localSheetId="2" name="solver_lhs29" vbProcedure="false">Utilidad!$V$63</definedName>
    <definedName function="false" hidden="false" localSheetId="2" name="solver_lhs3" vbProcedure="false">Utilidad!$T$40</definedName>
    <definedName function="false" hidden="false" localSheetId="2" name="solver_lhs30" vbProcedure="false">Utilidad!$V$63</definedName>
    <definedName function="false" hidden="false" localSheetId="2" name="solver_lhs31" vbProcedure="false">Utilidad!$V$63</definedName>
    <definedName function="false" hidden="false" localSheetId="2" name="solver_lhs32" vbProcedure="false">Utilidad!$V$63</definedName>
    <definedName function="false" hidden="false" localSheetId="2" name="solver_lhs33" vbProcedure="false">Utilidad!$V$63</definedName>
    <definedName function="false" hidden="false" localSheetId="2" name="solver_lhs34" vbProcedure="false">Utilidad!$V$63</definedName>
    <definedName function="false" hidden="false" localSheetId="2" name="solver_lhs35" vbProcedure="false">Utilidad!$V$63</definedName>
    <definedName function="false" hidden="false" localSheetId="2" name="solver_lhs36" vbProcedure="false">Utilidad!$V$63</definedName>
    <definedName function="false" hidden="false" localSheetId="2" name="solver_lhs37" vbProcedure="false">Utilidad!$V$63</definedName>
    <definedName function="false" hidden="false" localSheetId="2" name="solver_lhs38" vbProcedure="false">Utilidad!$V$63</definedName>
    <definedName function="false" hidden="false" localSheetId="2" name="solver_lhs39" vbProcedure="false">Utilidad!$V$63</definedName>
    <definedName function="false" hidden="false" localSheetId="2" name="solver_lhs4" vbProcedure="false">Utilidad!$T$42</definedName>
    <definedName function="false" hidden="false" localSheetId="2" name="solver_lhs40" vbProcedure="false">Utilidad!$V$63</definedName>
    <definedName function="false" hidden="false" localSheetId="2" name="solver_lhs41" vbProcedure="false">Utilidad!$V$63</definedName>
    <definedName function="false" hidden="false" localSheetId="2" name="solver_lhs42" vbProcedure="false">Utilidad!$V$63</definedName>
    <definedName function="false" hidden="false" localSheetId="2" name="solver_lhs43" vbProcedure="false">Utilidad!$V$63</definedName>
    <definedName function="false" hidden="false" localSheetId="2" name="solver_lhs44" vbProcedure="false">Utilidad!$V$63</definedName>
    <definedName function="false" hidden="false" localSheetId="2" name="solver_lhs5" vbProcedure="false">Utilidad!$T$49</definedName>
    <definedName function="false" hidden="false" localSheetId="2" name="solver_lhs6" vbProcedure="false">Utilidad!$T$51</definedName>
    <definedName function="false" hidden="false" localSheetId="2" name="solver_lhs7" vbProcedure="false">Utilidad!$T$62</definedName>
    <definedName function="false" hidden="false" localSheetId="2" name="solver_lhs8" vbProcedure="false">Utilidad!$T$63</definedName>
    <definedName function="false" hidden="false" localSheetId="2" name="solver_lhs9" vbProcedure="false">Utilidad!$T$68</definedName>
    <definedName function="false" hidden="false" localSheetId="2" name="solver_lin" vbProcedure="false">2</definedName>
    <definedName function="false" hidden="false" localSheetId="2" name="solver_mip" vbProcedure="false">2147483647</definedName>
    <definedName function="false" hidden="false" localSheetId="2" name="solver_mni" vbProcedure="false">30</definedName>
    <definedName function="false" hidden="false" localSheetId="2" name="solver_mrt" vbProcedure="false">0.075</definedName>
    <definedName function="false" hidden="false" localSheetId="2" name="solver_msl" vbProcedure="false">2</definedName>
    <definedName function="false" hidden="false" localSheetId="2" name="solver_neg" vbProcedure="false">1</definedName>
    <definedName function="false" hidden="false" localSheetId="2" name="solver_nod" vbProcedure="false">2147483647</definedName>
    <definedName function="false" hidden="false" localSheetId="2" name="solver_num" vbProcedure="false">17</definedName>
    <definedName function="false" hidden="false" localSheetId="2" name="solver_nwt" vbProcedure="false">1</definedName>
    <definedName function="false" hidden="false" localSheetId="2" name="solver_opt" vbProcedure="false">Utilidad!$AB$55</definedName>
    <definedName function="false" hidden="false" localSheetId="2" name="solver_pre" vbProcedure="false">0.000001</definedName>
    <definedName function="false" hidden="false" localSheetId="2" name="solver_rbv" vbProcedure="false">1</definedName>
    <definedName function="false" hidden="false" localSheetId="2" name="solver_rel1" vbProcedure="false">2</definedName>
    <definedName function="false" hidden="false" localSheetId="2" name="solver_rel10" vbProcedure="false">1</definedName>
    <definedName function="false" hidden="false" localSheetId="2" name="solver_rel11" vbProcedure="false">1</definedName>
    <definedName function="false" hidden="false" localSheetId="2" name="solver_rel12" vbProcedure="false">1</definedName>
    <definedName function="false" hidden="false" localSheetId="2" name="solver_rel13" vbProcedure="false">1</definedName>
    <definedName function="false" hidden="false" localSheetId="2" name="solver_rel14" vbProcedure="false">1</definedName>
    <definedName function="false" hidden="false" localSheetId="2" name="solver_rel15" vbProcedure="false">1</definedName>
    <definedName function="false" hidden="false" localSheetId="2" name="solver_rel16" vbProcedure="false">1</definedName>
    <definedName function="false" hidden="false" localSheetId="2" name="solver_rel17" vbProcedure="false">1</definedName>
    <definedName function="false" hidden="false" localSheetId="2" name="solver_rel18" vbProcedure="false">1</definedName>
    <definedName function="false" hidden="false" localSheetId="2" name="solver_rel19" vbProcedure="false">1</definedName>
    <definedName function="false" hidden="false" localSheetId="2" name="solver_rel2" vbProcedure="false">2</definedName>
    <definedName function="false" hidden="false" localSheetId="2" name="solver_rel20" vbProcedure="false">1</definedName>
    <definedName function="false" hidden="false" localSheetId="2" name="solver_rel21" vbProcedure="false">1</definedName>
    <definedName function="false" hidden="false" localSheetId="2" name="solver_rel22" vbProcedure="false">1</definedName>
    <definedName function="false" hidden="false" localSheetId="2" name="solver_rel23" vbProcedure="false">1</definedName>
    <definedName function="false" hidden="false" localSheetId="2" name="solver_rel24" vbProcedure="false">1</definedName>
    <definedName function="false" hidden="false" localSheetId="2" name="solver_rel25" vbProcedure="false">1</definedName>
    <definedName function="false" hidden="false" localSheetId="2" name="solver_rel26" vbProcedure="false">1</definedName>
    <definedName function="false" hidden="false" localSheetId="2" name="solver_rel27" vbProcedure="false">1</definedName>
    <definedName function="false" hidden="false" localSheetId="2" name="solver_rel28" vbProcedure="false">1</definedName>
    <definedName function="false" hidden="false" localSheetId="2" name="solver_rel29" vbProcedure="false">1</definedName>
    <definedName function="false" hidden="false" localSheetId="2" name="solver_rel3" vbProcedure="false">1</definedName>
    <definedName function="false" hidden="false" localSheetId="2" name="solver_rel30" vbProcedure="false">1</definedName>
    <definedName function="false" hidden="false" localSheetId="2" name="solver_rel31" vbProcedure="false">1</definedName>
    <definedName function="false" hidden="false" localSheetId="2" name="solver_rel32" vbProcedure="false">1</definedName>
    <definedName function="false" hidden="false" localSheetId="2" name="solver_rel33" vbProcedure="false">1</definedName>
    <definedName function="false" hidden="false" localSheetId="2" name="solver_rel34" vbProcedure="false">1</definedName>
    <definedName function="false" hidden="false" localSheetId="2" name="solver_rel35" vbProcedure="false">1</definedName>
    <definedName function="false" hidden="false" localSheetId="2" name="solver_rel36" vbProcedure="false">1</definedName>
    <definedName function="false" hidden="false" localSheetId="2" name="solver_rel37" vbProcedure="false">1</definedName>
    <definedName function="false" hidden="false" localSheetId="2" name="solver_rel38" vbProcedure="false">1</definedName>
    <definedName function="false" hidden="false" localSheetId="2" name="solver_rel39" vbProcedure="false">1</definedName>
    <definedName function="false" hidden="false" localSheetId="2" name="solver_rel4" vbProcedure="false">1</definedName>
    <definedName function="false" hidden="false" localSheetId="2" name="solver_rel40" vbProcedure="false">1</definedName>
    <definedName function="false" hidden="false" localSheetId="2" name="solver_rel41" vbProcedure="false">1</definedName>
    <definedName function="false" hidden="false" localSheetId="2" name="solver_rel42" vbProcedure="false">1</definedName>
    <definedName function="false" hidden="false" localSheetId="2" name="solver_rel43" vbProcedure="false">1</definedName>
    <definedName function="false" hidden="false" localSheetId="2" name="solver_rel44" vbProcedure="false">1</definedName>
    <definedName function="false" hidden="false" localSheetId="2" name="solver_rel5" vbProcedure="false">1</definedName>
    <definedName function="false" hidden="false" localSheetId="2" name="solver_rel6" vbProcedure="false">1</definedName>
    <definedName function="false" hidden="false" localSheetId="2" name="solver_rel7" vbProcedure="false">1</definedName>
    <definedName function="false" hidden="false" localSheetId="2" name="solver_rel8" vbProcedure="false">1</definedName>
    <definedName function="false" hidden="false" localSheetId="2" name="solver_rel9" vbProcedure="false">1</definedName>
    <definedName function="false" hidden="false" localSheetId="2" name="solver_rhs1" vbProcedure="false">Utilidad!$AE$39:$AE$52</definedName>
    <definedName function="false" hidden="false" localSheetId="2" name="solver_rhs10" vbProcedure="false">Utilidad!$U$70</definedName>
    <definedName function="false" hidden="false" localSheetId="2" name="solver_rhs11" vbProcedure="false">Utilidad!$W$40</definedName>
    <definedName function="false" hidden="false" localSheetId="2" name="solver_rhs12" vbProcedure="false">Utilidad!$W$49</definedName>
    <definedName function="false" hidden="false" localSheetId="2" name="solver_rhs13" vbProcedure="false">Utilidad!$W$51</definedName>
    <definedName function="false" hidden="false" localSheetId="2" name="solver_rhs14" vbProcedure="false">Utilidad!$W$56</definedName>
    <definedName function="false" hidden="false" localSheetId="2" name="solver_rhs15" vbProcedure="false">Utilidad!$W$59</definedName>
    <definedName function="false" hidden="false" localSheetId="2" name="solver_rhs16" vbProcedure="false">Utilidad!$W$62</definedName>
    <definedName function="false" hidden="false" localSheetId="2" name="solver_rhs17" vbProcedure="false">Utilidad!$W$63</definedName>
    <definedName function="false" hidden="false" localSheetId="2" name="solver_rhs18" vbProcedure="false">Utilidad!$W$66</definedName>
    <definedName function="false" hidden="false" localSheetId="2" name="solver_rhs19" vbProcedure="false">Utilidad!$W$66</definedName>
    <definedName function="false" hidden="false" localSheetId="2" name="solver_rhs2" vbProcedure="false">Utilidad!$AE$39:$AE$52</definedName>
    <definedName function="false" hidden="false" localSheetId="2" name="solver_rhs20" vbProcedure="false">Utilidad!$W$66</definedName>
    <definedName function="false" hidden="false" localSheetId="2" name="solver_rhs21" vbProcedure="false">Utilidad!$W$66</definedName>
    <definedName function="false" hidden="false" localSheetId="2" name="solver_rhs22" vbProcedure="false">Utilidad!$W$66</definedName>
    <definedName function="false" hidden="false" localSheetId="2" name="solver_rhs23" vbProcedure="false">Utilidad!$W$66</definedName>
    <definedName function="false" hidden="false" localSheetId="2" name="solver_rhs24" vbProcedure="false">Utilidad!$W$66</definedName>
    <definedName function="false" hidden="false" localSheetId="2" name="solver_rhs25" vbProcedure="false">Utilidad!$W$66</definedName>
    <definedName function="false" hidden="false" localSheetId="2" name="solver_rhs26" vbProcedure="false">Utilidad!$W$63</definedName>
    <definedName function="false" hidden="false" localSheetId="2" name="solver_rhs27" vbProcedure="false">Utilidad!$W$63</definedName>
    <definedName function="false" hidden="false" localSheetId="2" name="solver_rhs28" vbProcedure="false">Utilidad!$W$63</definedName>
    <definedName function="false" hidden="false" localSheetId="2" name="solver_rhs29" vbProcedure="false">Utilidad!$W$63</definedName>
    <definedName function="false" hidden="false" localSheetId="2" name="solver_rhs3" vbProcedure="false">Utilidad!$U$40</definedName>
    <definedName function="false" hidden="false" localSheetId="2" name="solver_rhs30" vbProcedure="false">Utilidad!$W$63</definedName>
    <definedName function="false" hidden="false" localSheetId="2" name="solver_rhs31" vbProcedure="false">Utilidad!$W$63</definedName>
    <definedName function="false" hidden="false" localSheetId="2" name="solver_rhs32" vbProcedure="false">Utilidad!$W$63</definedName>
    <definedName function="false" hidden="false" localSheetId="2" name="solver_rhs33" vbProcedure="false">Utilidad!$W$63</definedName>
    <definedName function="false" hidden="false" localSheetId="2" name="solver_rhs34" vbProcedure="false">Utilidad!$W$63</definedName>
    <definedName function="false" hidden="false" localSheetId="2" name="solver_rhs35" vbProcedure="false">Utilidad!$W$63</definedName>
    <definedName function="false" hidden="false" localSheetId="2" name="solver_rhs36" vbProcedure="false">Utilidad!$W$63</definedName>
    <definedName function="false" hidden="false" localSheetId="2" name="solver_rhs37" vbProcedure="false">Utilidad!$W$63</definedName>
    <definedName function="false" hidden="false" localSheetId="2" name="solver_rhs38" vbProcedure="false">Utilidad!$W$63</definedName>
    <definedName function="false" hidden="false" localSheetId="2" name="solver_rhs39" vbProcedure="false">Utilidad!$W$63</definedName>
    <definedName function="false" hidden="false" localSheetId="2" name="solver_rhs4" vbProcedure="false">Utilidad!$U$42</definedName>
    <definedName function="false" hidden="false" localSheetId="2" name="solver_rhs40" vbProcedure="false">Utilidad!$W$63</definedName>
    <definedName function="false" hidden="false" localSheetId="2" name="solver_rhs41" vbProcedure="false">Utilidad!$W$63</definedName>
    <definedName function="false" hidden="false" localSheetId="2" name="solver_rhs42" vbProcedure="false">Utilidad!$W$63</definedName>
    <definedName function="false" hidden="false" localSheetId="2" name="solver_rhs43" vbProcedure="false">Utilidad!$W$63</definedName>
    <definedName function="false" hidden="false" localSheetId="2" name="solver_rhs44" vbProcedure="false">Utilidad!$W$63</definedName>
    <definedName function="false" hidden="false" localSheetId="2" name="solver_rhs5" vbProcedure="false">Utilidad!$U$49</definedName>
    <definedName function="false" hidden="false" localSheetId="2" name="solver_rhs6" vbProcedure="false">Utilidad!$U$51</definedName>
    <definedName function="false" hidden="false" localSheetId="2" name="solver_rhs7" vbProcedure="false">Utilidad!$U$62</definedName>
    <definedName function="false" hidden="false" localSheetId="2" name="solver_rhs8" vbProcedure="false">Utilidad!$U$63</definedName>
    <definedName function="false" hidden="false" localSheetId="2" name="solver_rhs9" vbProcedure="false">Utilidad!$U$68</definedName>
    <definedName function="false" hidden="false" localSheetId="2" name="solver_rlx" vbProcedure="false">2</definedName>
    <definedName function="false" hidden="false" localSheetId="2" name="solver_rsd" vbProcedure="false">0</definedName>
    <definedName function="false" hidden="false" localSheetId="2" name="solver_scl" vbProcedure="false">1</definedName>
    <definedName function="false" hidden="false" localSheetId="2" name="solver_sho" vbProcedure="false">2</definedName>
    <definedName function="false" hidden="false" localSheetId="2" name="solver_ssz" vbProcedure="false">100</definedName>
    <definedName function="false" hidden="false" localSheetId="2" name="solver_tim" vbProcedure="false">2147483647</definedName>
    <definedName function="false" hidden="false" localSheetId="2" name="solver_tol" vbProcedure="false">0.01</definedName>
    <definedName function="false" hidden="false" localSheetId="2" name="solver_typ" vbProcedure="false">2</definedName>
    <definedName function="false" hidden="false" localSheetId="2" name="solver_val" vbProcedure="false">0</definedName>
    <definedName function="false" hidden="false" localSheetId="2" name="solver_ver" vbProcedure="false">3</definedName>
    <definedName function="false" hidden="false" localSheetId="5" name="solver_eng" vbProcedure="false">1</definedName>
    <definedName function="false" hidden="false" localSheetId="5" name="solver_lin" vbProcedure="false">2</definedName>
    <definedName function="false" hidden="false" localSheetId="5" name="solver_neg" vbProcedure="false">1</definedName>
    <definedName function="false" hidden="false" localSheetId="5" name="solver_num" vbProcedure="false">0</definedName>
    <definedName function="false" hidden="false" localSheetId="5" name="solver_opt" vbProcedure="false">'Diag Proc Los Colorados'!$Y$64</definedName>
    <definedName function="false" hidden="false" localSheetId="5" name="solver_typ" vbProcedure="false">1</definedName>
    <definedName function="false" hidden="false" localSheetId="5" name="solver_val" vbProcedure="false">0</definedName>
    <definedName function="false" hidden="false" localSheetId="5" name="solver_ver" vbProcedure="false">2</definedName>
    <definedName function="false" hidden="false" localSheetId="6" name="solver_adj" vbProcedure="false">'Bal Fet Pta Pellets'!$N$62:$O$116</definedName>
    <definedName function="false" hidden="false" localSheetId="6" name="solver_cvg" vbProcedure="false">0.0001</definedName>
    <definedName function="false" hidden="false" localSheetId="6" name="solver_drv" vbProcedure="false">1</definedName>
    <definedName function="false" hidden="false" localSheetId="6" name="solver_eng" vbProcedure="false">1</definedName>
    <definedName function="false" hidden="false" localSheetId="6" name="solver_est" vbProcedure="false">1</definedName>
    <definedName function="false" hidden="false" localSheetId="6" name="solver_itr" vbProcedure="false">2147483647</definedName>
    <definedName function="false" hidden="false" localSheetId="6" name="solver_lhs1" vbProcedure="false">'Bal Fet Pta Pellets'!$AD$62</definedName>
    <definedName function="false" hidden="false" localSheetId="6" name="solver_lhs10" vbProcedure="false">'Bal Fet Pta Pellets'!$AD$71</definedName>
    <definedName function="false" hidden="false" localSheetId="6" name="solver_lhs11" vbProcedure="false">'Bal Fet Pta Pellets'!$AD$72</definedName>
    <definedName function="false" hidden="false" localSheetId="6" name="solver_lhs12" vbProcedure="false">'Bal Fet Pta Pellets'!$AD$73</definedName>
    <definedName function="false" hidden="false" localSheetId="6" name="solver_lhs13" vbProcedure="false">'Bal Fet Pta Pellets'!$AD$74</definedName>
    <definedName function="false" hidden="false" localSheetId="6" name="solver_lhs14" vbProcedure="false">'Bal Fet Pta Pellets'!$AD$75</definedName>
    <definedName function="false" hidden="false" localSheetId="6" name="solver_lhs15" vbProcedure="false">'Bal Fet Pta Pellets'!$AD$76</definedName>
    <definedName function="false" hidden="false" localSheetId="6" name="solver_lhs16" vbProcedure="false">'Bal Fet Pta Pellets'!$AD$77</definedName>
    <definedName function="false" hidden="false" localSheetId="6" name="solver_lhs17" vbProcedure="false">'Bal Fet Pta Pellets'!$AD$78</definedName>
    <definedName function="false" hidden="false" localSheetId="6" name="solver_lhs18" vbProcedure="false">'Bal Fet Pta Pellets'!$AD$79</definedName>
    <definedName function="false" hidden="false" localSheetId="6" name="solver_lhs19" vbProcedure="false">'Bal Fet Pta Pellets'!$AD$80</definedName>
    <definedName function="false" hidden="false" localSheetId="6" name="solver_lhs2" vbProcedure="false">'Bal Fet Pta Pellets'!$AD$63</definedName>
    <definedName function="false" hidden="false" localSheetId="6" name="solver_lhs20" vbProcedure="false">'Bal Fet Pta Pellets'!$AD$81</definedName>
    <definedName function="false" hidden="false" localSheetId="6" name="solver_lhs21" vbProcedure="false">'Bal Fet Pta Pellets'!$AD$82</definedName>
    <definedName function="false" hidden="false" localSheetId="6" name="solver_lhs22" vbProcedure="false">'Bal Fet Pta Pellets'!$AD$61</definedName>
    <definedName function="false" hidden="false" localSheetId="6" name="solver_lhs23" vbProcedure="false">'Bal Fet Pta Pellets'!$AE$61</definedName>
    <definedName function="false" hidden="false" localSheetId="6" name="solver_lhs24" vbProcedure="false">'Bal Fet Pta Pellets'!$AE$62</definedName>
    <definedName function="false" hidden="false" localSheetId="6" name="solver_lhs25" vbProcedure="false">'Bal Fet Pta Pellets'!$AE$63</definedName>
    <definedName function="false" hidden="false" localSheetId="6" name="solver_lhs26" vbProcedure="false">'Bal Fet Pta Pellets'!$AE$64</definedName>
    <definedName function="false" hidden="false" localSheetId="6" name="solver_lhs27" vbProcedure="false">'Bal Fet Pta Pellets'!$AE$65</definedName>
    <definedName function="false" hidden="false" localSheetId="6" name="solver_lhs28" vbProcedure="false">'Bal Fet Pta Pellets'!$AE$66</definedName>
    <definedName function="false" hidden="false" localSheetId="6" name="solver_lhs29" vbProcedure="false">'Bal Fet Pta Pellets'!$AE$67</definedName>
    <definedName function="false" hidden="false" localSheetId="6" name="solver_lhs3" vbProcedure="false">'Bal Fet Pta Pellets'!$AD$64</definedName>
    <definedName function="false" hidden="false" localSheetId="6" name="solver_lhs30" vbProcedure="false">'Bal Fet Pta Pellets'!$AE$68</definedName>
    <definedName function="false" hidden="false" localSheetId="6" name="solver_lhs31" vbProcedure="false">'Bal Fet Pta Pellets'!$AE$69</definedName>
    <definedName function="false" hidden="false" localSheetId="6" name="solver_lhs32" vbProcedure="false">'Bal Fet Pta Pellets'!$AE$70</definedName>
    <definedName function="false" hidden="false" localSheetId="6" name="solver_lhs33" vbProcedure="false">'Bal Fet Pta Pellets'!$AE$71</definedName>
    <definedName function="false" hidden="false" localSheetId="6" name="solver_lhs34" vbProcedure="false">'Bal Fet Pta Pellets'!$AE$72</definedName>
    <definedName function="false" hidden="false" localSheetId="6" name="solver_lhs35" vbProcedure="false">'Bal Fet Pta Pellets'!$AE$73</definedName>
    <definedName function="false" hidden="false" localSheetId="6" name="solver_lhs36" vbProcedure="false">'Bal Fet Pta Pellets'!$AE$74</definedName>
    <definedName function="false" hidden="false" localSheetId="6" name="solver_lhs37" vbProcedure="false">'Bal Fet Pta Pellets'!$AE$75</definedName>
    <definedName function="false" hidden="false" localSheetId="6" name="solver_lhs38" vbProcedure="false">'Bal Fet Pta Pellets'!$AE$76</definedName>
    <definedName function="false" hidden="false" localSheetId="6" name="solver_lhs39" vbProcedure="false">'Bal Fet Pta Pellets'!$AE$77</definedName>
    <definedName function="false" hidden="false" localSheetId="6" name="solver_lhs4" vbProcedure="false">'Bal Fet Pta Pellets'!$AD$65</definedName>
    <definedName function="false" hidden="false" localSheetId="6" name="solver_lhs40" vbProcedure="false">'Bal Fet Pta Pellets'!$AE$78</definedName>
    <definedName function="false" hidden="false" localSheetId="6" name="solver_lhs41" vbProcedure="false">'Bal Fet Pta Pellets'!$AE$79</definedName>
    <definedName function="false" hidden="false" localSheetId="6" name="solver_lhs42" vbProcedure="false">'Bal Fet Pta Pellets'!$AE$80</definedName>
    <definedName function="false" hidden="false" localSheetId="6" name="solver_lhs43" vbProcedure="false">'Bal Fet Pta Pellets'!$AE$82</definedName>
    <definedName function="false" hidden="false" localSheetId="6" name="solver_lhs44" vbProcedure="false">'Bal Fet Pta Pellets'!$AE$81</definedName>
    <definedName function="false" hidden="false" localSheetId="6" name="solver_lhs45" vbProcedure="false">'Bal Fet Pta Pellets'!$N$65</definedName>
    <definedName function="false" hidden="false" localSheetId="6" name="solver_lhs46" vbProcedure="false">'Bal Fet Pta Pellets'!$N$77</definedName>
    <definedName function="false" hidden="false" localSheetId="6" name="solver_lhs47" vbProcedure="false">'Bal Fet Pta Pellets'!$T$103</definedName>
    <definedName function="false" hidden="false" localSheetId="6" name="solver_lhs48" vbProcedure="false">'Bal Fet Pta Pellets'!$T$101</definedName>
    <definedName function="false" hidden="false" localSheetId="6" name="solver_lhs49" vbProcedure="false">'Bal Fet Pta Pellets'!$N$81</definedName>
    <definedName function="false" hidden="false" localSheetId="6" name="solver_lhs5" vbProcedure="false">'Bal Fet Pta Pellets'!$AD$66</definedName>
    <definedName function="false" hidden="false" localSheetId="6" name="solver_lhs50" vbProcedure="false">'Bal Fet Pta Pellets'!$T$106</definedName>
    <definedName function="false" hidden="false" localSheetId="6" name="solver_lhs51" vbProcedure="false">'Bal Fet Pta Pellets'!$T$116</definedName>
    <definedName function="false" hidden="false" localSheetId="6" name="solver_lhs52" vbProcedure="false">'Bal Fet Pta Pellets'!$T$109</definedName>
    <definedName function="false" hidden="false" localSheetId="6" name="solver_lhs53" vbProcedure="false">'Bal Fet Pta Pellets'!$N$107</definedName>
    <definedName function="false" hidden="false" localSheetId="6" name="solver_lhs54" vbProcedure="false">'Bal Fet Pta Pellets'!$T$80</definedName>
    <definedName function="false" hidden="false" localSheetId="6" name="solver_lhs55" vbProcedure="false">'Bal Fet Pta Pellets'!$T$81</definedName>
    <definedName function="false" hidden="false" localSheetId="6" name="solver_lhs56" vbProcedure="false">'Bal Fet Pta Pellets'!$T$73</definedName>
    <definedName function="false" hidden="false" localSheetId="6" name="solver_lhs57" vbProcedure="false">'Bal Fet Pta Pellets'!$T$76</definedName>
    <definedName function="false" hidden="false" localSheetId="6" name="solver_lhs58" vbProcedure="false">'Bal Fet Pta Pellets'!$T$70</definedName>
    <definedName function="false" hidden="false" localSheetId="6" name="solver_lhs59" vbProcedure="false">'Bal Fet Pta Pellets'!$V$101</definedName>
    <definedName function="false" hidden="false" localSheetId="6" name="solver_lhs6" vbProcedure="false">'Bal Fet Pta Pellets'!$AD$67</definedName>
    <definedName function="false" hidden="false" localSheetId="6" name="solver_lhs60" vbProcedure="false">'Bal Fet Pta Pellets'!$T$89</definedName>
    <definedName function="false" hidden="false" localSheetId="6" name="solver_lhs61" vbProcedure="false">'Bal Fet Pta Pellets'!$T$99</definedName>
    <definedName function="false" hidden="false" localSheetId="6" name="solver_lhs62" vbProcedure="false">'Bal Fet Pta Pellets'!$T$97</definedName>
    <definedName function="false" hidden="false" localSheetId="6" name="solver_lhs63" vbProcedure="false">'Bal Fet Pta Pellets'!$T$86</definedName>
    <definedName function="false" hidden="false" localSheetId="6" name="solver_lhs64" vbProcedure="false">'Bal Fet Pta Pellets'!$T$114</definedName>
    <definedName function="false" hidden="false" localSheetId="6" name="solver_lhs65" vbProcedure="false">'Bal Fet Pta Pellets'!$T$111</definedName>
    <definedName function="false" hidden="false" localSheetId="6" name="solver_lhs66" vbProcedure="false">'Bal Fet Pta Pellets'!$T$62</definedName>
    <definedName function="false" hidden="false" localSheetId="6" name="solver_lhs67" vbProcedure="false">'Bal Fet Pta Pellets'!$T$71</definedName>
    <definedName function="false" hidden="false" localSheetId="6" name="solver_lhs68" vbProcedure="false">'Bal Fet Pta Pellets'!$T$63</definedName>
    <definedName function="false" hidden="false" localSheetId="6" name="solver_lhs69" vbProcedure="false">'Bal Fet Pta Pellets'!$T$68</definedName>
    <definedName function="false" hidden="false" localSheetId="6" name="solver_lhs7" vbProcedure="false">'Bal Fet Pta Pellets'!$AD$68</definedName>
    <definedName function="false" hidden="false" localSheetId="6" name="solver_lhs70" vbProcedure="false">'Bal Fet Pta Pellets'!$N$106</definedName>
    <definedName function="false" hidden="false" localSheetId="6" name="solver_lhs71" vbProcedure="false">'Bal Fet Pta Pellets'!$V$115</definedName>
    <definedName function="false" hidden="false" localSheetId="6" name="solver_lhs72" vbProcedure="false">'Bal Fet Pta Pellets'!$V$111</definedName>
    <definedName function="false" hidden="false" localSheetId="6" name="solver_lhs73" vbProcedure="false">'Bal Fet Pta Pellets'!$T$93</definedName>
    <definedName function="false" hidden="false" localSheetId="6" name="solver_lhs74" vbProcedure="false">'Bal Fet Pta Pellets'!$V$62</definedName>
    <definedName function="false" hidden="false" localSheetId="6" name="solver_lhs75" vbProcedure="false">'Bal Fet Pta Pellets'!$V$71</definedName>
    <definedName function="false" hidden="false" localSheetId="6" name="solver_lhs76" vbProcedure="false">'Bal Fet Pta Pellets'!$V$116</definedName>
    <definedName function="false" hidden="false" localSheetId="6" name="solver_lhs77" vbProcedure="false">'Bal Fet Pta Pellets'!$V$86</definedName>
    <definedName function="false" hidden="false" localSheetId="6" name="solver_lhs78" vbProcedure="false">'Bal Fet Pta Pellets'!$O$72</definedName>
    <definedName function="false" hidden="false" localSheetId="6" name="solver_lhs79" vbProcedure="false">'Bal Fet Pta Pellets'!$V$92</definedName>
    <definedName function="false" hidden="false" localSheetId="6" name="solver_lhs8" vbProcedure="false">'Bal Fet Pta Pellets'!$AD$69</definedName>
    <definedName function="false" hidden="false" localSheetId="6" name="solver_lhs80" vbProcedure="false">'Bal Fet Pta Pellets'!$V$92</definedName>
    <definedName function="false" hidden="false" localSheetId="6" name="solver_lhs9" vbProcedure="false">'Bal Fet Pta Pellets'!$AD$70</definedName>
    <definedName function="false" hidden="false" localSheetId="6" name="solver_mip" vbProcedure="false">2147483647</definedName>
    <definedName function="false" hidden="false" localSheetId="6" name="solver_mni" vbProcedure="false">30</definedName>
    <definedName function="false" hidden="false" localSheetId="6" name="solver_mrt" vbProcedure="false">0.075</definedName>
    <definedName function="false" hidden="false" localSheetId="6" name="solver_msl" vbProcedure="false">2</definedName>
    <definedName function="false" hidden="false" localSheetId="6" name="solver_neg" vbProcedure="false">1</definedName>
    <definedName function="false" hidden="false" localSheetId="6" name="solver_nod" vbProcedure="false">2147483647</definedName>
    <definedName function="false" hidden="false" localSheetId="6" name="solver_num" vbProcedure="false">80</definedName>
    <definedName function="false" hidden="false" localSheetId="6" name="solver_nwt" vbProcedure="false">1</definedName>
    <definedName function="false" hidden="false" localSheetId="6" name="solver_opt" vbProcedure="false">'Bal Fet Pta Pellets'!$AD$85</definedName>
    <definedName function="false" hidden="false" localSheetId="6" name="solver_pre" vbProcedure="false">0.000001</definedName>
    <definedName function="false" hidden="false" localSheetId="6" name="solver_rbv" vbProcedure="false">1</definedName>
    <definedName function="false" hidden="false" localSheetId="6" name="solver_rel1" vbProcedure="false">2</definedName>
    <definedName function="false" hidden="false" localSheetId="6" name="solver_rel10" vbProcedure="false">2</definedName>
    <definedName function="false" hidden="false" localSheetId="6" name="solver_rel11" vbProcedure="false">2</definedName>
    <definedName function="false" hidden="false" localSheetId="6" name="solver_rel12" vbProcedure="false">2</definedName>
    <definedName function="false" hidden="false" localSheetId="6" name="solver_rel13" vbProcedure="false">2</definedName>
    <definedName function="false" hidden="false" localSheetId="6" name="solver_rel14" vbProcedure="false">2</definedName>
    <definedName function="false" hidden="false" localSheetId="6" name="solver_rel15" vbProcedure="false">2</definedName>
    <definedName function="false" hidden="false" localSheetId="6" name="solver_rel16" vbProcedure="false">2</definedName>
    <definedName function="false" hidden="false" localSheetId="6" name="solver_rel17" vbProcedure="false">2</definedName>
    <definedName function="false" hidden="false" localSheetId="6" name="solver_rel18" vbProcedure="false">2</definedName>
    <definedName function="false" hidden="false" localSheetId="6" name="solver_rel19" vbProcedure="false">2</definedName>
    <definedName function="false" hidden="false" localSheetId="6" name="solver_rel2" vbProcedure="false">2</definedName>
    <definedName function="false" hidden="false" localSheetId="6" name="solver_rel20" vbProcedure="false">2</definedName>
    <definedName function="false" hidden="false" localSheetId="6" name="solver_rel21" vbProcedure="false">2</definedName>
    <definedName function="false" hidden="false" localSheetId="6" name="solver_rel22" vbProcedure="false">2</definedName>
    <definedName function="false" hidden="false" localSheetId="6" name="solver_rel23" vbProcedure="false">2</definedName>
    <definedName function="false" hidden="false" localSheetId="6" name="solver_rel24" vbProcedure="false">2</definedName>
    <definedName function="false" hidden="false" localSheetId="6" name="solver_rel25" vbProcedure="false">2</definedName>
    <definedName function="false" hidden="false" localSheetId="6" name="solver_rel26" vbProcedure="false">2</definedName>
    <definedName function="false" hidden="false" localSheetId="6" name="solver_rel27" vbProcedure="false">2</definedName>
    <definedName function="false" hidden="false" localSheetId="6" name="solver_rel28" vbProcedure="false">2</definedName>
    <definedName function="false" hidden="false" localSheetId="6" name="solver_rel29" vbProcedure="false">2</definedName>
    <definedName function="false" hidden="false" localSheetId="6" name="solver_rel3" vbProcedure="false">2</definedName>
    <definedName function="false" hidden="false" localSheetId="6" name="solver_rel30" vbProcedure="false">2</definedName>
    <definedName function="false" hidden="false" localSheetId="6" name="solver_rel31" vbProcedure="false">2</definedName>
    <definedName function="false" hidden="false" localSheetId="6" name="solver_rel32" vbProcedure="false">2</definedName>
    <definedName function="false" hidden="false" localSheetId="6" name="solver_rel33" vbProcedure="false">2</definedName>
    <definedName function="false" hidden="false" localSheetId="6" name="solver_rel34" vbProcedure="false">2</definedName>
    <definedName function="false" hidden="false" localSheetId="6" name="solver_rel35" vbProcedure="false">2</definedName>
    <definedName function="false" hidden="false" localSheetId="6" name="solver_rel36" vbProcedure="false">2</definedName>
    <definedName function="false" hidden="false" localSheetId="6" name="solver_rel37" vbProcedure="false">2</definedName>
    <definedName function="false" hidden="false" localSheetId="6" name="solver_rel38" vbProcedure="false">2</definedName>
    <definedName function="false" hidden="false" localSheetId="6" name="solver_rel39" vbProcedure="false">2</definedName>
    <definedName function="false" hidden="false" localSheetId="6" name="solver_rel4" vbProcedure="false">2</definedName>
    <definedName function="false" hidden="false" localSheetId="6" name="solver_rel40" vbProcedure="false">2</definedName>
    <definedName function="false" hidden="false" localSheetId="6" name="solver_rel41" vbProcedure="false">2</definedName>
    <definedName function="false" hidden="false" localSheetId="6" name="solver_rel42" vbProcedure="false">2</definedName>
    <definedName function="false" hidden="false" localSheetId="6" name="solver_rel43" vbProcedure="false">2</definedName>
    <definedName function="false" hidden="false" localSheetId="6" name="solver_rel44" vbProcedure="false">2</definedName>
    <definedName function="false" hidden="false" localSheetId="6" name="solver_rel45" vbProcedure="false">2</definedName>
    <definedName function="false" hidden="false" localSheetId="6" name="solver_rel46" vbProcedure="false">1</definedName>
    <definedName function="false" hidden="false" localSheetId="6" name="solver_rel47" vbProcedure="false">1</definedName>
    <definedName function="false" hidden="false" localSheetId="6" name="solver_rel48" vbProcedure="false">1</definedName>
    <definedName function="false" hidden="false" localSheetId="6" name="solver_rel49" vbProcedure="false">2</definedName>
    <definedName function="false" hidden="false" localSheetId="6" name="solver_rel5" vbProcedure="false">2</definedName>
    <definedName function="false" hidden="false" localSheetId="6" name="solver_rel50" vbProcedure="false">1</definedName>
    <definedName function="false" hidden="false" localSheetId="6" name="solver_rel51" vbProcedure="false">1</definedName>
    <definedName function="false" hidden="false" localSheetId="6" name="solver_rel52" vbProcedure="false">1</definedName>
    <definedName function="false" hidden="false" localSheetId="6" name="solver_rel53" vbProcedure="false">2</definedName>
    <definedName function="false" hidden="false" localSheetId="6" name="solver_rel54" vbProcedure="false">1</definedName>
    <definedName function="false" hidden="false" localSheetId="6" name="solver_rel55" vbProcedure="false">1</definedName>
    <definedName function="false" hidden="false" localSheetId="6" name="solver_rel56" vbProcedure="false">1</definedName>
    <definedName function="false" hidden="false" localSheetId="6" name="solver_rel57" vbProcedure="false">1</definedName>
    <definedName function="false" hidden="false" localSheetId="6" name="solver_rel58" vbProcedure="false">1</definedName>
    <definedName function="false" hidden="false" localSheetId="6" name="solver_rel59" vbProcedure="false">1</definedName>
    <definedName function="false" hidden="false" localSheetId="6" name="solver_rel6" vbProcedure="false">2</definedName>
    <definedName function="false" hidden="false" localSheetId="6" name="solver_rel60" vbProcedure="false">1</definedName>
    <definedName function="false" hidden="false" localSheetId="6" name="solver_rel61" vbProcedure="false">1</definedName>
    <definedName function="false" hidden="false" localSheetId="6" name="solver_rel62" vbProcedure="false">1</definedName>
    <definedName function="false" hidden="false" localSheetId="6" name="solver_rel63" vbProcedure="false">1</definedName>
    <definedName function="false" hidden="false" localSheetId="6" name="solver_rel64" vbProcedure="false">1</definedName>
    <definedName function="false" hidden="false" localSheetId="6" name="solver_rel65" vbProcedure="false">1</definedName>
    <definedName function="false" hidden="false" localSheetId="6" name="solver_rel66" vbProcedure="false">1</definedName>
    <definedName function="false" hidden="false" localSheetId="6" name="solver_rel67" vbProcedure="false">1</definedName>
    <definedName function="false" hidden="false" localSheetId="6" name="solver_rel68" vbProcedure="false">1</definedName>
    <definedName function="false" hidden="false" localSheetId="6" name="solver_rel69" vbProcedure="false">1</definedName>
    <definedName function="false" hidden="false" localSheetId="6" name="solver_rel7" vbProcedure="false">2</definedName>
    <definedName function="false" hidden="false" localSheetId="6" name="solver_rel70" vbProcedure="false">2</definedName>
    <definedName function="false" hidden="false" localSheetId="6" name="solver_rel71" vbProcedure="false">1</definedName>
    <definedName function="false" hidden="false" localSheetId="6" name="solver_rel72" vbProcedure="false">1</definedName>
    <definedName function="false" hidden="false" localSheetId="6" name="solver_rel73" vbProcedure="false">1</definedName>
    <definedName function="false" hidden="false" localSheetId="6" name="solver_rel74" vbProcedure="false">1</definedName>
    <definedName function="false" hidden="false" localSheetId="6" name="solver_rel75" vbProcedure="false">1</definedName>
    <definedName function="false" hidden="false" localSheetId="6" name="solver_rel76" vbProcedure="false">1</definedName>
    <definedName function="false" hidden="false" localSheetId="6" name="solver_rel77" vbProcedure="false">1</definedName>
    <definedName function="false" hidden="false" localSheetId="6" name="solver_rel78" vbProcedure="false">2</definedName>
    <definedName function="false" hidden="false" localSheetId="6" name="solver_rel79" vbProcedure="false">1</definedName>
    <definedName function="false" hidden="false" localSheetId="6" name="solver_rel8" vbProcedure="false">2</definedName>
    <definedName function="false" hidden="false" localSheetId="6" name="solver_rel80" vbProcedure="false">1</definedName>
    <definedName function="false" hidden="false" localSheetId="6" name="solver_rel9" vbProcedure="false">2</definedName>
    <definedName function="false" hidden="false" localSheetId="6" name="solver_rhs1" vbProcedure="false">0</definedName>
    <definedName function="false" hidden="false" localSheetId="6" name="solver_rhs10" vbProcedure="false">0</definedName>
    <definedName function="false" hidden="false" localSheetId="6" name="solver_rhs11" vbProcedure="false">0</definedName>
    <definedName function="false" hidden="false" localSheetId="6" name="solver_rhs12" vbProcedure="false">0</definedName>
    <definedName function="false" hidden="false" localSheetId="6" name="solver_rhs13" vbProcedure="false">0</definedName>
    <definedName function="false" hidden="false" localSheetId="6" name="solver_rhs14" vbProcedure="false">0</definedName>
    <definedName function="false" hidden="false" localSheetId="6" name="solver_rhs15" vbProcedure="false">0</definedName>
    <definedName function="false" hidden="false" localSheetId="6" name="solver_rhs16" vbProcedure="false">0</definedName>
    <definedName function="false" hidden="false" localSheetId="6" name="solver_rhs17" vbProcedure="false">0</definedName>
    <definedName function="false" hidden="false" localSheetId="6" name="solver_rhs18" vbProcedure="false">0</definedName>
    <definedName function="false" hidden="false" localSheetId="6" name="solver_rhs19" vbProcedure="false">0</definedName>
    <definedName function="false" hidden="false" localSheetId="6" name="solver_rhs2" vbProcedure="false">0</definedName>
    <definedName function="false" hidden="false" localSheetId="6" name="solver_rhs20" vbProcedure="false">0</definedName>
    <definedName function="false" hidden="false" localSheetId="6" name="solver_rhs21" vbProcedure="false">0</definedName>
    <definedName function="false" hidden="false" localSheetId="6" name="solver_rhs22" vbProcedure="false">0</definedName>
    <definedName function="false" hidden="false" localSheetId="6" name="solver_rhs23" vbProcedure="false">0</definedName>
    <definedName function="false" hidden="false" localSheetId="6" name="solver_rhs24" vbProcedure="false">0</definedName>
    <definedName function="false" hidden="false" localSheetId="6" name="solver_rhs25" vbProcedure="false">0</definedName>
    <definedName function="false" hidden="false" localSheetId="6" name="solver_rhs26" vbProcedure="false">0</definedName>
    <definedName function="false" hidden="false" localSheetId="6" name="solver_rhs27" vbProcedure="false">0</definedName>
    <definedName function="false" hidden="false" localSheetId="6" name="solver_rhs28" vbProcedure="false">0</definedName>
    <definedName function="false" hidden="false" localSheetId="6" name="solver_rhs29" vbProcedure="false">0</definedName>
    <definedName function="false" hidden="false" localSheetId="6" name="solver_rhs3" vbProcedure="false">0</definedName>
    <definedName function="false" hidden="false" localSheetId="6" name="solver_rhs30" vbProcedure="false">0</definedName>
    <definedName function="false" hidden="false" localSheetId="6" name="solver_rhs31" vbProcedure="false">0</definedName>
    <definedName function="false" hidden="false" localSheetId="6" name="solver_rhs32" vbProcedure="false">0</definedName>
    <definedName function="false" hidden="false" localSheetId="6" name="solver_rhs33" vbProcedure="false">0</definedName>
    <definedName function="false" hidden="false" localSheetId="6" name="solver_rhs34" vbProcedure="false">0</definedName>
    <definedName function="false" hidden="false" localSheetId="6" name="solver_rhs35" vbProcedure="false">0</definedName>
    <definedName function="false" hidden="false" localSheetId="6" name="solver_rhs36" vbProcedure="false">0</definedName>
    <definedName function="false" hidden="false" localSheetId="6" name="solver_rhs37" vbProcedure="false">0</definedName>
    <definedName function="false" hidden="false" localSheetId="6" name="solver_rhs38" vbProcedure="false">0</definedName>
    <definedName function="false" hidden="false" localSheetId="6" name="solver_rhs39" vbProcedure="false">0</definedName>
    <definedName function="false" hidden="false" localSheetId="6" name="solver_rhs4" vbProcedure="false">0</definedName>
    <definedName function="false" hidden="false" localSheetId="6" name="solver_rhs40" vbProcedure="false">0</definedName>
    <definedName function="false" hidden="false" localSheetId="6" name="solver_rhs41" vbProcedure="false">0</definedName>
    <definedName function="false" hidden="false" localSheetId="6" name="solver_rhs42" vbProcedure="false">0</definedName>
    <definedName function="false" hidden="false" localSheetId="6" name="solver_rhs43" vbProcedure="false">0</definedName>
    <definedName function="false" hidden="false" localSheetId="6" name="solver_rhs44" vbProcedure="false">0</definedName>
    <definedName function="false" hidden="false" localSheetId="6" name="solver_rhs45" vbProcedure="false">'Bal Fet Pta Pellets'!$K$65</definedName>
    <definedName function="false" hidden="false" localSheetId="6" name="solver_rhs46" vbProcedure="false">0</definedName>
    <definedName function="false" hidden="false" localSheetId="6" name="solver_rhs47" vbProcedure="false">'Bal Fet Pta Pellets'!$U$103</definedName>
    <definedName function="false" hidden="false" localSheetId="6" name="solver_rhs48" vbProcedure="false">'Bal Fet Pta Pellets'!$U$101</definedName>
    <definedName function="false" hidden="false" localSheetId="6" name="solver_rhs49" vbProcedure="false">0</definedName>
    <definedName function="false" hidden="false" localSheetId="6" name="solver_rhs5" vbProcedure="false">0</definedName>
    <definedName function="false" hidden="false" localSheetId="6" name="solver_rhs50" vbProcedure="false">'Bal Fet Pta Pellets'!$U$106</definedName>
    <definedName function="false" hidden="false" localSheetId="6" name="solver_rhs51" vbProcedure="false">'Bal Fet Pta Pellets'!$U$116</definedName>
    <definedName function="false" hidden="false" localSheetId="6" name="solver_rhs52" vbProcedure="false">'Bal Fet Pta Pellets'!$U$109</definedName>
    <definedName function="false" hidden="false" localSheetId="6" name="solver_rhs53" vbProcedure="false">'Bal Fet Pta Pellets'!$K$107</definedName>
    <definedName function="false" hidden="false" localSheetId="6" name="solver_rhs54" vbProcedure="false">'Bal Fet Pta Pellets'!$U$80</definedName>
    <definedName function="false" hidden="false" localSheetId="6" name="solver_rhs55" vbProcedure="false">'Bal Fet Pta Pellets'!$U$81</definedName>
    <definedName function="false" hidden="false" localSheetId="6" name="solver_rhs56" vbProcedure="false">'Bal Fet Pta Pellets'!$U$73</definedName>
    <definedName function="false" hidden="false" localSheetId="6" name="solver_rhs57" vbProcedure="false">'Bal Fet Pta Pellets'!$U$76</definedName>
    <definedName function="false" hidden="false" localSheetId="6" name="solver_rhs58" vbProcedure="false">'Bal Fet Pta Pellets'!$U$70</definedName>
    <definedName function="false" hidden="false" localSheetId="6" name="solver_rhs59" vbProcedure="false">'Bal Fet Pta Pellets'!$W$101</definedName>
    <definedName function="false" hidden="false" localSheetId="6" name="solver_rhs6" vbProcedure="false">0</definedName>
    <definedName function="false" hidden="false" localSheetId="6" name="solver_rhs60" vbProcedure="false">'Bal Fet Pta Pellets'!$U$89</definedName>
    <definedName function="false" hidden="false" localSheetId="6" name="solver_rhs61" vbProcedure="false">'Bal Fet Pta Pellets'!$U$99</definedName>
    <definedName function="false" hidden="false" localSheetId="6" name="solver_rhs62" vbProcedure="false">'Bal Fet Pta Pellets'!$U$97</definedName>
    <definedName function="false" hidden="false" localSheetId="6" name="solver_rhs63" vbProcedure="false">'Bal Fet Pta Pellets'!$U$86</definedName>
    <definedName function="false" hidden="false" localSheetId="6" name="solver_rhs64" vbProcedure="false">'Bal Fet Pta Pellets'!$U$114</definedName>
    <definedName function="false" hidden="false" localSheetId="6" name="solver_rhs65" vbProcedure="false">'Bal Fet Pta Pellets'!$U$111</definedName>
    <definedName function="false" hidden="false" localSheetId="6" name="solver_rhs66" vbProcedure="false">'Bal Fet Pta Pellets'!$U$62</definedName>
    <definedName function="false" hidden="false" localSheetId="6" name="solver_rhs67" vbProcedure="false">'Bal Fet Pta Pellets'!$U$71</definedName>
    <definedName function="false" hidden="false" localSheetId="6" name="solver_rhs68" vbProcedure="false">'Bal Fet Pta Pellets'!$U$63</definedName>
    <definedName function="false" hidden="false" localSheetId="6" name="solver_rhs69" vbProcedure="false">'Bal Fet Pta Pellets'!$U$68</definedName>
    <definedName function="false" hidden="false" localSheetId="6" name="solver_rhs7" vbProcedure="false">0</definedName>
    <definedName function="false" hidden="false" localSheetId="6" name="solver_rhs70" vbProcedure="false">'Bal Fet Pta Pellets'!$N$103</definedName>
    <definedName function="false" hidden="false" localSheetId="6" name="solver_rhs71" vbProcedure="false">'Bal Fet Pta Pellets'!$W$115</definedName>
    <definedName function="false" hidden="false" localSheetId="6" name="solver_rhs72" vbProcedure="false">'Bal Fet Pta Pellets'!$W$111</definedName>
    <definedName function="false" hidden="false" localSheetId="6" name="solver_rhs73" vbProcedure="false">'Bal Fet Pta Pellets'!$U$93</definedName>
    <definedName function="false" hidden="false" localSheetId="6" name="solver_rhs74" vbProcedure="false">'Bal Fet Pta Pellets'!$W$62</definedName>
    <definedName function="false" hidden="false" localSheetId="6" name="solver_rhs75" vbProcedure="false">'Bal Fet Pta Pellets'!$W$71</definedName>
    <definedName function="false" hidden="false" localSheetId="6" name="solver_rhs76" vbProcedure="false">'Bal Fet Pta Pellets'!$W$116</definedName>
    <definedName function="false" hidden="false" localSheetId="6" name="solver_rhs77" vbProcedure="false">'Bal Fet Pta Pellets'!$W$86</definedName>
    <definedName function="false" hidden="false" localSheetId="6" name="solver_rhs78" vbProcedure="false">'Bal Fet Pta Pellets'!$Q$72</definedName>
    <definedName function="false" hidden="false" localSheetId="6" name="solver_rhs79" vbProcedure="false">'Bal Fet Pta Pellets'!$W$92</definedName>
    <definedName function="false" hidden="false" localSheetId="6" name="solver_rhs8" vbProcedure="false">0</definedName>
    <definedName function="false" hidden="false" localSheetId="6" name="solver_rhs80" vbProcedure="false">'Bal Fet Pta Pellets'!$W$92</definedName>
    <definedName function="false" hidden="false" localSheetId="6" name="solver_rhs9" vbProcedure="false">0</definedName>
    <definedName function="false" hidden="false" localSheetId="6" name="solver_rlx" vbProcedure="false">2</definedName>
    <definedName function="false" hidden="false" localSheetId="6" name="solver_rsd" vbProcedure="false">0</definedName>
    <definedName function="false" hidden="false" localSheetId="6" name="solver_scl" vbProcedure="false">1</definedName>
    <definedName function="false" hidden="false" localSheetId="6" name="solver_sho" vbProcedure="false">2</definedName>
    <definedName function="false" hidden="false" localSheetId="6" name="solver_ssz" vbProcedure="false">100</definedName>
    <definedName function="false" hidden="false" localSheetId="6" name="solver_tim" vbProcedure="false">2147483647</definedName>
    <definedName function="false" hidden="false" localSheetId="6" name="solver_tol" vbProcedure="false">0.01</definedName>
    <definedName function="false" hidden="false" localSheetId="6" name="solver_typ" vbProcedure="false">2</definedName>
    <definedName function="false" hidden="false" localSheetId="6" name="solver_val" vbProcedure="false">0</definedName>
    <definedName function="false" hidden="false" localSheetId="6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74" authorId="0">
      <text>
        <r>
          <rPr>
            <sz val="10"/>
            <rFont val="Arial"/>
            <family val="2"/>
          </rPr>
          <t xml:space="preserve">Marco Arru:
</t>
        </r>
        <r>
          <rPr>
            <sz val="9"/>
            <color rgb="FF000000"/>
            <rFont val="Tahoma"/>
            <family val="2"/>
            <charset val="1"/>
          </rPr>
          <t xml:space="preserve">No hay referencia en Hoja Datos Planta Húmeda</t>
        </r>
      </text>
    </comment>
    <comment ref="K86" authorId="0">
      <text>
        <r>
          <rPr>
            <sz val="10"/>
            <rFont val="Arial"/>
            <family val="2"/>
          </rPr>
          <t xml:space="preserve">Marco Arru:
</t>
        </r>
        <r>
          <rPr>
            <sz val="9"/>
            <color rgb="FF000000"/>
            <rFont val="Tahoma"/>
            <family val="2"/>
            <charset val="1"/>
          </rPr>
          <t xml:space="preserve">Valor arbitrario usado en balances anteriores</t>
        </r>
      </text>
    </comment>
    <comment ref="K92" authorId="0">
      <text>
        <r>
          <rPr>
            <sz val="10"/>
            <rFont val="Arial"/>
            <family val="2"/>
          </rPr>
          <t xml:space="preserve">Marco Arru:
</t>
        </r>
        <r>
          <rPr>
            <sz val="9"/>
            <color rgb="FF000000"/>
            <rFont val="Tahoma"/>
            <family val="2"/>
            <charset val="1"/>
          </rPr>
          <t xml:space="preserve">Estimado proporcionmal (1000 al mes)</t>
        </r>
      </text>
    </comment>
  </commentList>
</comments>
</file>

<file path=xl/sharedStrings.xml><?xml version="1.0" encoding="utf-8"?>
<sst xmlns="http://schemas.openxmlformats.org/spreadsheetml/2006/main" count="397" uniqueCount="243">
  <si>
    <t xml:space="preserve">BALANCE METALÚRGICO - VALLE HUASCO</t>
  </si>
  <si>
    <t xml:space="preserve">REPORTE DE MINA LOS COLORADOS</t>
  </si>
  <si>
    <t xml:space="preserve">FECHA DE BALANCE</t>
  </si>
  <si>
    <t xml:space="preserve">TONELAJE</t>
  </si>
  <si>
    <t xml:space="preserve">LEY</t>
  </si>
  <si>
    <t xml:space="preserve">FINO</t>
  </si>
  <si>
    <t xml:space="preserve">TMH</t>
  </si>
  <si>
    <t xml:space="preserve">TMS</t>
  </si>
  <si>
    <t xml:space="preserve">% FeT</t>
  </si>
  <si>
    <t xml:space="preserve">TMF</t>
  </si>
  <si>
    <t xml:space="preserve">ENTRADAS</t>
  </si>
  <si>
    <t xml:space="preserve">PRODUCCIÓN</t>
  </si>
  <si>
    <t xml:space="preserve">FL_218_501_01</t>
  </si>
  <si>
    <t xml:space="preserve">Mineral hacia  CH° Primario</t>
  </si>
  <si>
    <t xml:space="preserve">Producto a Partir de Mineral</t>
  </si>
  <si>
    <t xml:space="preserve"> </t>
  </si>
  <si>
    <t xml:space="preserve">Mineral hacia Planta de Beneficio</t>
  </si>
  <si>
    <t xml:space="preserve">Producto a Partir de Preconcentrado</t>
  </si>
  <si>
    <t xml:space="preserve">Material hacia Planta de Rechazos</t>
  </si>
  <si>
    <t xml:space="preserve">Preconcentrado P45</t>
  </si>
  <si>
    <t xml:space="preserve">FL_000_501_03</t>
  </si>
  <si>
    <t xml:space="preserve">TOTAL</t>
  </si>
  <si>
    <t xml:space="preserve">TRANSPORTE</t>
  </si>
  <si>
    <t xml:space="preserve">PÉRDIDAS</t>
  </si>
  <si>
    <t xml:space="preserve">Preconcentrado hacia Planta de Pellets</t>
  </si>
  <si>
    <t xml:space="preserve">Rechazos Finales</t>
  </si>
  <si>
    <t xml:space="preserve">Sinter Feed hacia Planta de Pellets</t>
  </si>
  <si>
    <t xml:space="preserve">P45 hacia Valle Copiapó</t>
  </si>
  <si>
    <t xml:space="preserve">Preconcentrado hacia Valle Copiapo</t>
  </si>
  <si>
    <t xml:space="preserve">Sinter Feed hacia Valle Copiapo</t>
  </si>
  <si>
    <t xml:space="preserve">P45 hacia Valle Elqui</t>
  </si>
  <si>
    <t xml:space="preserve">Preconcentrado hacia Valle Elqui</t>
  </si>
  <si>
    <t xml:space="preserve">Sinter Feed hacia Valle Elqui</t>
  </si>
  <si>
    <t xml:space="preserve">INVENTARIOS</t>
  </si>
  <si>
    <t xml:space="preserve">INV_501_01</t>
  </si>
  <si>
    <t xml:space="preserve">Preconcentrado en Acopios Mina</t>
  </si>
  <si>
    <t xml:space="preserve">Sinter Feed  62 en Acopios Mina</t>
  </si>
  <si>
    <t xml:space="preserve">Sinter Feed 65 en Acopios Mina</t>
  </si>
  <si>
    <t xml:space="preserve">Preconcentrado en Pila Producto</t>
  </si>
  <si>
    <t xml:space="preserve">Sinter Feed en Pila Producto</t>
  </si>
  <si>
    <t xml:space="preserve">Preconcentrado P40 en Planta Rechazos</t>
  </si>
  <si>
    <t xml:space="preserve">INDICADORES PLANTA BENEFICIO LOS COLORADOS</t>
  </si>
  <si>
    <t xml:space="preserve">RP LEY PLANTA BENEFICIO</t>
  </si>
  <si>
    <t xml:space="preserve">RECUPERACIÓN METALÚRGICA PLANTA BENEFICIO</t>
  </si>
  <si>
    <t xml:space="preserve">RP MASA PLANTA BENEFICIO</t>
  </si>
  <si>
    <t xml:space="preserve">Reporte KPI</t>
  </si>
  <si>
    <t xml:space="preserve">Balance</t>
  </si>
  <si>
    <t xml:space="preserve">Delta</t>
  </si>
  <si>
    <t xml:space="preserve">%</t>
  </si>
  <si>
    <t xml:space="preserve">Mineral hacia Chancado</t>
  </si>
  <si>
    <t xml:space="preserve">Alim Planta</t>
  </si>
  <si>
    <t xml:space="preserve">Prod P.Ben</t>
  </si>
  <si>
    <t xml:space="preserve">Alim Planta Rechazo</t>
  </si>
  <si>
    <t xml:space="preserve">Torre 1</t>
  </si>
  <si>
    <t xml:space="preserve">Torre 2 [Recirculación]</t>
  </si>
  <si>
    <t xml:space="preserve">Torre 2 [Acopio]</t>
  </si>
  <si>
    <t xml:space="preserve">Prod A61</t>
  </si>
  <si>
    <t xml:space="preserve">Proporcion</t>
  </si>
  <si>
    <t xml:space="preserve">Producción</t>
  </si>
  <si>
    <t xml:space="preserve">SF</t>
  </si>
  <si>
    <t xml:space="preserve">Basico</t>
  </si>
  <si>
    <t xml:space="preserve">Ingresar leyes</t>
  </si>
  <si>
    <t xml:space="preserve">FeT</t>
  </si>
  <si>
    <t xml:space="preserve">Datos balance</t>
  </si>
  <si>
    <t xml:space="preserve">%Fe T</t>
  </si>
  <si>
    <t xml:space="preserve">%Hum</t>
  </si>
  <si>
    <t xml:space="preserve">Alimentación Mina</t>
  </si>
  <si>
    <t xml:space="preserve">Alim Plantas (alim A52 y A82)</t>
  </si>
  <si>
    <t xml:space="preserve">Producción Plantas</t>
  </si>
  <si>
    <t xml:space="preserve">         Producción Básico (A52 + A82)</t>
  </si>
  <si>
    <t xml:space="preserve">         Producción Sinter Feed (A52 + A82)     </t>
  </si>
  <si>
    <t xml:space="preserve">Alimentación Planta Rechazo + RUMO</t>
  </si>
  <si>
    <t xml:space="preserve">Producción Planta Rechazo + RUMO</t>
  </si>
  <si>
    <t xml:space="preserve">Alimentación Planta Rechazo</t>
  </si>
  <si>
    <t xml:space="preserve">Producción Planta Rechazo </t>
  </si>
  <si>
    <t xml:space="preserve">Valores Calculados</t>
  </si>
  <si>
    <t xml:space="preserve">%FeT</t>
  </si>
  <si>
    <t xml:space="preserve">TMF Fe</t>
  </si>
  <si>
    <t xml:space="preserve">Planta Movil</t>
  </si>
  <si>
    <t xml:space="preserve">Alimentación Planta Rechazo </t>
  </si>
  <si>
    <t xml:space="preserve">Tabla Entrega</t>
  </si>
  <si>
    <t xml:space="preserve">Balance Mes</t>
  </si>
  <si>
    <t xml:space="preserve">Básico</t>
  </si>
  <si>
    <t xml:space="preserve">Mediciones</t>
  </si>
  <si>
    <t xml:space="preserve">% Cambio relativo</t>
  </si>
  <si>
    <t xml:space="preserve">Max Var Ton</t>
  </si>
  <si>
    <t xml:space="preserve">Max Var  FeT</t>
  </si>
  <si>
    <t xml:space="preserve">Flujos</t>
  </si>
  <si>
    <t xml:space="preserve">TMSD</t>
  </si>
  <si>
    <t xml:space="preserve">Alim a Planta desde Acopio Mina</t>
  </si>
  <si>
    <t xml:space="preserve">Acopio Mina a Terceros</t>
  </si>
  <si>
    <t xml:space="preserve">Delta S Acopio Mina</t>
  </si>
  <si>
    <t xml:space="preserve">Alim a Chancado</t>
  </si>
  <si>
    <t xml:space="preserve">Chanc a Stock Prec Los Col.</t>
  </si>
  <si>
    <t xml:space="preserve">Chanc a Stock Grueso</t>
  </si>
  <si>
    <t xml:space="preserve">Delta Stock de Grueso</t>
  </si>
  <si>
    <t xml:space="preserve">De Stock Grueso a conc magn (alim A52 y A82)</t>
  </si>
  <si>
    <t xml:space="preserve">Stock Prec a (o desde) Acopio Mina</t>
  </si>
  <si>
    <t xml:space="preserve">Delta Stock Prec</t>
  </si>
  <si>
    <t xml:space="preserve">de Stock Prec a Terceros (a otras faenas)</t>
  </si>
  <si>
    <t xml:space="preserve">de Conc Magnética a Stock Prec (Prod A52 y A 82)</t>
  </si>
  <si>
    <t xml:space="preserve">total de rechazo</t>
  </si>
  <si>
    <t xml:space="preserve">Rechazo  a Stock de Rechazo</t>
  </si>
  <si>
    <t xml:space="preserve">alim fresca a Planta Rechazo</t>
  </si>
  <si>
    <t xml:space="preserve">Delta Stock de Rechazo</t>
  </si>
  <si>
    <t xml:space="preserve">Stock Rechazo a Planta Rechazo</t>
  </si>
  <si>
    <t xml:space="preserve">Rechazo Final Los Colorados</t>
  </si>
  <si>
    <t xml:space="preserve">Producción Planta Rechazo a Stock P40</t>
  </si>
  <si>
    <t xml:space="preserve">Delta Stock P40</t>
  </si>
  <si>
    <t xml:space="preserve">Venta desde P40</t>
  </si>
  <si>
    <t xml:space="preserve">de Stoc Prec a Nodo Alim Planta de Pellet</t>
  </si>
  <si>
    <t xml:space="preserve">Alimentación Planta RUMO</t>
  </si>
  <si>
    <t xml:space="preserve">Rechazo RUMO</t>
  </si>
  <si>
    <t xml:space="preserve">Producción RUMO</t>
  </si>
  <si>
    <t xml:space="preserve">delta Stock RUMO</t>
  </si>
  <si>
    <t xml:space="preserve">RUMO a Venta</t>
  </si>
  <si>
    <t xml:space="preserve">Desvío venta RUMO a área 61</t>
  </si>
  <si>
    <t xml:space="preserve">Venta RUMO en camiones</t>
  </si>
  <si>
    <t xml:space="preserve">TMH CH primario</t>
  </si>
  <si>
    <t xml:space="preserve">TMH CH dispach</t>
  </si>
  <si>
    <t xml:space="preserve">Delta Stock Pila Primaria</t>
  </si>
  <si>
    <t xml:space="preserve">Stock inicial</t>
  </si>
  <si>
    <t xml:space="preserve">Stock final</t>
  </si>
  <si>
    <t xml:space="preserve">TMH Rechazos</t>
  </si>
  <si>
    <t xml:space="preserve">Stock inicial A55</t>
  </si>
  <si>
    <t xml:space="preserve">Stock inicial P45</t>
  </si>
  <si>
    <t xml:space="preserve">Stock Final A55</t>
  </si>
  <si>
    <t xml:space="preserve">Stock Final P45</t>
  </si>
  <si>
    <t xml:space="preserve">Planta Beneficio</t>
  </si>
  <si>
    <t xml:space="preserve">Planta Beneficio con piso</t>
  </si>
  <si>
    <t xml:space="preserve">Rp</t>
  </si>
  <si>
    <t xml:space="preserve">Rm</t>
  </si>
  <si>
    <t xml:space="preserve">Planta Rechazos</t>
  </si>
  <si>
    <t xml:space="preserve">Planta Global</t>
  </si>
  <si>
    <t xml:space="preserve">BALANCE GLOBAL MASA</t>
  </si>
  <si>
    <t xml:space="preserve">VARIACIONES DE INVENTARIOS</t>
  </si>
  <si>
    <t xml:space="preserve">SALIDAS</t>
  </si>
  <si>
    <t xml:space="preserve">ALIMENTACIÓN MINA </t>
  </si>
  <si>
    <t xml:space="preserve">ACOPIO MINA</t>
  </si>
  <si>
    <t xml:space="preserve">VENTAS DESDE ACOPIO MINA</t>
  </si>
  <si>
    <t xml:space="preserve">ALIMENTACIÓN RUMO</t>
  </si>
  <si>
    <t xml:space="preserve">STOCK GRUESO</t>
  </si>
  <si>
    <t xml:space="preserve">VENTAS A TERCEROS DESDE ACOP PREC</t>
  </si>
  <si>
    <t xml:space="preserve">STOCK PRE CONCENTRADO</t>
  </si>
  <si>
    <t xml:space="preserve">PRODUCC A PLANTA PELLETS</t>
  </si>
  <si>
    <t xml:space="preserve">STOCK DE RECHAZO</t>
  </si>
  <si>
    <t xml:space="preserve">VENTAS DESDE P.40</t>
  </si>
  <si>
    <t xml:space="preserve">STOCK P40</t>
  </si>
  <si>
    <t xml:space="preserve">VENTAS CAMIONES RUMO</t>
  </si>
  <si>
    <t xml:space="preserve">STOCK RUMO</t>
  </si>
  <si>
    <t xml:space="preserve">RECHAZO FINAL</t>
  </si>
  <si>
    <t xml:space="preserve">RECHAZO PLANTA RUMO</t>
  </si>
  <si>
    <t xml:space="preserve">TOTAL ENTRADAS</t>
  </si>
  <si>
    <t xml:space="preserve">VAR NETA </t>
  </si>
  <si>
    <t xml:space="preserve">TOTAL SALIDAS</t>
  </si>
  <si>
    <t xml:space="preserve">ENTRADAS - VAR INVENTARIO - SALIDAS</t>
  </si>
  <si>
    <t xml:space="preserve">BALANCE GLOBAL FINO</t>
  </si>
  <si>
    <t xml:space="preserve">Nodo Alim Stock Planta Pellet</t>
  </si>
  <si>
    <t xml:space="preserve">Stock prec Planta de Pellet</t>
  </si>
  <si>
    <t xml:space="preserve">Stock Silos de Molienda</t>
  </si>
  <si>
    <t xml:space="preserve">Molienda Clasificación</t>
  </si>
  <si>
    <t xml:space="preserve"> TK Inventarios</t>
  </si>
  <si>
    <t xml:space="preserve">Filtrado</t>
  </si>
  <si>
    <t xml:space="preserve">Nodo Producto Filtrado  </t>
  </si>
  <si>
    <t xml:space="preserve">Stock Pila Intermedia</t>
  </si>
  <si>
    <t xml:space="preserve">Stock Pellet Feed</t>
  </si>
  <si>
    <t xml:space="preserve">Balling</t>
  </si>
  <si>
    <t xml:space="preserve">Endurecimiento Térmico</t>
  </si>
  <si>
    <t xml:space="preserve">Stock Derrames</t>
  </si>
  <si>
    <t xml:space="preserve">Pila de Emergencia</t>
  </si>
  <si>
    <t xml:space="preserve">Harnero Pruducto</t>
  </si>
  <si>
    <t xml:space="preserve">Stock Chunk</t>
  </si>
  <si>
    <t xml:space="preserve">Stock Chip Fresco</t>
  </si>
  <si>
    <t xml:space="preserve">Planta Re-Harneo</t>
  </si>
  <si>
    <t xml:space="preserve">Stock Pellet Básico</t>
  </si>
  <si>
    <t xml:space="preserve">Stock Finos Huasco</t>
  </si>
  <si>
    <t xml:space="preserve">Stock Pellet Chip</t>
  </si>
  <si>
    <t xml:space="preserve">Stock Sinter Feed</t>
  </si>
  <si>
    <t xml:space="preserve">Nodo Alimentaciones Embarque</t>
  </si>
  <si>
    <t xml:space="preserve">De Prec Los Colorados Nodo Alim Planta de Pellet</t>
  </si>
  <si>
    <t xml:space="preserve">Preconc Los Colorados a Stock Sinter Feed</t>
  </si>
  <si>
    <t xml:space="preserve">Prec los Colorados a Stock Prec Planta Pellet</t>
  </si>
  <si>
    <t xml:space="preserve">Re-Harneo a Stock Prec Planta Pellet</t>
  </si>
  <si>
    <t xml:space="preserve">Delta Stock  Prec Planta Pellet</t>
  </si>
  <si>
    <t xml:space="preserve">Alim Silos Molienda</t>
  </si>
  <si>
    <t xml:space="preserve">Delta Stock Silos Molienda</t>
  </si>
  <si>
    <t xml:space="preserve">Aliment Molienda Clasificación</t>
  </si>
  <si>
    <t xml:space="preserve">De Molienda/clasificación a Stock Derrames</t>
  </si>
  <si>
    <t xml:space="preserve">EMISARIO SUBMARINO</t>
  </si>
  <si>
    <t xml:space="preserve">Alimentación a TK  Inventarios</t>
  </si>
  <si>
    <t xml:space="preserve">Delta TK inventarios</t>
  </si>
  <si>
    <t xml:space="preserve">TK Inventario a Stock Derrames</t>
  </si>
  <si>
    <t xml:space="preserve">Alimentación Filtrado</t>
  </si>
  <si>
    <t xml:space="preserve">Alim Nodo Productos Filtrados  </t>
  </si>
  <si>
    <t xml:space="preserve">De filtros a Balling</t>
  </si>
  <si>
    <t xml:space="preserve">Filtrado a Stock Derrames</t>
  </si>
  <si>
    <t xml:space="preserve">Alim Pila Intermedia desde (de nodo post filtros)</t>
  </si>
  <si>
    <t xml:space="preserve">Delta Stock Pila Intermedia</t>
  </si>
  <si>
    <t xml:space="preserve">de Pila Intermedia a Balling</t>
  </si>
  <si>
    <t xml:space="preserve">de Pila Intermadia a Stok Pellet Feed</t>
  </si>
  <si>
    <t xml:space="preserve">a Stock Pellet Feed (de nodo post filtros)</t>
  </si>
  <si>
    <t xml:space="preserve">Delta Stock Pellet Feed</t>
  </si>
  <si>
    <t xml:space="preserve">A embarque de Stock Pellet Feed</t>
  </si>
  <si>
    <t xml:space="preserve">Aditivo a Balling</t>
  </si>
  <si>
    <t xml:space="preserve">Pellet verde a edurecimiento</t>
  </si>
  <si>
    <t xml:space="preserve">Endurecimiento a Stock Derrames</t>
  </si>
  <si>
    <t xml:space="preserve">Delta Inventarios de Derrames</t>
  </si>
  <si>
    <t xml:space="preserve">Chunk de endurecimiento a Pila Chunk</t>
  </si>
  <si>
    <t xml:space="preserve">Delta Stock Pila Chunk</t>
  </si>
  <si>
    <t xml:space="preserve">Aporte Oxidación Endurecimiento</t>
  </si>
  <si>
    <t xml:space="preserve">Alim endurecido a Pila Emergencia </t>
  </si>
  <si>
    <t xml:space="preserve">De endurecimiento a Harnero Producto</t>
  </si>
  <si>
    <t xml:space="preserve">Alim Harnero Producto desde Pila de Emergencia</t>
  </si>
  <si>
    <t xml:space="preserve">Delta Stock Pila Emergencia</t>
  </si>
  <si>
    <t xml:space="preserve">De harnero Producto a Pila Chip Fresco</t>
  </si>
  <si>
    <t xml:space="preserve">Delta Stock Pila Chip Fresco</t>
  </si>
  <si>
    <t xml:space="preserve">De Harnero Producto a Stock Pellets Básico</t>
  </si>
  <si>
    <t xml:space="preserve">Delta Stock Pellet Básico</t>
  </si>
  <si>
    <t xml:space="preserve">A embarque desde Pellet básico</t>
  </si>
  <si>
    <t xml:space="preserve">Alimentación Chip Fresco a Re harneo</t>
  </si>
  <si>
    <t xml:space="preserve">Alimentación de Stock de Derrames a Planta de Re Harneo</t>
  </si>
  <si>
    <t xml:space="preserve">Alimentación de Pila Chunk a Re Harneo</t>
  </si>
  <si>
    <t xml:space="preserve">Intermedio Re harneo de derrames a Stock Pila de Emergencia</t>
  </si>
  <si>
    <t xml:space="preserve">Alimentación Total a  Stock Finos Huasco de Embarque </t>
  </si>
  <si>
    <t xml:space="preserve">Chip Bajo tamaño de Re Harneo a Stock P Chip de Embarque </t>
  </si>
  <si>
    <t xml:space="preserve">Traspaso de F Huasco a S Feed</t>
  </si>
  <si>
    <t xml:space="preserve">A embarque desde Stock Finos Huasco</t>
  </si>
  <si>
    <t xml:space="preserve">Delta Stock Finos Huasco</t>
  </si>
  <si>
    <t xml:space="preserve">A embarque desde Stock Sinter Feed</t>
  </si>
  <si>
    <t xml:space="preserve">Delta Stock Sinter Feed</t>
  </si>
  <si>
    <t xml:space="preserve">Traspaso de  P Chip a P Básico</t>
  </si>
  <si>
    <t xml:space="preserve">A embarque desde Stock Pellet Chip</t>
  </si>
  <si>
    <t xml:space="preserve">Delta Stock Pellet Chip</t>
  </si>
  <si>
    <t xml:space="preserve">Total Embarcado</t>
  </si>
  <si>
    <t xml:space="preserve">Valor Inicial</t>
  </si>
  <si>
    <t xml:space="preserve">% cambio relativo r/ valores medidos</t>
  </si>
  <si>
    <t xml:space="preserve">Max Var  Ley</t>
  </si>
  <si>
    <t xml:space="preserve">Balance Nodos</t>
  </si>
  <si>
    <t xml:space="preserve">suma</t>
  </si>
  <si>
    <t xml:space="preserve">Func Objetivo</t>
  </si>
  <si>
    <t xml:space="preserve">% Incertidumbre</t>
  </si>
  <si>
    <t xml:space="preserve">Desv estándar</t>
  </si>
  <si>
    <t xml:space="preserve">Dif Cudráticas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</si>
</sst>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* #,##0.00\ ;\-* #,##0.00\ ;* \-#\ ;@\ "/>
    <numFmt numFmtId="166" formatCode="* #,##0\ ;* \-#,##0\ ;* &quot;- &quot;;@\ "/>
    <numFmt numFmtId="167" formatCode="0\ %"/>
    <numFmt numFmtId="168" formatCode="@"/>
    <numFmt numFmtId="169" formatCode="dd&quot; - &quot;mmmm&quot; - &quot;yyyy"/>
    <numFmt numFmtId="170" formatCode="dd/mm/yyyy"/>
    <numFmt numFmtId="171" formatCode="#,##0\ ;\-#,##0\ "/>
    <numFmt numFmtId="172" formatCode="0.00\ %"/>
    <numFmt numFmtId="173" formatCode="#,##0.00\ ;\-#,##0.00\ "/>
    <numFmt numFmtId="174" formatCode="0.0%"/>
    <numFmt numFmtId="175" formatCode="#,##0"/>
    <numFmt numFmtId="176" formatCode="#,##0.0\ ;\-#,##0.0\ "/>
    <numFmt numFmtId="177" formatCode="#,##0.000\ ;\-#,##0.000\ "/>
    <numFmt numFmtId="178" formatCode="#,##0.0000\ ;\-#,##0.0000\ "/>
    <numFmt numFmtId="179" formatCode="0\ "/>
    <numFmt numFmtId="180" formatCode="0.0"/>
    <numFmt numFmtId="181" formatCode="0.00"/>
    <numFmt numFmtId="182" formatCode="_ * #,##0_ ;_ * \-#,##0_ ;_ * \-_ ;_ @_ "/>
    <numFmt numFmtId="183" formatCode="0.0\ %"/>
    <numFmt numFmtId="184" formatCode="#,##0.0000"/>
    <numFmt numFmtId="185" formatCode="0"/>
    <numFmt numFmtId="186" formatCode="#,##0_ ;\-#,##0\ "/>
    <numFmt numFmtId="187" formatCode="0.000%"/>
    <numFmt numFmtId="188" formatCode="0.000"/>
    <numFmt numFmtId="189" formatCode="#,##0.000"/>
    <numFmt numFmtId="190" formatCode="#,##0.00"/>
    <numFmt numFmtId="191" formatCode="#,##0.0"/>
  </numFmts>
  <fonts count="5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Courier New"/>
      <family val="1"/>
      <charset val="1"/>
    </font>
    <font>
      <sz val="10"/>
      <color rgb="FF44546A"/>
      <name val="Calibri"/>
      <family val="2"/>
      <charset val="1"/>
    </font>
    <font>
      <sz val="11"/>
      <color rgb="FF44546A"/>
      <name val="Calibri"/>
      <family val="2"/>
      <charset val="1"/>
    </font>
    <font>
      <b val="true"/>
      <sz val="12"/>
      <color rgb="FF44546A"/>
      <name val="Calibri"/>
      <family val="2"/>
      <charset val="1"/>
    </font>
    <font>
      <sz val="8"/>
      <color rgb="FF44546A"/>
      <name val="Calibri"/>
      <family val="2"/>
      <charset val="1"/>
    </font>
    <font>
      <b val="true"/>
      <sz val="8"/>
      <color rgb="FF44546A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sz val="8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0"/>
      <color rgb="FF44546A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E7E6E6"/>
      <name val="Calibri"/>
      <family val="2"/>
      <charset val="1"/>
    </font>
    <font>
      <sz val="10"/>
      <color rgb="FFE7E6E6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E7E6E6"/>
      <name val="Calibri"/>
      <family val="2"/>
      <charset val="1"/>
    </font>
    <font>
      <b val="true"/>
      <sz val="14"/>
      <color rgb="FFE7E6E6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2"/>
      <color rgb="FF2E75B6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sz val="12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0"/>
      <color rgb="FF000000"/>
      <name val="Calibri"/>
      <family val="0"/>
    </font>
    <font>
      <b val="true"/>
      <sz val="10"/>
      <color rgb="FF000000"/>
      <name val="Calibri"/>
      <family val="0"/>
    </font>
    <font>
      <sz val="16"/>
      <color rgb="FF000000"/>
      <name val="Calibri"/>
      <family val="0"/>
    </font>
    <font>
      <sz val="10"/>
      <color rgb="FFFF0000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843C0B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44546A"/>
        <bgColor rgb="FF333399"/>
      </patternFill>
    </fill>
    <fill>
      <patternFill patternType="solid">
        <fgColor rgb="FFE7E6E6"/>
        <bgColor rgb="FFE8E8E8"/>
      </patternFill>
    </fill>
    <fill>
      <patternFill patternType="solid">
        <fgColor theme="2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FFF2CC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C55A11"/>
        <bgColor rgb="FFFF5429"/>
      </patternFill>
    </fill>
    <fill>
      <patternFill patternType="solid">
        <fgColor rgb="FFFF5429"/>
        <bgColor rgb="FFC55A11"/>
      </patternFill>
    </fill>
    <fill>
      <patternFill patternType="solid">
        <fgColor rgb="FF069A2E"/>
        <bgColor rgb="FF339966"/>
      </patternFill>
    </fill>
    <fill>
      <patternFill patternType="solid">
        <fgColor rgb="FF8FAADC"/>
        <bgColor rgb="FFB4C7E7"/>
      </patternFill>
    </fill>
    <fill>
      <patternFill patternType="solid">
        <fgColor rgb="FFBDD7EE"/>
        <bgColor rgb="FFB4C7E7"/>
      </patternFill>
    </fill>
    <fill>
      <patternFill patternType="solid">
        <fgColor rgb="FFC5E0B4"/>
        <bgColor rgb="FFD0CECE"/>
      </patternFill>
    </fill>
    <fill>
      <patternFill patternType="solid">
        <fgColor rgb="FFE2F0D9"/>
        <bgColor rgb="FFE8E8E8"/>
      </patternFill>
    </fill>
    <fill>
      <patternFill patternType="solid">
        <fgColor rgb="FFF8CBAD"/>
        <bgColor rgb="FFFFC7CE"/>
      </patternFill>
    </fill>
    <fill>
      <patternFill patternType="solid">
        <fgColor rgb="FFDAE3F3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EDEDED"/>
        <bgColor rgb="FFE8E8E8"/>
      </patternFill>
    </fill>
    <fill>
      <patternFill patternType="solid">
        <fgColor rgb="FFB4C7E7"/>
        <bgColor rgb="FFBDD7EE"/>
      </patternFill>
    </fill>
    <fill>
      <patternFill patternType="solid">
        <fgColor rgb="FFD0CECE"/>
        <bgColor rgb="FFBDD7EE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1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6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2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8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9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3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4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9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9" fillId="0" borderId="16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2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9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5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0" fillId="5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5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5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5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2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4" fontId="10" fillId="5" borderId="20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3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2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10" fillId="5" borderId="19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" fillId="0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9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11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0" xfId="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1" fillId="0" borderId="0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7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6" fillId="0" borderId="0" xfId="2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7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2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9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" fillId="0" borderId="2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5" xfId="2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10" fillId="5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0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10" fillId="2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8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0" borderId="0" xfId="28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14" fillId="0" borderId="0" xfId="2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14" fillId="0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23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23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0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0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23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6" fillId="2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6" fillId="2" borderId="0" xfId="3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6" fillId="0" borderId="0" xfId="2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2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3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0" fillId="2" borderId="0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0" fillId="6" borderId="0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2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29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0" fillId="2" borderId="28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0" fillId="6" borderId="28" xfId="3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7" fillId="0" borderId="28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8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8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2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8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2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7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8" fillId="7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8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8" fillId="0" borderId="16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28" fillId="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8" fillId="2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8" fillId="9" borderId="16" xfId="3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8" fillId="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8" fillId="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9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7" borderId="2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8" fillId="0" borderId="2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1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1" fillId="10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1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1" fillId="12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12" borderId="1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3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1" fillId="0" borderId="3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6" xfId="2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34" xfId="2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1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8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8" fillId="1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7" borderId="1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7" fillId="8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2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32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7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33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2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36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3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8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3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7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3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2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9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9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6" borderId="16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0" fillId="0" borderId="1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32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5" fontId="31" fillId="0" borderId="1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17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7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6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8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1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7" borderId="16" xfId="2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8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1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21" fillId="2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1" fillId="2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2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4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3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3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7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8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0" fillId="3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5" fillId="8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6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7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stom" xfId="20"/>
    <cellStyle name="Millares 2" xfId="21"/>
    <cellStyle name="Millares [0] 2" xfId="22"/>
    <cellStyle name="Millares [0] 2 2" xfId="23"/>
    <cellStyle name="Millares [0] 25" xfId="24"/>
    <cellStyle name="Millares [0] 3" xfId="25"/>
    <cellStyle name="Normal 1580" xfId="26"/>
    <cellStyle name="Normal 2" xfId="27"/>
    <cellStyle name="Normal 2 2" xfId="28"/>
    <cellStyle name="Normal 3" xfId="29"/>
    <cellStyle name="Normal 50" xfId="30"/>
    <cellStyle name="Percent" xfId="31"/>
    <cellStyle name="Percent 2" xfId="32"/>
    <cellStyle name="Porcentaje 2 2" xfId="33"/>
    <cellStyle name="Excel Built-in Comma [0] 1" xfId="34"/>
  </cellStyles>
  <dxfs count="8">
    <dxf>
      <font>
        <name val="Calibri"/>
        <charset val="1"/>
        <family val="2"/>
        <b val="1"/>
        <i val="0"/>
        <color rgb="FFC55A11"/>
        <sz val="11"/>
      </font>
    </dxf>
    <dxf>
      <font>
        <name val="Calibri"/>
        <charset val="1"/>
        <family val="2"/>
        <b val="1"/>
        <i val="0"/>
        <color rgb="FFFF0000"/>
        <sz val="11"/>
      </font>
    </dxf>
    <dxf>
      <font>
        <name val="Calibri"/>
        <charset val="1"/>
        <family val="2"/>
        <b val="1"/>
        <i val="0"/>
        <color rgb="FFC55A11"/>
        <sz val="11"/>
      </font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b val="1"/>
        <i val="0"/>
        <color rgb="FFFF0000"/>
        <sz val="11"/>
      </font>
    </dxf>
    <dxf>
      <font>
        <name val="Calibri"/>
        <charset val="1"/>
        <family val="2"/>
        <b val="1"/>
        <i val="0"/>
        <color rgb="FFC55A11"/>
        <sz val="11"/>
      </font>
    </dxf>
    <dxf>
      <font>
        <name val="Calibri"/>
        <charset val="1"/>
        <family val="2"/>
        <b val="1"/>
        <i val="0"/>
        <color rgb="FFFF000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69A2E"/>
      <rgbColor rgb="FF000080"/>
      <rgbColor rgb="FF808000"/>
      <rgbColor rgb="FF800080"/>
      <rgbColor rgb="FF008080"/>
      <rgbColor rgb="FFD0CECE"/>
      <rgbColor rgb="FF808080"/>
      <rgbColor rgb="FF8FAADC"/>
      <rgbColor rgb="FFC55A11"/>
      <rgbColor rgb="FFFFF2CC"/>
      <rgbColor rgb="FFDEEBF7"/>
      <rgbColor rgb="FF660066"/>
      <rgbColor rgb="FFE8E8E8"/>
      <rgbColor rgb="FF0070C0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DAE3F3"/>
      <rgbColor rgb="FFE2F0D9"/>
      <rgbColor rgb="FFF2F2F2"/>
      <rgbColor rgb="FFB4C7E7"/>
      <rgbColor rgb="FFFFC7CE"/>
      <rgbColor rgb="FFC5E0B4"/>
      <rgbColor rgb="FFF8CBAD"/>
      <rgbColor rgb="FF2E75B6"/>
      <rgbColor rgb="FF33CCCC"/>
      <rgbColor rgb="FFEDEDED"/>
      <rgbColor rgb="FFFFC000"/>
      <rgbColor rgb="FFFF9900"/>
      <rgbColor rgb="FFFF5429"/>
      <rgbColor rgb="FF44546A"/>
      <rgbColor rgb="FFA9D18E"/>
      <rgbColor rgb="FF003366"/>
      <rgbColor rgb="FF339966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181080</xdr:colOff>
      <xdr:row>1</xdr:row>
      <xdr:rowOff>76320</xdr:rowOff>
    </xdr:from>
    <xdr:to>
      <xdr:col>4</xdr:col>
      <xdr:colOff>32040</xdr:colOff>
      <xdr:row>4</xdr:row>
      <xdr:rowOff>99360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486000" y="238320"/>
          <a:ext cx="1314360" cy="50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181440</xdr:colOff>
      <xdr:row>1</xdr:row>
      <xdr:rowOff>76320</xdr:rowOff>
    </xdr:from>
    <xdr:to>
      <xdr:col>4</xdr:col>
      <xdr:colOff>29520</xdr:colOff>
      <xdr:row>4</xdr:row>
      <xdr:rowOff>102240</xdr:rowOff>
    </xdr:to>
    <xdr:pic>
      <xdr:nvPicPr>
        <xdr:cNvPr id="2" name="Imagen 1" descr=""/>
        <xdr:cNvPicPr/>
      </xdr:nvPicPr>
      <xdr:blipFill>
        <a:blip r:embed="rId2"/>
        <a:stretch/>
      </xdr:blipFill>
      <xdr:spPr>
        <a:xfrm>
          <a:off x="486360" y="238320"/>
          <a:ext cx="1311480" cy="511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662400</xdr:colOff>
      <xdr:row>2</xdr:row>
      <xdr:rowOff>0</xdr:rowOff>
    </xdr:from>
    <xdr:to>
      <xdr:col>4</xdr:col>
      <xdr:colOff>477360</xdr:colOff>
      <xdr:row>4</xdr:row>
      <xdr:rowOff>186480</xdr:rowOff>
    </xdr:to>
    <xdr:sp>
      <xdr:nvSpPr>
        <xdr:cNvPr id="3" name="Triángulo isósceles 1"/>
        <xdr:cNvSpPr/>
      </xdr:nvSpPr>
      <xdr:spPr>
        <a:xfrm>
          <a:off x="2514600" y="380880"/>
          <a:ext cx="570240" cy="627120"/>
        </a:xfrm>
        <a:prstGeom prst="triangle">
          <a:avLst>
            <a:gd name="adj" fmla="val 50000"/>
          </a:avLst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514080</xdr:colOff>
      <xdr:row>14</xdr:row>
      <xdr:rowOff>161280</xdr:rowOff>
    </xdr:from>
    <xdr:to>
      <xdr:col>7</xdr:col>
      <xdr:colOff>390240</xdr:colOff>
      <xdr:row>17</xdr:row>
      <xdr:rowOff>117000</xdr:rowOff>
    </xdr:to>
    <xdr:sp>
      <xdr:nvSpPr>
        <xdr:cNvPr id="4" name="Rectángulo 2"/>
        <xdr:cNvSpPr/>
      </xdr:nvSpPr>
      <xdr:spPr>
        <a:xfrm>
          <a:off x="4249080" y="2887920"/>
          <a:ext cx="1900080" cy="527400"/>
        </a:xfrm>
        <a:prstGeom prst="rect">
          <a:avLst/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CHANCADO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538200</xdr:colOff>
      <xdr:row>10</xdr:row>
      <xdr:rowOff>123840</xdr:rowOff>
    </xdr:from>
    <xdr:to>
      <xdr:col>6</xdr:col>
      <xdr:colOff>552600</xdr:colOff>
      <xdr:row>15</xdr:row>
      <xdr:rowOff>171000</xdr:rowOff>
    </xdr:to>
    <xdr:cxnSp>
      <xdr:nvCxnSpPr>
        <xdr:cNvPr id="5" name="Conector recto de flecha 3"/>
        <xdr:cNvCxnSpPr/>
      </xdr:nvCxnSpPr>
      <xdr:spPr>
        <a:xfrm>
          <a:off x="5028120" y="2088360"/>
          <a:ext cx="14760" cy="100008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6</xdr:col>
      <xdr:colOff>408960</xdr:colOff>
      <xdr:row>8</xdr:row>
      <xdr:rowOff>139320</xdr:rowOff>
    </xdr:from>
    <xdr:to>
      <xdr:col>6</xdr:col>
      <xdr:colOff>630000</xdr:colOff>
      <xdr:row>9</xdr:row>
      <xdr:rowOff>160200</xdr:rowOff>
    </xdr:to>
    <xdr:sp>
      <xdr:nvSpPr>
        <xdr:cNvPr id="6" name="Elipse 4"/>
        <xdr:cNvSpPr/>
      </xdr:nvSpPr>
      <xdr:spPr>
        <a:xfrm>
          <a:off x="4898880" y="1722960"/>
          <a:ext cx="221040" cy="211320"/>
        </a:xfrm>
        <a:prstGeom prst="ellipse">
          <a:avLst/>
        </a:prstGeom>
        <a:solidFill>
          <a:srgbClr val="ffffff"/>
        </a:solidFill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71280</xdr:colOff>
      <xdr:row>4</xdr:row>
      <xdr:rowOff>61920</xdr:rowOff>
    </xdr:from>
    <xdr:to>
      <xdr:col>4</xdr:col>
      <xdr:colOff>100440</xdr:colOff>
      <xdr:row>5</xdr:row>
      <xdr:rowOff>136800</xdr:rowOff>
    </xdr:to>
    <xdr:sp>
      <xdr:nvSpPr>
        <xdr:cNvPr id="7" name="Rectángulo 5"/>
        <xdr:cNvSpPr/>
      </xdr:nvSpPr>
      <xdr:spPr>
        <a:xfrm>
          <a:off x="1923480" y="883440"/>
          <a:ext cx="784440" cy="26568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ACOPIO MINA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565560</xdr:colOff>
      <xdr:row>2</xdr:row>
      <xdr:rowOff>142560</xdr:rowOff>
    </xdr:from>
    <xdr:to>
      <xdr:col>8</xdr:col>
      <xdr:colOff>441720</xdr:colOff>
      <xdr:row>4</xdr:row>
      <xdr:rowOff>138240</xdr:rowOff>
    </xdr:to>
    <xdr:sp>
      <xdr:nvSpPr>
        <xdr:cNvPr id="8" name="Diagrama de flujo: operación manual 6"/>
        <xdr:cNvSpPr/>
      </xdr:nvSpPr>
      <xdr:spPr>
        <a:xfrm>
          <a:off x="5055480" y="523440"/>
          <a:ext cx="2192040" cy="436320"/>
        </a:xfrm>
        <a:prstGeom prst="flowChartManualOperation">
          <a:avLst/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676440</xdr:colOff>
      <xdr:row>3</xdr:row>
      <xdr:rowOff>18720</xdr:rowOff>
    </xdr:from>
    <xdr:to>
      <xdr:col>8</xdr:col>
      <xdr:colOff>330840</xdr:colOff>
      <xdr:row>4</xdr:row>
      <xdr:rowOff>60480</xdr:rowOff>
    </xdr:to>
    <xdr:sp>
      <xdr:nvSpPr>
        <xdr:cNvPr id="9" name="Rectángulo 7"/>
        <xdr:cNvSpPr/>
      </xdr:nvSpPr>
      <xdr:spPr>
        <a:xfrm>
          <a:off x="5166360" y="619920"/>
          <a:ext cx="1970280" cy="26208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MINA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281160</xdr:colOff>
      <xdr:row>4</xdr:row>
      <xdr:rowOff>171720</xdr:rowOff>
    </xdr:from>
    <xdr:to>
      <xdr:col>2</xdr:col>
      <xdr:colOff>697680</xdr:colOff>
      <xdr:row>6</xdr:row>
      <xdr:rowOff>14760</xdr:rowOff>
    </xdr:to>
    <xdr:sp>
      <xdr:nvSpPr>
        <xdr:cNvPr id="10" name="Rectángulo 8"/>
        <xdr:cNvSpPr/>
      </xdr:nvSpPr>
      <xdr:spPr>
        <a:xfrm>
          <a:off x="623520" y="993240"/>
          <a:ext cx="1171440" cy="22428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Venta a Terceros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364320</xdr:colOff>
      <xdr:row>14</xdr:row>
      <xdr:rowOff>187560</xdr:rowOff>
    </xdr:from>
    <xdr:to>
      <xdr:col>10</xdr:col>
      <xdr:colOff>265320</xdr:colOff>
      <xdr:row>18</xdr:row>
      <xdr:rowOff>99360</xdr:rowOff>
    </xdr:to>
    <xdr:sp>
      <xdr:nvSpPr>
        <xdr:cNvPr id="11" name="Triángulo isósceles 9"/>
        <xdr:cNvSpPr/>
      </xdr:nvSpPr>
      <xdr:spPr>
        <a:xfrm>
          <a:off x="9063360" y="2914200"/>
          <a:ext cx="1119240" cy="673920"/>
        </a:xfrm>
        <a:prstGeom prst="triangle">
          <a:avLst>
            <a:gd name="adj" fmla="val 50000"/>
          </a:avLst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400680</xdr:colOff>
      <xdr:row>16</xdr:row>
      <xdr:rowOff>159480</xdr:rowOff>
    </xdr:from>
    <xdr:to>
      <xdr:col>10</xdr:col>
      <xdr:colOff>301680</xdr:colOff>
      <xdr:row>18</xdr:row>
      <xdr:rowOff>26640</xdr:rowOff>
    </xdr:to>
    <xdr:sp>
      <xdr:nvSpPr>
        <xdr:cNvPr id="12" name="Rectángulo 10"/>
        <xdr:cNvSpPr/>
      </xdr:nvSpPr>
      <xdr:spPr>
        <a:xfrm>
          <a:off x="9099720" y="3267000"/>
          <a:ext cx="1119240" cy="24840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STOCK GRUESO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188280</xdr:colOff>
      <xdr:row>23</xdr:row>
      <xdr:rowOff>43920</xdr:rowOff>
    </xdr:from>
    <xdr:to>
      <xdr:col>6</xdr:col>
      <xdr:colOff>1267200</xdr:colOff>
      <xdr:row>26</xdr:row>
      <xdr:rowOff>84600</xdr:rowOff>
    </xdr:to>
    <xdr:sp>
      <xdr:nvSpPr>
        <xdr:cNvPr id="13" name="Triángulo isósceles 11"/>
        <xdr:cNvSpPr/>
      </xdr:nvSpPr>
      <xdr:spPr>
        <a:xfrm>
          <a:off x="4678200" y="4485240"/>
          <a:ext cx="1078920" cy="641880"/>
        </a:xfrm>
        <a:prstGeom prst="triangle">
          <a:avLst>
            <a:gd name="adj" fmla="val 50000"/>
          </a:avLst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53280</xdr:colOff>
      <xdr:row>24</xdr:row>
      <xdr:rowOff>155520</xdr:rowOff>
    </xdr:from>
    <xdr:to>
      <xdr:col>6</xdr:col>
      <xdr:colOff>304560</xdr:colOff>
      <xdr:row>26</xdr:row>
      <xdr:rowOff>127440</xdr:rowOff>
    </xdr:to>
    <xdr:sp>
      <xdr:nvSpPr>
        <xdr:cNvPr id="14" name="Rectángulo 12"/>
        <xdr:cNvSpPr/>
      </xdr:nvSpPr>
      <xdr:spPr>
        <a:xfrm>
          <a:off x="3788280" y="4787280"/>
          <a:ext cx="1006200" cy="38268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STOCK  PRE CONCENTRADO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125280</xdr:colOff>
      <xdr:row>23</xdr:row>
      <xdr:rowOff>54000</xdr:rowOff>
    </xdr:from>
    <xdr:to>
      <xdr:col>10</xdr:col>
      <xdr:colOff>500760</xdr:colOff>
      <xdr:row>25</xdr:row>
      <xdr:rowOff>200520</xdr:rowOff>
    </xdr:to>
    <xdr:sp>
      <xdr:nvSpPr>
        <xdr:cNvPr id="15" name="Rectángulo 13"/>
        <xdr:cNvSpPr/>
      </xdr:nvSpPr>
      <xdr:spPr>
        <a:xfrm>
          <a:off x="8824320" y="4495320"/>
          <a:ext cx="1593720" cy="527400"/>
        </a:xfrm>
        <a:prstGeom prst="rect">
          <a:avLst/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CONCENTRACIÓN</a:t>
          </a:r>
          <a:endParaRPr b="0" lang="es-CL" sz="1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MAGNÉTICA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302040</xdr:colOff>
      <xdr:row>23</xdr:row>
      <xdr:rowOff>186840</xdr:rowOff>
    </xdr:from>
    <xdr:to>
      <xdr:col>12</xdr:col>
      <xdr:colOff>523080</xdr:colOff>
      <xdr:row>25</xdr:row>
      <xdr:rowOff>17280</xdr:rowOff>
    </xdr:to>
    <xdr:sp>
      <xdr:nvSpPr>
        <xdr:cNvPr id="16" name="Elipse 14"/>
        <xdr:cNvSpPr/>
      </xdr:nvSpPr>
      <xdr:spPr>
        <a:xfrm>
          <a:off x="12293280" y="4628160"/>
          <a:ext cx="221040" cy="211320"/>
        </a:xfrm>
        <a:prstGeom prst="ellipse">
          <a:avLst/>
        </a:prstGeom>
        <a:solidFill>
          <a:srgbClr val="ffffff"/>
        </a:solidFill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13</xdr:col>
      <xdr:colOff>396360</xdr:colOff>
      <xdr:row>16</xdr:row>
      <xdr:rowOff>44640</xdr:rowOff>
    </xdr:from>
    <xdr:to>
      <xdr:col>14</xdr:col>
      <xdr:colOff>297360</xdr:colOff>
      <xdr:row>19</xdr:row>
      <xdr:rowOff>147240</xdr:rowOff>
    </xdr:to>
    <xdr:sp>
      <xdr:nvSpPr>
        <xdr:cNvPr id="17" name="Triángulo isósceles 15"/>
        <xdr:cNvSpPr/>
      </xdr:nvSpPr>
      <xdr:spPr>
        <a:xfrm>
          <a:off x="13333680" y="3152160"/>
          <a:ext cx="877680" cy="674280"/>
        </a:xfrm>
        <a:prstGeom prst="triangle">
          <a:avLst>
            <a:gd name="adj" fmla="val 50000"/>
          </a:avLst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13</xdr:col>
      <xdr:colOff>330480</xdr:colOff>
      <xdr:row>18</xdr:row>
      <xdr:rowOff>27360</xdr:rowOff>
    </xdr:from>
    <xdr:to>
      <xdr:col>14</xdr:col>
      <xdr:colOff>381960</xdr:colOff>
      <xdr:row>19</xdr:row>
      <xdr:rowOff>154080</xdr:rowOff>
    </xdr:to>
    <xdr:sp>
      <xdr:nvSpPr>
        <xdr:cNvPr id="18" name="Rectángulo 16"/>
        <xdr:cNvSpPr/>
      </xdr:nvSpPr>
      <xdr:spPr>
        <a:xfrm>
          <a:off x="13267800" y="3516120"/>
          <a:ext cx="1028160" cy="31716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STOCK RECHAZO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14</xdr:col>
      <xdr:colOff>257760</xdr:colOff>
      <xdr:row>28</xdr:row>
      <xdr:rowOff>44640</xdr:rowOff>
    </xdr:from>
    <xdr:to>
      <xdr:col>15</xdr:col>
      <xdr:colOff>633240</xdr:colOff>
      <xdr:row>31</xdr:row>
      <xdr:rowOff>29880</xdr:rowOff>
    </xdr:to>
    <xdr:sp>
      <xdr:nvSpPr>
        <xdr:cNvPr id="19" name="Rectángulo 17"/>
        <xdr:cNvSpPr/>
      </xdr:nvSpPr>
      <xdr:spPr>
        <a:xfrm>
          <a:off x="14171760" y="5497920"/>
          <a:ext cx="1654560" cy="556920"/>
        </a:xfrm>
        <a:prstGeom prst="rect">
          <a:avLst/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PLANTA RECHAZOS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14</xdr:col>
      <xdr:colOff>519120</xdr:colOff>
      <xdr:row>37</xdr:row>
      <xdr:rowOff>10440</xdr:rowOff>
    </xdr:from>
    <xdr:to>
      <xdr:col>15</xdr:col>
      <xdr:colOff>420120</xdr:colOff>
      <xdr:row>40</xdr:row>
      <xdr:rowOff>113400</xdr:rowOff>
    </xdr:to>
    <xdr:sp>
      <xdr:nvSpPr>
        <xdr:cNvPr id="20" name="Triángulo isósceles 18"/>
        <xdr:cNvSpPr/>
      </xdr:nvSpPr>
      <xdr:spPr>
        <a:xfrm>
          <a:off x="14433120" y="7208280"/>
          <a:ext cx="1180080" cy="674280"/>
        </a:xfrm>
        <a:prstGeom prst="triangle">
          <a:avLst>
            <a:gd name="adj" fmla="val 50000"/>
          </a:avLst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14</xdr:col>
      <xdr:colOff>515160</xdr:colOff>
      <xdr:row>38</xdr:row>
      <xdr:rowOff>159120</xdr:rowOff>
    </xdr:from>
    <xdr:to>
      <xdr:col>15</xdr:col>
      <xdr:colOff>443880</xdr:colOff>
      <xdr:row>40</xdr:row>
      <xdr:rowOff>111240</xdr:rowOff>
    </xdr:to>
    <xdr:sp>
      <xdr:nvSpPr>
        <xdr:cNvPr id="21" name="Rectángulo 19"/>
        <xdr:cNvSpPr/>
      </xdr:nvSpPr>
      <xdr:spPr>
        <a:xfrm>
          <a:off x="14429160" y="7547400"/>
          <a:ext cx="1207800" cy="33300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STOCK </a:t>
          </a:r>
          <a:endParaRPr b="0" lang="es-CL" sz="10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P 40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355320</xdr:colOff>
      <xdr:row>26</xdr:row>
      <xdr:rowOff>151200</xdr:rowOff>
    </xdr:from>
    <xdr:to>
      <xdr:col>3</xdr:col>
      <xdr:colOff>9720</xdr:colOff>
      <xdr:row>28</xdr:row>
      <xdr:rowOff>2880</xdr:rowOff>
    </xdr:to>
    <xdr:sp>
      <xdr:nvSpPr>
        <xdr:cNvPr id="22" name="Rectángulo 20"/>
        <xdr:cNvSpPr/>
      </xdr:nvSpPr>
      <xdr:spPr>
        <a:xfrm>
          <a:off x="697680" y="5193720"/>
          <a:ext cx="1164240" cy="26244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Venta a Terceros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694440</xdr:colOff>
      <xdr:row>27</xdr:row>
      <xdr:rowOff>207000</xdr:rowOff>
    </xdr:from>
    <xdr:to>
      <xdr:col>17</xdr:col>
      <xdr:colOff>348840</xdr:colOff>
      <xdr:row>29</xdr:row>
      <xdr:rowOff>20160</xdr:rowOff>
    </xdr:to>
    <xdr:sp>
      <xdr:nvSpPr>
        <xdr:cNvPr id="23" name="Rectángulo 21"/>
        <xdr:cNvSpPr/>
      </xdr:nvSpPr>
      <xdr:spPr>
        <a:xfrm>
          <a:off x="15887520" y="5439960"/>
          <a:ext cx="1375920" cy="22392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RECHAZO FINAL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467280</xdr:colOff>
      <xdr:row>5</xdr:row>
      <xdr:rowOff>151200</xdr:rowOff>
    </xdr:from>
    <xdr:to>
      <xdr:col>6</xdr:col>
      <xdr:colOff>397440</xdr:colOff>
      <xdr:row>10</xdr:row>
      <xdr:rowOff>73080</xdr:rowOff>
    </xdr:to>
    <xdr:cxnSp>
      <xdr:nvCxnSpPr>
        <xdr:cNvPr id="24" name="Conector: angular 22"/>
        <xdr:cNvCxnSpPr/>
      </xdr:nvCxnSpPr>
      <xdr:spPr>
        <a:xfrm>
          <a:off x="3074760" y="1163520"/>
          <a:ext cx="1812960" cy="874440"/>
        </a:xfrm>
        <a:prstGeom prst="bentConnector3">
          <a:avLst>
            <a:gd name="adj1" fmla="val 50009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6</xdr:col>
      <xdr:colOff>631440</xdr:colOff>
      <xdr:row>5</xdr:row>
      <xdr:rowOff>33480</xdr:rowOff>
    </xdr:from>
    <xdr:to>
      <xdr:col>7</xdr:col>
      <xdr:colOff>504360</xdr:colOff>
      <xdr:row>10</xdr:row>
      <xdr:rowOff>27360</xdr:rowOff>
    </xdr:to>
    <xdr:cxnSp>
      <xdr:nvCxnSpPr>
        <xdr:cNvPr id="25" name="Conector: angular 23"/>
        <xdr:cNvCxnSpPr/>
      </xdr:nvCxnSpPr>
      <xdr:spPr>
        <a:xfrm flipV="1" rot="10800000">
          <a:off x="5121360" y="1045800"/>
          <a:ext cx="1142280" cy="946440"/>
        </a:xfrm>
        <a:prstGeom prst="bentConnector3">
          <a:avLst>
            <a:gd name="adj1" fmla="val 50000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189360</xdr:colOff>
      <xdr:row>5</xdr:row>
      <xdr:rowOff>91440</xdr:rowOff>
    </xdr:from>
    <xdr:to>
      <xdr:col>6</xdr:col>
      <xdr:colOff>372240</xdr:colOff>
      <xdr:row>26</xdr:row>
      <xdr:rowOff>87120</xdr:rowOff>
    </xdr:to>
    <xdr:cxnSp>
      <xdr:nvCxnSpPr>
        <xdr:cNvPr id="26" name="Conector: angular 25"/>
        <xdr:cNvCxnSpPr/>
      </xdr:nvCxnSpPr>
      <xdr:spPr>
        <a:xfrm flipV="1" rot="16200000">
          <a:off x="1816560" y="2083680"/>
          <a:ext cx="4026240" cy="2065680"/>
        </a:xfrm>
        <a:prstGeom prst="bentConnector3">
          <a:avLst>
            <a:gd name="adj1" fmla="val 49995"/>
          </a:avLst>
        </a:prstGeom>
        <a:ln w="6480">
          <a:solidFill>
            <a:srgbClr val="4472c4"/>
          </a:solidFill>
          <a:miter/>
          <a:tailEnd len="med" type="arrow" w="med"/>
        </a:ln>
      </xdr:spPr>
    </xdr:cxnSp>
    <xdr:clientData/>
  </xdr:twoCellAnchor>
  <xdr:twoCellAnchor editAs="twoCell">
    <xdr:from>
      <xdr:col>7</xdr:col>
      <xdr:colOff>391680</xdr:colOff>
      <xdr:row>16</xdr:row>
      <xdr:rowOff>33840</xdr:rowOff>
    </xdr:from>
    <xdr:to>
      <xdr:col>9</xdr:col>
      <xdr:colOff>696240</xdr:colOff>
      <xdr:row>17</xdr:row>
      <xdr:rowOff>91440</xdr:rowOff>
    </xdr:to>
    <xdr:cxnSp>
      <xdr:nvCxnSpPr>
        <xdr:cNvPr id="27" name="Conector: angular 26"/>
        <xdr:cNvCxnSpPr/>
      </xdr:nvCxnSpPr>
      <xdr:spPr>
        <a:xfrm flipV="1">
          <a:off x="6150600" y="3141360"/>
          <a:ext cx="3245040" cy="248760"/>
        </a:xfrm>
        <a:prstGeom prst="bentConnector3">
          <a:avLst>
            <a:gd name="adj1" fmla="val 50005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694440</xdr:colOff>
      <xdr:row>19</xdr:row>
      <xdr:rowOff>166680</xdr:rowOff>
    </xdr:from>
    <xdr:to>
      <xdr:col>9</xdr:col>
      <xdr:colOff>696240</xdr:colOff>
      <xdr:row>24</xdr:row>
      <xdr:rowOff>167400</xdr:rowOff>
    </xdr:to>
    <xdr:cxnSp>
      <xdr:nvCxnSpPr>
        <xdr:cNvPr id="28" name="Conector recto de flecha 27"/>
        <xdr:cNvCxnSpPr/>
      </xdr:nvCxnSpPr>
      <xdr:spPr>
        <a:xfrm flipH="1">
          <a:off x="9393480" y="3845880"/>
          <a:ext cx="2160" cy="95364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6</xdr:col>
      <xdr:colOff>1115640</xdr:colOff>
      <xdr:row>26</xdr:row>
      <xdr:rowOff>39960</xdr:rowOff>
    </xdr:from>
    <xdr:to>
      <xdr:col>9</xdr:col>
      <xdr:colOff>125280</xdr:colOff>
      <xdr:row>26</xdr:row>
      <xdr:rowOff>47160</xdr:rowOff>
    </xdr:to>
    <xdr:cxnSp>
      <xdr:nvCxnSpPr>
        <xdr:cNvPr id="29" name="Conector recto de flecha 28"/>
        <xdr:cNvCxnSpPr/>
      </xdr:nvCxnSpPr>
      <xdr:spPr>
        <a:xfrm flipH="1">
          <a:off x="5605560" y="5082480"/>
          <a:ext cx="3219120" cy="756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515520</xdr:colOff>
      <xdr:row>26</xdr:row>
      <xdr:rowOff>36360</xdr:rowOff>
    </xdr:from>
    <xdr:to>
      <xdr:col>12</xdr:col>
      <xdr:colOff>315360</xdr:colOff>
      <xdr:row>26</xdr:row>
      <xdr:rowOff>53640</xdr:rowOff>
    </xdr:to>
    <xdr:cxnSp>
      <xdr:nvCxnSpPr>
        <xdr:cNvPr id="30" name="Conector recto de flecha 29"/>
        <xdr:cNvCxnSpPr/>
      </xdr:nvCxnSpPr>
      <xdr:spPr>
        <a:xfrm flipV="1">
          <a:off x="10432800" y="5078880"/>
          <a:ext cx="1874160" cy="1764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413280</xdr:colOff>
      <xdr:row>18</xdr:row>
      <xdr:rowOff>5760</xdr:rowOff>
    </xdr:from>
    <xdr:to>
      <xdr:col>13</xdr:col>
      <xdr:colOff>615600</xdr:colOff>
      <xdr:row>25</xdr:row>
      <xdr:rowOff>119160</xdr:rowOff>
    </xdr:to>
    <xdr:cxnSp>
      <xdr:nvCxnSpPr>
        <xdr:cNvPr id="31" name="Conector: angular 30"/>
        <xdr:cNvCxnSpPr/>
      </xdr:nvCxnSpPr>
      <xdr:spPr>
        <a:xfrm flipH="1" flipV="1" rot="5400000">
          <a:off x="12255120" y="3643560"/>
          <a:ext cx="1447200" cy="1148760"/>
        </a:xfrm>
        <a:prstGeom prst="bentConnector3">
          <a:avLst>
            <a:gd name="adj1" fmla="val 49987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413280</xdr:colOff>
      <xdr:row>26</xdr:row>
      <xdr:rowOff>140040</xdr:rowOff>
    </xdr:from>
    <xdr:to>
      <xdr:col>14</xdr:col>
      <xdr:colOff>257760</xdr:colOff>
      <xdr:row>31</xdr:row>
      <xdr:rowOff>154080</xdr:rowOff>
    </xdr:to>
    <xdr:cxnSp>
      <xdr:nvCxnSpPr>
        <xdr:cNvPr id="32" name="Conector: angular 31"/>
        <xdr:cNvCxnSpPr/>
      </xdr:nvCxnSpPr>
      <xdr:spPr>
        <a:xfrm>
          <a:off x="12404520" y="5182560"/>
          <a:ext cx="1767600" cy="996840"/>
        </a:xfrm>
        <a:prstGeom prst="bentConnector3">
          <a:avLst>
            <a:gd name="adj1" fmla="val 50010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75600</xdr:colOff>
      <xdr:row>19</xdr:row>
      <xdr:rowOff>102240</xdr:rowOff>
    </xdr:from>
    <xdr:to>
      <xdr:col>14</xdr:col>
      <xdr:colOff>1086120</xdr:colOff>
      <xdr:row>28</xdr:row>
      <xdr:rowOff>44640</xdr:rowOff>
    </xdr:to>
    <xdr:cxnSp>
      <xdr:nvCxnSpPr>
        <xdr:cNvPr id="33" name="Conector: angular 32"/>
        <xdr:cNvCxnSpPr/>
      </xdr:nvCxnSpPr>
      <xdr:spPr>
        <a:xfrm flipH="1" rot="16200000">
          <a:off x="13636440" y="4134240"/>
          <a:ext cx="1716840" cy="1010880"/>
        </a:xfrm>
        <a:prstGeom prst="bentConnector3">
          <a:avLst>
            <a:gd name="adj1" fmla="val 50000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15</xdr:col>
      <xdr:colOff>634320</xdr:colOff>
      <xdr:row>31</xdr:row>
      <xdr:rowOff>154080</xdr:rowOff>
    </xdr:from>
    <xdr:to>
      <xdr:col>17</xdr:col>
      <xdr:colOff>409680</xdr:colOff>
      <xdr:row>31</xdr:row>
      <xdr:rowOff>154080</xdr:rowOff>
    </xdr:to>
    <xdr:cxnSp>
      <xdr:nvCxnSpPr>
        <xdr:cNvPr id="34" name="Conector recto de flecha 33"/>
        <xdr:cNvCxnSpPr/>
      </xdr:nvCxnSpPr>
      <xdr:spPr>
        <a:xfrm>
          <a:off x="15827400" y="6179040"/>
          <a:ext cx="1497240" cy="36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685080</xdr:colOff>
      <xdr:row>33</xdr:row>
      <xdr:rowOff>16920</xdr:rowOff>
    </xdr:from>
    <xdr:to>
      <xdr:col>15</xdr:col>
      <xdr:colOff>65160</xdr:colOff>
      <xdr:row>41</xdr:row>
      <xdr:rowOff>64440</xdr:rowOff>
    </xdr:to>
    <xdr:cxnSp>
      <xdr:nvCxnSpPr>
        <xdr:cNvPr id="35" name="Conector: angular 34"/>
        <xdr:cNvCxnSpPr/>
      </xdr:nvCxnSpPr>
      <xdr:spPr>
        <a:xfrm rot="5400000">
          <a:off x="14142600" y="6908760"/>
          <a:ext cx="1571760" cy="659520"/>
        </a:xfrm>
        <a:prstGeom prst="bentConnector3">
          <a:avLst>
            <a:gd name="adj1" fmla="val 50011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15</xdr:col>
      <xdr:colOff>681480</xdr:colOff>
      <xdr:row>37</xdr:row>
      <xdr:rowOff>78480</xdr:rowOff>
    </xdr:from>
    <xdr:to>
      <xdr:col>17</xdr:col>
      <xdr:colOff>335880</xdr:colOff>
      <xdr:row>38</xdr:row>
      <xdr:rowOff>112320</xdr:rowOff>
    </xdr:to>
    <xdr:sp>
      <xdr:nvSpPr>
        <xdr:cNvPr id="36" name="Rectángulo 35"/>
        <xdr:cNvSpPr/>
      </xdr:nvSpPr>
      <xdr:spPr>
        <a:xfrm>
          <a:off x="15874560" y="7276320"/>
          <a:ext cx="1375920" cy="22428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VENTA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246240</xdr:colOff>
      <xdr:row>41</xdr:row>
      <xdr:rowOff>29520</xdr:rowOff>
    </xdr:from>
    <xdr:to>
      <xdr:col>18</xdr:col>
      <xdr:colOff>29520</xdr:colOff>
      <xdr:row>41</xdr:row>
      <xdr:rowOff>29520</xdr:rowOff>
    </xdr:to>
    <xdr:cxnSp>
      <xdr:nvCxnSpPr>
        <xdr:cNvPr id="37" name="Conector recto de flecha 36"/>
        <xdr:cNvCxnSpPr/>
      </xdr:nvCxnSpPr>
      <xdr:spPr>
        <a:xfrm>
          <a:off x="15439320" y="7989120"/>
          <a:ext cx="2018880" cy="36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743760</xdr:colOff>
      <xdr:row>28</xdr:row>
      <xdr:rowOff>16200</xdr:rowOff>
    </xdr:from>
    <xdr:to>
      <xdr:col>6</xdr:col>
      <xdr:colOff>187920</xdr:colOff>
      <xdr:row>28</xdr:row>
      <xdr:rowOff>63360</xdr:rowOff>
    </xdr:to>
    <xdr:cxnSp>
      <xdr:nvCxnSpPr>
        <xdr:cNvPr id="38" name="Conector: angular 37"/>
        <xdr:cNvCxnSpPr/>
      </xdr:nvCxnSpPr>
      <xdr:spPr>
        <a:xfrm flipV="1" rot="10800000">
          <a:off x="1841040" y="5469120"/>
          <a:ext cx="2837160" cy="47520"/>
        </a:xfrm>
        <a:prstGeom prst="bentConnector3">
          <a:avLst>
            <a:gd name="adj1" fmla="val 50000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662040</xdr:colOff>
      <xdr:row>3</xdr:row>
      <xdr:rowOff>151560</xdr:rowOff>
    </xdr:from>
    <xdr:to>
      <xdr:col>4</xdr:col>
      <xdr:colOff>45000</xdr:colOff>
      <xdr:row>7</xdr:row>
      <xdr:rowOff>105480</xdr:rowOff>
    </xdr:to>
    <xdr:cxnSp>
      <xdr:nvCxnSpPr>
        <xdr:cNvPr id="39" name="Conector: angular 38"/>
        <xdr:cNvCxnSpPr/>
      </xdr:nvCxnSpPr>
      <xdr:spPr>
        <a:xfrm flipV="1" rot="10800000">
          <a:off x="1004400" y="752760"/>
          <a:ext cx="1648440" cy="746280"/>
        </a:xfrm>
        <a:prstGeom prst="bentConnector3">
          <a:avLst>
            <a:gd name="adj1" fmla="val 50000"/>
          </a:avLst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6</xdr:col>
      <xdr:colOff>347760</xdr:colOff>
      <xdr:row>28</xdr:row>
      <xdr:rowOff>25200</xdr:rowOff>
    </xdr:from>
    <xdr:to>
      <xdr:col>6</xdr:col>
      <xdr:colOff>362520</xdr:colOff>
      <xdr:row>39</xdr:row>
      <xdr:rowOff>720</xdr:rowOff>
    </xdr:to>
    <xdr:cxnSp>
      <xdr:nvCxnSpPr>
        <xdr:cNvPr id="40" name="Conector recto de flecha 39"/>
        <xdr:cNvCxnSpPr/>
      </xdr:nvCxnSpPr>
      <xdr:spPr>
        <a:xfrm>
          <a:off x="4837680" y="5478480"/>
          <a:ext cx="15120" cy="2101320"/>
        </a:xfrm>
        <a:prstGeom prst="straightConnector1">
          <a:avLst/>
        </a:prstGeom>
        <a:ln w="648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10800</xdr:colOff>
      <xdr:row>37</xdr:row>
      <xdr:rowOff>1800</xdr:rowOff>
    </xdr:from>
    <xdr:to>
      <xdr:col>6</xdr:col>
      <xdr:colOff>198360</xdr:colOff>
      <xdr:row>38</xdr:row>
      <xdr:rowOff>73440</xdr:rowOff>
    </xdr:to>
    <xdr:sp>
      <xdr:nvSpPr>
        <xdr:cNvPr id="41" name="Rectángulo 74"/>
        <xdr:cNvSpPr/>
      </xdr:nvSpPr>
      <xdr:spPr>
        <a:xfrm>
          <a:off x="3745800" y="7199640"/>
          <a:ext cx="942480" cy="26208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A PLANTA PELLETS Y PUERTO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14</xdr:col>
      <xdr:colOff>934200</xdr:colOff>
      <xdr:row>44</xdr:row>
      <xdr:rowOff>185760</xdr:rowOff>
    </xdr:from>
    <xdr:to>
      <xdr:col>15</xdr:col>
      <xdr:colOff>856800</xdr:colOff>
      <xdr:row>46</xdr:row>
      <xdr:rowOff>85320</xdr:rowOff>
    </xdr:to>
    <xdr:sp>
      <xdr:nvSpPr>
        <xdr:cNvPr id="42" name="Rectángulo 77"/>
        <xdr:cNvSpPr/>
      </xdr:nvSpPr>
      <xdr:spPr>
        <a:xfrm>
          <a:off x="14848200" y="8717040"/>
          <a:ext cx="1201680" cy="34020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000" strike="noStrike" u="none">
              <a:solidFill>
                <a:srgbClr val="000000"/>
              </a:solidFill>
              <a:effectLst/>
              <a:uFillTx/>
              <a:latin typeface="Calibri"/>
            </a:rPr>
            <a:t>Desvío Rumo área 61</a:t>
          </a:r>
          <a:endParaRPr b="0" lang="es-CL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23</xdr:col>
      <xdr:colOff>17640</xdr:colOff>
      <xdr:row>41</xdr:row>
      <xdr:rowOff>57600</xdr:rowOff>
    </xdr:from>
    <xdr:to>
      <xdr:col>26</xdr:col>
      <xdr:colOff>719640</xdr:colOff>
      <xdr:row>51</xdr:row>
      <xdr:rowOff>73440</xdr:rowOff>
    </xdr:to>
    <xdr:sp>
      <xdr:nvSpPr>
        <xdr:cNvPr id="43" name="Triángulo isósceles 65"/>
        <xdr:cNvSpPr/>
      </xdr:nvSpPr>
      <xdr:spPr>
        <a:xfrm>
          <a:off x="21744720" y="8017200"/>
          <a:ext cx="4074480" cy="2279160"/>
        </a:xfrm>
        <a:prstGeom prst="triangle">
          <a:avLst>
            <a:gd name="adj" fmla="val 50000"/>
          </a:avLst>
        </a:prstGeom>
        <a:noFill/>
        <a:ln w="12600">
          <a:solidFill>
            <a:srgbClr val="32549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24</xdr:col>
      <xdr:colOff>244800</xdr:colOff>
      <xdr:row>46</xdr:row>
      <xdr:rowOff>75600</xdr:rowOff>
    </xdr:from>
    <xdr:to>
      <xdr:col>25</xdr:col>
      <xdr:colOff>445680</xdr:colOff>
      <xdr:row>47</xdr:row>
      <xdr:rowOff>225360</xdr:rowOff>
    </xdr:to>
    <xdr:sp>
      <xdr:nvSpPr>
        <xdr:cNvPr id="44" name="Rectángulo 67"/>
        <xdr:cNvSpPr/>
      </xdr:nvSpPr>
      <xdr:spPr>
        <a:xfrm>
          <a:off x="23834520" y="9047520"/>
          <a:ext cx="955800" cy="399960"/>
        </a:xfrm>
        <a:prstGeom prst="rect">
          <a:avLst/>
        </a:prstGeom>
        <a:noFill/>
        <a:ln w="1260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es-CL" sz="1600" strike="noStrike" u="none">
              <a:solidFill>
                <a:srgbClr val="000000"/>
              </a:solidFill>
              <a:effectLst/>
              <a:uFillTx/>
              <a:latin typeface="Calibri"/>
            </a:rPr>
            <a:t>STOCK </a:t>
          </a:r>
          <a:endParaRPr b="0" lang="es-CL" sz="16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600" strike="noStrike" u="none">
              <a:solidFill>
                <a:srgbClr val="000000"/>
              </a:solidFill>
              <a:effectLst/>
              <a:uFillTx/>
              <a:latin typeface="Calibri"/>
            </a:rPr>
            <a:t>planta de rechazos + Stock planta Rumo</a:t>
          </a:r>
          <a:endParaRPr b="0" lang="es-CL" sz="16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Users/mfrez/Downloads/02.%20BALANCE%20METALURGICO%2001%20AL%2028%20DE%20FEBRERO%202018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UNDICIÓN"/>
      <sheetName val="HojaSIPcfg"/>
      <sheetName val="Resumen Ejecutivo"/>
      <sheetName val="CONCENTRADORA"/>
      <sheetName val="REFINERÍAS"/>
      <sheetName val="GEL"/>
      <sheetName val="ECL"/>
      <sheetName val="Real vs P1"/>
      <sheetName val="Resumen Desbalances"/>
      <sheetName val="Resumen Recuperaciones"/>
      <sheetName val="Balance de Masa Validado"/>
      <sheetName val="Balance de Masa Reconciliado"/>
      <sheetName val="Recuperaciones Cobre"/>
      <sheetName val="Recuperaciones Molibdeno"/>
      <sheetName val="Datos Base"/>
      <sheetName val="Cálculos Fundición"/>
      <sheetName val="Finanzas"/>
      <sheetName val="Control-Fluj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image" Target="../media/image2.png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5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44" activeCellId="0" sqref="L44"/>
    </sheetView>
  </sheetViews>
  <sheetFormatPr defaultColWidth="6.2890625" defaultRowHeight="12.75" customHeight="true" zeroHeight="false" outlineLevelRow="0" outlineLevelCol="0"/>
  <cols>
    <col collapsed="false" customWidth="true" hidden="false" outlineLevel="0" max="2" min="1" style="1" width="2.16"/>
    <col collapsed="false" customWidth="true" hidden="true" outlineLevel="0" max="3" min="3" style="1" width="15.57"/>
    <col collapsed="false" customWidth="true" hidden="false" outlineLevel="0" max="4" min="4" style="1" width="20.77"/>
    <col collapsed="false" customWidth="true" hidden="false" outlineLevel="0" max="5" min="5" style="1" width="22.59"/>
    <col collapsed="false" customWidth="true" hidden="false" outlineLevel="0" max="7" min="6" style="1" width="15.14"/>
    <col collapsed="false" customWidth="true" hidden="false" outlineLevel="0" max="8" min="8" style="1" width="12"/>
    <col collapsed="false" customWidth="true" hidden="false" outlineLevel="0" max="9" min="9" style="1" width="14.29"/>
    <col collapsed="false" customWidth="true" hidden="false" outlineLevel="0" max="10" min="10" style="1" width="13.42"/>
    <col collapsed="false" customWidth="true" hidden="false" outlineLevel="0" max="14" min="11" style="1" width="13"/>
    <col collapsed="false" customWidth="true" hidden="false" outlineLevel="0" max="15" min="15" style="1" width="14.86"/>
    <col collapsed="false" customWidth="true" hidden="false" outlineLevel="0" max="16" min="16" style="1" width="13.29"/>
    <col collapsed="false" customWidth="true" hidden="false" outlineLevel="0" max="17" min="17" style="1" width="13.42"/>
    <col collapsed="false" customWidth="true" hidden="false" outlineLevel="0" max="18" min="18" style="1" width="2.16"/>
    <col collapsed="false" customWidth="true" hidden="false" outlineLevel="0" max="19" min="19" style="1" width="13.86"/>
    <col collapsed="false" customWidth="true" hidden="false" outlineLevel="0" max="20" min="20" style="1" width="16"/>
    <col collapsed="false" customWidth="true" hidden="false" outlineLevel="0" max="22" min="21" style="2" width="10.71"/>
    <col collapsed="false" customWidth="true" hidden="false" outlineLevel="0" max="23" min="23" style="2" width="15.57"/>
    <col collapsed="false" customWidth="true" hidden="false" outlineLevel="0" max="24" min="24" style="2" width="11.43"/>
    <col collapsed="false" customWidth="true" hidden="false" outlineLevel="0" max="25" min="25" style="2" width="12"/>
    <col collapsed="false" customWidth="true" hidden="false" outlineLevel="0" max="26" min="26" style="2" width="11.43"/>
    <col collapsed="false" customWidth="true" hidden="false" outlineLevel="0" max="27" min="27" style="2" width="12"/>
    <col collapsed="false" customWidth="true" hidden="false" outlineLevel="0" max="28" min="28" style="2" width="11.43"/>
    <col collapsed="false" customWidth="true" hidden="false" outlineLevel="0" max="29" min="29" style="2" width="12.86"/>
    <col collapsed="false" customWidth="true" hidden="false" outlineLevel="0" max="30" min="30" style="2" width="10.71"/>
    <col collapsed="false" customWidth="true" hidden="false" outlineLevel="0" max="31" min="31" style="2" width="19"/>
    <col collapsed="false" customWidth="true" hidden="false" outlineLevel="0" max="32" min="32" style="2" width="13.29"/>
    <col collapsed="false" customWidth="true" hidden="false" outlineLevel="0" max="33" min="33" style="2" width="18"/>
    <col collapsed="false" customWidth="true" hidden="false" outlineLevel="0" max="34" min="34" style="2" width="42.42"/>
    <col collapsed="false" customWidth="true" hidden="false" outlineLevel="0" max="35" min="35" style="2" width="31"/>
    <col collapsed="false" customWidth="true" hidden="false" outlineLevel="0" max="36" min="36" style="2" width="35"/>
    <col collapsed="false" customWidth="true" hidden="false" outlineLevel="0" max="37" min="37" style="2" width="31"/>
    <col collapsed="false" customWidth="true" hidden="false" outlineLevel="0" max="38" min="38" style="2" width="35"/>
    <col collapsed="false" customWidth="true" hidden="false" outlineLevel="0" max="39" min="39" style="2" width="31"/>
    <col collapsed="false" customWidth="true" hidden="false" outlineLevel="0" max="40" min="40" style="2" width="37.86"/>
    <col collapsed="false" customWidth="true" hidden="false" outlineLevel="0" max="41" min="41" style="2" width="11.43"/>
    <col collapsed="false" customWidth="true" hidden="false" outlineLevel="0" max="42" min="42" style="2" width="54"/>
    <col collapsed="false" customWidth="true" hidden="false" outlineLevel="0" max="43" min="43" style="2" width="43.57"/>
    <col collapsed="false" customWidth="true" hidden="false" outlineLevel="0" max="44" min="44" style="2" width="44.71"/>
    <col collapsed="false" customWidth="false" hidden="false" outlineLevel="0" max="254" min="45" style="2" width="6.29"/>
    <col collapsed="false" customWidth="true" hidden="false" outlineLevel="0" max="256" min="255" style="2" width="2.16"/>
    <col collapsed="false" customWidth="true" hidden="true" outlineLevel="0" max="257" min="257" style="2" width="11.57"/>
    <col collapsed="false" customWidth="true" hidden="false" outlineLevel="0" max="260" min="258" style="2" width="12.86"/>
    <col collapsed="false" customWidth="true" hidden="false" outlineLevel="0" max="261" min="261" style="2" width="12"/>
    <col collapsed="false" customWidth="true" hidden="false" outlineLevel="0" max="262" min="262" style="2" width="12.29"/>
    <col collapsed="false" customWidth="true" hidden="false" outlineLevel="0" max="263" min="263" style="2" width="13.42"/>
    <col collapsed="false" customWidth="true" hidden="true" outlineLevel="0" max="264" min="264" style="2" width="11.57"/>
    <col collapsed="false" customWidth="true" hidden="false" outlineLevel="0" max="267" min="265" style="2" width="13"/>
    <col collapsed="false" customWidth="true" hidden="false" outlineLevel="0" max="268" min="268" style="2" width="14.86"/>
    <col collapsed="false" customWidth="true" hidden="false" outlineLevel="0" max="269" min="269" style="2" width="13.29"/>
    <col collapsed="false" customWidth="true" hidden="false" outlineLevel="0" max="270" min="270" style="2" width="13.42"/>
    <col collapsed="false" customWidth="true" hidden="false" outlineLevel="0" max="271" min="271" style="2" width="2.16"/>
    <col collapsed="false" customWidth="true" hidden="false" outlineLevel="0" max="272" min="272" style="2" width="13.86"/>
    <col collapsed="false" customWidth="true" hidden="false" outlineLevel="0" max="273" min="273" style="2" width="10.71"/>
    <col collapsed="false" customWidth="true" hidden="false" outlineLevel="0" max="274" min="274" style="2" width="12"/>
    <col collapsed="false" customWidth="true" hidden="false" outlineLevel="0" max="275" min="275" style="2" width="11.43"/>
    <col collapsed="false" customWidth="true" hidden="false" outlineLevel="0" max="276" min="276" style="2" width="16"/>
    <col collapsed="false" customWidth="true" hidden="false" outlineLevel="0" max="278" min="277" style="2" width="10.71"/>
    <col collapsed="false" customWidth="true" hidden="false" outlineLevel="0" max="279" min="279" style="2" width="15.57"/>
    <col collapsed="false" customWidth="true" hidden="false" outlineLevel="0" max="280" min="280" style="2" width="11.43"/>
    <col collapsed="false" customWidth="true" hidden="false" outlineLevel="0" max="281" min="281" style="2" width="12"/>
    <col collapsed="false" customWidth="true" hidden="false" outlineLevel="0" max="282" min="282" style="2" width="11.43"/>
    <col collapsed="false" customWidth="true" hidden="false" outlineLevel="0" max="283" min="283" style="2" width="12"/>
    <col collapsed="false" customWidth="true" hidden="false" outlineLevel="0" max="284" min="284" style="2" width="11.43"/>
    <col collapsed="false" customWidth="true" hidden="false" outlineLevel="0" max="285" min="285" style="2" width="12.86"/>
    <col collapsed="false" customWidth="true" hidden="false" outlineLevel="0" max="286" min="286" style="2" width="10.71"/>
    <col collapsed="false" customWidth="true" hidden="false" outlineLevel="0" max="287" min="287" style="2" width="19"/>
    <col collapsed="false" customWidth="true" hidden="false" outlineLevel="0" max="288" min="288" style="2" width="13.29"/>
    <col collapsed="false" customWidth="true" hidden="false" outlineLevel="0" max="289" min="289" style="2" width="18"/>
    <col collapsed="false" customWidth="true" hidden="false" outlineLevel="0" max="290" min="290" style="2" width="42.42"/>
    <col collapsed="false" customWidth="true" hidden="false" outlineLevel="0" max="291" min="291" style="2" width="31"/>
    <col collapsed="false" customWidth="true" hidden="false" outlineLevel="0" max="292" min="292" style="2" width="35"/>
    <col collapsed="false" customWidth="true" hidden="false" outlineLevel="0" max="293" min="293" style="2" width="31"/>
    <col collapsed="false" customWidth="true" hidden="false" outlineLevel="0" max="294" min="294" style="2" width="35"/>
    <col collapsed="false" customWidth="true" hidden="false" outlineLevel="0" max="295" min="295" style="2" width="31"/>
    <col collapsed="false" customWidth="true" hidden="false" outlineLevel="0" max="296" min="296" style="2" width="37.86"/>
    <col collapsed="false" customWidth="true" hidden="false" outlineLevel="0" max="297" min="297" style="2" width="11.43"/>
    <col collapsed="false" customWidth="true" hidden="false" outlineLevel="0" max="298" min="298" style="2" width="54"/>
    <col collapsed="false" customWidth="true" hidden="false" outlineLevel="0" max="299" min="299" style="2" width="43.57"/>
    <col collapsed="false" customWidth="true" hidden="false" outlineLevel="0" max="300" min="300" style="2" width="44.71"/>
    <col collapsed="false" customWidth="false" hidden="false" outlineLevel="0" max="510" min="301" style="2" width="6.29"/>
    <col collapsed="false" customWidth="true" hidden="false" outlineLevel="0" max="512" min="511" style="2" width="2.16"/>
    <col collapsed="false" customWidth="true" hidden="true" outlineLevel="0" max="513" min="513" style="2" width="11.57"/>
    <col collapsed="false" customWidth="true" hidden="false" outlineLevel="0" max="516" min="514" style="2" width="12.86"/>
    <col collapsed="false" customWidth="true" hidden="false" outlineLevel="0" max="517" min="517" style="2" width="12"/>
    <col collapsed="false" customWidth="true" hidden="false" outlineLevel="0" max="518" min="518" style="2" width="12.29"/>
    <col collapsed="false" customWidth="true" hidden="false" outlineLevel="0" max="519" min="519" style="2" width="13.42"/>
    <col collapsed="false" customWidth="true" hidden="true" outlineLevel="0" max="520" min="520" style="2" width="11.57"/>
    <col collapsed="false" customWidth="true" hidden="false" outlineLevel="0" max="523" min="521" style="2" width="13"/>
    <col collapsed="false" customWidth="true" hidden="false" outlineLevel="0" max="524" min="524" style="2" width="14.86"/>
    <col collapsed="false" customWidth="true" hidden="false" outlineLevel="0" max="525" min="525" style="2" width="13.29"/>
    <col collapsed="false" customWidth="true" hidden="false" outlineLevel="0" max="526" min="526" style="2" width="13.42"/>
    <col collapsed="false" customWidth="true" hidden="false" outlineLevel="0" max="527" min="527" style="2" width="2.16"/>
    <col collapsed="false" customWidth="true" hidden="false" outlineLevel="0" max="528" min="528" style="2" width="13.86"/>
    <col collapsed="false" customWidth="true" hidden="false" outlineLevel="0" max="529" min="529" style="2" width="10.71"/>
    <col collapsed="false" customWidth="true" hidden="false" outlineLevel="0" max="530" min="530" style="2" width="12"/>
    <col collapsed="false" customWidth="true" hidden="false" outlineLevel="0" max="531" min="531" style="2" width="11.43"/>
    <col collapsed="false" customWidth="true" hidden="false" outlineLevel="0" max="532" min="532" style="2" width="16"/>
    <col collapsed="false" customWidth="true" hidden="false" outlineLevel="0" max="534" min="533" style="2" width="10.71"/>
    <col collapsed="false" customWidth="true" hidden="false" outlineLevel="0" max="535" min="535" style="2" width="15.57"/>
    <col collapsed="false" customWidth="true" hidden="false" outlineLevel="0" max="536" min="536" style="2" width="11.43"/>
    <col collapsed="false" customWidth="true" hidden="false" outlineLevel="0" max="537" min="537" style="2" width="12"/>
    <col collapsed="false" customWidth="true" hidden="false" outlineLevel="0" max="538" min="538" style="2" width="11.43"/>
    <col collapsed="false" customWidth="true" hidden="false" outlineLevel="0" max="539" min="539" style="2" width="12"/>
    <col collapsed="false" customWidth="true" hidden="false" outlineLevel="0" max="540" min="540" style="2" width="11.43"/>
    <col collapsed="false" customWidth="true" hidden="false" outlineLevel="0" max="541" min="541" style="2" width="12.86"/>
    <col collapsed="false" customWidth="true" hidden="false" outlineLevel="0" max="542" min="542" style="2" width="10.71"/>
    <col collapsed="false" customWidth="true" hidden="false" outlineLevel="0" max="543" min="543" style="2" width="19"/>
    <col collapsed="false" customWidth="true" hidden="false" outlineLevel="0" max="544" min="544" style="2" width="13.29"/>
    <col collapsed="false" customWidth="true" hidden="false" outlineLevel="0" max="545" min="545" style="2" width="18"/>
    <col collapsed="false" customWidth="true" hidden="false" outlineLevel="0" max="546" min="546" style="2" width="42.42"/>
    <col collapsed="false" customWidth="true" hidden="false" outlineLevel="0" max="547" min="547" style="2" width="31"/>
    <col collapsed="false" customWidth="true" hidden="false" outlineLevel="0" max="548" min="548" style="2" width="35"/>
    <col collapsed="false" customWidth="true" hidden="false" outlineLevel="0" max="549" min="549" style="2" width="31"/>
    <col collapsed="false" customWidth="true" hidden="false" outlineLevel="0" max="550" min="550" style="2" width="35"/>
    <col collapsed="false" customWidth="true" hidden="false" outlineLevel="0" max="551" min="551" style="2" width="31"/>
    <col collapsed="false" customWidth="true" hidden="false" outlineLevel="0" max="552" min="552" style="2" width="37.86"/>
    <col collapsed="false" customWidth="true" hidden="false" outlineLevel="0" max="553" min="553" style="2" width="11.43"/>
    <col collapsed="false" customWidth="true" hidden="false" outlineLevel="0" max="554" min="554" style="2" width="54"/>
    <col collapsed="false" customWidth="true" hidden="false" outlineLevel="0" max="555" min="555" style="2" width="43.57"/>
    <col collapsed="false" customWidth="true" hidden="false" outlineLevel="0" max="556" min="556" style="2" width="44.71"/>
    <col collapsed="false" customWidth="false" hidden="false" outlineLevel="0" max="766" min="557" style="2" width="6.29"/>
    <col collapsed="false" customWidth="true" hidden="false" outlineLevel="0" max="768" min="767" style="2" width="2.16"/>
    <col collapsed="false" customWidth="true" hidden="true" outlineLevel="0" max="769" min="769" style="2" width="11.57"/>
    <col collapsed="false" customWidth="true" hidden="false" outlineLevel="0" max="772" min="770" style="2" width="12.86"/>
    <col collapsed="false" customWidth="true" hidden="false" outlineLevel="0" max="773" min="773" style="2" width="12"/>
    <col collapsed="false" customWidth="true" hidden="false" outlineLevel="0" max="774" min="774" style="2" width="12.29"/>
    <col collapsed="false" customWidth="true" hidden="false" outlineLevel="0" max="775" min="775" style="2" width="13.42"/>
    <col collapsed="false" customWidth="true" hidden="true" outlineLevel="0" max="776" min="776" style="2" width="11.57"/>
    <col collapsed="false" customWidth="true" hidden="false" outlineLevel="0" max="779" min="777" style="2" width="13"/>
    <col collapsed="false" customWidth="true" hidden="false" outlineLevel="0" max="780" min="780" style="2" width="14.86"/>
    <col collapsed="false" customWidth="true" hidden="false" outlineLevel="0" max="781" min="781" style="2" width="13.29"/>
    <col collapsed="false" customWidth="true" hidden="false" outlineLevel="0" max="782" min="782" style="2" width="13.42"/>
    <col collapsed="false" customWidth="true" hidden="false" outlineLevel="0" max="783" min="783" style="2" width="2.16"/>
    <col collapsed="false" customWidth="true" hidden="false" outlineLevel="0" max="784" min="784" style="2" width="13.86"/>
    <col collapsed="false" customWidth="true" hidden="false" outlineLevel="0" max="785" min="785" style="2" width="10.71"/>
    <col collapsed="false" customWidth="true" hidden="false" outlineLevel="0" max="786" min="786" style="2" width="12"/>
    <col collapsed="false" customWidth="true" hidden="false" outlineLevel="0" max="787" min="787" style="2" width="11.43"/>
    <col collapsed="false" customWidth="true" hidden="false" outlineLevel="0" max="788" min="788" style="2" width="16"/>
    <col collapsed="false" customWidth="true" hidden="false" outlineLevel="0" max="790" min="789" style="2" width="10.71"/>
    <col collapsed="false" customWidth="true" hidden="false" outlineLevel="0" max="791" min="791" style="2" width="15.57"/>
    <col collapsed="false" customWidth="true" hidden="false" outlineLevel="0" max="792" min="792" style="2" width="11.43"/>
    <col collapsed="false" customWidth="true" hidden="false" outlineLevel="0" max="793" min="793" style="2" width="12"/>
    <col collapsed="false" customWidth="true" hidden="false" outlineLevel="0" max="794" min="794" style="2" width="11.43"/>
    <col collapsed="false" customWidth="true" hidden="false" outlineLevel="0" max="795" min="795" style="2" width="12"/>
    <col collapsed="false" customWidth="true" hidden="false" outlineLevel="0" max="796" min="796" style="2" width="11.43"/>
    <col collapsed="false" customWidth="true" hidden="false" outlineLevel="0" max="797" min="797" style="2" width="12.86"/>
    <col collapsed="false" customWidth="true" hidden="false" outlineLevel="0" max="798" min="798" style="2" width="10.71"/>
    <col collapsed="false" customWidth="true" hidden="false" outlineLevel="0" max="799" min="799" style="2" width="19"/>
    <col collapsed="false" customWidth="true" hidden="false" outlineLevel="0" max="800" min="800" style="2" width="13.29"/>
    <col collapsed="false" customWidth="true" hidden="false" outlineLevel="0" max="801" min="801" style="2" width="18"/>
    <col collapsed="false" customWidth="true" hidden="false" outlineLevel="0" max="802" min="802" style="2" width="42.42"/>
    <col collapsed="false" customWidth="true" hidden="false" outlineLevel="0" max="803" min="803" style="2" width="31"/>
    <col collapsed="false" customWidth="true" hidden="false" outlineLevel="0" max="804" min="804" style="2" width="35"/>
    <col collapsed="false" customWidth="true" hidden="false" outlineLevel="0" max="805" min="805" style="2" width="31"/>
    <col collapsed="false" customWidth="true" hidden="false" outlineLevel="0" max="806" min="806" style="2" width="35"/>
    <col collapsed="false" customWidth="true" hidden="false" outlineLevel="0" max="807" min="807" style="2" width="31"/>
    <col collapsed="false" customWidth="true" hidden="false" outlineLevel="0" max="808" min="808" style="2" width="37.86"/>
    <col collapsed="false" customWidth="true" hidden="false" outlineLevel="0" max="809" min="809" style="2" width="11.43"/>
    <col collapsed="false" customWidth="true" hidden="false" outlineLevel="0" max="810" min="810" style="2" width="54"/>
    <col collapsed="false" customWidth="true" hidden="false" outlineLevel="0" max="811" min="811" style="2" width="43.57"/>
    <col collapsed="false" customWidth="true" hidden="false" outlineLevel="0" max="812" min="812" style="2" width="44.71"/>
    <col collapsed="false" customWidth="false" hidden="false" outlineLevel="0" max="1022" min="813" style="2" width="6.29"/>
    <col collapsed="false" customWidth="true" hidden="false" outlineLevel="0" max="1024" min="1023" style="2" width="2.16"/>
    <col collapsed="false" customWidth="true" hidden="true" outlineLevel="0" max="1025" min="1025" style="2" width="11.57"/>
    <col collapsed="false" customWidth="true" hidden="false" outlineLevel="0" max="1028" min="1026" style="2" width="12.86"/>
    <col collapsed="false" customWidth="true" hidden="false" outlineLevel="0" max="1029" min="1029" style="2" width="12"/>
    <col collapsed="false" customWidth="true" hidden="false" outlineLevel="0" max="1030" min="1030" style="2" width="12.29"/>
    <col collapsed="false" customWidth="true" hidden="false" outlineLevel="0" max="1031" min="1031" style="2" width="13.42"/>
    <col collapsed="false" customWidth="true" hidden="true" outlineLevel="0" max="1032" min="1032" style="2" width="11.57"/>
    <col collapsed="false" customWidth="true" hidden="false" outlineLevel="0" max="1035" min="1033" style="2" width="13"/>
    <col collapsed="false" customWidth="true" hidden="false" outlineLevel="0" max="1036" min="1036" style="2" width="14.86"/>
    <col collapsed="false" customWidth="true" hidden="false" outlineLevel="0" max="1037" min="1037" style="2" width="13.29"/>
    <col collapsed="false" customWidth="true" hidden="false" outlineLevel="0" max="1038" min="1038" style="2" width="13.42"/>
    <col collapsed="false" customWidth="true" hidden="false" outlineLevel="0" max="1039" min="1039" style="2" width="2.16"/>
    <col collapsed="false" customWidth="true" hidden="false" outlineLevel="0" max="1040" min="1040" style="2" width="13.86"/>
    <col collapsed="false" customWidth="true" hidden="false" outlineLevel="0" max="1041" min="1041" style="2" width="10.71"/>
    <col collapsed="false" customWidth="true" hidden="false" outlineLevel="0" max="1042" min="1042" style="2" width="12"/>
    <col collapsed="false" customWidth="true" hidden="false" outlineLevel="0" max="1043" min="1043" style="2" width="11.43"/>
    <col collapsed="false" customWidth="true" hidden="false" outlineLevel="0" max="1044" min="1044" style="2" width="16"/>
    <col collapsed="false" customWidth="true" hidden="false" outlineLevel="0" max="1046" min="1045" style="2" width="10.71"/>
    <col collapsed="false" customWidth="true" hidden="false" outlineLevel="0" max="1047" min="1047" style="2" width="15.57"/>
    <col collapsed="false" customWidth="true" hidden="false" outlineLevel="0" max="1048" min="1048" style="2" width="11.43"/>
    <col collapsed="false" customWidth="true" hidden="false" outlineLevel="0" max="1049" min="1049" style="2" width="12"/>
    <col collapsed="false" customWidth="true" hidden="false" outlineLevel="0" max="1050" min="1050" style="2" width="11.43"/>
    <col collapsed="false" customWidth="true" hidden="false" outlineLevel="0" max="1051" min="1051" style="2" width="12"/>
    <col collapsed="false" customWidth="true" hidden="false" outlineLevel="0" max="1052" min="1052" style="2" width="11.43"/>
    <col collapsed="false" customWidth="true" hidden="false" outlineLevel="0" max="1053" min="1053" style="2" width="12.86"/>
    <col collapsed="false" customWidth="true" hidden="false" outlineLevel="0" max="1054" min="1054" style="2" width="10.71"/>
    <col collapsed="false" customWidth="true" hidden="false" outlineLevel="0" max="1055" min="1055" style="2" width="19"/>
    <col collapsed="false" customWidth="true" hidden="false" outlineLevel="0" max="1056" min="1056" style="2" width="13.29"/>
    <col collapsed="false" customWidth="true" hidden="false" outlineLevel="0" max="1057" min="1057" style="2" width="18"/>
    <col collapsed="false" customWidth="true" hidden="false" outlineLevel="0" max="1058" min="1058" style="2" width="42.42"/>
    <col collapsed="false" customWidth="true" hidden="false" outlineLevel="0" max="1059" min="1059" style="2" width="31"/>
    <col collapsed="false" customWidth="true" hidden="false" outlineLevel="0" max="1060" min="1060" style="2" width="35"/>
    <col collapsed="false" customWidth="true" hidden="false" outlineLevel="0" max="1061" min="1061" style="2" width="31"/>
    <col collapsed="false" customWidth="true" hidden="false" outlineLevel="0" max="1062" min="1062" style="2" width="35"/>
    <col collapsed="false" customWidth="true" hidden="false" outlineLevel="0" max="1063" min="1063" style="2" width="31"/>
    <col collapsed="false" customWidth="true" hidden="false" outlineLevel="0" max="1064" min="1064" style="2" width="37.86"/>
    <col collapsed="false" customWidth="true" hidden="false" outlineLevel="0" max="1065" min="1065" style="2" width="11.43"/>
    <col collapsed="false" customWidth="true" hidden="false" outlineLevel="0" max="1066" min="1066" style="2" width="54"/>
    <col collapsed="false" customWidth="true" hidden="false" outlineLevel="0" max="1067" min="1067" style="2" width="43.57"/>
    <col collapsed="false" customWidth="true" hidden="false" outlineLevel="0" max="1068" min="1068" style="2" width="44.71"/>
    <col collapsed="false" customWidth="false" hidden="false" outlineLevel="0" max="1278" min="1069" style="2" width="6.29"/>
    <col collapsed="false" customWidth="true" hidden="false" outlineLevel="0" max="1280" min="1279" style="2" width="2.16"/>
    <col collapsed="false" customWidth="true" hidden="true" outlineLevel="0" max="1281" min="1281" style="2" width="11.57"/>
    <col collapsed="false" customWidth="true" hidden="false" outlineLevel="0" max="1284" min="1282" style="2" width="12.86"/>
    <col collapsed="false" customWidth="true" hidden="false" outlineLevel="0" max="1285" min="1285" style="2" width="12"/>
    <col collapsed="false" customWidth="true" hidden="false" outlineLevel="0" max="1286" min="1286" style="2" width="12.29"/>
    <col collapsed="false" customWidth="true" hidden="false" outlineLevel="0" max="1287" min="1287" style="2" width="13.42"/>
    <col collapsed="false" customWidth="true" hidden="true" outlineLevel="0" max="1288" min="1288" style="2" width="11.57"/>
    <col collapsed="false" customWidth="true" hidden="false" outlineLevel="0" max="1291" min="1289" style="2" width="13"/>
    <col collapsed="false" customWidth="true" hidden="false" outlineLevel="0" max="1292" min="1292" style="2" width="14.86"/>
    <col collapsed="false" customWidth="true" hidden="false" outlineLevel="0" max="1293" min="1293" style="2" width="13.29"/>
    <col collapsed="false" customWidth="true" hidden="false" outlineLevel="0" max="1294" min="1294" style="2" width="13.42"/>
    <col collapsed="false" customWidth="true" hidden="false" outlineLevel="0" max="1295" min="1295" style="2" width="2.16"/>
    <col collapsed="false" customWidth="true" hidden="false" outlineLevel="0" max="1296" min="1296" style="2" width="13.86"/>
    <col collapsed="false" customWidth="true" hidden="false" outlineLevel="0" max="1297" min="1297" style="2" width="10.71"/>
    <col collapsed="false" customWidth="true" hidden="false" outlineLevel="0" max="1298" min="1298" style="2" width="12"/>
    <col collapsed="false" customWidth="true" hidden="false" outlineLevel="0" max="1299" min="1299" style="2" width="11.43"/>
    <col collapsed="false" customWidth="true" hidden="false" outlineLevel="0" max="1300" min="1300" style="2" width="16"/>
    <col collapsed="false" customWidth="true" hidden="false" outlineLevel="0" max="1302" min="1301" style="2" width="10.71"/>
    <col collapsed="false" customWidth="true" hidden="false" outlineLevel="0" max="1303" min="1303" style="2" width="15.57"/>
    <col collapsed="false" customWidth="true" hidden="false" outlineLevel="0" max="1304" min="1304" style="2" width="11.43"/>
    <col collapsed="false" customWidth="true" hidden="false" outlineLevel="0" max="1305" min="1305" style="2" width="12"/>
    <col collapsed="false" customWidth="true" hidden="false" outlineLevel="0" max="1306" min="1306" style="2" width="11.43"/>
    <col collapsed="false" customWidth="true" hidden="false" outlineLevel="0" max="1307" min="1307" style="2" width="12"/>
    <col collapsed="false" customWidth="true" hidden="false" outlineLevel="0" max="1308" min="1308" style="2" width="11.43"/>
    <col collapsed="false" customWidth="true" hidden="false" outlineLevel="0" max="1309" min="1309" style="2" width="12.86"/>
    <col collapsed="false" customWidth="true" hidden="false" outlineLevel="0" max="1310" min="1310" style="2" width="10.71"/>
    <col collapsed="false" customWidth="true" hidden="false" outlineLevel="0" max="1311" min="1311" style="2" width="19"/>
    <col collapsed="false" customWidth="true" hidden="false" outlineLevel="0" max="1312" min="1312" style="2" width="13.29"/>
    <col collapsed="false" customWidth="true" hidden="false" outlineLevel="0" max="1313" min="1313" style="2" width="18"/>
    <col collapsed="false" customWidth="true" hidden="false" outlineLevel="0" max="1314" min="1314" style="2" width="42.42"/>
    <col collapsed="false" customWidth="true" hidden="false" outlineLevel="0" max="1315" min="1315" style="2" width="31"/>
    <col collapsed="false" customWidth="true" hidden="false" outlineLevel="0" max="1316" min="1316" style="2" width="35"/>
    <col collapsed="false" customWidth="true" hidden="false" outlineLevel="0" max="1317" min="1317" style="2" width="31"/>
    <col collapsed="false" customWidth="true" hidden="false" outlineLevel="0" max="1318" min="1318" style="2" width="35"/>
    <col collapsed="false" customWidth="true" hidden="false" outlineLevel="0" max="1319" min="1319" style="2" width="31"/>
    <col collapsed="false" customWidth="true" hidden="false" outlineLevel="0" max="1320" min="1320" style="2" width="37.86"/>
    <col collapsed="false" customWidth="true" hidden="false" outlineLevel="0" max="1321" min="1321" style="2" width="11.43"/>
    <col collapsed="false" customWidth="true" hidden="false" outlineLevel="0" max="1322" min="1322" style="2" width="54"/>
    <col collapsed="false" customWidth="true" hidden="false" outlineLevel="0" max="1323" min="1323" style="2" width="43.57"/>
    <col collapsed="false" customWidth="true" hidden="false" outlineLevel="0" max="1324" min="1324" style="2" width="44.71"/>
    <col collapsed="false" customWidth="false" hidden="false" outlineLevel="0" max="1534" min="1325" style="2" width="6.29"/>
    <col collapsed="false" customWidth="true" hidden="false" outlineLevel="0" max="1536" min="1535" style="2" width="2.16"/>
    <col collapsed="false" customWidth="true" hidden="true" outlineLevel="0" max="1537" min="1537" style="2" width="11.57"/>
    <col collapsed="false" customWidth="true" hidden="false" outlineLevel="0" max="1540" min="1538" style="2" width="12.86"/>
    <col collapsed="false" customWidth="true" hidden="false" outlineLevel="0" max="1541" min="1541" style="2" width="12"/>
    <col collapsed="false" customWidth="true" hidden="false" outlineLevel="0" max="1542" min="1542" style="2" width="12.29"/>
    <col collapsed="false" customWidth="true" hidden="false" outlineLevel="0" max="1543" min="1543" style="2" width="13.42"/>
    <col collapsed="false" customWidth="true" hidden="true" outlineLevel="0" max="1544" min="1544" style="2" width="11.57"/>
    <col collapsed="false" customWidth="true" hidden="false" outlineLevel="0" max="1547" min="1545" style="2" width="13"/>
    <col collapsed="false" customWidth="true" hidden="false" outlineLevel="0" max="1548" min="1548" style="2" width="14.86"/>
    <col collapsed="false" customWidth="true" hidden="false" outlineLevel="0" max="1549" min="1549" style="2" width="13.29"/>
    <col collapsed="false" customWidth="true" hidden="false" outlineLevel="0" max="1550" min="1550" style="2" width="13.42"/>
    <col collapsed="false" customWidth="true" hidden="false" outlineLevel="0" max="1551" min="1551" style="2" width="2.16"/>
    <col collapsed="false" customWidth="true" hidden="false" outlineLevel="0" max="1552" min="1552" style="2" width="13.86"/>
    <col collapsed="false" customWidth="true" hidden="false" outlineLevel="0" max="1553" min="1553" style="2" width="10.71"/>
    <col collapsed="false" customWidth="true" hidden="false" outlineLevel="0" max="1554" min="1554" style="2" width="12"/>
    <col collapsed="false" customWidth="true" hidden="false" outlineLevel="0" max="1555" min="1555" style="2" width="11.43"/>
    <col collapsed="false" customWidth="true" hidden="false" outlineLevel="0" max="1556" min="1556" style="2" width="16"/>
    <col collapsed="false" customWidth="true" hidden="false" outlineLevel="0" max="1558" min="1557" style="2" width="10.71"/>
    <col collapsed="false" customWidth="true" hidden="false" outlineLevel="0" max="1559" min="1559" style="2" width="15.57"/>
    <col collapsed="false" customWidth="true" hidden="false" outlineLevel="0" max="1560" min="1560" style="2" width="11.43"/>
    <col collapsed="false" customWidth="true" hidden="false" outlineLevel="0" max="1561" min="1561" style="2" width="12"/>
    <col collapsed="false" customWidth="true" hidden="false" outlineLevel="0" max="1562" min="1562" style="2" width="11.43"/>
    <col collapsed="false" customWidth="true" hidden="false" outlineLevel="0" max="1563" min="1563" style="2" width="12"/>
    <col collapsed="false" customWidth="true" hidden="false" outlineLevel="0" max="1564" min="1564" style="2" width="11.43"/>
    <col collapsed="false" customWidth="true" hidden="false" outlineLevel="0" max="1565" min="1565" style="2" width="12.86"/>
    <col collapsed="false" customWidth="true" hidden="false" outlineLevel="0" max="1566" min="1566" style="2" width="10.71"/>
    <col collapsed="false" customWidth="true" hidden="false" outlineLevel="0" max="1567" min="1567" style="2" width="19"/>
    <col collapsed="false" customWidth="true" hidden="false" outlineLevel="0" max="1568" min="1568" style="2" width="13.29"/>
    <col collapsed="false" customWidth="true" hidden="false" outlineLevel="0" max="1569" min="1569" style="2" width="18"/>
    <col collapsed="false" customWidth="true" hidden="false" outlineLevel="0" max="1570" min="1570" style="2" width="42.42"/>
    <col collapsed="false" customWidth="true" hidden="false" outlineLevel="0" max="1571" min="1571" style="2" width="31"/>
    <col collapsed="false" customWidth="true" hidden="false" outlineLevel="0" max="1572" min="1572" style="2" width="35"/>
    <col collapsed="false" customWidth="true" hidden="false" outlineLevel="0" max="1573" min="1573" style="2" width="31"/>
    <col collapsed="false" customWidth="true" hidden="false" outlineLevel="0" max="1574" min="1574" style="2" width="35"/>
    <col collapsed="false" customWidth="true" hidden="false" outlineLevel="0" max="1575" min="1575" style="2" width="31"/>
    <col collapsed="false" customWidth="true" hidden="false" outlineLevel="0" max="1576" min="1576" style="2" width="37.86"/>
    <col collapsed="false" customWidth="true" hidden="false" outlineLevel="0" max="1577" min="1577" style="2" width="11.43"/>
    <col collapsed="false" customWidth="true" hidden="false" outlineLevel="0" max="1578" min="1578" style="2" width="54"/>
    <col collapsed="false" customWidth="true" hidden="false" outlineLevel="0" max="1579" min="1579" style="2" width="43.57"/>
    <col collapsed="false" customWidth="true" hidden="false" outlineLevel="0" max="1580" min="1580" style="2" width="44.71"/>
    <col collapsed="false" customWidth="false" hidden="false" outlineLevel="0" max="1790" min="1581" style="2" width="6.29"/>
    <col collapsed="false" customWidth="true" hidden="false" outlineLevel="0" max="1792" min="1791" style="2" width="2.16"/>
    <col collapsed="false" customWidth="true" hidden="true" outlineLevel="0" max="1793" min="1793" style="2" width="11.57"/>
    <col collapsed="false" customWidth="true" hidden="false" outlineLevel="0" max="1796" min="1794" style="2" width="12.86"/>
    <col collapsed="false" customWidth="true" hidden="false" outlineLevel="0" max="1797" min="1797" style="2" width="12"/>
    <col collapsed="false" customWidth="true" hidden="false" outlineLevel="0" max="1798" min="1798" style="2" width="12.29"/>
    <col collapsed="false" customWidth="true" hidden="false" outlineLevel="0" max="1799" min="1799" style="2" width="13.42"/>
    <col collapsed="false" customWidth="true" hidden="true" outlineLevel="0" max="1800" min="1800" style="2" width="11.57"/>
    <col collapsed="false" customWidth="true" hidden="false" outlineLevel="0" max="1803" min="1801" style="2" width="13"/>
    <col collapsed="false" customWidth="true" hidden="false" outlineLevel="0" max="1804" min="1804" style="2" width="14.86"/>
    <col collapsed="false" customWidth="true" hidden="false" outlineLevel="0" max="1805" min="1805" style="2" width="13.29"/>
    <col collapsed="false" customWidth="true" hidden="false" outlineLevel="0" max="1806" min="1806" style="2" width="13.42"/>
    <col collapsed="false" customWidth="true" hidden="false" outlineLevel="0" max="1807" min="1807" style="2" width="2.16"/>
    <col collapsed="false" customWidth="true" hidden="false" outlineLevel="0" max="1808" min="1808" style="2" width="13.86"/>
    <col collapsed="false" customWidth="true" hidden="false" outlineLevel="0" max="1809" min="1809" style="2" width="10.71"/>
    <col collapsed="false" customWidth="true" hidden="false" outlineLevel="0" max="1810" min="1810" style="2" width="12"/>
    <col collapsed="false" customWidth="true" hidden="false" outlineLevel="0" max="1811" min="1811" style="2" width="11.43"/>
    <col collapsed="false" customWidth="true" hidden="false" outlineLevel="0" max="1812" min="1812" style="2" width="16"/>
    <col collapsed="false" customWidth="true" hidden="false" outlineLevel="0" max="1814" min="1813" style="2" width="10.71"/>
    <col collapsed="false" customWidth="true" hidden="false" outlineLevel="0" max="1815" min="1815" style="2" width="15.57"/>
    <col collapsed="false" customWidth="true" hidden="false" outlineLevel="0" max="1816" min="1816" style="2" width="11.43"/>
    <col collapsed="false" customWidth="true" hidden="false" outlineLevel="0" max="1817" min="1817" style="2" width="12"/>
    <col collapsed="false" customWidth="true" hidden="false" outlineLevel="0" max="1818" min="1818" style="2" width="11.43"/>
    <col collapsed="false" customWidth="true" hidden="false" outlineLevel="0" max="1819" min="1819" style="2" width="12"/>
    <col collapsed="false" customWidth="true" hidden="false" outlineLevel="0" max="1820" min="1820" style="2" width="11.43"/>
    <col collapsed="false" customWidth="true" hidden="false" outlineLevel="0" max="1821" min="1821" style="2" width="12.86"/>
    <col collapsed="false" customWidth="true" hidden="false" outlineLevel="0" max="1822" min="1822" style="2" width="10.71"/>
    <col collapsed="false" customWidth="true" hidden="false" outlineLevel="0" max="1823" min="1823" style="2" width="19"/>
    <col collapsed="false" customWidth="true" hidden="false" outlineLevel="0" max="1824" min="1824" style="2" width="13.29"/>
    <col collapsed="false" customWidth="true" hidden="false" outlineLevel="0" max="1825" min="1825" style="2" width="18"/>
    <col collapsed="false" customWidth="true" hidden="false" outlineLevel="0" max="1826" min="1826" style="2" width="42.42"/>
    <col collapsed="false" customWidth="true" hidden="false" outlineLevel="0" max="1827" min="1827" style="2" width="31"/>
    <col collapsed="false" customWidth="true" hidden="false" outlineLevel="0" max="1828" min="1828" style="2" width="35"/>
    <col collapsed="false" customWidth="true" hidden="false" outlineLevel="0" max="1829" min="1829" style="2" width="31"/>
    <col collapsed="false" customWidth="true" hidden="false" outlineLevel="0" max="1830" min="1830" style="2" width="35"/>
    <col collapsed="false" customWidth="true" hidden="false" outlineLevel="0" max="1831" min="1831" style="2" width="31"/>
    <col collapsed="false" customWidth="true" hidden="false" outlineLevel="0" max="1832" min="1832" style="2" width="37.86"/>
    <col collapsed="false" customWidth="true" hidden="false" outlineLevel="0" max="1833" min="1833" style="2" width="11.43"/>
    <col collapsed="false" customWidth="true" hidden="false" outlineLevel="0" max="1834" min="1834" style="2" width="54"/>
    <col collapsed="false" customWidth="true" hidden="false" outlineLevel="0" max="1835" min="1835" style="2" width="43.57"/>
    <col collapsed="false" customWidth="true" hidden="false" outlineLevel="0" max="1836" min="1836" style="2" width="44.71"/>
    <col collapsed="false" customWidth="false" hidden="false" outlineLevel="0" max="2046" min="1837" style="2" width="6.29"/>
    <col collapsed="false" customWidth="true" hidden="false" outlineLevel="0" max="2048" min="2047" style="2" width="2.16"/>
    <col collapsed="false" customWidth="true" hidden="true" outlineLevel="0" max="2049" min="2049" style="2" width="11.57"/>
    <col collapsed="false" customWidth="true" hidden="false" outlineLevel="0" max="2052" min="2050" style="2" width="12.86"/>
    <col collapsed="false" customWidth="true" hidden="false" outlineLevel="0" max="2053" min="2053" style="2" width="12"/>
    <col collapsed="false" customWidth="true" hidden="false" outlineLevel="0" max="2054" min="2054" style="2" width="12.29"/>
    <col collapsed="false" customWidth="true" hidden="false" outlineLevel="0" max="2055" min="2055" style="2" width="13.42"/>
    <col collapsed="false" customWidth="true" hidden="true" outlineLevel="0" max="2056" min="2056" style="2" width="11.57"/>
    <col collapsed="false" customWidth="true" hidden="false" outlineLevel="0" max="2059" min="2057" style="2" width="13"/>
    <col collapsed="false" customWidth="true" hidden="false" outlineLevel="0" max="2060" min="2060" style="2" width="14.86"/>
    <col collapsed="false" customWidth="true" hidden="false" outlineLevel="0" max="2061" min="2061" style="2" width="13.29"/>
    <col collapsed="false" customWidth="true" hidden="false" outlineLevel="0" max="2062" min="2062" style="2" width="13.42"/>
    <col collapsed="false" customWidth="true" hidden="false" outlineLevel="0" max="2063" min="2063" style="2" width="2.16"/>
    <col collapsed="false" customWidth="true" hidden="false" outlineLevel="0" max="2064" min="2064" style="2" width="13.86"/>
    <col collapsed="false" customWidth="true" hidden="false" outlineLevel="0" max="2065" min="2065" style="2" width="10.71"/>
    <col collapsed="false" customWidth="true" hidden="false" outlineLevel="0" max="2066" min="2066" style="2" width="12"/>
    <col collapsed="false" customWidth="true" hidden="false" outlineLevel="0" max="2067" min="2067" style="2" width="11.43"/>
    <col collapsed="false" customWidth="true" hidden="false" outlineLevel="0" max="2068" min="2068" style="2" width="16"/>
    <col collapsed="false" customWidth="true" hidden="false" outlineLevel="0" max="2070" min="2069" style="2" width="10.71"/>
    <col collapsed="false" customWidth="true" hidden="false" outlineLevel="0" max="2071" min="2071" style="2" width="15.57"/>
    <col collapsed="false" customWidth="true" hidden="false" outlineLevel="0" max="2072" min="2072" style="2" width="11.43"/>
    <col collapsed="false" customWidth="true" hidden="false" outlineLevel="0" max="2073" min="2073" style="2" width="12"/>
    <col collapsed="false" customWidth="true" hidden="false" outlineLevel="0" max="2074" min="2074" style="2" width="11.43"/>
    <col collapsed="false" customWidth="true" hidden="false" outlineLevel="0" max="2075" min="2075" style="2" width="12"/>
    <col collapsed="false" customWidth="true" hidden="false" outlineLevel="0" max="2076" min="2076" style="2" width="11.43"/>
    <col collapsed="false" customWidth="true" hidden="false" outlineLevel="0" max="2077" min="2077" style="2" width="12.86"/>
    <col collapsed="false" customWidth="true" hidden="false" outlineLevel="0" max="2078" min="2078" style="2" width="10.71"/>
    <col collapsed="false" customWidth="true" hidden="false" outlineLevel="0" max="2079" min="2079" style="2" width="19"/>
    <col collapsed="false" customWidth="true" hidden="false" outlineLevel="0" max="2080" min="2080" style="2" width="13.29"/>
    <col collapsed="false" customWidth="true" hidden="false" outlineLevel="0" max="2081" min="2081" style="2" width="18"/>
    <col collapsed="false" customWidth="true" hidden="false" outlineLevel="0" max="2082" min="2082" style="2" width="42.42"/>
    <col collapsed="false" customWidth="true" hidden="false" outlineLevel="0" max="2083" min="2083" style="2" width="31"/>
    <col collapsed="false" customWidth="true" hidden="false" outlineLevel="0" max="2084" min="2084" style="2" width="35"/>
    <col collapsed="false" customWidth="true" hidden="false" outlineLevel="0" max="2085" min="2085" style="2" width="31"/>
    <col collapsed="false" customWidth="true" hidden="false" outlineLevel="0" max="2086" min="2086" style="2" width="35"/>
    <col collapsed="false" customWidth="true" hidden="false" outlineLevel="0" max="2087" min="2087" style="2" width="31"/>
    <col collapsed="false" customWidth="true" hidden="false" outlineLevel="0" max="2088" min="2088" style="2" width="37.86"/>
    <col collapsed="false" customWidth="true" hidden="false" outlineLevel="0" max="2089" min="2089" style="2" width="11.43"/>
    <col collapsed="false" customWidth="true" hidden="false" outlineLevel="0" max="2090" min="2090" style="2" width="54"/>
    <col collapsed="false" customWidth="true" hidden="false" outlineLevel="0" max="2091" min="2091" style="2" width="43.57"/>
    <col collapsed="false" customWidth="true" hidden="false" outlineLevel="0" max="2092" min="2092" style="2" width="44.71"/>
    <col collapsed="false" customWidth="false" hidden="false" outlineLevel="0" max="2302" min="2093" style="2" width="6.29"/>
    <col collapsed="false" customWidth="true" hidden="false" outlineLevel="0" max="2304" min="2303" style="2" width="2.16"/>
    <col collapsed="false" customWidth="true" hidden="true" outlineLevel="0" max="2305" min="2305" style="2" width="11.57"/>
    <col collapsed="false" customWidth="true" hidden="false" outlineLevel="0" max="2308" min="2306" style="2" width="12.86"/>
    <col collapsed="false" customWidth="true" hidden="false" outlineLevel="0" max="2309" min="2309" style="2" width="12"/>
    <col collapsed="false" customWidth="true" hidden="false" outlineLevel="0" max="2310" min="2310" style="2" width="12.29"/>
    <col collapsed="false" customWidth="true" hidden="false" outlineLevel="0" max="2311" min="2311" style="2" width="13.42"/>
    <col collapsed="false" customWidth="true" hidden="true" outlineLevel="0" max="2312" min="2312" style="2" width="11.57"/>
    <col collapsed="false" customWidth="true" hidden="false" outlineLevel="0" max="2315" min="2313" style="2" width="13"/>
    <col collapsed="false" customWidth="true" hidden="false" outlineLevel="0" max="2316" min="2316" style="2" width="14.86"/>
    <col collapsed="false" customWidth="true" hidden="false" outlineLevel="0" max="2317" min="2317" style="2" width="13.29"/>
    <col collapsed="false" customWidth="true" hidden="false" outlineLevel="0" max="2318" min="2318" style="2" width="13.42"/>
    <col collapsed="false" customWidth="true" hidden="false" outlineLevel="0" max="2319" min="2319" style="2" width="2.16"/>
    <col collapsed="false" customWidth="true" hidden="false" outlineLevel="0" max="2320" min="2320" style="2" width="13.86"/>
    <col collapsed="false" customWidth="true" hidden="false" outlineLevel="0" max="2321" min="2321" style="2" width="10.71"/>
    <col collapsed="false" customWidth="true" hidden="false" outlineLevel="0" max="2322" min="2322" style="2" width="12"/>
    <col collapsed="false" customWidth="true" hidden="false" outlineLevel="0" max="2323" min="2323" style="2" width="11.43"/>
    <col collapsed="false" customWidth="true" hidden="false" outlineLevel="0" max="2324" min="2324" style="2" width="16"/>
    <col collapsed="false" customWidth="true" hidden="false" outlineLevel="0" max="2326" min="2325" style="2" width="10.71"/>
    <col collapsed="false" customWidth="true" hidden="false" outlineLevel="0" max="2327" min="2327" style="2" width="15.57"/>
    <col collapsed="false" customWidth="true" hidden="false" outlineLevel="0" max="2328" min="2328" style="2" width="11.43"/>
    <col collapsed="false" customWidth="true" hidden="false" outlineLevel="0" max="2329" min="2329" style="2" width="12"/>
    <col collapsed="false" customWidth="true" hidden="false" outlineLevel="0" max="2330" min="2330" style="2" width="11.43"/>
    <col collapsed="false" customWidth="true" hidden="false" outlineLevel="0" max="2331" min="2331" style="2" width="12"/>
    <col collapsed="false" customWidth="true" hidden="false" outlineLevel="0" max="2332" min="2332" style="2" width="11.43"/>
    <col collapsed="false" customWidth="true" hidden="false" outlineLevel="0" max="2333" min="2333" style="2" width="12.86"/>
    <col collapsed="false" customWidth="true" hidden="false" outlineLevel="0" max="2334" min="2334" style="2" width="10.71"/>
    <col collapsed="false" customWidth="true" hidden="false" outlineLevel="0" max="2335" min="2335" style="2" width="19"/>
    <col collapsed="false" customWidth="true" hidden="false" outlineLevel="0" max="2336" min="2336" style="2" width="13.29"/>
    <col collapsed="false" customWidth="true" hidden="false" outlineLevel="0" max="2337" min="2337" style="2" width="18"/>
    <col collapsed="false" customWidth="true" hidden="false" outlineLevel="0" max="2338" min="2338" style="2" width="42.42"/>
    <col collapsed="false" customWidth="true" hidden="false" outlineLevel="0" max="2339" min="2339" style="2" width="31"/>
    <col collapsed="false" customWidth="true" hidden="false" outlineLevel="0" max="2340" min="2340" style="2" width="35"/>
    <col collapsed="false" customWidth="true" hidden="false" outlineLevel="0" max="2341" min="2341" style="2" width="31"/>
    <col collapsed="false" customWidth="true" hidden="false" outlineLevel="0" max="2342" min="2342" style="2" width="35"/>
    <col collapsed="false" customWidth="true" hidden="false" outlineLevel="0" max="2343" min="2343" style="2" width="31"/>
    <col collapsed="false" customWidth="true" hidden="false" outlineLevel="0" max="2344" min="2344" style="2" width="37.86"/>
    <col collapsed="false" customWidth="true" hidden="false" outlineLevel="0" max="2345" min="2345" style="2" width="11.43"/>
    <col collapsed="false" customWidth="true" hidden="false" outlineLevel="0" max="2346" min="2346" style="2" width="54"/>
    <col collapsed="false" customWidth="true" hidden="false" outlineLevel="0" max="2347" min="2347" style="2" width="43.57"/>
    <col collapsed="false" customWidth="true" hidden="false" outlineLevel="0" max="2348" min="2348" style="2" width="44.71"/>
    <col collapsed="false" customWidth="false" hidden="false" outlineLevel="0" max="2558" min="2349" style="2" width="6.29"/>
    <col collapsed="false" customWidth="true" hidden="false" outlineLevel="0" max="2560" min="2559" style="2" width="2.16"/>
    <col collapsed="false" customWidth="true" hidden="true" outlineLevel="0" max="2561" min="2561" style="2" width="11.57"/>
    <col collapsed="false" customWidth="true" hidden="false" outlineLevel="0" max="2564" min="2562" style="2" width="12.86"/>
    <col collapsed="false" customWidth="true" hidden="false" outlineLevel="0" max="2565" min="2565" style="2" width="12"/>
    <col collapsed="false" customWidth="true" hidden="false" outlineLevel="0" max="2566" min="2566" style="2" width="12.29"/>
    <col collapsed="false" customWidth="true" hidden="false" outlineLevel="0" max="2567" min="2567" style="2" width="13.42"/>
    <col collapsed="false" customWidth="true" hidden="true" outlineLevel="0" max="2568" min="2568" style="2" width="11.57"/>
    <col collapsed="false" customWidth="true" hidden="false" outlineLevel="0" max="2571" min="2569" style="2" width="13"/>
    <col collapsed="false" customWidth="true" hidden="false" outlineLevel="0" max="2572" min="2572" style="2" width="14.86"/>
    <col collapsed="false" customWidth="true" hidden="false" outlineLevel="0" max="2573" min="2573" style="2" width="13.29"/>
    <col collapsed="false" customWidth="true" hidden="false" outlineLevel="0" max="2574" min="2574" style="2" width="13.42"/>
    <col collapsed="false" customWidth="true" hidden="false" outlineLevel="0" max="2575" min="2575" style="2" width="2.16"/>
    <col collapsed="false" customWidth="true" hidden="false" outlineLevel="0" max="2576" min="2576" style="2" width="13.86"/>
    <col collapsed="false" customWidth="true" hidden="false" outlineLevel="0" max="2577" min="2577" style="2" width="10.71"/>
    <col collapsed="false" customWidth="true" hidden="false" outlineLevel="0" max="2578" min="2578" style="2" width="12"/>
    <col collapsed="false" customWidth="true" hidden="false" outlineLevel="0" max="2579" min="2579" style="2" width="11.43"/>
    <col collapsed="false" customWidth="true" hidden="false" outlineLevel="0" max="2580" min="2580" style="2" width="16"/>
    <col collapsed="false" customWidth="true" hidden="false" outlineLevel="0" max="2582" min="2581" style="2" width="10.71"/>
    <col collapsed="false" customWidth="true" hidden="false" outlineLevel="0" max="2583" min="2583" style="2" width="15.57"/>
    <col collapsed="false" customWidth="true" hidden="false" outlineLevel="0" max="2584" min="2584" style="2" width="11.43"/>
    <col collapsed="false" customWidth="true" hidden="false" outlineLevel="0" max="2585" min="2585" style="2" width="12"/>
    <col collapsed="false" customWidth="true" hidden="false" outlineLevel="0" max="2586" min="2586" style="2" width="11.43"/>
    <col collapsed="false" customWidth="true" hidden="false" outlineLevel="0" max="2587" min="2587" style="2" width="12"/>
    <col collapsed="false" customWidth="true" hidden="false" outlineLevel="0" max="2588" min="2588" style="2" width="11.43"/>
    <col collapsed="false" customWidth="true" hidden="false" outlineLevel="0" max="2589" min="2589" style="2" width="12.86"/>
    <col collapsed="false" customWidth="true" hidden="false" outlineLevel="0" max="2590" min="2590" style="2" width="10.71"/>
    <col collapsed="false" customWidth="true" hidden="false" outlineLevel="0" max="2591" min="2591" style="2" width="19"/>
    <col collapsed="false" customWidth="true" hidden="false" outlineLevel="0" max="2592" min="2592" style="2" width="13.29"/>
    <col collapsed="false" customWidth="true" hidden="false" outlineLevel="0" max="2593" min="2593" style="2" width="18"/>
    <col collapsed="false" customWidth="true" hidden="false" outlineLevel="0" max="2594" min="2594" style="2" width="42.42"/>
    <col collapsed="false" customWidth="true" hidden="false" outlineLevel="0" max="2595" min="2595" style="2" width="31"/>
    <col collapsed="false" customWidth="true" hidden="false" outlineLevel="0" max="2596" min="2596" style="2" width="35"/>
    <col collapsed="false" customWidth="true" hidden="false" outlineLevel="0" max="2597" min="2597" style="2" width="31"/>
    <col collapsed="false" customWidth="true" hidden="false" outlineLevel="0" max="2598" min="2598" style="2" width="35"/>
    <col collapsed="false" customWidth="true" hidden="false" outlineLevel="0" max="2599" min="2599" style="2" width="31"/>
    <col collapsed="false" customWidth="true" hidden="false" outlineLevel="0" max="2600" min="2600" style="2" width="37.86"/>
    <col collapsed="false" customWidth="true" hidden="false" outlineLevel="0" max="2601" min="2601" style="2" width="11.43"/>
    <col collapsed="false" customWidth="true" hidden="false" outlineLevel="0" max="2602" min="2602" style="2" width="54"/>
    <col collapsed="false" customWidth="true" hidden="false" outlineLevel="0" max="2603" min="2603" style="2" width="43.57"/>
    <col collapsed="false" customWidth="true" hidden="false" outlineLevel="0" max="2604" min="2604" style="2" width="44.71"/>
    <col collapsed="false" customWidth="false" hidden="false" outlineLevel="0" max="2814" min="2605" style="2" width="6.29"/>
    <col collapsed="false" customWidth="true" hidden="false" outlineLevel="0" max="2816" min="2815" style="2" width="2.16"/>
    <col collapsed="false" customWidth="true" hidden="true" outlineLevel="0" max="2817" min="2817" style="2" width="11.57"/>
    <col collapsed="false" customWidth="true" hidden="false" outlineLevel="0" max="2820" min="2818" style="2" width="12.86"/>
    <col collapsed="false" customWidth="true" hidden="false" outlineLevel="0" max="2821" min="2821" style="2" width="12"/>
    <col collapsed="false" customWidth="true" hidden="false" outlineLevel="0" max="2822" min="2822" style="2" width="12.29"/>
    <col collapsed="false" customWidth="true" hidden="false" outlineLevel="0" max="2823" min="2823" style="2" width="13.42"/>
    <col collapsed="false" customWidth="true" hidden="true" outlineLevel="0" max="2824" min="2824" style="2" width="11.57"/>
    <col collapsed="false" customWidth="true" hidden="false" outlineLevel="0" max="2827" min="2825" style="2" width="13"/>
    <col collapsed="false" customWidth="true" hidden="false" outlineLevel="0" max="2828" min="2828" style="2" width="14.86"/>
    <col collapsed="false" customWidth="true" hidden="false" outlineLevel="0" max="2829" min="2829" style="2" width="13.29"/>
    <col collapsed="false" customWidth="true" hidden="false" outlineLevel="0" max="2830" min="2830" style="2" width="13.42"/>
    <col collapsed="false" customWidth="true" hidden="false" outlineLevel="0" max="2831" min="2831" style="2" width="2.16"/>
    <col collapsed="false" customWidth="true" hidden="false" outlineLevel="0" max="2832" min="2832" style="2" width="13.86"/>
    <col collapsed="false" customWidth="true" hidden="false" outlineLevel="0" max="2833" min="2833" style="2" width="10.71"/>
    <col collapsed="false" customWidth="true" hidden="false" outlineLevel="0" max="2834" min="2834" style="2" width="12"/>
    <col collapsed="false" customWidth="true" hidden="false" outlineLevel="0" max="2835" min="2835" style="2" width="11.43"/>
    <col collapsed="false" customWidth="true" hidden="false" outlineLevel="0" max="2836" min="2836" style="2" width="16"/>
    <col collapsed="false" customWidth="true" hidden="false" outlineLevel="0" max="2838" min="2837" style="2" width="10.71"/>
    <col collapsed="false" customWidth="true" hidden="false" outlineLevel="0" max="2839" min="2839" style="2" width="15.57"/>
    <col collapsed="false" customWidth="true" hidden="false" outlineLevel="0" max="2840" min="2840" style="2" width="11.43"/>
    <col collapsed="false" customWidth="true" hidden="false" outlineLevel="0" max="2841" min="2841" style="2" width="12"/>
    <col collapsed="false" customWidth="true" hidden="false" outlineLevel="0" max="2842" min="2842" style="2" width="11.43"/>
    <col collapsed="false" customWidth="true" hidden="false" outlineLevel="0" max="2843" min="2843" style="2" width="12"/>
    <col collapsed="false" customWidth="true" hidden="false" outlineLevel="0" max="2844" min="2844" style="2" width="11.43"/>
    <col collapsed="false" customWidth="true" hidden="false" outlineLevel="0" max="2845" min="2845" style="2" width="12.86"/>
    <col collapsed="false" customWidth="true" hidden="false" outlineLevel="0" max="2846" min="2846" style="2" width="10.71"/>
    <col collapsed="false" customWidth="true" hidden="false" outlineLevel="0" max="2847" min="2847" style="2" width="19"/>
    <col collapsed="false" customWidth="true" hidden="false" outlineLevel="0" max="2848" min="2848" style="2" width="13.29"/>
    <col collapsed="false" customWidth="true" hidden="false" outlineLevel="0" max="2849" min="2849" style="2" width="18"/>
    <col collapsed="false" customWidth="true" hidden="false" outlineLevel="0" max="2850" min="2850" style="2" width="42.42"/>
    <col collapsed="false" customWidth="true" hidden="false" outlineLevel="0" max="2851" min="2851" style="2" width="31"/>
    <col collapsed="false" customWidth="true" hidden="false" outlineLevel="0" max="2852" min="2852" style="2" width="35"/>
    <col collapsed="false" customWidth="true" hidden="false" outlineLevel="0" max="2853" min="2853" style="2" width="31"/>
    <col collapsed="false" customWidth="true" hidden="false" outlineLevel="0" max="2854" min="2854" style="2" width="35"/>
    <col collapsed="false" customWidth="true" hidden="false" outlineLevel="0" max="2855" min="2855" style="2" width="31"/>
    <col collapsed="false" customWidth="true" hidden="false" outlineLevel="0" max="2856" min="2856" style="2" width="37.86"/>
    <col collapsed="false" customWidth="true" hidden="false" outlineLevel="0" max="2857" min="2857" style="2" width="11.43"/>
    <col collapsed="false" customWidth="true" hidden="false" outlineLevel="0" max="2858" min="2858" style="2" width="54"/>
    <col collapsed="false" customWidth="true" hidden="false" outlineLevel="0" max="2859" min="2859" style="2" width="43.57"/>
    <col collapsed="false" customWidth="true" hidden="false" outlineLevel="0" max="2860" min="2860" style="2" width="44.71"/>
    <col collapsed="false" customWidth="false" hidden="false" outlineLevel="0" max="3070" min="2861" style="2" width="6.29"/>
    <col collapsed="false" customWidth="true" hidden="false" outlineLevel="0" max="3072" min="3071" style="2" width="2.16"/>
    <col collapsed="false" customWidth="true" hidden="true" outlineLevel="0" max="3073" min="3073" style="2" width="11.57"/>
    <col collapsed="false" customWidth="true" hidden="false" outlineLevel="0" max="3076" min="3074" style="2" width="12.86"/>
    <col collapsed="false" customWidth="true" hidden="false" outlineLevel="0" max="3077" min="3077" style="2" width="12"/>
    <col collapsed="false" customWidth="true" hidden="false" outlineLevel="0" max="3078" min="3078" style="2" width="12.29"/>
    <col collapsed="false" customWidth="true" hidden="false" outlineLevel="0" max="3079" min="3079" style="2" width="13.42"/>
    <col collapsed="false" customWidth="true" hidden="true" outlineLevel="0" max="3080" min="3080" style="2" width="11.57"/>
    <col collapsed="false" customWidth="true" hidden="false" outlineLevel="0" max="3083" min="3081" style="2" width="13"/>
    <col collapsed="false" customWidth="true" hidden="false" outlineLevel="0" max="3084" min="3084" style="2" width="14.86"/>
    <col collapsed="false" customWidth="true" hidden="false" outlineLevel="0" max="3085" min="3085" style="2" width="13.29"/>
    <col collapsed="false" customWidth="true" hidden="false" outlineLevel="0" max="3086" min="3086" style="2" width="13.42"/>
    <col collapsed="false" customWidth="true" hidden="false" outlineLevel="0" max="3087" min="3087" style="2" width="2.16"/>
    <col collapsed="false" customWidth="true" hidden="false" outlineLevel="0" max="3088" min="3088" style="2" width="13.86"/>
    <col collapsed="false" customWidth="true" hidden="false" outlineLevel="0" max="3089" min="3089" style="2" width="10.71"/>
    <col collapsed="false" customWidth="true" hidden="false" outlineLevel="0" max="3090" min="3090" style="2" width="12"/>
    <col collapsed="false" customWidth="true" hidden="false" outlineLevel="0" max="3091" min="3091" style="2" width="11.43"/>
    <col collapsed="false" customWidth="true" hidden="false" outlineLevel="0" max="3092" min="3092" style="2" width="16"/>
    <col collapsed="false" customWidth="true" hidden="false" outlineLevel="0" max="3094" min="3093" style="2" width="10.71"/>
    <col collapsed="false" customWidth="true" hidden="false" outlineLevel="0" max="3095" min="3095" style="2" width="15.57"/>
    <col collapsed="false" customWidth="true" hidden="false" outlineLevel="0" max="3096" min="3096" style="2" width="11.43"/>
    <col collapsed="false" customWidth="true" hidden="false" outlineLevel="0" max="3097" min="3097" style="2" width="12"/>
    <col collapsed="false" customWidth="true" hidden="false" outlineLevel="0" max="3098" min="3098" style="2" width="11.43"/>
    <col collapsed="false" customWidth="true" hidden="false" outlineLevel="0" max="3099" min="3099" style="2" width="12"/>
    <col collapsed="false" customWidth="true" hidden="false" outlineLevel="0" max="3100" min="3100" style="2" width="11.43"/>
    <col collapsed="false" customWidth="true" hidden="false" outlineLevel="0" max="3101" min="3101" style="2" width="12.86"/>
    <col collapsed="false" customWidth="true" hidden="false" outlineLevel="0" max="3102" min="3102" style="2" width="10.71"/>
    <col collapsed="false" customWidth="true" hidden="false" outlineLevel="0" max="3103" min="3103" style="2" width="19"/>
    <col collapsed="false" customWidth="true" hidden="false" outlineLevel="0" max="3104" min="3104" style="2" width="13.29"/>
    <col collapsed="false" customWidth="true" hidden="false" outlineLevel="0" max="3105" min="3105" style="2" width="18"/>
    <col collapsed="false" customWidth="true" hidden="false" outlineLevel="0" max="3106" min="3106" style="2" width="42.42"/>
    <col collapsed="false" customWidth="true" hidden="false" outlineLevel="0" max="3107" min="3107" style="2" width="31"/>
    <col collapsed="false" customWidth="true" hidden="false" outlineLevel="0" max="3108" min="3108" style="2" width="35"/>
    <col collapsed="false" customWidth="true" hidden="false" outlineLevel="0" max="3109" min="3109" style="2" width="31"/>
    <col collapsed="false" customWidth="true" hidden="false" outlineLevel="0" max="3110" min="3110" style="2" width="35"/>
    <col collapsed="false" customWidth="true" hidden="false" outlineLevel="0" max="3111" min="3111" style="2" width="31"/>
    <col collapsed="false" customWidth="true" hidden="false" outlineLevel="0" max="3112" min="3112" style="2" width="37.86"/>
    <col collapsed="false" customWidth="true" hidden="false" outlineLevel="0" max="3113" min="3113" style="2" width="11.43"/>
    <col collapsed="false" customWidth="true" hidden="false" outlineLevel="0" max="3114" min="3114" style="2" width="54"/>
    <col collapsed="false" customWidth="true" hidden="false" outlineLevel="0" max="3115" min="3115" style="2" width="43.57"/>
    <col collapsed="false" customWidth="true" hidden="false" outlineLevel="0" max="3116" min="3116" style="2" width="44.71"/>
    <col collapsed="false" customWidth="false" hidden="false" outlineLevel="0" max="3326" min="3117" style="2" width="6.29"/>
    <col collapsed="false" customWidth="true" hidden="false" outlineLevel="0" max="3328" min="3327" style="2" width="2.16"/>
    <col collapsed="false" customWidth="true" hidden="true" outlineLevel="0" max="3329" min="3329" style="2" width="11.57"/>
    <col collapsed="false" customWidth="true" hidden="false" outlineLevel="0" max="3332" min="3330" style="2" width="12.86"/>
    <col collapsed="false" customWidth="true" hidden="false" outlineLevel="0" max="3333" min="3333" style="2" width="12"/>
    <col collapsed="false" customWidth="true" hidden="false" outlineLevel="0" max="3334" min="3334" style="2" width="12.29"/>
    <col collapsed="false" customWidth="true" hidden="false" outlineLevel="0" max="3335" min="3335" style="2" width="13.42"/>
    <col collapsed="false" customWidth="true" hidden="true" outlineLevel="0" max="3336" min="3336" style="2" width="11.57"/>
    <col collapsed="false" customWidth="true" hidden="false" outlineLevel="0" max="3339" min="3337" style="2" width="13"/>
    <col collapsed="false" customWidth="true" hidden="false" outlineLevel="0" max="3340" min="3340" style="2" width="14.86"/>
    <col collapsed="false" customWidth="true" hidden="false" outlineLevel="0" max="3341" min="3341" style="2" width="13.29"/>
    <col collapsed="false" customWidth="true" hidden="false" outlineLevel="0" max="3342" min="3342" style="2" width="13.42"/>
    <col collapsed="false" customWidth="true" hidden="false" outlineLevel="0" max="3343" min="3343" style="2" width="2.16"/>
    <col collapsed="false" customWidth="true" hidden="false" outlineLevel="0" max="3344" min="3344" style="2" width="13.86"/>
    <col collapsed="false" customWidth="true" hidden="false" outlineLevel="0" max="3345" min="3345" style="2" width="10.71"/>
    <col collapsed="false" customWidth="true" hidden="false" outlineLevel="0" max="3346" min="3346" style="2" width="12"/>
    <col collapsed="false" customWidth="true" hidden="false" outlineLevel="0" max="3347" min="3347" style="2" width="11.43"/>
    <col collapsed="false" customWidth="true" hidden="false" outlineLevel="0" max="3348" min="3348" style="2" width="16"/>
    <col collapsed="false" customWidth="true" hidden="false" outlineLevel="0" max="3350" min="3349" style="2" width="10.71"/>
    <col collapsed="false" customWidth="true" hidden="false" outlineLevel="0" max="3351" min="3351" style="2" width="15.57"/>
    <col collapsed="false" customWidth="true" hidden="false" outlineLevel="0" max="3352" min="3352" style="2" width="11.43"/>
    <col collapsed="false" customWidth="true" hidden="false" outlineLevel="0" max="3353" min="3353" style="2" width="12"/>
    <col collapsed="false" customWidth="true" hidden="false" outlineLevel="0" max="3354" min="3354" style="2" width="11.43"/>
    <col collapsed="false" customWidth="true" hidden="false" outlineLevel="0" max="3355" min="3355" style="2" width="12"/>
    <col collapsed="false" customWidth="true" hidden="false" outlineLevel="0" max="3356" min="3356" style="2" width="11.43"/>
    <col collapsed="false" customWidth="true" hidden="false" outlineLevel="0" max="3357" min="3357" style="2" width="12.86"/>
    <col collapsed="false" customWidth="true" hidden="false" outlineLevel="0" max="3358" min="3358" style="2" width="10.71"/>
    <col collapsed="false" customWidth="true" hidden="false" outlineLevel="0" max="3359" min="3359" style="2" width="19"/>
    <col collapsed="false" customWidth="true" hidden="false" outlineLevel="0" max="3360" min="3360" style="2" width="13.29"/>
    <col collapsed="false" customWidth="true" hidden="false" outlineLevel="0" max="3361" min="3361" style="2" width="18"/>
    <col collapsed="false" customWidth="true" hidden="false" outlineLevel="0" max="3362" min="3362" style="2" width="42.42"/>
    <col collapsed="false" customWidth="true" hidden="false" outlineLevel="0" max="3363" min="3363" style="2" width="31"/>
    <col collapsed="false" customWidth="true" hidden="false" outlineLevel="0" max="3364" min="3364" style="2" width="35"/>
    <col collapsed="false" customWidth="true" hidden="false" outlineLevel="0" max="3365" min="3365" style="2" width="31"/>
    <col collapsed="false" customWidth="true" hidden="false" outlineLevel="0" max="3366" min="3366" style="2" width="35"/>
    <col collapsed="false" customWidth="true" hidden="false" outlineLevel="0" max="3367" min="3367" style="2" width="31"/>
    <col collapsed="false" customWidth="true" hidden="false" outlineLevel="0" max="3368" min="3368" style="2" width="37.86"/>
    <col collapsed="false" customWidth="true" hidden="false" outlineLevel="0" max="3369" min="3369" style="2" width="11.43"/>
    <col collapsed="false" customWidth="true" hidden="false" outlineLevel="0" max="3370" min="3370" style="2" width="54"/>
    <col collapsed="false" customWidth="true" hidden="false" outlineLevel="0" max="3371" min="3371" style="2" width="43.57"/>
    <col collapsed="false" customWidth="true" hidden="false" outlineLevel="0" max="3372" min="3372" style="2" width="44.71"/>
    <col collapsed="false" customWidth="false" hidden="false" outlineLevel="0" max="3582" min="3373" style="2" width="6.29"/>
    <col collapsed="false" customWidth="true" hidden="false" outlineLevel="0" max="3584" min="3583" style="2" width="2.16"/>
    <col collapsed="false" customWidth="true" hidden="true" outlineLevel="0" max="3585" min="3585" style="2" width="11.57"/>
    <col collapsed="false" customWidth="true" hidden="false" outlineLevel="0" max="3588" min="3586" style="2" width="12.86"/>
    <col collapsed="false" customWidth="true" hidden="false" outlineLevel="0" max="3589" min="3589" style="2" width="12"/>
    <col collapsed="false" customWidth="true" hidden="false" outlineLevel="0" max="3590" min="3590" style="2" width="12.29"/>
    <col collapsed="false" customWidth="true" hidden="false" outlineLevel="0" max="3591" min="3591" style="2" width="13.42"/>
    <col collapsed="false" customWidth="true" hidden="true" outlineLevel="0" max="3592" min="3592" style="2" width="11.57"/>
    <col collapsed="false" customWidth="true" hidden="false" outlineLevel="0" max="3595" min="3593" style="2" width="13"/>
    <col collapsed="false" customWidth="true" hidden="false" outlineLevel="0" max="3596" min="3596" style="2" width="14.86"/>
    <col collapsed="false" customWidth="true" hidden="false" outlineLevel="0" max="3597" min="3597" style="2" width="13.29"/>
    <col collapsed="false" customWidth="true" hidden="false" outlineLevel="0" max="3598" min="3598" style="2" width="13.42"/>
    <col collapsed="false" customWidth="true" hidden="false" outlineLevel="0" max="3599" min="3599" style="2" width="2.16"/>
    <col collapsed="false" customWidth="true" hidden="false" outlineLevel="0" max="3600" min="3600" style="2" width="13.86"/>
    <col collapsed="false" customWidth="true" hidden="false" outlineLevel="0" max="3601" min="3601" style="2" width="10.71"/>
    <col collapsed="false" customWidth="true" hidden="false" outlineLevel="0" max="3602" min="3602" style="2" width="12"/>
    <col collapsed="false" customWidth="true" hidden="false" outlineLevel="0" max="3603" min="3603" style="2" width="11.43"/>
    <col collapsed="false" customWidth="true" hidden="false" outlineLevel="0" max="3604" min="3604" style="2" width="16"/>
    <col collapsed="false" customWidth="true" hidden="false" outlineLevel="0" max="3606" min="3605" style="2" width="10.71"/>
    <col collapsed="false" customWidth="true" hidden="false" outlineLevel="0" max="3607" min="3607" style="2" width="15.57"/>
    <col collapsed="false" customWidth="true" hidden="false" outlineLevel="0" max="3608" min="3608" style="2" width="11.43"/>
    <col collapsed="false" customWidth="true" hidden="false" outlineLevel="0" max="3609" min="3609" style="2" width="12"/>
    <col collapsed="false" customWidth="true" hidden="false" outlineLevel="0" max="3610" min="3610" style="2" width="11.43"/>
    <col collapsed="false" customWidth="true" hidden="false" outlineLevel="0" max="3611" min="3611" style="2" width="12"/>
    <col collapsed="false" customWidth="true" hidden="false" outlineLevel="0" max="3612" min="3612" style="2" width="11.43"/>
    <col collapsed="false" customWidth="true" hidden="false" outlineLevel="0" max="3613" min="3613" style="2" width="12.86"/>
    <col collapsed="false" customWidth="true" hidden="false" outlineLevel="0" max="3614" min="3614" style="2" width="10.71"/>
    <col collapsed="false" customWidth="true" hidden="false" outlineLevel="0" max="3615" min="3615" style="2" width="19"/>
    <col collapsed="false" customWidth="true" hidden="false" outlineLevel="0" max="3616" min="3616" style="2" width="13.29"/>
    <col collapsed="false" customWidth="true" hidden="false" outlineLevel="0" max="3617" min="3617" style="2" width="18"/>
    <col collapsed="false" customWidth="true" hidden="false" outlineLevel="0" max="3618" min="3618" style="2" width="42.42"/>
    <col collapsed="false" customWidth="true" hidden="false" outlineLevel="0" max="3619" min="3619" style="2" width="31"/>
    <col collapsed="false" customWidth="true" hidden="false" outlineLevel="0" max="3620" min="3620" style="2" width="35"/>
    <col collapsed="false" customWidth="true" hidden="false" outlineLevel="0" max="3621" min="3621" style="2" width="31"/>
    <col collapsed="false" customWidth="true" hidden="false" outlineLevel="0" max="3622" min="3622" style="2" width="35"/>
    <col collapsed="false" customWidth="true" hidden="false" outlineLevel="0" max="3623" min="3623" style="2" width="31"/>
    <col collapsed="false" customWidth="true" hidden="false" outlineLevel="0" max="3624" min="3624" style="2" width="37.86"/>
    <col collapsed="false" customWidth="true" hidden="false" outlineLevel="0" max="3625" min="3625" style="2" width="11.43"/>
    <col collapsed="false" customWidth="true" hidden="false" outlineLevel="0" max="3626" min="3626" style="2" width="54"/>
    <col collapsed="false" customWidth="true" hidden="false" outlineLevel="0" max="3627" min="3627" style="2" width="43.57"/>
    <col collapsed="false" customWidth="true" hidden="false" outlineLevel="0" max="3628" min="3628" style="2" width="44.71"/>
    <col collapsed="false" customWidth="false" hidden="false" outlineLevel="0" max="3838" min="3629" style="2" width="6.29"/>
    <col collapsed="false" customWidth="true" hidden="false" outlineLevel="0" max="3840" min="3839" style="2" width="2.16"/>
    <col collapsed="false" customWidth="true" hidden="true" outlineLevel="0" max="3841" min="3841" style="2" width="11.57"/>
    <col collapsed="false" customWidth="true" hidden="false" outlineLevel="0" max="3844" min="3842" style="2" width="12.86"/>
    <col collapsed="false" customWidth="true" hidden="false" outlineLevel="0" max="3845" min="3845" style="2" width="12"/>
    <col collapsed="false" customWidth="true" hidden="false" outlineLevel="0" max="3846" min="3846" style="2" width="12.29"/>
    <col collapsed="false" customWidth="true" hidden="false" outlineLevel="0" max="3847" min="3847" style="2" width="13.42"/>
    <col collapsed="false" customWidth="true" hidden="true" outlineLevel="0" max="3848" min="3848" style="2" width="11.57"/>
    <col collapsed="false" customWidth="true" hidden="false" outlineLevel="0" max="3851" min="3849" style="2" width="13"/>
    <col collapsed="false" customWidth="true" hidden="false" outlineLevel="0" max="3852" min="3852" style="2" width="14.86"/>
    <col collapsed="false" customWidth="true" hidden="false" outlineLevel="0" max="3853" min="3853" style="2" width="13.29"/>
    <col collapsed="false" customWidth="true" hidden="false" outlineLevel="0" max="3854" min="3854" style="2" width="13.42"/>
    <col collapsed="false" customWidth="true" hidden="false" outlineLevel="0" max="3855" min="3855" style="2" width="2.16"/>
    <col collapsed="false" customWidth="true" hidden="false" outlineLevel="0" max="3856" min="3856" style="2" width="13.86"/>
    <col collapsed="false" customWidth="true" hidden="false" outlineLevel="0" max="3857" min="3857" style="2" width="10.71"/>
    <col collapsed="false" customWidth="true" hidden="false" outlineLevel="0" max="3858" min="3858" style="2" width="12"/>
    <col collapsed="false" customWidth="true" hidden="false" outlineLevel="0" max="3859" min="3859" style="2" width="11.43"/>
    <col collapsed="false" customWidth="true" hidden="false" outlineLevel="0" max="3860" min="3860" style="2" width="16"/>
    <col collapsed="false" customWidth="true" hidden="false" outlineLevel="0" max="3862" min="3861" style="2" width="10.71"/>
    <col collapsed="false" customWidth="true" hidden="false" outlineLevel="0" max="3863" min="3863" style="2" width="15.57"/>
    <col collapsed="false" customWidth="true" hidden="false" outlineLevel="0" max="3864" min="3864" style="2" width="11.43"/>
    <col collapsed="false" customWidth="true" hidden="false" outlineLevel="0" max="3865" min="3865" style="2" width="12"/>
    <col collapsed="false" customWidth="true" hidden="false" outlineLevel="0" max="3866" min="3866" style="2" width="11.43"/>
    <col collapsed="false" customWidth="true" hidden="false" outlineLevel="0" max="3867" min="3867" style="2" width="12"/>
    <col collapsed="false" customWidth="true" hidden="false" outlineLevel="0" max="3868" min="3868" style="2" width="11.43"/>
    <col collapsed="false" customWidth="true" hidden="false" outlineLevel="0" max="3869" min="3869" style="2" width="12.86"/>
    <col collapsed="false" customWidth="true" hidden="false" outlineLevel="0" max="3870" min="3870" style="2" width="10.71"/>
    <col collapsed="false" customWidth="true" hidden="false" outlineLevel="0" max="3871" min="3871" style="2" width="19"/>
    <col collapsed="false" customWidth="true" hidden="false" outlineLevel="0" max="3872" min="3872" style="2" width="13.29"/>
    <col collapsed="false" customWidth="true" hidden="false" outlineLevel="0" max="3873" min="3873" style="2" width="18"/>
    <col collapsed="false" customWidth="true" hidden="false" outlineLevel="0" max="3874" min="3874" style="2" width="42.42"/>
    <col collapsed="false" customWidth="true" hidden="false" outlineLevel="0" max="3875" min="3875" style="2" width="31"/>
    <col collapsed="false" customWidth="true" hidden="false" outlineLevel="0" max="3876" min="3876" style="2" width="35"/>
    <col collapsed="false" customWidth="true" hidden="false" outlineLevel="0" max="3877" min="3877" style="2" width="31"/>
    <col collapsed="false" customWidth="true" hidden="false" outlineLevel="0" max="3878" min="3878" style="2" width="35"/>
    <col collapsed="false" customWidth="true" hidden="false" outlineLevel="0" max="3879" min="3879" style="2" width="31"/>
    <col collapsed="false" customWidth="true" hidden="false" outlineLevel="0" max="3880" min="3880" style="2" width="37.86"/>
    <col collapsed="false" customWidth="true" hidden="false" outlineLevel="0" max="3881" min="3881" style="2" width="11.43"/>
    <col collapsed="false" customWidth="true" hidden="false" outlineLevel="0" max="3882" min="3882" style="2" width="54"/>
    <col collapsed="false" customWidth="true" hidden="false" outlineLevel="0" max="3883" min="3883" style="2" width="43.57"/>
    <col collapsed="false" customWidth="true" hidden="false" outlineLevel="0" max="3884" min="3884" style="2" width="44.71"/>
    <col collapsed="false" customWidth="false" hidden="false" outlineLevel="0" max="4094" min="3885" style="2" width="6.29"/>
    <col collapsed="false" customWidth="true" hidden="false" outlineLevel="0" max="4096" min="4095" style="2" width="2.16"/>
    <col collapsed="false" customWidth="true" hidden="true" outlineLevel="0" max="4097" min="4097" style="2" width="11.57"/>
    <col collapsed="false" customWidth="true" hidden="false" outlineLevel="0" max="4100" min="4098" style="2" width="12.86"/>
    <col collapsed="false" customWidth="true" hidden="false" outlineLevel="0" max="4101" min="4101" style="2" width="12"/>
    <col collapsed="false" customWidth="true" hidden="false" outlineLevel="0" max="4102" min="4102" style="2" width="12.29"/>
    <col collapsed="false" customWidth="true" hidden="false" outlineLevel="0" max="4103" min="4103" style="2" width="13.42"/>
    <col collapsed="false" customWidth="true" hidden="true" outlineLevel="0" max="4104" min="4104" style="2" width="11.57"/>
    <col collapsed="false" customWidth="true" hidden="false" outlineLevel="0" max="4107" min="4105" style="2" width="13"/>
    <col collapsed="false" customWidth="true" hidden="false" outlineLevel="0" max="4108" min="4108" style="2" width="14.86"/>
    <col collapsed="false" customWidth="true" hidden="false" outlineLevel="0" max="4109" min="4109" style="2" width="13.29"/>
    <col collapsed="false" customWidth="true" hidden="false" outlineLevel="0" max="4110" min="4110" style="2" width="13.42"/>
    <col collapsed="false" customWidth="true" hidden="false" outlineLevel="0" max="4111" min="4111" style="2" width="2.16"/>
    <col collapsed="false" customWidth="true" hidden="false" outlineLevel="0" max="4112" min="4112" style="2" width="13.86"/>
    <col collapsed="false" customWidth="true" hidden="false" outlineLevel="0" max="4113" min="4113" style="2" width="10.71"/>
    <col collapsed="false" customWidth="true" hidden="false" outlineLevel="0" max="4114" min="4114" style="2" width="12"/>
    <col collapsed="false" customWidth="true" hidden="false" outlineLevel="0" max="4115" min="4115" style="2" width="11.43"/>
    <col collapsed="false" customWidth="true" hidden="false" outlineLevel="0" max="4116" min="4116" style="2" width="16"/>
    <col collapsed="false" customWidth="true" hidden="false" outlineLevel="0" max="4118" min="4117" style="2" width="10.71"/>
    <col collapsed="false" customWidth="true" hidden="false" outlineLevel="0" max="4119" min="4119" style="2" width="15.57"/>
    <col collapsed="false" customWidth="true" hidden="false" outlineLevel="0" max="4120" min="4120" style="2" width="11.43"/>
    <col collapsed="false" customWidth="true" hidden="false" outlineLevel="0" max="4121" min="4121" style="2" width="12"/>
    <col collapsed="false" customWidth="true" hidden="false" outlineLevel="0" max="4122" min="4122" style="2" width="11.43"/>
    <col collapsed="false" customWidth="true" hidden="false" outlineLevel="0" max="4123" min="4123" style="2" width="12"/>
    <col collapsed="false" customWidth="true" hidden="false" outlineLevel="0" max="4124" min="4124" style="2" width="11.43"/>
    <col collapsed="false" customWidth="true" hidden="false" outlineLevel="0" max="4125" min="4125" style="2" width="12.86"/>
    <col collapsed="false" customWidth="true" hidden="false" outlineLevel="0" max="4126" min="4126" style="2" width="10.71"/>
    <col collapsed="false" customWidth="true" hidden="false" outlineLevel="0" max="4127" min="4127" style="2" width="19"/>
    <col collapsed="false" customWidth="true" hidden="false" outlineLevel="0" max="4128" min="4128" style="2" width="13.29"/>
    <col collapsed="false" customWidth="true" hidden="false" outlineLevel="0" max="4129" min="4129" style="2" width="18"/>
    <col collapsed="false" customWidth="true" hidden="false" outlineLevel="0" max="4130" min="4130" style="2" width="42.42"/>
    <col collapsed="false" customWidth="true" hidden="false" outlineLevel="0" max="4131" min="4131" style="2" width="31"/>
    <col collapsed="false" customWidth="true" hidden="false" outlineLevel="0" max="4132" min="4132" style="2" width="35"/>
    <col collapsed="false" customWidth="true" hidden="false" outlineLevel="0" max="4133" min="4133" style="2" width="31"/>
    <col collapsed="false" customWidth="true" hidden="false" outlineLevel="0" max="4134" min="4134" style="2" width="35"/>
    <col collapsed="false" customWidth="true" hidden="false" outlineLevel="0" max="4135" min="4135" style="2" width="31"/>
    <col collapsed="false" customWidth="true" hidden="false" outlineLevel="0" max="4136" min="4136" style="2" width="37.86"/>
    <col collapsed="false" customWidth="true" hidden="false" outlineLevel="0" max="4137" min="4137" style="2" width="11.43"/>
    <col collapsed="false" customWidth="true" hidden="false" outlineLevel="0" max="4138" min="4138" style="2" width="54"/>
    <col collapsed="false" customWidth="true" hidden="false" outlineLevel="0" max="4139" min="4139" style="2" width="43.57"/>
    <col collapsed="false" customWidth="true" hidden="false" outlineLevel="0" max="4140" min="4140" style="2" width="44.71"/>
    <col collapsed="false" customWidth="false" hidden="false" outlineLevel="0" max="4350" min="4141" style="2" width="6.29"/>
    <col collapsed="false" customWidth="true" hidden="false" outlineLevel="0" max="4352" min="4351" style="2" width="2.16"/>
    <col collapsed="false" customWidth="true" hidden="true" outlineLevel="0" max="4353" min="4353" style="2" width="11.57"/>
    <col collapsed="false" customWidth="true" hidden="false" outlineLevel="0" max="4356" min="4354" style="2" width="12.86"/>
    <col collapsed="false" customWidth="true" hidden="false" outlineLevel="0" max="4357" min="4357" style="2" width="12"/>
    <col collapsed="false" customWidth="true" hidden="false" outlineLevel="0" max="4358" min="4358" style="2" width="12.29"/>
    <col collapsed="false" customWidth="true" hidden="false" outlineLevel="0" max="4359" min="4359" style="2" width="13.42"/>
    <col collapsed="false" customWidth="true" hidden="true" outlineLevel="0" max="4360" min="4360" style="2" width="11.57"/>
    <col collapsed="false" customWidth="true" hidden="false" outlineLevel="0" max="4363" min="4361" style="2" width="13"/>
    <col collapsed="false" customWidth="true" hidden="false" outlineLevel="0" max="4364" min="4364" style="2" width="14.86"/>
    <col collapsed="false" customWidth="true" hidden="false" outlineLevel="0" max="4365" min="4365" style="2" width="13.29"/>
    <col collapsed="false" customWidth="true" hidden="false" outlineLevel="0" max="4366" min="4366" style="2" width="13.42"/>
    <col collapsed="false" customWidth="true" hidden="false" outlineLevel="0" max="4367" min="4367" style="2" width="2.16"/>
    <col collapsed="false" customWidth="true" hidden="false" outlineLevel="0" max="4368" min="4368" style="2" width="13.86"/>
    <col collapsed="false" customWidth="true" hidden="false" outlineLevel="0" max="4369" min="4369" style="2" width="10.71"/>
    <col collapsed="false" customWidth="true" hidden="false" outlineLevel="0" max="4370" min="4370" style="2" width="12"/>
    <col collapsed="false" customWidth="true" hidden="false" outlineLevel="0" max="4371" min="4371" style="2" width="11.43"/>
    <col collapsed="false" customWidth="true" hidden="false" outlineLevel="0" max="4372" min="4372" style="2" width="16"/>
    <col collapsed="false" customWidth="true" hidden="false" outlineLevel="0" max="4374" min="4373" style="2" width="10.71"/>
    <col collapsed="false" customWidth="true" hidden="false" outlineLevel="0" max="4375" min="4375" style="2" width="15.57"/>
    <col collapsed="false" customWidth="true" hidden="false" outlineLevel="0" max="4376" min="4376" style="2" width="11.43"/>
    <col collapsed="false" customWidth="true" hidden="false" outlineLevel="0" max="4377" min="4377" style="2" width="12"/>
    <col collapsed="false" customWidth="true" hidden="false" outlineLevel="0" max="4378" min="4378" style="2" width="11.43"/>
    <col collapsed="false" customWidth="true" hidden="false" outlineLevel="0" max="4379" min="4379" style="2" width="12"/>
    <col collapsed="false" customWidth="true" hidden="false" outlineLevel="0" max="4380" min="4380" style="2" width="11.43"/>
    <col collapsed="false" customWidth="true" hidden="false" outlineLevel="0" max="4381" min="4381" style="2" width="12.86"/>
    <col collapsed="false" customWidth="true" hidden="false" outlineLevel="0" max="4382" min="4382" style="2" width="10.71"/>
    <col collapsed="false" customWidth="true" hidden="false" outlineLevel="0" max="4383" min="4383" style="2" width="19"/>
    <col collapsed="false" customWidth="true" hidden="false" outlineLevel="0" max="4384" min="4384" style="2" width="13.29"/>
    <col collapsed="false" customWidth="true" hidden="false" outlineLevel="0" max="4385" min="4385" style="2" width="18"/>
    <col collapsed="false" customWidth="true" hidden="false" outlineLevel="0" max="4386" min="4386" style="2" width="42.42"/>
    <col collapsed="false" customWidth="true" hidden="false" outlineLevel="0" max="4387" min="4387" style="2" width="31"/>
    <col collapsed="false" customWidth="true" hidden="false" outlineLevel="0" max="4388" min="4388" style="2" width="35"/>
    <col collapsed="false" customWidth="true" hidden="false" outlineLevel="0" max="4389" min="4389" style="2" width="31"/>
    <col collapsed="false" customWidth="true" hidden="false" outlineLevel="0" max="4390" min="4390" style="2" width="35"/>
    <col collapsed="false" customWidth="true" hidden="false" outlineLevel="0" max="4391" min="4391" style="2" width="31"/>
    <col collapsed="false" customWidth="true" hidden="false" outlineLevel="0" max="4392" min="4392" style="2" width="37.86"/>
    <col collapsed="false" customWidth="true" hidden="false" outlineLevel="0" max="4393" min="4393" style="2" width="11.43"/>
    <col collapsed="false" customWidth="true" hidden="false" outlineLevel="0" max="4394" min="4394" style="2" width="54"/>
    <col collapsed="false" customWidth="true" hidden="false" outlineLevel="0" max="4395" min="4395" style="2" width="43.57"/>
    <col collapsed="false" customWidth="true" hidden="false" outlineLevel="0" max="4396" min="4396" style="2" width="44.71"/>
    <col collapsed="false" customWidth="false" hidden="false" outlineLevel="0" max="4606" min="4397" style="2" width="6.29"/>
    <col collapsed="false" customWidth="true" hidden="false" outlineLevel="0" max="4608" min="4607" style="2" width="2.16"/>
    <col collapsed="false" customWidth="true" hidden="true" outlineLevel="0" max="4609" min="4609" style="2" width="11.57"/>
    <col collapsed="false" customWidth="true" hidden="false" outlineLevel="0" max="4612" min="4610" style="2" width="12.86"/>
    <col collapsed="false" customWidth="true" hidden="false" outlineLevel="0" max="4613" min="4613" style="2" width="12"/>
    <col collapsed="false" customWidth="true" hidden="false" outlineLevel="0" max="4614" min="4614" style="2" width="12.29"/>
    <col collapsed="false" customWidth="true" hidden="false" outlineLevel="0" max="4615" min="4615" style="2" width="13.42"/>
    <col collapsed="false" customWidth="true" hidden="true" outlineLevel="0" max="4616" min="4616" style="2" width="11.57"/>
    <col collapsed="false" customWidth="true" hidden="false" outlineLevel="0" max="4619" min="4617" style="2" width="13"/>
    <col collapsed="false" customWidth="true" hidden="false" outlineLevel="0" max="4620" min="4620" style="2" width="14.86"/>
    <col collapsed="false" customWidth="true" hidden="false" outlineLevel="0" max="4621" min="4621" style="2" width="13.29"/>
    <col collapsed="false" customWidth="true" hidden="false" outlineLevel="0" max="4622" min="4622" style="2" width="13.42"/>
    <col collapsed="false" customWidth="true" hidden="false" outlineLevel="0" max="4623" min="4623" style="2" width="2.16"/>
    <col collapsed="false" customWidth="true" hidden="false" outlineLevel="0" max="4624" min="4624" style="2" width="13.86"/>
    <col collapsed="false" customWidth="true" hidden="false" outlineLevel="0" max="4625" min="4625" style="2" width="10.71"/>
    <col collapsed="false" customWidth="true" hidden="false" outlineLevel="0" max="4626" min="4626" style="2" width="12"/>
    <col collapsed="false" customWidth="true" hidden="false" outlineLevel="0" max="4627" min="4627" style="2" width="11.43"/>
    <col collapsed="false" customWidth="true" hidden="false" outlineLevel="0" max="4628" min="4628" style="2" width="16"/>
    <col collapsed="false" customWidth="true" hidden="false" outlineLevel="0" max="4630" min="4629" style="2" width="10.71"/>
    <col collapsed="false" customWidth="true" hidden="false" outlineLevel="0" max="4631" min="4631" style="2" width="15.57"/>
    <col collapsed="false" customWidth="true" hidden="false" outlineLevel="0" max="4632" min="4632" style="2" width="11.43"/>
    <col collapsed="false" customWidth="true" hidden="false" outlineLevel="0" max="4633" min="4633" style="2" width="12"/>
    <col collapsed="false" customWidth="true" hidden="false" outlineLevel="0" max="4634" min="4634" style="2" width="11.43"/>
    <col collapsed="false" customWidth="true" hidden="false" outlineLevel="0" max="4635" min="4635" style="2" width="12"/>
    <col collapsed="false" customWidth="true" hidden="false" outlineLevel="0" max="4636" min="4636" style="2" width="11.43"/>
    <col collapsed="false" customWidth="true" hidden="false" outlineLevel="0" max="4637" min="4637" style="2" width="12.86"/>
    <col collapsed="false" customWidth="true" hidden="false" outlineLevel="0" max="4638" min="4638" style="2" width="10.71"/>
    <col collapsed="false" customWidth="true" hidden="false" outlineLevel="0" max="4639" min="4639" style="2" width="19"/>
    <col collapsed="false" customWidth="true" hidden="false" outlineLevel="0" max="4640" min="4640" style="2" width="13.29"/>
    <col collapsed="false" customWidth="true" hidden="false" outlineLevel="0" max="4641" min="4641" style="2" width="18"/>
    <col collapsed="false" customWidth="true" hidden="false" outlineLevel="0" max="4642" min="4642" style="2" width="42.42"/>
    <col collapsed="false" customWidth="true" hidden="false" outlineLevel="0" max="4643" min="4643" style="2" width="31"/>
    <col collapsed="false" customWidth="true" hidden="false" outlineLevel="0" max="4644" min="4644" style="2" width="35"/>
    <col collapsed="false" customWidth="true" hidden="false" outlineLevel="0" max="4645" min="4645" style="2" width="31"/>
    <col collapsed="false" customWidth="true" hidden="false" outlineLevel="0" max="4646" min="4646" style="2" width="35"/>
    <col collapsed="false" customWidth="true" hidden="false" outlineLevel="0" max="4647" min="4647" style="2" width="31"/>
    <col collapsed="false" customWidth="true" hidden="false" outlineLevel="0" max="4648" min="4648" style="2" width="37.86"/>
    <col collapsed="false" customWidth="true" hidden="false" outlineLevel="0" max="4649" min="4649" style="2" width="11.43"/>
    <col collapsed="false" customWidth="true" hidden="false" outlineLevel="0" max="4650" min="4650" style="2" width="54"/>
    <col collapsed="false" customWidth="true" hidden="false" outlineLevel="0" max="4651" min="4651" style="2" width="43.57"/>
    <col collapsed="false" customWidth="true" hidden="false" outlineLevel="0" max="4652" min="4652" style="2" width="44.71"/>
    <col collapsed="false" customWidth="false" hidden="false" outlineLevel="0" max="4862" min="4653" style="2" width="6.29"/>
    <col collapsed="false" customWidth="true" hidden="false" outlineLevel="0" max="4864" min="4863" style="2" width="2.16"/>
    <col collapsed="false" customWidth="true" hidden="true" outlineLevel="0" max="4865" min="4865" style="2" width="11.57"/>
    <col collapsed="false" customWidth="true" hidden="false" outlineLevel="0" max="4868" min="4866" style="2" width="12.86"/>
    <col collapsed="false" customWidth="true" hidden="false" outlineLevel="0" max="4869" min="4869" style="2" width="12"/>
    <col collapsed="false" customWidth="true" hidden="false" outlineLevel="0" max="4870" min="4870" style="2" width="12.29"/>
    <col collapsed="false" customWidth="true" hidden="false" outlineLevel="0" max="4871" min="4871" style="2" width="13.42"/>
    <col collapsed="false" customWidth="true" hidden="true" outlineLevel="0" max="4872" min="4872" style="2" width="11.57"/>
    <col collapsed="false" customWidth="true" hidden="false" outlineLevel="0" max="4875" min="4873" style="2" width="13"/>
    <col collapsed="false" customWidth="true" hidden="false" outlineLevel="0" max="4876" min="4876" style="2" width="14.86"/>
    <col collapsed="false" customWidth="true" hidden="false" outlineLevel="0" max="4877" min="4877" style="2" width="13.29"/>
    <col collapsed="false" customWidth="true" hidden="false" outlineLevel="0" max="4878" min="4878" style="2" width="13.42"/>
    <col collapsed="false" customWidth="true" hidden="false" outlineLevel="0" max="4879" min="4879" style="2" width="2.16"/>
    <col collapsed="false" customWidth="true" hidden="false" outlineLevel="0" max="4880" min="4880" style="2" width="13.86"/>
    <col collapsed="false" customWidth="true" hidden="false" outlineLevel="0" max="4881" min="4881" style="2" width="10.71"/>
    <col collapsed="false" customWidth="true" hidden="false" outlineLevel="0" max="4882" min="4882" style="2" width="12"/>
    <col collapsed="false" customWidth="true" hidden="false" outlineLevel="0" max="4883" min="4883" style="2" width="11.43"/>
    <col collapsed="false" customWidth="true" hidden="false" outlineLevel="0" max="4884" min="4884" style="2" width="16"/>
    <col collapsed="false" customWidth="true" hidden="false" outlineLevel="0" max="4886" min="4885" style="2" width="10.71"/>
    <col collapsed="false" customWidth="true" hidden="false" outlineLevel="0" max="4887" min="4887" style="2" width="15.57"/>
    <col collapsed="false" customWidth="true" hidden="false" outlineLevel="0" max="4888" min="4888" style="2" width="11.43"/>
    <col collapsed="false" customWidth="true" hidden="false" outlineLevel="0" max="4889" min="4889" style="2" width="12"/>
    <col collapsed="false" customWidth="true" hidden="false" outlineLevel="0" max="4890" min="4890" style="2" width="11.43"/>
    <col collapsed="false" customWidth="true" hidden="false" outlineLevel="0" max="4891" min="4891" style="2" width="12"/>
    <col collapsed="false" customWidth="true" hidden="false" outlineLevel="0" max="4892" min="4892" style="2" width="11.43"/>
    <col collapsed="false" customWidth="true" hidden="false" outlineLevel="0" max="4893" min="4893" style="2" width="12.86"/>
    <col collapsed="false" customWidth="true" hidden="false" outlineLevel="0" max="4894" min="4894" style="2" width="10.71"/>
    <col collapsed="false" customWidth="true" hidden="false" outlineLevel="0" max="4895" min="4895" style="2" width="19"/>
    <col collapsed="false" customWidth="true" hidden="false" outlineLevel="0" max="4896" min="4896" style="2" width="13.29"/>
    <col collapsed="false" customWidth="true" hidden="false" outlineLevel="0" max="4897" min="4897" style="2" width="18"/>
    <col collapsed="false" customWidth="true" hidden="false" outlineLevel="0" max="4898" min="4898" style="2" width="42.42"/>
    <col collapsed="false" customWidth="true" hidden="false" outlineLevel="0" max="4899" min="4899" style="2" width="31"/>
    <col collapsed="false" customWidth="true" hidden="false" outlineLevel="0" max="4900" min="4900" style="2" width="35"/>
    <col collapsed="false" customWidth="true" hidden="false" outlineLevel="0" max="4901" min="4901" style="2" width="31"/>
    <col collapsed="false" customWidth="true" hidden="false" outlineLevel="0" max="4902" min="4902" style="2" width="35"/>
    <col collapsed="false" customWidth="true" hidden="false" outlineLevel="0" max="4903" min="4903" style="2" width="31"/>
    <col collapsed="false" customWidth="true" hidden="false" outlineLevel="0" max="4904" min="4904" style="2" width="37.86"/>
    <col collapsed="false" customWidth="true" hidden="false" outlineLevel="0" max="4905" min="4905" style="2" width="11.43"/>
    <col collapsed="false" customWidth="true" hidden="false" outlineLevel="0" max="4906" min="4906" style="2" width="54"/>
    <col collapsed="false" customWidth="true" hidden="false" outlineLevel="0" max="4907" min="4907" style="2" width="43.57"/>
    <col collapsed="false" customWidth="true" hidden="false" outlineLevel="0" max="4908" min="4908" style="2" width="44.71"/>
    <col collapsed="false" customWidth="false" hidden="false" outlineLevel="0" max="5118" min="4909" style="2" width="6.29"/>
    <col collapsed="false" customWidth="true" hidden="false" outlineLevel="0" max="5120" min="5119" style="2" width="2.16"/>
    <col collapsed="false" customWidth="true" hidden="true" outlineLevel="0" max="5121" min="5121" style="2" width="11.57"/>
    <col collapsed="false" customWidth="true" hidden="false" outlineLevel="0" max="5124" min="5122" style="2" width="12.86"/>
    <col collapsed="false" customWidth="true" hidden="false" outlineLevel="0" max="5125" min="5125" style="2" width="12"/>
    <col collapsed="false" customWidth="true" hidden="false" outlineLevel="0" max="5126" min="5126" style="2" width="12.29"/>
    <col collapsed="false" customWidth="true" hidden="false" outlineLevel="0" max="5127" min="5127" style="2" width="13.42"/>
    <col collapsed="false" customWidth="true" hidden="true" outlineLevel="0" max="5128" min="5128" style="2" width="11.57"/>
    <col collapsed="false" customWidth="true" hidden="false" outlineLevel="0" max="5131" min="5129" style="2" width="13"/>
    <col collapsed="false" customWidth="true" hidden="false" outlineLevel="0" max="5132" min="5132" style="2" width="14.86"/>
    <col collapsed="false" customWidth="true" hidden="false" outlineLevel="0" max="5133" min="5133" style="2" width="13.29"/>
    <col collapsed="false" customWidth="true" hidden="false" outlineLevel="0" max="5134" min="5134" style="2" width="13.42"/>
    <col collapsed="false" customWidth="true" hidden="false" outlineLevel="0" max="5135" min="5135" style="2" width="2.16"/>
    <col collapsed="false" customWidth="true" hidden="false" outlineLevel="0" max="5136" min="5136" style="2" width="13.86"/>
    <col collapsed="false" customWidth="true" hidden="false" outlineLevel="0" max="5137" min="5137" style="2" width="10.71"/>
    <col collapsed="false" customWidth="true" hidden="false" outlineLevel="0" max="5138" min="5138" style="2" width="12"/>
    <col collapsed="false" customWidth="true" hidden="false" outlineLevel="0" max="5139" min="5139" style="2" width="11.43"/>
    <col collapsed="false" customWidth="true" hidden="false" outlineLevel="0" max="5140" min="5140" style="2" width="16"/>
    <col collapsed="false" customWidth="true" hidden="false" outlineLevel="0" max="5142" min="5141" style="2" width="10.71"/>
    <col collapsed="false" customWidth="true" hidden="false" outlineLevel="0" max="5143" min="5143" style="2" width="15.57"/>
    <col collapsed="false" customWidth="true" hidden="false" outlineLevel="0" max="5144" min="5144" style="2" width="11.43"/>
    <col collapsed="false" customWidth="true" hidden="false" outlineLevel="0" max="5145" min="5145" style="2" width="12"/>
    <col collapsed="false" customWidth="true" hidden="false" outlineLevel="0" max="5146" min="5146" style="2" width="11.43"/>
    <col collapsed="false" customWidth="true" hidden="false" outlineLevel="0" max="5147" min="5147" style="2" width="12"/>
    <col collapsed="false" customWidth="true" hidden="false" outlineLevel="0" max="5148" min="5148" style="2" width="11.43"/>
    <col collapsed="false" customWidth="true" hidden="false" outlineLevel="0" max="5149" min="5149" style="2" width="12.86"/>
    <col collapsed="false" customWidth="true" hidden="false" outlineLevel="0" max="5150" min="5150" style="2" width="10.71"/>
    <col collapsed="false" customWidth="true" hidden="false" outlineLevel="0" max="5151" min="5151" style="2" width="19"/>
    <col collapsed="false" customWidth="true" hidden="false" outlineLevel="0" max="5152" min="5152" style="2" width="13.29"/>
    <col collapsed="false" customWidth="true" hidden="false" outlineLevel="0" max="5153" min="5153" style="2" width="18"/>
    <col collapsed="false" customWidth="true" hidden="false" outlineLevel="0" max="5154" min="5154" style="2" width="42.42"/>
    <col collapsed="false" customWidth="true" hidden="false" outlineLevel="0" max="5155" min="5155" style="2" width="31"/>
    <col collapsed="false" customWidth="true" hidden="false" outlineLevel="0" max="5156" min="5156" style="2" width="35"/>
    <col collapsed="false" customWidth="true" hidden="false" outlineLevel="0" max="5157" min="5157" style="2" width="31"/>
    <col collapsed="false" customWidth="true" hidden="false" outlineLevel="0" max="5158" min="5158" style="2" width="35"/>
    <col collapsed="false" customWidth="true" hidden="false" outlineLevel="0" max="5159" min="5159" style="2" width="31"/>
    <col collapsed="false" customWidth="true" hidden="false" outlineLevel="0" max="5160" min="5160" style="2" width="37.86"/>
    <col collapsed="false" customWidth="true" hidden="false" outlineLevel="0" max="5161" min="5161" style="2" width="11.43"/>
    <col collapsed="false" customWidth="true" hidden="false" outlineLevel="0" max="5162" min="5162" style="2" width="54"/>
    <col collapsed="false" customWidth="true" hidden="false" outlineLevel="0" max="5163" min="5163" style="2" width="43.57"/>
    <col collapsed="false" customWidth="true" hidden="false" outlineLevel="0" max="5164" min="5164" style="2" width="44.71"/>
    <col collapsed="false" customWidth="false" hidden="false" outlineLevel="0" max="5374" min="5165" style="2" width="6.29"/>
    <col collapsed="false" customWidth="true" hidden="false" outlineLevel="0" max="5376" min="5375" style="2" width="2.16"/>
    <col collapsed="false" customWidth="true" hidden="true" outlineLevel="0" max="5377" min="5377" style="2" width="11.57"/>
    <col collapsed="false" customWidth="true" hidden="false" outlineLevel="0" max="5380" min="5378" style="2" width="12.86"/>
    <col collapsed="false" customWidth="true" hidden="false" outlineLevel="0" max="5381" min="5381" style="2" width="12"/>
    <col collapsed="false" customWidth="true" hidden="false" outlineLevel="0" max="5382" min="5382" style="2" width="12.29"/>
    <col collapsed="false" customWidth="true" hidden="false" outlineLevel="0" max="5383" min="5383" style="2" width="13.42"/>
    <col collapsed="false" customWidth="true" hidden="true" outlineLevel="0" max="5384" min="5384" style="2" width="11.57"/>
    <col collapsed="false" customWidth="true" hidden="false" outlineLevel="0" max="5387" min="5385" style="2" width="13"/>
    <col collapsed="false" customWidth="true" hidden="false" outlineLevel="0" max="5388" min="5388" style="2" width="14.86"/>
    <col collapsed="false" customWidth="true" hidden="false" outlineLevel="0" max="5389" min="5389" style="2" width="13.29"/>
    <col collapsed="false" customWidth="true" hidden="false" outlineLevel="0" max="5390" min="5390" style="2" width="13.42"/>
    <col collapsed="false" customWidth="true" hidden="false" outlineLevel="0" max="5391" min="5391" style="2" width="2.16"/>
    <col collapsed="false" customWidth="true" hidden="false" outlineLevel="0" max="5392" min="5392" style="2" width="13.86"/>
    <col collapsed="false" customWidth="true" hidden="false" outlineLevel="0" max="5393" min="5393" style="2" width="10.71"/>
    <col collapsed="false" customWidth="true" hidden="false" outlineLevel="0" max="5394" min="5394" style="2" width="12"/>
    <col collapsed="false" customWidth="true" hidden="false" outlineLevel="0" max="5395" min="5395" style="2" width="11.43"/>
    <col collapsed="false" customWidth="true" hidden="false" outlineLevel="0" max="5396" min="5396" style="2" width="16"/>
    <col collapsed="false" customWidth="true" hidden="false" outlineLevel="0" max="5398" min="5397" style="2" width="10.71"/>
    <col collapsed="false" customWidth="true" hidden="false" outlineLevel="0" max="5399" min="5399" style="2" width="15.57"/>
    <col collapsed="false" customWidth="true" hidden="false" outlineLevel="0" max="5400" min="5400" style="2" width="11.43"/>
    <col collapsed="false" customWidth="true" hidden="false" outlineLevel="0" max="5401" min="5401" style="2" width="12"/>
    <col collapsed="false" customWidth="true" hidden="false" outlineLevel="0" max="5402" min="5402" style="2" width="11.43"/>
    <col collapsed="false" customWidth="true" hidden="false" outlineLevel="0" max="5403" min="5403" style="2" width="12"/>
    <col collapsed="false" customWidth="true" hidden="false" outlineLevel="0" max="5404" min="5404" style="2" width="11.43"/>
    <col collapsed="false" customWidth="true" hidden="false" outlineLevel="0" max="5405" min="5405" style="2" width="12.86"/>
    <col collapsed="false" customWidth="true" hidden="false" outlineLevel="0" max="5406" min="5406" style="2" width="10.71"/>
    <col collapsed="false" customWidth="true" hidden="false" outlineLevel="0" max="5407" min="5407" style="2" width="19"/>
    <col collapsed="false" customWidth="true" hidden="false" outlineLevel="0" max="5408" min="5408" style="2" width="13.29"/>
    <col collapsed="false" customWidth="true" hidden="false" outlineLevel="0" max="5409" min="5409" style="2" width="18"/>
    <col collapsed="false" customWidth="true" hidden="false" outlineLevel="0" max="5410" min="5410" style="2" width="42.42"/>
    <col collapsed="false" customWidth="true" hidden="false" outlineLevel="0" max="5411" min="5411" style="2" width="31"/>
    <col collapsed="false" customWidth="true" hidden="false" outlineLevel="0" max="5412" min="5412" style="2" width="35"/>
    <col collapsed="false" customWidth="true" hidden="false" outlineLevel="0" max="5413" min="5413" style="2" width="31"/>
    <col collapsed="false" customWidth="true" hidden="false" outlineLevel="0" max="5414" min="5414" style="2" width="35"/>
    <col collapsed="false" customWidth="true" hidden="false" outlineLevel="0" max="5415" min="5415" style="2" width="31"/>
    <col collapsed="false" customWidth="true" hidden="false" outlineLevel="0" max="5416" min="5416" style="2" width="37.86"/>
    <col collapsed="false" customWidth="true" hidden="false" outlineLevel="0" max="5417" min="5417" style="2" width="11.43"/>
    <col collapsed="false" customWidth="true" hidden="false" outlineLevel="0" max="5418" min="5418" style="2" width="54"/>
    <col collapsed="false" customWidth="true" hidden="false" outlineLevel="0" max="5419" min="5419" style="2" width="43.57"/>
    <col collapsed="false" customWidth="true" hidden="false" outlineLevel="0" max="5420" min="5420" style="2" width="44.71"/>
    <col collapsed="false" customWidth="false" hidden="false" outlineLevel="0" max="5630" min="5421" style="2" width="6.29"/>
    <col collapsed="false" customWidth="true" hidden="false" outlineLevel="0" max="5632" min="5631" style="2" width="2.16"/>
    <col collapsed="false" customWidth="true" hidden="true" outlineLevel="0" max="5633" min="5633" style="2" width="11.57"/>
    <col collapsed="false" customWidth="true" hidden="false" outlineLevel="0" max="5636" min="5634" style="2" width="12.86"/>
    <col collapsed="false" customWidth="true" hidden="false" outlineLevel="0" max="5637" min="5637" style="2" width="12"/>
    <col collapsed="false" customWidth="true" hidden="false" outlineLevel="0" max="5638" min="5638" style="2" width="12.29"/>
    <col collapsed="false" customWidth="true" hidden="false" outlineLevel="0" max="5639" min="5639" style="2" width="13.42"/>
    <col collapsed="false" customWidth="true" hidden="true" outlineLevel="0" max="5640" min="5640" style="2" width="11.57"/>
    <col collapsed="false" customWidth="true" hidden="false" outlineLevel="0" max="5643" min="5641" style="2" width="13"/>
    <col collapsed="false" customWidth="true" hidden="false" outlineLevel="0" max="5644" min="5644" style="2" width="14.86"/>
    <col collapsed="false" customWidth="true" hidden="false" outlineLevel="0" max="5645" min="5645" style="2" width="13.29"/>
    <col collapsed="false" customWidth="true" hidden="false" outlineLevel="0" max="5646" min="5646" style="2" width="13.42"/>
    <col collapsed="false" customWidth="true" hidden="false" outlineLevel="0" max="5647" min="5647" style="2" width="2.16"/>
    <col collapsed="false" customWidth="true" hidden="false" outlineLevel="0" max="5648" min="5648" style="2" width="13.86"/>
    <col collapsed="false" customWidth="true" hidden="false" outlineLevel="0" max="5649" min="5649" style="2" width="10.71"/>
    <col collapsed="false" customWidth="true" hidden="false" outlineLevel="0" max="5650" min="5650" style="2" width="12"/>
    <col collapsed="false" customWidth="true" hidden="false" outlineLevel="0" max="5651" min="5651" style="2" width="11.43"/>
    <col collapsed="false" customWidth="true" hidden="false" outlineLevel="0" max="5652" min="5652" style="2" width="16"/>
    <col collapsed="false" customWidth="true" hidden="false" outlineLevel="0" max="5654" min="5653" style="2" width="10.71"/>
    <col collapsed="false" customWidth="true" hidden="false" outlineLevel="0" max="5655" min="5655" style="2" width="15.57"/>
    <col collapsed="false" customWidth="true" hidden="false" outlineLevel="0" max="5656" min="5656" style="2" width="11.43"/>
    <col collapsed="false" customWidth="true" hidden="false" outlineLevel="0" max="5657" min="5657" style="2" width="12"/>
    <col collapsed="false" customWidth="true" hidden="false" outlineLevel="0" max="5658" min="5658" style="2" width="11.43"/>
    <col collapsed="false" customWidth="true" hidden="false" outlineLevel="0" max="5659" min="5659" style="2" width="12"/>
    <col collapsed="false" customWidth="true" hidden="false" outlineLevel="0" max="5660" min="5660" style="2" width="11.43"/>
    <col collapsed="false" customWidth="true" hidden="false" outlineLevel="0" max="5661" min="5661" style="2" width="12.86"/>
    <col collapsed="false" customWidth="true" hidden="false" outlineLevel="0" max="5662" min="5662" style="2" width="10.71"/>
    <col collapsed="false" customWidth="true" hidden="false" outlineLevel="0" max="5663" min="5663" style="2" width="19"/>
    <col collapsed="false" customWidth="true" hidden="false" outlineLevel="0" max="5664" min="5664" style="2" width="13.29"/>
    <col collapsed="false" customWidth="true" hidden="false" outlineLevel="0" max="5665" min="5665" style="2" width="18"/>
    <col collapsed="false" customWidth="true" hidden="false" outlineLevel="0" max="5666" min="5666" style="2" width="42.42"/>
    <col collapsed="false" customWidth="true" hidden="false" outlineLevel="0" max="5667" min="5667" style="2" width="31"/>
    <col collapsed="false" customWidth="true" hidden="false" outlineLevel="0" max="5668" min="5668" style="2" width="35"/>
    <col collapsed="false" customWidth="true" hidden="false" outlineLevel="0" max="5669" min="5669" style="2" width="31"/>
    <col collapsed="false" customWidth="true" hidden="false" outlineLevel="0" max="5670" min="5670" style="2" width="35"/>
    <col collapsed="false" customWidth="true" hidden="false" outlineLevel="0" max="5671" min="5671" style="2" width="31"/>
    <col collapsed="false" customWidth="true" hidden="false" outlineLevel="0" max="5672" min="5672" style="2" width="37.86"/>
    <col collapsed="false" customWidth="true" hidden="false" outlineLevel="0" max="5673" min="5673" style="2" width="11.43"/>
    <col collapsed="false" customWidth="true" hidden="false" outlineLevel="0" max="5674" min="5674" style="2" width="54"/>
    <col collapsed="false" customWidth="true" hidden="false" outlineLevel="0" max="5675" min="5675" style="2" width="43.57"/>
    <col collapsed="false" customWidth="true" hidden="false" outlineLevel="0" max="5676" min="5676" style="2" width="44.71"/>
    <col collapsed="false" customWidth="false" hidden="false" outlineLevel="0" max="5886" min="5677" style="2" width="6.29"/>
    <col collapsed="false" customWidth="true" hidden="false" outlineLevel="0" max="5888" min="5887" style="2" width="2.16"/>
    <col collapsed="false" customWidth="true" hidden="true" outlineLevel="0" max="5889" min="5889" style="2" width="11.57"/>
    <col collapsed="false" customWidth="true" hidden="false" outlineLevel="0" max="5892" min="5890" style="2" width="12.86"/>
    <col collapsed="false" customWidth="true" hidden="false" outlineLevel="0" max="5893" min="5893" style="2" width="12"/>
    <col collapsed="false" customWidth="true" hidden="false" outlineLevel="0" max="5894" min="5894" style="2" width="12.29"/>
    <col collapsed="false" customWidth="true" hidden="false" outlineLevel="0" max="5895" min="5895" style="2" width="13.42"/>
    <col collapsed="false" customWidth="true" hidden="true" outlineLevel="0" max="5896" min="5896" style="2" width="11.57"/>
    <col collapsed="false" customWidth="true" hidden="false" outlineLevel="0" max="5899" min="5897" style="2" width="13"/>
    <col collapsed="false" customWidth="true" hidden="false" outlineLevel="0" max="5900" min="5900" style="2" width="14.86"/>
    <col collapsed="false" customWidth="true" hidden="false" outlineLevel="0" max="5901" min="5901" style="2" width="13.29"/>
    <col collapsed="false" customWidth="true" hidden="false" outlineLevel="0" max="5902" min="5902" style="2" width="13.42"/>
    <col collapsed="false" customWidth="true" hidden="false" outlineLevel="0" max="5903" min="5903" style="2" width="2.16"/>
    <col collapsed="false" customWidth="true" hidden="false" outlineLevel="0" max="5904" min="5904" style="2" width="13.86"/>
    <col collapsed="false" customWidth="true" hidden="false" outlineLevel="0" max="5905" min="5905" style="2" width="10.71"/>
    <col collapsed="false" customWidth="true" hidden="false" outlineLevel="0" max="5906" min="5906" style="2" width="12"/>
    <col collapsed="false" customWidth="true" hidden="false" outlineLevel="0" max="5907" min="5907" style="2" width="11.43"/>
    <col collapsed="false" customWidth="true" hidden="false" outlineLevel="0" max="5908" min="5908" style="2" width="16"/>
    <col collapsed="false" customWidth="true" hidden="false" outlineLevel="0" max="5910" min="5909" style="2" width="10.71"/>
    <col collapsed="false" customWidth="true" hidden="false" outlineLevel="0" max="5911" min="5911" style="2" width="15.57"/>
    <col collapsed="false" customWidth="true" hidden="false" outlineLevel="0" max="5912" min="5912" style="2" width="11.43"/>
    <col collapsed="false" customWidth="true" hidden="false" outlineLevel="0" max="5913" min="5913" style="2" width="12"/>
    <col collapsed="false" customWidth="true" hidden="false" outlineLevel="0" max="5914" min="5914" style="2" width="11.43"/>
    <col collapsed="false" customWidth="true" hidden="false" outlineLevel="0" max="5915" min="5915" style="2" width="12"/>
    <col collapsed="false" customWidth="true" hidden="false" outlineLevel="0" max="5916" min="5916" style="2" width="11.43"/>
    <col collapsed="false" customWidth="true" hidden="false" outlineLevel="0" max="5917" min="5917" style="2" width="12.86"/>
    <col collapsed="false" customWidth="true" hidden="false" outlineLevel="0" max="5918" min="5918" style="2" width="10.71"/>
    <col collapsed="false" customWidth="true" hidden="false" outlineLevel="0" max="5919" min="5919" style="2" width="19"/>
    <col collapsed="false" customWidth="true" hidden="false" outlineLevel="0" max="5920" min="5920" style="2" width="13.29"/>
    <col collapsed="false" customWidth="true" hidden="false" outlineLevel="0" max="5921" min="5921" style="2" width="18"/>
    <col collapsed="false" customWidth="true" hidden="false" outlineLevel="0" max="5922" min="5922" style="2" width="42.42"/>
    <col collapsed="false" customWidth="true" hidden="false" outlineLevel="0" max="5923" min="5923" style="2" width="31"/>
    <col collapsed="false" customWidth="true" hidden="false" outlineLevel="0" max="5924" min="5924" style="2" width="35"/>
    <col collapsed="false" customWidth="true" hidden="false" outlineLevel="0" max="5925" min="5925" style="2" width="31"/>
    <col collapsed="false" customWidth="true" hidden="false" outlineLevel="0" max="5926" min="5926" style="2" width="35"/>
    <col collapsed="false" customWidth="true" hidden="false" outlineLevel="0" max="5927" min="5927" style="2" width="31"/>
    <col collapsed="false" customWidth="true" hidden="false" outlineLevel="0" max="5928" min="5928" style="2" width="37.86"/>
    <col collapsed="false" customWidth="true" hidden="false" outlineLevel="0" max="5929" min="5929" style="2" width="11.43"/>
    <col collapsed="false" customWidth="true" hidden="false" outlineLevel="0" max="5930" min="5930" style="2" width="54"/>
    <col collapsed="false" customWidth="true" hidden="false" outlineLevel="0" max="5931" min="5931" style="2" width="43.57"/>
    <col collapsed="false" customWidth="true" hidden="false" outlineLevel="0" max="5932" min="5932" style="2" width="44.71"/>
    <col collapsed="false" customWidth="false" hidden="false" outlineLevel="0" max="6142" min="5933" style="2" width="6.29"/>
    <col collapsed="false" customWidth="true" hidden="false" outlineLevel="0" max="6144" min="6143" style="2" width="2.16"/>
    <col collapsed="false" customWidth="true" hidden="true" outlineLevel="0" max="6145" min="6145" style="2" width="11.57"/>
    <col collapsed="false" customWidth="true" hidden="false" outlineLevel="0" max="6148" min="6146" style="2" width="12.86"/>
    <col collapsed="false" customWidth="true" hidden="false" outlineLevel="0" max="6149" min="6149" style="2" width="12"/>
    <col collapsed="false" customWidth="true" hidden="false" outlineLevel="0" max="6150" min="6150" style="2" width="12.29"/>
    <col collapsed="false" customWidth="true" hidden="false" outlineLevel="0" max="6151" min="6151" style="2" width="13.42"/>
    <col collapsed="false" customWidth="true" hidden="true" outlineLevel="0" max="6152" min="6152" style="2" width="11.57"/>
    <col collapsed="false" customWidth="true" hidden="false" outlineLevel="0" max="6155" min="6153" style="2" width="13"/>
    <col collapsed="false" customWidth="true" hidden="false" outlineLevel="0" max="6156" min="6156" style="2" width="14.86"/>
    <col collapsed="false" customWidth="true" hidden="false" outlineLevel="0" max="6157" min="6157" style="2" width="13.29"/>
    <col collapsed="false" customWidth="true" hidden="false" outlineLevel="0" max="6158" min="6158" style="2" width="13.42"/>
    <col collapsed="false" customWidth="true" hidden="false" outlineLevel="0" max="6159" min="6159" style="2" width="2.16"/>
    <col collapsed="false" customWidth="true" hidden="false" outlineLevel="0" max="6160" min="6160" style="2" width="13.86"/>
    <col collapsed="false" customWidth="true" hidden="false" outlineLevel="0" max="6161" min="6161" style="2" width="10.71"/>
    <col collapsed="false" customWidth="true" hidden="false" outlineLevel="0" max="6162" min="6162" style="2" width="12"/>
    <col collapsed="false" customWidth="true" hidden="false" outlineLevel="0" max="6163" min="6163" style="2" width="11.43"/>
    <col collapsed="false" customWidth="true" hidden="false" outlineLevel="0" max="6164" min="6164" style="2" width="16"/>
    <col collapsed="false" customWidth="true" hidden="false" outlineLevel="0" max="6166" min="6165" style="2" width="10.71"/>
    <col collapsed="false" customWidth="true" hidden="false" outlineLevel="0" max="6167" min="6167" style="2" width="15.57"/>
    <col collapsed="false" customWidth="true" hidden="false" outlineLevel="0" max="6168" min="6168" style="2" width="11.43"/>
    <col collapsed="false" customWidth="true" hidden="false" outlineLevel="0" max="6169" min="6169" style="2" width="12"/>
    <col collapsed="false" customWidth="true" hidden="false" outlineLevel="0" max="6170" min="6170" style="2" width="11.43"/>
    <col collapsed="false" customWidth="true" hidden="false" outlineLevel="0" max="6171" min="6171" style="2" width="12"/>
    <col collapsed="false" customWidth="true" hidden="false" outlineLevel="0" max="6172" min="6172" style="2" width="11.43"/>
    <col collapsed="false" customWidth="true" hidden="false" outlineLevel="0" max="6173" min="6173" style="2" width="12.86"/>
    <col collapsed="false" customWidth="true" hidden="false" outlineLevel="0" max="6174" min="6174" style="2" width="10.71"/>
    <col collapsed="false" customWidth="true" hidden="false" outlineLevel="0" max="6175" min="6175" style="2" width="19"/>
    <col collapsed="false" customWidth="true" hidden="false" outlineLevel="0" max="6176" min="6176" style="2" width="13.29"/>
    <col collapsed="false" customWidth="true" hidden="false" outlineLevel="0" max="6177" min="6177" style="2" width="18"/>
    <col collapsed="false" customWidth="true" hidden="false" outlineLevel="0" max="6178" min="6178" style="2" width="42.42"/>
    <col collapsed="false" customWidth="true" hidden="false" outlineLevel="0" max="6179" min="6179" style="2" width="31"/>
    <col collapsed="false" customWidth="true" hidden="false" outlineLevel="0" max="6180" min="6180" style="2" width="35"/>
    <col collapsed="false" customWidth="true" hidden="false" outlineLevel="0" max="6181" min="6181" style="2" width="31"/>
    <col collapsed="false" customWidth="true" hidden="false" outlineLevel="0" max="6182" min="6182" style="2" width="35"/>
    <col collapsed="false" customWidth="true" hidden="false" outlineLevel="0" max="6183" min="6183" style="2" width="31"/>
    <col collapsed="false" customWidth="true" hidden="false" outlineLevel="0" max="6184" min="6184" style="2" width="37.86"/>
    <col collapsed="false" customWidth="true" hidden="false" outlineLevel="0" max="6185" min="6185" style="2" width="11.43"/>
    <col collapsed="false" customWidth="true" hidden="false" outlineLevel="0" max="6186" min="6186" style="2" width="54"/>
    <col collapsed="false" customWidth="true" hidden="false" outlineLevel="0" max="6187" min="6187" style="2" width="43.57"/>
    <col collapsed="false" customWidth="true" hidden="false" outlineLevel="0" max="6188" min="6188" style="2" width="44.71"/>
    <col collapsed="false" customWidth="false" hidden="false" outlineLevel="0" max="6398" min="6189" style="2" width="6.29"/>
    <col collapsed="false" customWidth="true" hidden="false" outlineLevel="0" max="6400" min="6399" style="2" width="2.16"/>
    <col collapsed="false" customWidth="true" hidden="true" outlineLevel="0" max="6401" min="6401" style="2" width="11.57"/>
    <col collapsed="false" customWidth="true" hidden="false" outlineLevel="0" max="6404" min="6402" style="2" width="12.86"/>
    <col collapsed="false" customWidth="true" hidden="false" outlineLevel="0" max="6405" min="6405" style="2" width="12"/>
    <col collapsed="false" customWidth="true" hidden="false" outlineLevel="0" max="6406" min="6406" style="2" width="12.29"/>
    <col collapsed="false" customWidth="true" hidden="false" outlineLevel="0" max="6407" min="6407" style="2" width="13.42"/>
    <col collapsed="false" customWidth="true" hidden="true" outlineLevel="0" max="6408" min="6408" style="2" width="11.57"/>
    <col collapsed="false" customWidth="true" hidden="false" outlineLevel="0" max="6411" min="6409" style="2" width="13"/>
    <col collapsed="false" customWidth="true" hidden="false" outlineLevel="0" max="6412" min="6412" style="2" width="14.86"/>
    <col collapsed="false" customWidth="true" hidden="false" outlineLevel="0" max="6413" min="6413" style="2" width="13.29"/>
    <col collapsed="false" customWidth="true" hidden="false" outlineLevel="0" max="6414" min="6414" style="2" width="13.42"/>
    <col collapsed="false" customWidth="true" hidden="false" outlineLevel="0" max="6415" min="6415" style="2" width="2.16"/>
    <col collapsed="false" customWidth="true" hidden="false" outlineLevel="0" max="6416" min="6416" style="2" width="13.86"/>
    <col collapsed="false" customWidth="true" hidden="false" outlineLevel="0" max="6417" min="6417" style="2" width="10.71"/>
    <col collapsed="false" customWidth="true" hidden="false" outlineLevel="0" max="6418" min="6418" style="2" width="12"/>
    <col collapsed="false" customWidth="true" hidden="false" outlineLevel="0" max="6419" min="6419" style="2" width="11.43"/>
    <col collapsed="false" customWidth="true" hidden="false" outlineLevel="0" max="6420" min="6420" style="2" width="16"/>
    <col collapsed="false" customWidth="true" hidden="false" outlineLevel="0" max="6422" min="6421" style="2" width="10.71"/>
    <col collapsed="false" customWidth="true" hidden="false" outlineLevel="0" max="6423" min="6423" style="2" width="15.57"/>
    <col collapsed="false" customWidth="true" hidden="false" outlineLevel="0" max="6424" min="6424" style="2" width="11.43"/>
    <col collapsed="false" customWidth="true" hidden="false" outlineLevel="0" max="6425" min="6425" style="2" width="12"/>
    <col collapsed="false" customWidth="true" hidden="false" outlineLevel="0" max="6426" min="6426" style="2" width="11.43"/>
    <col collapsed="false" customWidth="true" hidden="false" outlineLevel="0" max="6427" min="6427" style="2" width="12"/>
    <col collapsed="false" customWidth="true" hidden="false" outlineLevel="0" max="6428" min="6428" style="2" width="11.43"/>
    <col collapsed="false" customWidth="true" hidden="false" outlineLevel="0" max="6429" min="6429" style="2" width="12.86"/>
    <col collapsed="false" customWidth="true" hidden="false" outlineLevel="0" max="6430" min="6430" style="2" width="10.71"/>
    <col collapsed="false" customWidth="true" hidden="false" outlineLevel="0" max="6431" min="6431" style="2" width="19"/>
    <col collapsed="false" customWidth="true" hidden="false" outlineLevel="0" max="6432" min="6432" style="2" width="13.29"/>
    <col collapsed="false" customWidth="true" hidden="false" outlineLevel="0" max="6433" min="6433" style="2" width="18"/>
    <col collapsed="false" customWidth="true" hidden="false" outlineLevel="0" max="6434" min="6434" style="2" width="42.42"/>
    <col collapsed="false" customWidth="true" hidden="false" outlineLevel="0" max="6435" min="6435" style="2" width="31"/>
    <col collapsed="false" customWidth="true" hidden="false" outlineLevel="0" max="6436" min="6436" style="2" width="35"/>
    <col collapsed="false" customWidth="true" hidden="false" outlineLevel="0" max="6437" min="6437" style="2" width="31"/>
    <col collapsed="false" customWidth="true" hidden="false" outlineLevel="0" max="6438" min="6438" style="2" width="35"/>
    <col collapsed="false" customWidth="true" hidden="false" outlineLevel="0" max="6439" min="6439" style="2" width="31"/>
    <col collapsed="false" customWidth="true" hidden="false" outlineLevel="0" max="6440" min="6440" style="2" width="37.86"/>
    <col collapsed="false" customWidth="true" hidden="false" outlineLevel="0" max="6441" min="6441" style="2" width="11.43"/>
    <col collapsed="false" customWidth="true" hidden="false" outlineLevel="0" max="6442" min="6442" style="2" width="54"/>
    <col collapsed="false" customWidth="true" hidden="false" outlineLevel="0" max="6443" min="6443" style="2" width="43.57"/>
    <col collapsed="false" customWidth="true" hidden="false" outlineLevel="0" max="6444" min="6444" style="2" width="44.71"/>
    <col collapsed="false" customWidth="false" hidden="false" outlineLevel="0" max="6654" min="6445" style="2" width="6.29"/>
    <col collapsed="false" customWidth="true" hidden="false" outlineLevel="0" max="6656" min="6655" style="2" width="2.16"/>
    <col collapsed="false" customWidth="true" hidden="true" outlineLevel="0" max="6657" min="6657" style="2" width="11.57"/>
    <col collapsed="false" customWidth="true" hidden="false" outlineLevel="0" max="6660" min="6658" style="2" width="12.86"/>
    <col collapsed="false" customWidth="true" hidden="false" outlineLevel="0" max="6661" min="6661" style="2" width="12"/>
    <col collapsed="false" customWidth="true" hidden="false" outlineLevel="0" max="6662" min="6662" style="2" width="12.29"/>
    <col collapsed="false" customWidth="true" hidden="false" outlineLevel="0" max="6663" min="6663" style="2" width="13.42"/>
    <col collapsed="false" customWidth="true" hidden="true" outlineLevel="0" max="6664" min="6664" style="2" width="11.57"/>
    <col collapsed="false" customWidth="true" hidden="false" outlineLevel="0" max="6667" min="6665" style="2" width="13"/>
    <col collapsed="false" customWidth="true" hidden="false" outlineLevel="0" max="6668" min="6668" style="2" width="14.86"/>
    <col collapsed="false" customWidth="true" hidden="false" outlineLevel="0" max="6669" min="6669" style="2" width="13.29"/>
    <col collapsed="false" customWidth="true" hidden="false" outlineLevel="0" max="6670" min="6670" style="2" width="13.42"/>
    <col collapsed="false" customWidth="true" hidden="false" outlineLevel="0" max="6671" min="6671" style="2" width="2.16"/>
    <col collapsed="false" customWidth="true" hidden="false" outlineLevel="0" max="6672" min="6672" style="2" width="13.86"/>
    <col collapsed="false" customWidth="true" hidden="false" outlineLevel="0" max="6673" min="6673" style="2" width="10.71"/>
    <col collapsed="false" customWidth="true" hidden="false" outlineLevel="0" max="6674" min="6674" style="2" width="12"/>
    <col collapsed="false" customWidth="true" hidden="false" outlineLevel="0" max="6675" min="6675" style="2" width="11.43"/>
    <col collapsed="false" customWidth="true" hidden="false" outlineLevel="0" max="6676" min="6676" style="2" width="16"/>
    <col collapsed="false" customWidth="true" hidden="false" outlineLevel="0" max="6678" min="6677" style="2" width="10.71"/>
    <col collapsed="false" customWidth="true" hidden="false" outlineLevel="0" max="6679" min="6679" style="2" width="15.57"/>
    <col collapsed="false" customWidth="true" hidden="false" outlineLevel="0" max="6680" min="6680" style="2" width="11.43"/>
    <col collapsed="false" customWidth="true" hidden="false" outlineLevel="0" max="6681" min="6681" style="2" width="12"/>
    <col collapsed="false" customWidth="true" hidden="false" outlineLevel="0" max="6682" min="6682" style="2" width="11.43"/>
    <col collapsed="false" customWidth="true" hidden="false" outlineLevel="0" max="6683" min="6683" style="2" width="12"/>
    <col collapsed="false" customWidth="true" hidden="false" outlineLevel="0" max="6684" min="6684" style="2" width="11.43"/>
    <col collapsed="false" customWidth="true" hidden="false" outlineLevel="0" max="6685" min="6685" style="2" width="12.86"/>
    <col collapsed="false" customWidth="true" hidden="false" outlineLevel="0" max="6686" min="6686" style="2" width="10.71"/>
    <col collapsed="false" customWidth="true" hidden="false" outlineLevel="0" max="6687" min="6687" style="2" width="19"/>
    <col collapsed="false" customWidth="true" hidden="false" outlineLevel="0" max="6688" min="6688" style="2" width="13.29"/>
    <col collapsed="false" customWidth="true" hidden="false" outlineLevel="0" max="6689" min="6689" style="2" width="18"/>
    <col collapsed="false" customWidth="true" hidden="false" outlineLevel="0" max="6690" min="6690" style="2" width="42.42"/>
    <col collapsed="false" customWidth="true" hidden="false" outlineLevel="0" max="6691" min="6691" style="2" width="31"/>
    <col collapsed="false" customWidth="true" hidden="false" outlineLevel="0" max="6692" min="6692" style="2" width="35"/>
    <col collapsed="false" customWidth="true" hidden="false" outlineLevel="0" max="6693" min="6693" style="2" width="31"/>
    <col collapsed="false" customWidth="true" hidden="false" outlineLevel="0" max="6694" min="6694" style="2" width="35"/>
    <col collapsed="false" customWidth="true" hidden="false" outlineLevel="0" max="6695" min="6695" style="2" width="31"/>
    <col collapsed="false" customWidth="true" hidden="false" outlineLevel="0" max="6696" min="6696" style="2" width="37.86"/>
    <col collapsed="false" customWidth="true" hidden="false" outlineLevel="0" max="6697" min="6697" style="2" width="11.43"/>
    <col collapsed="false" customWidth="true" hidden="false" outlineLevel="0" max="6698" min="6698" style="2" width="54"/>
    <col collapsed="false" customWidth="true" hidden="false" outlineLevel="0" max="6699" min="6699" style="2" width="43.57"/>
    <col collapsed="false" customWidth="true" hidden="false" outlineLevel="0" max="6700" min="6700" style="2" width="44.71"/>
    <col collapsed="false" customWidth="false" hidden="false" outlineLevel="0" max="6910" min="6701" style="2" width="6.29"/>
    <col collapsed="false" customWidth="true" hidden="false" outlineLevel="0" max="6912" min="6911" style="2" width="2.16"/>
    <col collapsed="false" customWidth="true" hidden="true" outlineLevel="0" max="6913" min="6913" style="2" width="11.57"/>
    <col collapsed="false" customWidth="true" hidden="false" outlineLevel="0" max="6916" min="6914" style="2" width="12.86"/>
    <col collapsed="false" customWidth="true" hidden="false" outlineLevel="0" max="6917" min="6917" style="2" width="12"/>
    <col collapsed="false" customWidth="true" hidden="false" outlineLevel="0" max="6918" min="6918" style="2" width="12.29"/>
    <col collapsed="false" customWidth="true" hidden="false" outlineLevel="0" max="6919" min="6919" style="2" width="13.42"/>
    <col collapsed="false" customWidth="true" hidden="true" outlineLevel="0" max="6920" min="6920" style="2" width="11.57"/>
    <col collapsed="false" customWidth="true" hidden="false" outlineLevel="0" max="6923" min="6921" style="2" width="13"/>
    <col collapsed="false" customWidth="true" hidden="false" outlineLevel="0" max="6924" min="6924" style="2" width="14.86"/>
    <col collapsed="false" customWidth="true" hidden="false" outlineLevel="0" max="6925" min="6925" style="2" width="13.29"/>
    <col collapsed="false" customWidth="true" hidden="false" outlineLevel="0" max="6926" min="6926" style="2" width="13.42"/>
    <col collapsed="false" customWidth="true" hidden="false" outlineLevel="0" max="6927" min="6927" style="2" width="2.16"/>
    <col collapsed="false" customWidth="true" hidden="false" outlineLevel="0" max="6928" min="6928" style="2" width="13.86"/>
    <col collapsed="false" customWidth="true" hidden="false" outlineLevel="0" max="6929" min="6929" style="2" width="10.71"/>
    <col collapsed="false" customWidth="true" hidden="false" outlineLevel="0" max="6930" min="6930" style="2" width="12"/>
    <col collapsed="false" customWidth="true" hidden="false" outlineLevel="0" max="6931" min="6931" style="2" width="11.43"/>
    <col collapsed="false" customWidth="true" hidden="false" outlineLevel="0" max="6932" min="6932" style="2" width="16"/>
    <col collapsed="false" customWidth="true" hidden="false" outlineLevel="0" max="6934" min="6933" style="2" width="10.71"/>
    <col collapsed="false" customWidth="true" hidden="false" outlineLevel="0" max="6935" min="6935" style="2" width="15.57"/>
    <col collapsed="false" customWidth="true" hidden="false" outlineLevel="0" max="6936" min="6936" style="2" width="11.43"/>
    <col collapsed="false" customWidth="true" hidden="false" outlineLevel="0" max="6937" min="6937" style="2" width="12"/>
    <col collapsed="false" customWidth="true" hidden="false" outlineLevel="0" max="6938" min="6938" style="2" width="11.43"/>
    <col collapsed="false" customWidth="true" hidden="false" outlineLevel="0" max="6939" min="6939" style="2" width="12"/>
    <col collapsed="false" customWidth="true" hidden="false" outlineLevel="0" max="6940" min="6940" style="2" width="11.43"/>
    <col collapsed="false" customWidth="true" hidden="false" outlineLevel="0" max="6941" min="6941" style="2" width="12.86"/>
    <col collapsed="false" customWidth="true" hidden="false" outlineLevel="0" max="6942" min="6942" style="2" width="10.71"/>
    <col collapsed="false" customWidth="true" hidden="false" outlineLevel="0" max="6943" min="6943" style="2" width="19"/>
    <col collapsed="false" customWidth="true" hidden="false" outlineLevel="0" max="6944" min="6944" style="2" width="13.29"/>
    <col collapsed="false" customWidth="true" hidden="false" outlineLevel="0" max="6945" min="6945" style="2" width="18"/>
    <col collapsed="false" customWidth="true" hidden="false" outlineLevel="0" max="6946" min="6946" style="2" width="42.42"/>
    <col collapsed="false" customWidth="true" hidden="false" outlineLevel="0" max="6947" min="6947" style="2" width="31"/>
    <col collapsed="false" customWidth="true" hidden="false" outlineLevel="0" max="6948" min="6948" style="2" width="35"/>
    <col collapsed="false" customWidth="true" hidden="false" outlineLevel="0" max="6949" min="6949" style="2" width="31"/>
    <col collapsed="false" customWidth="true" hidden="false" outlineLevel="0" max="6950" min="6950" style="2" width="35"/>
    <col collapsed="false" customWidth="true" hidden="false" outlineLevel="0" max="6951" min="6951" style="2" width="31"/>
    <col collapsed="false" customWidth="true" hidden="false" outlineLevel="0" max="6952" min="6952" style="2" width="37.86"/>
    <col collapsed="false" customWidth="true" hidden="false" outlineLevel="0" max="6953" min="6953" style="2" width="11.43"/>
    <col collapsed="false" customWidth="true" hidden="false" outlineLevel="0" max="6954" min="6954" style="2" width="54"/>
    <col collapsed="false" customWidth="true" hidden="false" outlineLevel="0" max="6955" min="6955" style="2" width="43.57"/>
    <col collapsed="false" customWidth="true" hidden="false" outlineLevel="0" max="6956" min="6956" style="2" width="44.71"/>
    <col collapsed="false" customWidth="false" hidden="false" outlineLevel="0" max="7166" min="6957" style="2" width="6.29"/>
    <col collapsed="false" customWidth="true" hidden="false" outlineLevel="0" max="7168" min="7167" style="2" width="2.16"/>
    <col collapsed="false" customWidth="true" hidden="true" outlineLevel="0" max="7169" min="7169" style="2" width="11.57"/>
    <col collapsed="false" customWidth="true" hidden="false" outlineLevel="0" max="7172" min="7170" style="2" width="12.86"/>
    <col collapsed="false" customWidth="true" hidden="false" outlineLevel="0" max="7173" min="7173" style="2" width="12"/>
    <col collapsed="false" customWidth="true" hidden="false" outlineLevel="0" max="7174" min="7174" style="2" width="12.29"/>
    <col collapsed="false" customWidth="true" hidden="false" outlineLevel="0" max="7175" min="7175" style="2" width="13.42"/>
    <col collapsed="false" customWidth="true" hidden="true" outlineLevel="0" max="7176" min="7176" style="2" width="11.57"/>
    <col collapsed="false" customWidth="true" hidden="false" outlineLevel="0" max="7179" min="7177" style="2" width="13"/>
    <col collapsed="false" customWidth="true" hidden="false" outlineLevel="0" max="7180" min="7180" style="2" width="14.86"/>
    <col collapsed="false" customWidth="true" hidden="false" outlineLevel="0" max="7181" min="7181" style="2" width="13.29"/>
    <col collapsed="false" customWidth="true" hidden="false" outlineLevel="0" max="7182" min="7182" style="2" width="13.42"/>
    <col collapsed="false" customWidth="true" hidden="false" outlineLevel="0" max="7183" min="7183" style="2" width="2.16"/>
    <col collapsed="false" customWidth="true" hidden="false" outlineLevel="0" max="7184" min="7184" style="2" width="13.86"/>
    <col collapsed="false" customWidth="true" hidden="false" outlineLevel="0" max="7185" min="7185" style="2" width="10.71"/>
    <col collapsed="false" customWidth="true" hidden="false" outlineLevel="0" max="7186" min="7186" style="2" width="12"/>
    <col collapsed="false" customWidth="true" hidden="false" outlineLevel="0" max="7187" min="7187" style="2" width="11.43"/>
    <col collapsed="false" customWidth="true" hidden="false" outlineLevel="0" max="7188" min="7188" style="2" width="16"/>
    <col collapsed="false" customWidth="true" hidden="false" outlineLevel="0" max="7190" min="7189" style="2" width="10.71"/>
    <col collapsed="false" customWidth="true" hidden="false" outlineLevel="0" max="7191" min="7191" style="2" width="15.57"/>
    <col collapsed="false" customWidth="true" hidden="false" outlineLevel="0" max="7192" min="7192" style="2" width="11.43"/>
    <col collapsed="false" customWidth="true" hidden="false" outlineLevel="0" max="7193" min="7193" style="2" width="12"/>
    <col collapsed="false" customWidth="true" hidden="false" outlineLevel="0" max="7194" min="7194" style="2" width="11.43"/>
    <col collapsed="false" customWidth="true" hidden="false" outlineLevel="0" max="7195" min="7195" style="2" width="12"/>
    <col collapsed="false" customWidth="true" hidden="false" outlineLevel="0" max="7196" min="7196" style="2" width="11.43"/>
    <col collapsed="false" customWidth="true" hidden="false" outlineLevel="0" max="7197" min="7197" style="2" width="12.86"/>
    <col collapsed="false" customWidth="true" hidden="false" outlineLevel="0" max="7198" min="7198" style="2" width="10.71"/>
    <col collapsed="false" customWidth="true" hidden="false" outlineLevel="0" max="7199" min="7199" style="2" width="19"/>
    <col collapsed="false" customWidth="true" hidden="false" outlineLevel="0" max="7200" min="7200" style="2" width="13.29"/>
    <col collapsed="false" customWidth="true" hidden="false" outlineLevel="0" max="7201" min="7201" style="2" width="18"/>
    <col collapsed="false" customWidth="true" hidden="false" outlineLevel="0" max="7202" min="7202" style="2" width="42.42"/>
    <col collapsed="false" customWidth="true" hidden="false" outlineLevel="0" max="7203" min="7203" style="2" width="31"/>
    <col collapsed="false" customWidth="true" hidden="false" outlineLevel="0" max="7204" min="7204" style="2" width="35"/>
    <col collapsed="false" customWidth="true" hidden="false" outlineLevel="0" max="7205" min="7205" style="2" width="31"/>
    <col collapsed="false" customWidth="true" hidden="false" outlineLevel="0" max="7206" min="7206" style="2" width="35"/>
    <col collapsed="false" customWidth="true" hidden="false" outlineLevel="0" max="7207" min="7207" style="2" width="31"/>
    <col collapsed="false" customWidth="true" hidden="false" outlineLevel="0" max="7208" min="7208" style="2" width="37.86"/>
    <col collapsed="false" customWidth="true" hidden="false" outlineLevel="0" max="7209" min="7209" style="2" width="11.43"/>
    <col collapsed="false" customWidth="true" hidden="false" outlineLevel="0" max="7210" min="7210" style="2" width="54"/>
    <col collapsed="false" customWidth="true" hidden="false" outlineLevel="0" max="7211" min="7211" style="2" width="43.57"/>
    <col collapsed="false" customWidth="true" hidden="false" outlineLevel="0" max="7212" min="7212" style="2" width="44.71"/>
    <col collapsed="false" customWidth="false" hidden="false" outlineLevel="0" max="7422" min="7213" style="2" width="6.29"/>
    <col collapsed="false" customWidth="true" hidden="false" outlineLevel="0" max="7424" min="7423" style="2" width="2.16"/>
    <col collapsed="false" customWidth="true" hidden="true" outlineLevel="0" max="7425" min="7425" style="2" width="11.57"/>
    <col collapsed="false" customWidth="true" hidden="false" outlineLevel="0" max="7428" min="7426" style="2" width="12.86"/>
    <col collapsed="false" customWidth="true" hidden="false" outlineLevel="0" max="7429" min="7429" style="2" width="12"/>
    <col collapsed="false" customWidth="true" hidden="false" outlineLevel="0" max="7430" min="7430" style="2" width="12.29"/>
    <col collapsed="false" customWidth="true" hidden="false" outlineLevel="0" max="7431" min="7431" style="2" width="13.42"/>
    <col collapsed="false" customWidth="true" hidden="true" outlineLevel="0" max="7432" min="7432" style="2" width="11.57"/>
    <col collapsed="false" customWidth="true" hidden="false" outlineLevel="0" max="7435" min="7433" style="2" width="13"/>
    <col collapsed="false" customWidth="true" hidden="false" outlineLevel="0" max="7436" min="7436" style="2" width="14.86"/>
    <col collapsed="false" customWidth="true" hidden="false" outlineLevel="0" max="7437" min="7437" style="2" width="13.29"/>
    <col collapsed="false" customWidth="true" hidden="false" outlineLevel="0" max="7438" min="7438" style="2" width="13.42"/>
    <col collapsed="false" customWidth="true" hidden="false" outlineLevel="0" max="7439" min="7439" style="2" width="2.16"/>
    <col collapsed="false" customWidth="true" hidden="false" outlineLevel="0" max="7440" min="7440" style="2" width="13.86"/>
    <col collapsed="false" customWidth="true" hidden="false" outlineLevel="0" max="7441" min="7441" style="2" width="10.71"/>
    <col collapsed="false" customWidth="true" hidden="false" outlineLevel="0" max="7442" min="7442" style="2" width="12"/>
    <col collapsed="false" customWidth="true" hidden="false" outlineLevel="0" max="7443" min="7443" style="2" width="11.43"/>
    <col collapsed="false" customWidth="true" hidden="false" outlineLevel="0" max="7444" min="7444" style="2" width="16"/>
    <col collapsed="false" customWidth="true" hidden="false" outlineLevel="0" max="7446" min="7445" style="2" width="10.71"/>
    <col collapsed="false" customWidth="true" hidden="false" outlineLevel="0" max="7447" min="7447" style="2" width="15.57"/>
    <col collapsed="false" customWidth="true" hidden="false" outlineLevel="0" max="7448" min="7448" style="2" width="11.43"/>
    <col collapsed="false" customWidth="true" hidden="false" outlineLevel="0" max="7449" min="7449" style="2" width="12"/>
    <col collapsed="false" customWidth="true" hidden="false" outlineLevel="0" max="7450" min="7450" style="2" width="11.43"/>
    <col collapsed="false" customWidth="true" hidden="false" outlineLevel="0" max="7451" min="7451" style="2" width="12"/>
    <col collapsed="false" customWidth="true" hidden="false" outlineLevel="0" max="7452" min="7452" style="2" width="11.43"/>
    <col collapsed="false" customWidth="true" hidden="false" outlineLevel="0" max="7453" min="7453" style="2" width="12.86"/>
    <col collapsed="false" customWidth="true" hidden="false" outlineLevel="0" max="7454" min="7454" style="2" width="10.71"/>
    <col collapsed="false" customWidth="true" hidden="false" outlineLevel="0" max="7455" min="7455" style="2" width="19"/>
    <col collapsed="false" customWidth="true" hidden="false" outlineLevel="0" max="7456" min="7456" style="2" width="13.29"/>
    <col collapsed="false" customWidth="true" hidden="false" outlineLevel="0" max="7457" min="7457" style="2" width="18"/>
    <col collapsed="false" customWidth="true" hidden="false" outlineLevel="0" max="7458" min="7458" style="2" width="42.42"/>
    <col collapsed="false" customWidth="true" hidden="false" outlineLevel="0" max="7459" min="7459" style="2" width="31"/>
    <col collapsed="false" customWidth="true" hidden="false" outlineLevel="0" max="7460" min="7460" style="2" width="35"/>
    <col collapsed="false" customWidth="true" hidden="false" outlineLevel="0" max="7461" min="7461" style="2" width="31"/>
    <col collapsed="false" customWidth="true" hidden="false" outlineLevel="0" max="7462" min="7462" style="2" width="35"/>
    <col collapsed="false" customWidth="true" hidden="false" outlineLevel="0" max="7463" min="7463" style="2" width="31"/>
    <col collapsed="false" customWidth="true" hidden="false" outlineLevel="0" max="7464" min="7464" style="2" width="37.86"/>
    <col collapsed="false" customWidth="true" hidden="false" outlineLevel="0" max="7465" min="7465" style="2" width="11.43"/>
    <col collapsed="false" customWidth="true" hidden="false" outlineLevel="0" max="7466" min="7466" style="2" width="54"/>
    <col collapsed="false" customWidth="true" hidden="false" outlineLevel="0" max="7467" min="7467" style="2" width="43.57"/>
    <col collapsed="false" customWidth="true" hidden="false" outlineLevel="0" max="7468" min="7468" style="2" width="44.71"/>
    <col collapsed="false" customWidth="false" hidden="false" outlineLevel="0" max="7678" min="7469" style="2" width="6.29"/>
    <col collapsed="false" customWidth="true" hidden="false" outlineLevel="0" max="7680" min="7679" style="2" width="2.16"/>
    <col collapsed="false" customWidth="true" hidden="true" outlineLevel="0" max="7681" min="7681" style="2" width="11.57"/>
    <col collapsed="false" customWidth="true" hidden="false" outlineLevel="0" max="7684" min="7682" style="2" width="12.86"/>
    <col collapsed="false" customWidth="true" hidden="false" outlineLevel="0" max="7685" min="7685" style="2" width="12"/>
    <col collapsed="false" customWidth="true" hidden="false" outlineLevel="0" max="7686" min="7686" style="2" width="12.29"/>
    <col collapsed="false" customWidth="true" hidden="false" outlineLevel="0" max="7687" min="7687" style="2" width="13.42"/>
    <col collapsed="false" customWidth="true" hidden="true" outlineLevel="0" max="7688" min="7688" style="2" width="11.57"/>
    <col collapsed="false" customWidth="true" hidden="false" outlineLevel="0" max="7691" min="7689" style="2" width="13"/>
    <col collapsed="false" customWidth="true" hidden="false" outlineLevel="0" max="7692" min="7692" style="2" width="14.86"/>
    <col collapsed="false" customWidth="true" hidden="false" outlineLevel="0" max="7693" min="7693" style="2" width="13.29"/>
    <col collapsed="false" customWidth="true" hidden="false" outlineLevel="0" max="7694" min="7694" style="2" width="13.42"/>
    <col collapsed="false" customWidth="true" hidden="false" outlineLevel="0" max="7695" min="7695" style="2" width="2.16"/>
    <col collapsed="false" customWidth="true" hidden="false" outlineLevel="0" max="7696" min="7696" style="2" width="13.86"/>
    <col collapsed="false" customWidth="true" hidden="false" outlineLevel="0" max="7697" min="7697" style="2" width="10.71"/>
    <col collapsed="false" customWidth="true" hidden="false" outlineLevel="0" max="7698" min="7698" style="2" width="12"/>
    <col collapsed="false" customWidth="true" hidden="false" outlineLevel="0" max="7699" min="7699" style="2" width="11.43"/>
    <col collapsed="false" customWidth="true" hidden="false" outlineLevel="0" max="7700" min="7700" style="2" width="16"/>
    <col collapsed="false" customWidth="true" hidden="false" outlineLevel="0" max="7702" min="7701" style="2" width="10.71"/>
    <col collapsed="false" customWidth="true" hidden="false" outlineLevel="0" max="7703" min="7703" style="2" width="15.57"/>
    <col collapsed="false" customWidth="true" hidden="false" outlineLevel="0" max="7704" min="7704" style="2" width="11.43"/>
    <col collapsed="false" customWidth="true" hidden="false" outlineLevel="0" max="7705" min="7705" style="2" width="12"/>
    <col collapsed="false" customWidth="true" hidden="false" outlineLevel="0" max="7706" min="7706" style="2" width="11.43"/>
    <col collapsed="false" customWidth="true" hidden="false" outlineLevel="0" max="7707" min="7707" style="2" width="12"/>
    <col collapsed="false" customWidth="true" hidden="false" outlineLevel="0" max="7708" min="7708" style="2" width="11.43"/>
    <col collapsed="false" customWidth="true" hidden="false" outlineLevel="0" max="7709" min="7709" style="2" width="12.86"/>
    <col collapsed="false" customWidth="true" hidden="false" outlineLevel="0" max="7710" min="7710" style="2" width="10.71"/>
    <col collapsed="false" customWidth="true" hidden="false" outlineLevel="0" max="7711" min="7711" style="2" width="19"/>
    <col collapsed="false" customWidth="true" hidden="false" outlineLevel="0" max="7712" min="7712" style="2" width="13.29"/>
    <col collapsed="false" customWidth="true" hidden="false" outlineLevel="0" max="7713" min="7713" style="2" width="18"/>
    <col collapsed="false" customWidth="true" hidden="false" outlineLevel="0" max="7714" min="7714" style="2" width="42.42"/>
    <col collapsed="false" customWidth="true" hidden="false" outlineLevel="0" max="7715" min="7715" style="2" width="31"/>
    <col collapsed="false" customWidth="true" hidden="false" outlineLevel="0" max="7716" min="7716" style="2" width="35"/>
    <col collapsed="false" customWidth="true" hidden="false" outlineLevel="0" max="7717" min="7717" style="2" width="31"/>
    <col collapsed="false" customWidth="true" hidden="false" outlineLevel="0" max="7718" min="7718" style="2" width="35"/>
    <col collapsed="false" customWidth="true" hidden="false" outlineLevel="0" max="7719" min="7719" style="2" width="31"/>
    <col collapsed="false" customWidth="true" hidden="false" outlineLevel="0" max="7720" min="7720" style="2" width="37.86"/>
    <col collapsed="false" customWidth="true" hidden="false" outlineLevel="0" max="7721" min="7721" style="2" width="11.43"/>
    <col collapsed="false" customWidth="true" hidden="false" outlineLevel="0" max="7722" min="7722" style="2" width="54"/>
    <col collapsed="false" customWidth="true" hidden="false" outlineLevel="0" max="7723" min="7723" style="2" width="43.57"/>
    <col collapsed="false" customWidth="true" hidden="false" outlineLevel="0" max="7724" min="7724" style="2" width="44.71"/>
    <col collapsed="false" customWidth="false" hidden="false" outlineLevel="0" max="7934" min="7725" style="2" width="6.29"/>
    <col collapsed="false" customWidth="true" hidden="false" outlineLevel="0" max="7936" min="7935" style="2" width="2.16"/>
    <col collapsed="false" customWidth="true" hidden="true" outlineLevel="0" max="7937" min="7937" style="2" width="11.57"/>
    <col collapsed="false" customWidth="true" hidden="false" outlineLevel="0" max="7940" min="7938" style="2" width="12.86"/>
    <col collapsed="false" customWidth="true" hidden="false" outlineLevel="0" max="7941" min="7941" style="2" width="12"/>
    <col collapsed="false" customWidth="true" hidden="false" outlineLevel="0" max="7942" min="7942" style="2" width="12.29"/>
    <col collapsed="false" customWidth="true" hidden="false" outlineLevel="0" max="7943" min="7943" style="2" width="13.42"/>
    <col collapsed="false" customWidth="true" hidden="true" outlineLevel="0" max="7944" min="7944" style="2" width="11.57"/>
    <col collapsed="false" customWidth="true" hidden="false" outlineLevel="0" max="7947" min="7945" style="2" width="13"/>
    <col collapsed="false" customWidth="true" hidden="false" outlineLevel="0" max="7948" min="7948" style="2" width="14.86"/>
    <col collapsed="false" customWidth="true" hidden="false" outlineLevel="0" max="7949" min="7949" style="2" width="13.29"/>
    <col collapsed="false" customWidth="true" hidden="false" outlineLevel="0" max="7950" min="7950" style="2" width="13.42"/>
    <col collapsed="false" customWidth="true" hidden="false" outlineLevel="0" max="7951" min="7951" style="2" width="2.16"/>
    <col collapsed="false" customWidth="true" hidden="false" outlineLevel="0" max="7952" min="7952" style="2" width="13.86"/>
    <col collapsed="false" customWidth="true" hidden="false" outlineLevel="0" max="7953" min="7953" style="2" width="10.71"/>
    <col collapsed="false" customWidth="true" hidden="false" outlineLevel="0" max="7954" min="7954" style="2" width="12"/>
    <col collapsed="false" customWidth="true" hidden="false" outlineLevel="0" max="7955" min="7955" style="2" width="11.43"/>
    <col collapsed="false" customWidth="true" hidden="false" outlineLevel="0" max="7956" min="7956" style="2" width="16"/>
    <col collapsed="false" customWidth="true" hidden="false" outlineLevel="0" max="7958" min="7957" style="2" width="10.71"/>
    <col collapsed="false" customWidth="true" hidden="false" outlineLevel="0" max="7959" min="7959" style="2" width="15.57"/>
    <col collapsed="false" customWidth="true" hidden="false" outlineLevel="0" max="7960" min="7960" style="2" width="11.43"/>
    <col collapsed="false" customWidth="true" hidden="false" outlineLevel="0" max="7961" min="7961" style="2" width="12"/>
    <col collapsed="false" customWidth="true" hidden="false" outlineLevel="0" max="7962" min="7962" style="2" width="11.43"/>
    <col collapsed="false" customWidth="true" hidden="false" outlineLevel="0" max="7963" min="7963" style="2" width="12"/>
    <col collapsed="false" customWidth="true" hidden="false" outlineLevel="0" max="7964" min="7964" style="2" width="11.43"/>
    <col collapsed="false" customWidth="true" hidden="false" outlineLevel="0" max="7965" min="7965" style="2" width="12.86"/>
    <col collapsed="false" customWidth="true" hidden="false" outlineLevel="0" max="7966" min="7966" style="2" width="10.71"/>
    <col collapsed="false" customWidth="true" hidden="false" outlineLevel="0" max="7967" min="7967" style="2" width="19"/>
    <col collapsed="false" customWidth="true" hidden="false" outlineLevel="0" max="7968" min="7968" style="2" width="13.29"/>
    <col collapsed="false" customWidth="true" hidden="false" outlineLevel="0" max="7969" min="7969" style="2" width="18"/>
    <col collapsed="false" customWidth="true" hidden="false" outlineLevel="0" max="7970" min="7970" style="2" width="42.42"/>
    <col collapsed="false" customWidth="true" hidden="false" outlineLevel="0" max="7971" min="7971" style="2" width="31"/>
    <col collapsed="false" customWidth="true" hidden="false" outlineLevel="0" max="7972" min="7972" style="2" width="35"/>
    <col collapsed="false" customWidth="true" hidden="false" outlineLevel="0" max="7973" min="7973" style="2" width="31"/>
    <col collapsed="false" customWidth="true" hidden="false" outlineLevel="0" max="7974" min="7974" style="2" width="35"/>
    <col collapsed="false" customWidth="true" hidden="false" outlineLevel="0" max="7975" min="7975" style="2" width="31"/>
    <col collapsed="false" customWidth="true" hidden="false" outlineLevel="0" max="7976" min="7976" style="2" width="37.86"/>
    <col collapsed="false" customWidth="true" hidden="false" outlineLevel="0" max="7977" min="7977" style="2" width="11.43"/>
    <col collapsed="false" customWidth="true" hidden="false" outlineLevel="0" max="7978" min="7978" style="2" width="54"/>
    <col collapsed="false" customWidth="true" hidden="false" outlineLevel="0" max="7979" min="7979" style="2" width="43.57"/>
    <col collapsed="false" customWidth="true" hidden="false" outlineLevel="0" max="7980" min="7980" style="2" width="44.71"/>
    <col collapsed="false" customWidth="false" hidden="false" outlineLevel="0" max="8190" min="7981" style="2" width="6.29"/>
    <col collapsed="false" customWidth="true" hidden="false" outlineLevel="0" max="8192" min="8191" style="2" width="2.16"/>
    <col collapsed="false" customWidth="true" hidden="true" outlineLevel="0" max="8193" min="8193" style="2" width="11.57"/>
    <col collapsed="false" customWidth="true" hidden="false" outlineLevel="0" max="8196" min="8194" style="2" width="12.86"/>
    <col collapsed="false" customWidth="true" hidden="false" outlineLevel="0" max="8197" min="8197" style="2" width="12"/>
    <col collapsed="false" customWidth="true" hidden="false" outlineLevel="0" max="8198" min="8198" style="2" width="12.29"/>
    <col collapsed="false" customWidth="true" hidden="false" outlineLevel="0" max="8199" min="8199" style="2" width="13.42"/>
    <col collapsed="false" customWidth="true" hidden="true" outlineLevel="0" max="8200" min="8200" style="2" width="11.57"/>
    <col collapsed="false" customWidth="true" hidden="false" outlineLevel="0" max="8203" min="8201" style="2" width="13"/>
    <col collapsed="false" customWidth="true" hidden="false" outlineLevel="0" max="8204" min="8204" style="2" width="14.86"/>
    <col collapsed="false" customWidth="true" hidden="false" outlineLevel="0" max="8205" min="8205" style="2" width="13.29"/>
    <col collapsed="false" customWidth="true" hidden="false" outlineLevel="0" max="8206" min="8206" style="2" width="13.42"/>
    <col collapsed="false" customWidth="true" hidden="false" outlineLevel="0" max="8207" min="8207" style="2" width="2.16"/>
    <col collapsed="false" customWidth="true" hidden="false" outlineLevel="0" max="8208" min="8208" style="2" width="13.86"/>
    <col collapsed="false" customWidth="true" hidden="false" outlineLevel="0" max="8209" min="8209" style="2" width="10.71"/>
    <col collapsed="false" customWidth="true" hidden="false" outlineLevel="0" max="8210" min="8210" style="2" width="12"/>
    <col collapsed="false" customWidth="true" hidden="false" outlineLevel="0" max="8211" min="8211" style="2" width="11.43"/>
    <col collapsed="false" customWidth="true" hidden="false" outlineLevel="0" max="8212" min="8212" style="2" width="16"/>
    <col collapsed="false" customWidth="true" hidden="false" outlineLevel="0" max="8214" min="8213" style="2" width="10.71"/>
    <col collapsed="false" customWidth="true" hidden="false" outlineLevel="0" max="8215" min="8215" style="2" width="15.57"/>
    <col collapsed="false" customWidth="true" hidden="false" outlineLevel="0" max="8216" min="8216" style="2" width="11.43"/>
    <col collapsed="false" customWidth="true" hidden="false" outlineLevel="0" max="8217" min="8217" style="2" width="12"/>
    <col collapsed="false" customWidth="true" hidden="false" outlineLevel="0" max="8218" min="8218" style="2" width="11.43"/>
    <col collapsed="false" customWidth="true" hidden="false" outlineLevel="0" max="8219" min="8219" style="2" width="12"/>
    <col collapsed="false" customWidth="true" hidden="false" outlineLevel="0" max="8220" min="8220" style="2" width="11.43"/>
    <col collapsed="false" customWidth="true" hidden="false" outlineLevel="0" max="8221" min="8221" style="2" width="12.86"/>
    <col collapsed="false" customWidth="true" hidden="false" outlineLevel="0" max="8222" min="8222" style="2" width="10.71"/>
    <col collapsed="false" customWidth="true" hidden="false" outlineLevel="0" max="8223" min="8223" style="2" width="19"/>
    <col collapsed="false" customWidth="true" hidden="false" outlineLevel="0" max="8224" min="8224" style="2" width="13.29"/>
    <col collapsed="false" customWidth="true" hidden="false" outlineLevel="0" max="8225" min="8225" style="2" width="18"/>
    <col collapsed="false" customWidth="true" hidden="false" outlineLevel="0" max="8226" min="8226" style="2" width="42.42"/>
    <col collapsed="false" customWidth="true" hidden="false" outlineLevel="0" max="8227" min="8227" style="2" width="31"/>
    <col collapsed="false" customWidth="true" hidden="false" outlineLevel="0" max="8228" min="8228" style="2" width="35"/>
    <col collapsed="false" customWidth="true" hidden="false" outlineLevel="0" max="8229" min="8229" style="2" width="31"/>
    <col collapsed="false" customWidth="true" hidden="false" outlineLevel="0" max="8230" min="8230" style="2" width="35"/>
    <col collapsed="false" customWidth="true" hidden="false" outlineLevel="0" max="8231" min="8231" style="2" width="31"/>
    <col collapsed="false" customWidth="true" hidden="false" outlineLevel="0" max="8232" min="8232" style="2" width="37.86"/>
    <col collapsed="false" customWidth="true" hidden="false" outlineLevel="0" max="8233" min="8233" style="2" width="11.43"/>
    <col collapsed="false" customWidth="true" hidden="false" outlineLevel="0" max="8234" min="8234" style="2" width="54"/>
    <col collapsed="false" customWidth="true" hidden="false" outlineLevel="0" max="8235" min="8235" style="2" width="43.57"/>
    <col collapsed="false" customWidth="true" hidden="false" outlineLevel="0" max="8236" min="8236" style="2" width="44.71"/>
    <col collapsed="false" customWidth="false" hidden="false" outlineLevel="0" max="8446" min="8237" style="2" width="6.29"/>
    <col collapsed="false" customWidth="true" hidden="false" outlineLevel="0" max="8448" min="8447" style="2" width="2.16"/>
    <col collapsed="false" customWidth="true" hidden="true" outlineLevel="0" max="8449" min="8449" style="2" width="11.57"/>
    <col collapsed="false" customWidth="true" hidden="false" outlineLevel="0" max="8452" min="8450" style="2" width="12.86"/>
    <col collapsed="false" customWidth="true" hidden="false" outlineLevel="0" max="8453" min="8453" style="2" width="12"/>
    <col collapsed="false" customWidth="true" hidden="false" outlineLevel="0" max="8454" min="8454" style="2" width="12.29"/>
    <col collapsed="false" customWidth="true" hidden="false" outlineLevel="0" max="8455" min="8455" style="2" width="13.42"/>
    <col collapsed="false" customWidth="true" hidden="true" outlineLevel="0" max="8456" min="8456" style="2" width="11.57"/>
    <col collapsed="false" customWidth="true" hidden="false" outlineLevel="0" max="8459" min="8457" style="2" width="13"/>
    <col collapsed="false" customWidth="true" hidden="false" outlineLevel="0" max="8460" min="8460" style="2" width="14.86"/>
    <col collapsed="false" customWidth="true" hidden="false" outlineLevel="0" max="8461" min="8461" style="2" width="13.29"/>
    <col collapsed="false" customWidth="true" hidden="false" outlineLevel="0" max="8462" min="8462" style="2" width="13.42"/>
    <col collapsed="false" customWidth="true" hidden="false" outlineLevel="0" max="8463" min="8463" style="2" width="2.16"/>
    <col collapsed="false" customWidth="true" hidden="false" outlineLevel="0" max="8464" min="8464" style="2" width="13.86"/>
    <col collapsed="false" customWidth="true" hidden="false" outlineLevel="0" max="8465" min="8465" style="2" width="10.71"/>
    <col collapsed="false" customWidth="true" hidden="false" outlineLevel="0" max="8466" min="8466" style="2" width="12"/>
    <col collapsed="false" customWidth="true" hidden="false" outlineLevel="0" max="8467" min="8467" style="2" width="11.43"/>
    <col collapsed="false" customWidth="true" hidden="false" outlineLevel="0" max="8468" min="8468" style="2" width="16"/>
    <col collapsed="false" customWidth="true" hidden="false" outlineLevel="0" max="8470" min="8469" style="2" width="10.71"/>
    <col collapsed="false" customWidth="true" hidden="false" outlineLevel="0" max="8471" min="8471" style="2" width="15.57"/>
    <col collapsed="false" customWidth="true" hidden="false" outlineLevel="0" max="8472" min="8472" style="2" width="11.43"/>
    <col collapsed="false" customWidth="true" hidden="false" outlineLevel="0" max="8473" min="8473" style="2" width="12"/>
    <col collapsed="false" customWidth="true" hidden="false" outlineLevel="0" max="8474" min="8474" style="2" width="11.43"/>
    <col collapsed="false" customWidth="true" hidden="false" outlineLevel="0" max="8475" min="8475" style="2" width="12"/>
    <col collapsed="false" customWidth="true" hidden="false" outlineLevel="0" max="8476" min="8476" style="2" width="11.43"/>
    <col collapsed="false" customWidth="true" hidden="false" outlineLevel="0" max="8477" min="8477" style="2" width="12.86"/>
    <col collapsed="false" customWidth="true" hidden="false" outlineLevel="0" max="8478" min="8478" style="2" width="10.71"/>
    <col collapsed="false" customWidth="true" hidden="false" outlineLevel="0" max="8479" min="8479" style="2" width="19"/>
    <col collapsed="false" customWidth="true" hidden="false" outlineLevel="0" max="8480" min="8480" style="2" width="13.29"/>
    <col collapsed="false" customWidth="true" hidden="false" outlineLevel="0" max="8481" min="8481" style="2" width="18"/>
    <col collapsed="false" customWidth="true" hidden="false" outlineLevel="0" max="8482" min="8482" style="2" width="42.42"/>
    <col collapsed="false" customWidth="true" hidden="false" outlineLevel="0" max="8483" min="8483" style="2" width="31"/>
    <col collapsed="false" customWidth="true" hidden="false" outlineLevel="0" max="8484" min="8484" style="2" width="35"/>
    <col collapsed="false" customWidth="true" hidden="false" outlineLevel="0" max="8485" min="8485" style="2" width="31"/>
    <col collapsed="false" customWidth="true" hidden="false" outlineLevel="0" max="8486" min="8486" style="2" width="35"/>
    <col collapsed="false" customWidth="true" hidden="false" outlineLevel="0" max="8487" min="8487" style="2" width="31"/>
    <col collapsed="false" customWidth="true" hidden="false" outlineLevel="0" max="8488" min="8488" style="2" width="37.86"/>
    <col collapsed="false" customWidth="true" hidden="false" outlineLevel="0" max="8489" min="8489" style="2" width="11.43"/>
    <col collapsed="false" customWidth="true" hidden="false" outlineLevel="0" max="8490" min="8490" style="2" width="54"/>
    <col collapsed="false" customWidth="true" hidden="false" outlineLevel="0" max="8491" min="8491" style="2" width="43.57"/>
    <col collapsed="false" customWidth="true" hidden="false" outlineLevel="0" max="8492" min="8492" style="2" width="44.71"/>
    <col collapsed="false" customWidth="false" hidden="false" outlineLevel="0" max="8702" min="8493" style="2" width="6.29"/>
    <col collapsed="false" customWidth="true" hidden="false" outlineLevel="0" max="8704" min="8703" style="2" width="2.16"/>
    <col collapsed="false" customWidth="true" hidden="true" outlineLevel="0" max="8705" min="8705" style="2" width="11.57"/>
    <col collapsed="false" customWidth="true" hidden="false" outlineLevel="0" max="8708" min="8706" style="2" width="12.86"/>
    <col collapsed="false" customWidth="true" hidden="false" outlineLevel="0" max="8709" min="8709" style="2" width="12"/>
    <col collapsed="false" customWidth="true" hidden="false" outlineLevel="0" max="8710" min="8710" style="2" width="12.29"/>
    <col collapsed="false" customWidth="true" hidden="false" outlineLevel="0" max="8711" min="8711" style="2" width="13.42"/>
    <col collapsed="false" customWidth="true" hidden="true" outlineLevel="0" max="8712" min="8712" style="2" width="11.57"/>
    <col collapsed="false" customWidth="true" hidden="false" outlineLevel="0" max="8715" min="8713" style="2" width="13"/>
    <col collapsed="false" customWidth="true" hidden="false" outlineLevel="0" max="8716" min="8716" style="2" width="14.86"/>
    <col collapsed="false" customWidth="true" hidden="false" outlineLevel="0" max="8717" min="8717" style="2" width="13.29"/>
    <col collapsed="false" customWidth="true" hidden="false" outlineLevel="0" max="8718" min="8718" style="2" width="13.42"/>
    <col collapsed="false" customWidth="true" hidden="false" outlineLevel="0" max="8719" min="8719" style="2" width="2.16"/>
    <col collapsed="false" customWidth="true" hidden="false" outlineLevel="0" max="8720" min="8720" style="2" width="13.86"/>
    <col collapsed="false" customWidth="true" hidden="false" outlineLevel="0" max="8721" min="8721" style="2" width="10.71"/>
    <col collapsed="false" customWidth="true" hidden="false" outlineLevel="0" max="8722" min="8722" style="2" width="12"/>
    <col collapsed="false" customWidth="true" hidden="false" outlineLevel="0" max="8723" min="8723" style="2" width="11.43"/>
    <col collapsed="false" customWidth="true" hidden="false" outlineLevel="0" max="8724" min="8724" style="2" width="16"/>
    <col collapsed="false" customWidth="true" hidden="false" outlineLevel="0" max="8726" min="8725" style="2" width="10.71"/>
    <col collapsed="false" customWidth="true" hidden="false" outlineLevel="0" max="8727" min="8727" style="2" width="15.57"/>
    <col collapsed="false" customWidth="true" hidden="false" outlineLevel="0" max="8728" min="8728" style="2" width="11.43"/>
    <col collapsed="false" customWidth="true" hidden="false" outlineLevel="0" max="8729" min="8729" style="2" width="12"/>
    <col collapsed="false" customWidth="true" hidden="false" outlineLevel="0" max="8730" min="8730" style="2" width="11.43"/>
    <col collapsed="false" customWidth="true" hidden="false" outlineLevel="0" max="8731" min="8731" style="2" width="12"/>
    <col collapsed="false" customWidth="true" hidden="false" outlineLevel="0" max="8732" min="8732" style="2" width="11.43"/>
    <col collapsed="false" customWidth="true" hidden="false" outlineLevel="0" max="8733" min="8733" style="2" width="12.86"/>
    <col collapsed="false" customWidth="true" hidden="false" outlineLevel="0" max="8734" min="8734" style="2" width="10.71"/>
    <col collapsed="false" customWidth="true" hidden="false" outlineLevel="0" max="8735" min="8735" style="2" width="19"/>
    <col collapsed="false" customWidth="true" hidden="false" outlineLevel="0" max="8736" min="8736" style="2" width="13.29"/>
    <col collapsed="false" customWidth="true" hidden="false" outlineLevel="0" max="8737" min="8737" style="2" width="18"/>
    <col collapsed="false" customWidth="true" hidden="false" outlineLevel="0" max="8738" min="8738" style="2" width="42.42"/>
    <col collapsed="false" customWidth="true" hidden="false" outlineLevel="0" max="8739" min="8739" style="2" width="31"/>
    <col collapsed="false" customWidth="true" hidden="false" outlineLevel="0" max="8740" min="8740" style="2" width="35"/>
    <col collapsed="false" customWidth="true" hidden="false" outlineLevel="0" max="8741" min="8741" style="2" width="31"/>
    <col collapsed="false" customWidth="true" hidden="false" outlineLevel="0" max="8742" min="8742" style="2" width="35"/>
    <col collapsed="false" customWidth="true" hidden="false" outlineLevel="0" max="8743" min="8743" style="2" width="31"/>
    <col collapsed="false" customWidth="true" hidden="false" outlineLevel="0" max="8744" min="8744" style="2" width="37.86"/>
    <col collapsed="false" customWidth="true" hidden="false" outlineLevel="0" max="8745" min="8745" style="2" width="11.43"/>
    <col collapsed="false" customWidth="true" hidden="false" outlineLevel="0" max="8746" min="8746" style="2" width="54"/>
    <col collapsed="false" customWidth="true" hidden="false" outlineLevel="0" max="8747" min="8747" style="2" width="43.57"/>
    <col collapsed="false" customWidth="true" hidden="false" outlineLevel="0" max="8748" min="8748" style="2" width="44.71"/>
    <col collapsed="false" customWidth="false" hidden="false" outlineLevel="0" max="8958" min="8749" style="2" width="6.29"/>
    <col collapsed="false" customWidth="true" hidden="false" outlineLevel="0" max="8960" min="8959" style="2" width="2.16"/>
    <col collapsed="false" customWidth="true" hidden="true" outlineLevel="0" max="8961" min="8961" style="2" width="11.57"/>
    <col collapsed="false" customWidth="true" hidden="false" outlineLevel="0" max="8964" min="8962" style="2" width="12.86"/>
    <col collapsed="false" customWidth="true" hidden="false" outlineLevel="0" max="8965" min="8965" style="2" width="12"/>
    <col collapsed="false" customWidth="true" hidden="false" outlineLevel="0" max="8966" min="8966" style="2" width="12.29"/>
    <col collapsed="false" customWidth="true" hidden="false" outlineLevel="0" max="8967" min="8967" style="2" width="13.42"/>
    <col collapsed="false" customWidth="true" hidden="true" outlineLevel="0" max="8968" min="8968" style="2" width="11.57"/>
    <col collapsed="false" customWidth="true" hidden="false" outlineLevel="0" max="8971" min="8969" style="2" width="13"/>
    <col collapsed="false" customWidth="true" hidden="false" outlineLevel="0" max="8972" min="8972" style="2" width="14.86"/>
    <col collapsed="false" customWidth="true" hidden="false" outlineLevel="0" max="8973" min="8973" style="2" width="13.29"/>
    <col collapsed="false" customWidth="true" hidden="false" outlineLevel="0" max="8974" min="8974" style="2" width="13.42"/>
    <col collapsed="false" customWidth="true" hidden="false" outlineLevel="0" max="8975" min="8975" style="2" width="2.16"/>
    <col collapsed="false" customWidth="true" hidden="false" outlineLevel="0" max="8976" min="8976" style="2" width="13.86"/>
    <col collapsed="false" customWidth="true" hidden="false" outlineLevel="0" max="8977" min="8977" style="2" width="10.71"/>
    <col collapsed="false" customWidth="true" hidden="false" outlineLevel="0" max="8978" min="8978" style="2" width="12"/>
    <col collapsed="false" customWidth="true" hidden="false" outlineLevel="0" max="8979" min="8979" style="2" width="11.43"/>
    <col collapsed="false" customWidth="true" hidden="false" outlineLevel="0" max="8980" min="8980" style="2" width="16"/>
    <col collapsed="false" customWidth="true" hidden="false" outlineLevel="0" max="8982" min="8981" style="2" width="10.71"/>
    <col collapsed="false" customWidth="true" hidden="false" outlineLevel="0" max="8983" min="8983" style="2" width="15.57"/>
    <col collapsed="false" customWidth="true" hidden="false" outlineLevel="0" max="8984" min="8984" style="2" width="11.43"/>
    <col collapsed="false" customWidth="true" hidden="false" outlineLevel="0" max="8985" min="8985" style="2" width="12"/>
    <col collapsed="false" customWidth="true" hidden="false" outlineLevel="0" max="8986" min="8986" style="2" width="11.43"/>
    <col collapsed="false" customWidth="true" hidden="false" outlineLevel="0" max="8987" min="8987" style="2" width="12"/>
    <col collapsed="false" customWidth="true" hidden="false" outlineLevel="0" max="8988" min="8988" style="2" width="11.43"/>
    <col collapsed="false" customWidth="true" hidden="false" outlineLevel="0" max="8989" min="8989" style="2" width="12.86"/>
    <col collapsed="false" customWidth="true" hidden="false" outlineLevel="0" max="8990" min="8990" style="2" width="10.71"/>
    <col collapsed="false" customWidth="true" hidden="false" outlineLevel="0" max="8991" min="8991" style="2" width="19"/>
    <col collapsed="false" customWidth="true" hidden="false" outlineLevel="0" max="8992" min="8992" style="2" width="13.29"/>
    <col collapsed="false" customWidth="true" hidden="false" outlineLevel="0" max="8993" min="8993" style="2" width="18"/>
    <col collapsed="false" customWidth="true" hidden="false" outlineLevel="0" max="8994" min="8994" style="2" width="42.42"/>
    <col collapsed="false" customWidth="true" hidden="false" outlineLevel="0" max="8995" min="8995" style="2" width="31"/>
    <col collapsed="false" customWidth="true" hidden="false" outlineLevel="0" max="8996" min="8996" style="2" width="35"/>
    <col collapsed="false" customWidth="true" hidden="false" outlineLevel="0" max="8997" min="8997" style="2" width="31"/>
    <col collapsed="false" customWidth="true" hidden="false" outlineLevel="0" max="8998" min="8998" style="2" width="35"/>
    <col collapsed="false" customWidth="true" hidden="false" outlineLevel="0" max="8999" min="8999" style="2" width="31"/>
    <col collapsed="false" customWidth="true" hidden="false" outlineLevel="0" max="9000" min="9000" style="2" width="37.86"/>
    <col collapsed="false" customWidth="true" hidden="false" outlineLevel="0" max="9001" min="9001" style="2" width="11.43"/>
    <col collapsed="false" customWidth="true" hidden="false" outlineLevel="0" max="9002" min="9002" style="2" width="54"/>
    <col collapsed="false" customWidth="true" hidden="false" outlineLevel="0" max="9003" min="9003" style="2" width="43.57"/>
    <col collapsed="false" customWidth="true" hidden="false" outlineLevel="0" max="9004" min="9004" style="2" width="44.71"/>
    <col collapsed="false" customWidth="false" hidden="false" outlineLevel="0" max="9214" min="9005" style="2" width="6.29"/>
    <col collapsed="false" customWidth="true" hidden="false" outlineLevel="0" max="9216" min="9215" style="2" width="2.16"/>
    <col collapsed="false" customWidth="true" hidden="true" outlineLevel="0" max="9217" min="9217" style="2" width="11.57"/>
    <col collapsed="false" customWidth="true" hidden="false" outlineLevel="0" max="9220" min="9218" style="2" width="12.86"/>
    <col collapsed="false" customWidth="true" hidden="false" outlineLevel="0" max="9221" min="9221" style="2" width="12"/>
    <col collapsed="false" customWidth="true" hidden="false" outlineLevel="0" max="9222" min="9222" style="2" width="12.29"/>
    <col collapsed="false" customWidth="true" hidden="false" outlineLevel="0" max="9223" min="9223" style="2" width="13.42"/>
    <col collapsed="false" customWidth="true" hidden="true" outlineLevel="0" max="9224" min="9224" style="2" width="11.57"/>
    <col collapsed="false" customWidth="true" hidden="false" outlineLevel="0" max="9227" min="9225" style="2" width="13"/>
    <col collapsed="false" customWidth="true" hidden="false" outlineLevel="0" max="9228" min="9228" style="2" width="14.86"/>
    <col collapsed="false" customWidth="true" hidden="false" outlineLevel="0" max="9229" min="9229" style="2" width="13.29"/>
    <col collapsed="false" customWidth="true" hidden="false" outlineLevel="0" max="9230" min="9230" style="2" width="13.42"/>
    <col collapsed="false" customWidth="true" hidden="false" outlineLevel="0" max="9231" min="9231" style="2" width="2.16"/>
    <col collapsed="false" customWidth="true" hidden="false" outlineLevel="0" max="9232" min="9232" style="2" width="13.86"/>
    <col collapsed="false" customWidth="true" hidden="false" outlineLevel="0" max="9233" min="9233" style="2" width="10.71"/>
    <col collapsed="false" customWidth="true" hidden="false" outlineLevel="0" max="9234" min="9234" style="2" width="12"/>
    <col collapsed="false" customWidth="true" hidden="false" outlineLevel="0" max="9235" min="9235" style="2" width="11.43"/>
    <col collapsed="false" customWidth="true" hidden="false" outlineLevel="0" max="9236" min="9236" style="2" width="16"/>
    <col collapsed="false" customWidth="true" hidden="false" outlineLevel="0" max="9238" min="9237" style="2" width="10.71"/>
    <col collapsed="false" customWidth="true" hidden="false" outlineLevel="0" max="9239" min="9239" style="2" width="15.57"/>
    <col collapsed="false" customWidth="true" hidden="false" outlineLevel="0" max="9240" min="9240" style="2" width="11.43"/>
    <col collapsed="false" customWidth="true" hidden="false" outlineLevel="0" max="9241" min="9241" style="2" width="12"/>
    <col collapsed="false" customWidth="true" hidden="false" outlineLevel="0" max="9242" min="9242" style="2" width="11.43"/>
    <col collapsed="false" customWidth="true" hidden="false" outlineLevel="0" max="9243" min="9243" style="2" width="12"/>
    <col collapsed="false" customWidth="true" hidden="false" outlineLevel="0" max="9244" min="9244" style="2" width="11.43"/>
    <col collapsed="false" customWidth="true" hidden="false" outlineLevel="0" max="9245" min="9245" style="2" width="12.86"/>
    <col collapsed="false" customWidth="true" hidden="false" outlineLevel="0" max="9246" min="9246" style="2" width="10.71"/>
    <col collapsed="false" customWidth="true" hidden="false" outlineLevel="0" max="9247" min="9247" style="2" width="19"/>
    <col collapsed="false" customWidth="true" hidden="false" outlineLevel="0" max="9248" min="9248" style="2" width="13.29"/>
    <col collapsed="false" customWidth="true" hidden="false" outlineLevel="0" max="9249" min="9249" style="2" width="18"/>
    <col collapsed="false" customWidth="true" hidden="false" outlineLevel="0" max="9250" min="9250" style="2" width="42.42"/>
    <col collapsed="false" customWidth="true" hidden="false" outlineLevel="0" max="9251" min="9251" style="2" width="31"/>
    <col collapsed="false" customWidth="true" hidden="false" outlineLevel="0" max="9252" min="9252" style="2" width="35"/>
    <col collapsed="false" customWidth="true" hidden="false" outlineLevel="0" max="9253" min="9253" style="2" width="31"/>
    <col collapsed="false" customWidth="true" hidden="false" outlineLevel="0" max="9254" min="9254" style="2" width="35"/>
    <col collapsed="false" customWidth="true" hidden="false" outlineLevel="0" max="9255" min="9255" style="2" width="31"/>
    <col collapsed="false" customWidth="true" hidden="false" outlineLevel="0" max="9256" min="9256" style="2" width="37.86"/>
    <col collapsed="false" customWidth="true" hidden="false" outlineLevel="0" max="9257" min="9257" style="2" width="11.43"/>
    <col collapsed="false" customWidth="true" hidden="false" outlineLevel="0" max="9258" min="9258" style="2" width="54"/>
    <col collapsed="false" customWidth="true" hidden="false" outlineLevel="0" max="9259" min="9259" style="2" width="43.57"/>
    <col collapsed="false" customWidth="true" hidden="false" outlineLevel="0" max="9260" min="9260" style="2" width="44.71"/>
    <col collapsed="false" customWidth="false" hidden="false" outlineLevel="0" max="9470" min="9261" style="2" width="6.29"/>
    <col collapsed="false" customWidth="true" hidden="false" outlineLevel="0" max="9472" min="9471" style="2" width="2.16"/>
    <col collapsed="false" customWidth="true" hidden="true" outlineLevel="0" max="9473" min="9473" style="2" width="11.57"/>
    <col collapsed="false" customWidth="true" hidden="false" outlineLevel="0" max="9476" min="9474" style="2" width="12.86"/>
    <col collapsed="false" customWidth="true" hidden="false" outlineLevel="0" max="9477" min="9477" style="2" width="12"/>
    <col collapsed="false" customWidth="true" hidden="false" outlineLevel="0" max="9478" min="9478" style="2" width="12.29"/>
    <col collapsed="false" customWidth="true" hidden="false" outlineLevel="0" max="9479" min="9479" style="2" width="13.42"/>
    <col collapsed="false" customWidth="true" hidden="true" outlineLevel="0" max="9480" min="9480" style="2" width="11.57"/>
    <col collapsed="false" customWidth="true" hidden="false" outlineLevel="0" max="9483" min="9481" style="2" width="13"/>
    <col collapsed="false" customWidth="true" hidden="false" outlineLevel="0" max="9484" min="9484" style="2" width="14.86"/>
    <col collapsed="false" customWidth="true" hidden="false" outlineLevel="0" max="9485" min="9485" style="2" width="13.29"/>
    <col collapsed="false" customWidth="true" hidden="false" outlineLevel="0" max="9486" min="9486" style="2" width="13.42"/>
    <col collapsed="false" customWidth="true" hidden="false" outlineLevel="0" max="9487" min="9487" style="2" width="2.16"/>
    <col collapsed="false" customWidth="true" hidden="false" outlineLevel="0" max="9488" min="9488" style="2" width="13.86"/>
    <col collapsed="false" customWidth="true" hidden="false" outlineLevel="0" max="9489" min="9489" style="2" width="10.71"/>
    <col collapsed="false" customWidth="true" hidden="false" outlineLevel="0" max="9490" min="9490" style="2" width="12"/>
    <col collapsed="false" customWidth="true" hidden="false" outlineLevel="0" max="9491" min="9491" style="2" width="11.43"/>
    <col collapsed="false" customWidth="true" hidden="false" outlineLevel="0" max="9492" min="9492" style="2" width="16"/>
    <col collapsed="false" customWidth="true" hidden="false" outlineLevel="0" max="9494" min="9493" style="2" width="10.71"/>
    <col collapsed="false" customWidth="true" hidden="false" outlineLevel="0" max="9495" min="9495" style="2" width="15.57"/>
    <col collapsed="false" customWidth="true" hidden="false" outlineLevel="0" max="9496" min="9496" style="2" width="11.43"/>
    <col collapsed="false" customWidth="true" hidden="false" outlineLevel="0" max="9497" min="9497" style="2" width="12"/>
    <col collapsed="false" customWidth="true" hidden="false" outlineLevel="0" max="9498" min="9498" style="2" width="11.43"/>
    <col collapsed="false" customWidth="true" hidden="false" outlineLevel="0" max="9499" min="9499" style="2" width="12"/>
    <col collapsed="false" customWidth="true" hidden="false" outlineLevel="0" max="9500" min="9500" style="2" width="11.43"/>
    <col collapsed="false" customWidth="true" hidden="false" outlineLevel="0" max="9501" min="9501" style="2" width="12.86"/>
    <col collapsed="false" customWidth="true" hidden="false" outlineLevel="0" max="9502" min="9502" style="2" width="10.71"/>
    <col collapsed="false" customWidth="true" hidden="false" outlineLevel="0" max="9503" min="9503" style="2" width="19"/>
    <col collapsed="false" customWidth="true" hidden="false" outlineLevel="0" max="9504" min="9504" style="2" width="13.29"/>
    <col collapsed="false" customWidth="true" hidden="false" outlineLevel="0" max="9505" min="9505" style="2" width="18"/>
    <col collapsed="false" customWidth="true" hidden="false" outlineLevel="0" max="9506" min="9506" style="2" width="42.42"/>
    <col collapsed="false" customWidth="true" hidden="false" outlineLevel="0" max="9507" min="9507" style="2" width="31"/>
    <col collapsed="false" customWidth="true" hidden="false" outlineLevel="0" max="9508" min="9508" style="2" width="35"/>
    <col collapsed="false" customWidth="true" hidden="false" outlineLevel="0" max="9509" min="9509" style="2" width="31"/>
    <col collapsed="false" customWidth="true" hidden="false" outlineLevel="0" max="9510" min="9510" style="2" width="35"/>
    <col collapsed="false" customWidth="true" hidden="false" outlineLevel="0" max="9511" min="9511" style="2" width="31"/>
    <col collapsed="false" customWidth="true" hidden="false" outlineLevel="0" max="9512" min="9512" style="2" width="37.86"/>
    <col collapsed="false" customWidth="true" hidden="false" outlineLevel="0" max="9513" min="9513" style="2" width="11.43"/>
    <col collapsed="false" customWidth="true" hidden="false" outlineLevel="0" max="9514" min="9514" style="2" width="54"/>
    <col collapsed="false" customWidth="true" hidden="false" outlineLevel="0" max="9515" min="9515" style="2" width="43.57"/>
    <col collapsed="false" customWidth="true" hidden="false" outlineLevel="0" max="9516" min="9516" style="2" width="44.71"/>
    <col collapsed="false" customWidth="false" hidden="false" outlineLevel="0" max="9726" min="9517" style="2" width="6.29"/>
    <col collapsed="false" customWidth="true" hidden="false" outlineLevel="0" max="9728" min="9727" style="2" width="2.16"/>
    <col collapsed="false" customWidth="true" hidden="true" outlineLevel="0" max="9729" min="9729" style="2" width="11.57"/>
    <col collapsed="false" customWidth="true" hidden="false" outlineLevel="0" max="9732" min="9730" style="2" width="12.86"/>
    <col collapsed="false" customWidth="true" hidden="false" outlineLevel="0" max="9733" min="9733" style="2" width="12"/>
    <col collapsed="false" customWidth="true" hidden="false" outlineLevel="0" max="9734" min="9734" style="2" width="12.29"/>
    <col collapsed="false" customWidth="true" hidden="false" outlineLevel="0" max="9735" min="9735" style="2" width="13.42"/>
    <col collapsed="false" customWidth="true" hidden="true" outlineLevel="0" max="9736" min="9736" style="2" width="11.57"/>
    <col collapsed="false" customWidth="true" hidden="false" outlineLevel="0" max="9739" min="9737" style="2" width="13"/>
    <col collapsed="false" customWidth="true" hidden="false" outlineLevel="0" max="9740" min="9740" style="2" width="14.86"/>
    <col collapsed="false" customWidth="true" hidden="false" outlineLevel="0" max="9741" min="9741" style="2" width="13.29"/>
    <col collapsed="false" customWidth="true" hidden="false" outlineLevel="0" max="9742" min="9742" style="2" width="13.42"/>
    <col collapsed="false" customWidth="true" hidden="false" outlineLevel="0" max="9743" min="9743" style="2" width="2.16"/>
    <col collapsed="false" customWidth="true" hidden="false" outlineLevel="0" max="9744" min="9744" style="2" width="13.86"/>
    <col collapsed="false" customWidth="true" hidden="false" outlineLevel="0" max="9745" min="9745" style="2" width="10.71"/>
    <col collapsed="false" customWidth="true" hidden="false" outlineLevel="0" max="9746" min="9746" style="2" width="12"/>
    <col collapsed="false" customWidth="true" hidden="false" outlineLevel="0" max="9747" min="9747" style="2" width="11.43"/>
    <col collapsed="false" customWidth="true" hidden="false" outlineLevel="0" max="9748" min="9748" style="2" width="16"/>
    <col collapsed="false" customWidth="true" hidden="false" outlineLevel="0" max="9750" min="9749" style="2" width="10.71"/>
    <col collapsed="false" customWidth="true" hidden="false" outlineLevel="0" max="9751" min="9751" style="2" width="15.57"/>
    <col collapsed="false" customWidth="true" hidden="false" outlineLevel="0" max="9752" min="9752" style="2" width="11.43"/>
    <col collapsed="false" customWidth="true" hidden="false" outlineLevel="0" max="9753" min="9753" style="2" width="12"/>
    <col collapsed="false" customWidth="true" hidden="false" outlineLevel="0" max="9754" min="9754" style="2" width="11.43"/>
    <col collapsed="false" customWidth="true" hidden="false" outlineLevel="0" max="9755" min="9755" style="2" width="12"/>
    <col collapsed="false" customWidth="true" hidden="false" outlineLevel="0" max="9756" min="9756" style="2" width="11.43"/>
    <col collapsed="false" customWidth="true" hidden="false" outlineLevel="0" max="9757" min="9757" style="2" width="12.86"/>
    <col collapsed="false" customWidth="true" hidden="false" outlineLevel="0" max="9758" min="9758" style="2" width="10.71"/>
    <col collapsed="false" customWidth="true" hidden="false" outlineLevel="0" max="9759" min="9759" style="2" width="19"/>
    <col collapsed="false" customWidth="true" hidden="false" outlineLevel="0" max="9760" min="9760" style="2" width="13.29"/>
    <col collapsed="false" customWidth="true" hidden="false" outlineLevel="0" max="9761" min="9761" style="2" width="18"/>
    <col collapsed="false" customWidth="true" hidden="false" outlineLevel="0" max="9762" min="9762" style="2" width="42.42"/>
    <col collapsed="false" customWidth="true" hidden="false" outlineLevel="0" max="9763" min="9763" style="2" width="31"/>
    <col collapsed="false" customWidth="true" hidden="false" outlineLevel="0" max="9764" min="9764" style="2" width="35"/>
    <col collapsed="false" customWidth="true" hidden="false" outlineLevel="0" max="9765" min="9765" style="2" width="31"/>
    <col collapsed="false" customWidth="true" hidden="false" outlineLevel="0" max="9766" min="9766" style="2" width="35"/>
    <col collapsed="false" customWidth="true" hidden="false" outlineLevel="0" max="9767" min="9767" style="2" width="31"/>
    <col collapsed="false" customWidth="true" hidden="false" outlineLevel="0" max="9768" min="9768" style="2" width="37.86"/>
    <col collapsed="false" customWidth="true" hidden="false" outlineLevel="0" max="9769" min="9769" style="2" width="11.43"/>
    <col collapsed="false" customWidth="true" hidden="false" outlineLevel="0" max="9770" min="9770" style="2" width="54"/>
    <col collapsed="false" customWidth="true" hidden="false" outlineLevel="0" max="9771" min="9771" style="2" width="43.57"/>
    <col collapsed="false" customWidth="true" hidden="false" outlineLevel="0" max="9772" min="9772" style="2" width="44.71"/>
    <col collapsed="false" customWidth="false" hidden="false" outlineLevel="0" max="9982" min="9773" style="2" width="6.29"/>
    <col collapsed="false" customWidth="true" hidden="false" outlineLevel="0" max="9984" min="9983" style="2" width="2.16"/>
    <col collapsed="false" customWidth="true" hidden="true" outlineLevel="0" max="9985" min="9985" style="2" width="11.57"/>
    <col collapsed="false" customWidth="true" hidden="false" outlineLevel="0" max="9988" min="9986" style="2" width="12.86"/>
    <col collapsed="false" customWidth="true" hidden="false" outlineLevel="0" max="9989" min="9989" style="2" width="12"/>
    <col collapsed="false" customWidth="true" hidden="false" outlineLevel="0" max="9990" min="9990" style="2" width="12.29"/>
    <col collapsed="false" customWidth="true" hidden="false" outlineLevel="0" max="9991" min="9991" style="2" width="13.42"/>
    <col collapsed="false" customWidth="true" hidden="true" outlineLevel="0" max="9992" min="9992" style="2" width="11.57"/>
    <col collapsed="false" customWidth="true" hidden="false" outlineLevel="0" max="9995" min="9993" style="2" width="13"/>
    <col collapsed="false" customWidth="true" hidden="false" outlineLevel="0" max="9996" min="9996" style="2" width="14.86"/>
    <col collapsed="false" customWidth="true" hidden="false" outlineLevel="0" max="9997" min="9997" style="2" width="13.29"/>
    <col collapsed="false" customWidth="true" hidden="false" outlineLevel="0" max="9998" min="9998" style="2" width="13.42"/>
    <col collapsed="false" customWidth="true" hidden="false" outlineLevel="0" max="9999" min="9999" style="2" width="2.16"/>
    <col collapsed="false" customWidth="true" hidden="false" outlineLevel="0" max="10000" min="10000" style="2" width="13.86"/>
    <col collapsed="false" customWidth="true" hidden="false" outlineLevel="0" max="10001" min="10001" style="2" width="10.71"/>
    <col collapsed="false" customWidth="true" hidden="false" outlineLevel="0" max="10002" min="10002" style="2" width="12"/>
    <col collapsed="false" customWidth="true" hidden="false" outlineLevel="0" max="10003" min="10003" style="2" width="11.43"/>
    <col collapsed="false" customWidth="true" hidden="false" outlineLevel="0" max="10004" min="10004" style="2" width="16"/>
    <col collapsed="false" customWidth="true" hidden="false" outlineLevel="0" max="10006" min="10005" style="2" width="10.71"/>
    <col collapsed="false" customWidth="true" hidden="false" outlineLevel="0" max="10007" min="10007" style="2" width="15.57"/>
    <col collapsed="false" customWidth="true" hidden="false" outlineLevel="0" max="10008" min="10008" style="2" width="11.43"/>
    <col collapsed="false" customWidth="true" hidden="false" outlineLevel="0" max="10009" min="10009" style="2" width="12"/>
    <col collapsed="false" customWidth="true" hidden="false" outlineLevel="0" max="10010" min="10010" style="2" width="11.43"/>
    <col collapsed="false" customWidth="true" hidden="false" outlineLevel="0" max="10011" min="10011" style="2" width="12"/>
    <col collapsed="false" customWidth="true" hidden="false" outlineLevel="0" max="10012" min="10012" style="2" width="11.43"/>
    <col collapsed="false" customWidth="true" hidden="false" outlineLevel="0" max="10013" min="10013" style="2" width="12.86"/>
    <col collapsed="false" customWidth="true" hidden="false" outlineLevel="0" max="10014" min="10014" style="2" width="10.71"/>
    <col collapsed="false" customWidth="true" hidden="false" outlineLevel="0" max="10015" min="10015" style="2" width="19"/>
    <col collapsed="false" customWidth="true" hidden="false" outlineLevel="0" max="10016" min="10016" style="2" width="13.29"/>
    <col collapsed="false" customWidth="true" hidden="false" outlineLevel="0" max="10017" min="10017" style="2" width="18"/>
    <col collapsed="false" customWidth="true" hidden="false" outlineLevel="0" max="10018" min="10018" style="2" width="42.42"/>
    <col collapsed="false" customWidth="true" hidden="false" outlineLevel="0" max="10019" min="10019" style="2" width="31"/>
    <col collapsed="false" customWidth="true" hidden="false" outlineLevel="0" max="10020" min="10020" style="2" width="35"/>
    <col collapsed="false" customWidth="true" hidden="false" outlineLevel="0" max="10021" min="10021" style="2" width="31"/>
    <col collapsed="false" customWidth="true" hidden="false" outlineLevel="0" max="10022" min="10022" style="2" width="35"/>
    <col collapsed="false" customWidth="true" hidden="false" outlineLevel="0" max="10023" min="10023" style="2" width="31"/>
    <col collapsed="false" customWidth="true" hidden="false" outlineLevel="0" max="10024" min="10024" style="2" width="37.86"/>
    <col collapsed="false" customWidth="true" hidden="false" outlineLevel="0" max="10025" min="10025" style="2" width="11.43"/>
    <col collapsed="false" customWidth="true" hidden="false" outlineLevel="0" max="10026" min="10026" style="2" width="54"/>
    <col collapsed="false" customWidth="true" hidden="false" outlineLevel="0" max="10027" min="10027" style="2" width="43.57"/>
    <col collapsed="false" customWidth="true" hidden="false" outlineLevel="0" max="10028" min="10028" style="2" width="44.71"/>
    <col collapsed="false" customWidth="false" hidden="false" outlineLevel="0" max="10238" min="10029" style="2" width="6.29"/>
    <col collapsed="false" customWidth="true" hidden="false" outlineLevel="0" max="10240" min="10239" style="2" width="2.16"/>
    <col collapsed="false" customWidth="true" hidden="true" outlineLevel="0" max="10241" min="10241" style="2" width="11.57"/>
    <col collapsed="false" customWidth="true" hidden="false" outlineLevel="0" max="10244" min="10242" style="2" width="12.86"/>
    <col collapsed="false" customWidth="true" hidden="false" outlineLevel="0" max="10245" min="10245" style="2" width="12"/>
    <col collapsed="false" customWidth="true" hidden="false" outlineLevel="0" max="10246" min="10246" style="2" width="12.29"/>
    <col collapsed="false" customWidth="true" hidden="false" outlineLevel="0" max="10247" min="10247" style="2" width="13.42"/>
    <col collapsed="false" customWidth="true" hidden="true" outlineLevel="0" max="10248" min="10248" style="2" width="11.57"/>
    <col collapsed="false" customWidth="true" hidden="false" outlineLevel="0" max="10251" min="10249" style="2" width="13"/>
    <col collapsed="false" customWidth="true" hidden="false" outlineLevel="0" max="10252" min="10252" style="2" width="14.86"/>
    <col collapsed="false" customWidth="true" hidden="false" outlineLevel="0" max="10253" min="10253" style="2" width="13.29"/>
    <col collapsed="false" customWidth="true" hidden="false" outlineLevel="0" max="10254" min="10254" style="2" width="13.42"/>
    <col collapsed="false" customWidth="true" hidden="false" outlineLevel="0" max="10255" min="10255" style="2" width="2.16"/>
    <col collapsed="false" customWidth="true" hidden="false" outlineLevel="0" max="10256" min="10256" style="2" width="13.86"/>
    <col collapsed="false" customWidth="true" hidden="false" outlineLevel="0" max="10257" min="10257" style="2" width="10.71"/>
    <col collapsed="false" customWidth="true" hidden="false" outlineLevel="0" max="10258" min="10258" style="2" width="12"/>
    <col collapsed="false" customWidth="true" hidden="false" outlineLevel="0" max="10259" min="10259" style="2" width="11.43"/>
    <col collapsed="false" customWidth="true" hidden="false" outlineLevel="0" max="10260" min="10260" style="2" width="16"/>
    <col collapsed="false" customWidth="true" hidden="false" outlineLevel="0" max="10262" min="10261" style="2" width="10.71"/>
    <col collapsed="false" customWidth="true" hidden="false" outlineLevel="0" max="10263" min="10263" style="2" width="15.57"/>
    <col collapsed="false" customWidth="true" hidden="false" outlineLevel="0" max="10264" min="10264" style="2" width="11.43"/>
    <col collapsed="false" customWidth="true" hidden="false" outlineLevel="0" max="10265" min="10265" style="2" width="12"/>
    <col collapsed="false" customWidth="true" hidden="false" outlineLevel="0" max="10266" min="10266" style="2" width="11.43"/>
    <col collapsed="false" customWidth="true" hidden="false" outlineLevel="0" max="10267" min="10267" style="2" width="12"/>
    <col collapsed="false" customWidth="true" hidden="false" outlineLevel="0" max="10268" min="10268" style="2" width="11.43"/>
    <col collapsed="false" customWidth="true" hidden="false" outlineLevel="0" max="10269" min="10269" style="2" width="12.86"/>
    <col collapsed="false" customWidth="true" hidden="false" outlineLevel="0" max="10270" min="10270" style="2" width="10.71"/>
    <col collapsed="false" customWidth="true" hidden="false" outlineLevel="0" max="10271" min="10271" style="2" width="19"/>
    <col collapsed="false" customWidth="true" hidden="false" outlineLevel="0" max="10272" min="10272" style="2" width="13.29"/>
    <col collapsed="false" customWidth="true" hidden="false" outlineLevel="0" max="10273" min="10273" style="2" width="18"/>
    <col collapsed="false" customWidth="true" hidden="false" outlineLevel="0" max="10274" min="10274" style="2" width="42.42"/>
    <col collapsed="false" customWidth="true" hidden="false" outlineLevel="0" max="10275" min="10275" style="2" width="31"/>
    <col collapsed="false" customWidth="true" hidden="false" outlineLevel="0" max="10276" min="10276" style="2" width="35"/>
    <col collapsed="false" customWidth="true" hidden="false" outlineLevel="0" max="10277" min="10277" style="2" width="31"/>
    <col collapsed="false" customWidth="true" hidden="false" outlineLevel="0" max="10278" min="10278" style="2" width="35"/>
    <col collapsed="false" customWidth="true" hidden="false" outlineLevel="0" max="10279" min="10279" style="2" width="31"/>
    <col collapsed="false" customWidth="true" hidden="false" outlineLevel="0" max="10280" min="10280" style="2" width="37.86"/>
    <col collapsed="false" customWidth="true" hidden="false" outlineLevel="0" max="10281" min="10281" style="2" width="11.43"/>
    <col collapsed="false" customWidth="true" hidden="false" outlineLevel="0" max="10282" min="10282" style="2" width="54"/>
    <col collapsed="false" customWidth="true" hidden="false" outlineLevel="0" max="10283" min="10283" style="2" width="43.57"/>
    <col collapsed="false" customWidth="true" hidden="false" outlineLevel="0" max="10284" min="10284" style="2" width="44.71"/>
    <col collapsed="false" customWidth="false" hidden="false" outlineLevel="0" max="10494" min="10285" style="2" width="6.29"/>
    <col collapsed="false" customWidth="true" hidden="false" outlineLevel="0" max="10496" min="10495" style="2" width="2.16"/>
    <col collapsed="false" customWidth="true" hidden="true" outlineLevel="0" max="10497" min="10497" style="2" width="11.57"/>
    <col collapsed="false" customWidth="true" hidden="false" outlineLevel="0" max="10500" min="10498" style="2" width="12.86"/>
    <col collapsed="false" customWidth="true" hidden="false" outlineLevel="0" max="10501" min="10501" style="2" width="12"/>
    <col collapsed="false" customWidth="true" hidden="false" outlineLevel="0" max="10502" min="10502" style="2" width="12.29"/>
    <col collapsed="false" customWidth="true" hidden="false" outlineLevel="0" max="10503" min="10503" style="2" width="13.42"/>
    <col collapsed="false" customWidth="true" hidden="true" outlineLevel="0" max="10504" min="10504" style="2" width="11.57"/>
    <col collapsed="false" customWidth="true" hidden="false" outlineLevel="0" max="10507" min="10505" style="2" width="13"/>
    <col collapsed="false" customWidth="true" hidden="false" outlineLevel="0" max="10508" min="10508" style="2" width="14.86"/>
    <col collapsed="false" customWidth="true" hidden="false" outlineLevel="0" max="10509" min="10509" style="2" width="13.29"/>
    <col collapsed="false" customWidth="true" hidden="false" outlineLevel="0" max="10510" min="10510" style="2" width="13.42"/>
    <col collapsed="false" customWidth="true" hidden="false" outlineLevel="0" max="10511" min="10511" style="2" width="2.16"/>
    <col collapsed="false" customWidth="true" hidden="false" outlineLevel="0" max="10512" min="10512" style="2" width="13.86"/>
    <col collapsed="false" customWidth="true" hidden="false" outlineLevel="0" max="10513" min="10513" style="2" width="10.71"/>
    <col collapsed="false" customWidth="true" hidden="false" outlineLevel="0" max="10514" min="10514" style="2" width="12"/>
    <col collapsed="false" customWidth="true" hidden="false" outlineLevel="0" max="10515" min="10515" style="2" width="11.43"/>
    <col collapsed="false" customWidth="true" hidden="false" outlineLevel="0" max="10516" min="10516" style="2" width="16"/>
    <col collapsed="false" customWidth="true" hidden="false" outlineLevel="0" max="10518" min="10517" style="2" width="10.71"/>
    <col collapsed="false" customWidth="true" hidden="false" outlineLevel="0" max="10519" min="10519" style="2" width="15.57"/>
    <col collapsed="false" customWidth="true" hidden="false" outlineLevel="0" max="10520" min="10520" style="2" width="11.43"/>
    <col collapsed="false" customWidth="true" hidden="false" outlineLevel="0" max="10521" min="10521" style="2" width="12"/>
    <col collapsed="false" customWidth="true" hidden="false" outlineLevel="0" max="10522" min="10522" style="2" width="11.43"/>
    <col collapsed="false" customWidth="true" hidden="false" outlineLevel="0" max="10523" min="10523" style="2" width="12"/>
    <col collapsed="false" customWidth="true" hidden="false" outlineLevel="0" max="10524" min="10524" style="2" width="11.43"/>
    <col collapsed="false" customWidth="true" hidden="false" outlineLevel="0" max="10525" min="10525" style="2" width="12.86"/>
    <col collapsed="false" customWidth="true" hidden="false" outlineLevel="0" max="10526" min="10526" style="2" width="10.71"/>
    <col collapsed="false" customWidth="true" hidden="false" outlineLevel="0" max="10527" min="10527" style="2" width="19"/>
    <col collapsed="false" customWidth="true" hidden="false" outlineLevel="0" max="10528" min="10528" style="2" width="13.29"/>
    <col collapsed="false" customWidth="true" hidden="false" outlineLevel="0" max="10529" min="10529" style="2" width="18"/>
    <col collapsed="false" customWidth="true" hidden="false" outlineLevel="0" max="10530" min="10530" style="2" width="42.42"/>
    <col collapsed="false" customWidth="true" hidden="false" outlineLevel="0" max="10531" min="10531" style="2" width="31"/>
    <col collapsed="false" customWidth="true" hidden="false" outlineLevel="0" max="10532" min="10532" style="2" width="35"/>
    <col collapsed="false" customWidth="true" hidden="false" outlineLevel="0" max="10533" min="10533" style="2" width="31"/>
    <col collapsed="false" customWidth="true" hidden="false" outlineLevel="0" max="10534" min="10534" style="2" width="35"/>
    <col collapsed="false" customWidth="true" hidden="false" outlineLevel="0" max="10535" min="10535" style="2" width="31"/>
    <col collapsed="false" customWidth="true" hidden="false" outlineLevel="0" max="10536" min="10536" style="2" width="37.86"/>
    <col collapsed="false" customWidth="true" hidden="false" outlineLevel="0" max="10537" min="10537" style="2" width="11.43"/>
    <col collapsed="false" customWidth="true" hidden="false" outlineLevel="0" max="10538" min="10538" style="2" width="54"/>
    <col collapsed="false" customWidth="true" hidden="false" outlineLevel="0" max="10539" min="10539" style="2" width="43.57"/>
    <col collapsed="false" customWidth="true" hidden="false" outlineLevel="0" max="10540" min="10540" style="2" width="44.71"/>
    <col collapsed="false" customWidth="false" hidden="false" outlineLevel="0" max="10750" min="10541" style="2" width="6.29"/>
    <col collapsed="false" customWidth="true" hidden="false" outlineLevel="0" max="10752" min="10751" style="2" width="2.16"/>
    <col collapsed="false" customWidth="true" hidden="true" outlineLevel="0" max="10753" min="10753" style="2" width="11.57"/>
    <col collapsed="false" customWidth="true" hidden="false" outlineLevel="0" max="10756" min="10754" style="2" width="12.86"/>
    <col collapsed="false" customWidth="true" hidden="false" outlineLevel="0" max="10757" min="10757" style="2" width="12"/>
    <col collapsed="false" customWidth="true" hidden="false" outlineLevel="0" max="10758" min="10758" style="2" width="12.29"/>
    <col collapsed="false" customWidth="true" hidden="false" outlineLevel="0" max="10759" min="10759" style="2" width="13.42"/>
    <col collapsed="false" customWidth="true" hidden="true" outlineLevel="0" max="10760" min="10760" style="2" width="11.57"/>
    <col collapsed="false" customWidth="true" hidden="false" outlineLevel="0" max="10763" min="10761" style="2" width="13"/>
    <col collapsed="false" customWidth="true" hidden="false" outlineLevel="0" max="10764" min="10764" style="2" width="14.86"/>
    <col collapsed="false" customWidth="true" hidden="false" outlineLevel="0" max="10765" min="10765" style="2" width="13.29"/>
    <col collapsed="false" customWidth="true" hidden="false" outlineLevel="0" max="10766" min="10766" style="2" width="13.42"/>
    <col collapsed="false" customWidth="true" hidden="false" outlineLevel="0" max="10767" min="10767" style="2" width="2.16"/>
    <col collapsed="false" customWidth="true" hidden="false" outlineLevel="0" max="10768" min="10768" style="2" width="13.86"/>
    <col collapsed="false" customWidth="true" hidden="false" outlineLevel="0" max="10769" min="10769" style="2" width="10.71"/>
    <col collapsed="false" customWidth="true" hidden="false" outlineLevel="0" max="10770" min="10770" style="2" width="12"/>
    <col collapsed="false" customWidth="true" hidden="false" outlineLevel="0" max="10771" min="10771" style="2" width="11.43"/>
    <col collapsed="false" customWidth="true" hidden="false" outlineLevel="0" max="10772" min="10772" style="2" width="16"/>
    <col collapsed="false" customWidth="true" hidden="false" outlineLevel="0" max="10774" min="10773" style="2" width="10.71"/>
    <col collapsed="false" customWidth="true" hidden="false" outlineLevel="0" max="10775" min="10775" style="2" width="15.57"/>
    <col collapsed="false" customWidth="true" hidden="false" outlineLevel="0" max="10776" min="10776" style="2" width="11.43"/>
    <col collapsed="false" customWidth="true" hidden="false" outlineLevel="0" max="10777" min="10777" style="2" width="12"/>
    <col collapsed="false" customWidth="true" hidden="false" outlineLevel="0" max="10778" min="10778" style="2" width="11.43"/>
    <col collapsed="false" customWidth="true" hidden="false" outlineLevel="0" max="10779" min="10779" style="2" width="12"/>
    <col collapsed="false" customWidth="true" hidden="false" outlineLevel="0" max="10780" min="10780" style="2" width="11.43"/>
    <col collapsed="false" customWidth="true" hidden="false" outlineLevel="0" max="10781" min="10781" style="2" width="12.86"/>
    <col collapsed="false" customWidth="true" hidden="false" outlineLevel="0" max="10782" min="10782" style="2" width="10.71"/>
    <col collapsed="false" customWidth="true" hidden="false" outlineLevel="0" max="10783" min="10783" style="2" width="19"/>
    <col collapsed="false" customWidth="true" hidden="false" outlineLevel="0" max="10784" min="10784" style="2" width="13.29"/>
    <col collapsed="false" customWidth="true" hidden="false" outlineLevel="0" max="10785" min="10785" style="2" width="18"/>
    <col collapsed="false" customWidth="true" hidden="false" outlineLevel="0" max="10786" min="10786" style="2" width="42.42"/>
    <col collapsed="false" customWidth="true" hidden="false" outlineLevel="0" max="10787" min="10787" style="2" width="31"/>
    <col collapsed="false" customWidth="true" hidden="false" outlineLevel="0" max="10788" min="10788" style="2" width="35"/>
    <col collapsed="false" customWidth="true" hidden="false" outlineLevel="0" max="10789" min="10789" style="2" width="31"/>
    <col collapsed="false" customWidth="true" hidden="false" outlineLevel="0" max="10790" min="10790" style="2" width="35"/>
    <col collapsed="false" customWidth="true" hidden="false" outlineLevel="0" max="10791" min="10791" style="2" width="31"/>
    <col collapsed="false" customWidth="true" hidden="false" outlineLevel="0" max="10792" min="10792" style="2" width="37.86"/>
    <col collapsed="false" customWidth="true" hidden="false" outlineLevel="0" max="10793" min="10793" style="2" width="11.43"/>
    <col collapsed="false" customWidth="true" hidden="false" outlineLevel="0" max="10794" min="10794" style="2" width="54"/>
    <col collapsed="false" customWidth="true" hidden="false" outlineLevel="0" max="10795" min="10795" style="2" width="43.57"/>
    <col collapsed="false" customWidth="true" hidden="false" outlineLevel="0" max="10796" min="10796" style="2" width="44.71"/>
    <col collapsed="false" customWidth="false" hidden="false" outlineLevel="0" max="11006" min="10797" style="2" width="6.29"/>
    <col collapsed="false" customWidth="true" hidden="false" outlineLevel="0" max="11008" min="11007" style="2" width="2.16"/>
    <col collapsed="false" customWidth="true" hidden="true" outlineLevel="0" max="11009" min="11009" style="2" width="11.57"/>
    <col collapsed="false" customWidth="true" hidden="false" outlineLevel="0" max="11012" min="11010" style="2" width="12.86"/>
    <col collapsed="false" customWidth="true" hidden="false" outlineLevel="0" max="11013" min="11013" style="2" width="12"/>
    <col collapsed="false" customWidth="true" hidden="false" outlineLevel="0" max="11014" min="11014" style="2" width="12.29"/>
    <col collapsed="false" customWidth="true" hidden="false" outlineLevel="0" max="11015" min="11015" style="2" width="13.42"/>
    <col collapsed="false" customWidth="true" hidden="true" outlineLevel="0" max="11016" min="11016" style="2" width="11.57"/>
    <col collapsed="false" customWidth="true" hidden="false" outlineLevel="0" max="11019" min="11017" style="2" width="13"/>
    <col collapsed="false" customWidth="true" hidden="false" outlineLevel="0" max="11020" min="11020" style="2" width="14.86"/>
    <col collapsed="false" customWidth="true" hidden="false" outlineLevel="0" max="11021" min="11021" style="2" width="13.29"/>
    <col collapsed="false" customWidth="true" hidden="false" outlineLevel="0" max="11022" min="11022" style="2" width="13.42"/>
    <col collapsed="false" customWidth="true" hidden="false" outlineLevel="0" max="11023" min="11023" style="2" width="2.16"/>
    <col collapsed="false" customWidth="true" hidden="false" outlineLevel="0" max="11024" min="11024" style="2" width="13.86"/>
    <col collapsed="false" customWidth="true" hidden="false" outlineLevel="0" max="11025" min="11025" style="2" width="10.71"/>
    <col collapsed="false" customWidth="true" hidden="false" outlineLevel="0" max="11026" min="11026" style="2" width="12"/>
    <col collapsed="false" customWidth="true" hidden="false" outlineLevel="0" max="11027" min="11027" style="2" width="11.43"/>
    <col collapsed="false" customWidth="true" hidden="false" outlineLevel="0" max="11028" min="11028" style="2" width="16"/>
    <col collapsed="false" customWidth="true" hidden="false" outlineLevel="0" max="11030" min="11029" style="2" width="10.71"/>
    <col collapsed="false" customWidth="true" hidden="false" outlineLevel="0" max="11031" min="11031" style="2" width="15.57"/>
    <col collapsed="false" customWidth="true" hidden="false" outlineLevel="0" max="11032" min="11032" style="2" width="11.43"/>
    <col collapsed="false" customWidth="true" hidden="false" outlineLevel="0" max="11033" min="11033" style="2" width="12"/>
    <col collapsed="false" customWidth="true" hidden="false" outlineLevel="0" max="11034" min="11034" style="2" width="11.43"/>
    <col collapsed="false" customWidth="true" hidden="false" outlineLevel="0" max="11035" min="11035" style="2" width="12"/>
    <col collapsed="false" customWidth="true" hidden="false" outlineLevel="0" max="11036" min="11036" style="2" width="11.43"/>
    <col collapsed="false" customWidth="true" hidden="false" outlineLevel="0" max="11037" min="11037" style="2" width="12.86"/>
    <col collapsed="false" customWidth="true" hidden="false" outlineLevel="0" max="11038" min="11038" style="2" width="10.71"/>
    <col collapsed="false" customWidth="true" hidden="false" outlineLevel="0" max="11039" min="11039" style="2" width="19"/>
    <col collapsed="false" customWidth="true" hidden="false" outlineLevel="0" max="11040" min="11040" style="2" width="13.29"/>
    <col collapsed="false" customWidth="true" hidden="false" outlineLevel="0" max="11041" min="11041" style="2" width="18"/>
    <col collapsed="false" customWidth="true" hidden="false" outlineLevel="0" max="11042" min="11042" style="2" width="42.42"/>
    <col collapsed="false" customWidth="true" hidden="false" outlineLevel="0" max="11043" min="11043" style="2" width="31"/>
    <col collapsed="false" customWidth="true" hidden="false" outlineLevel="0" max="11044" min="11044" style="2" width="35"/>
    <col collapsed="false" customWidth="true" hidden="false" outlineLevel="0" max="11045" min="11045" style="2" width="31"/>
    <col collapsed="false" customWidth="true" hidden="false" outlineLevel="0" max="11046" min="11046" style="2" width="35"/>
    <col collapsed="false" customWidth="true" hidden="false" outlineLevel="0" max="11047" min="11047" style="2" width="31"/>
    <col collapsed="false" customWidth="true" hidden="false" outlineLevel="0" max="11048" min="11048" style="2" width="37.86"/>
    <col collapsed="false" customWidth="true" hidden="false" outlineLevel="0" max="11049" min="11049" style="2" width="11.43"/>
    <col collapsed="false" customWidth="true" hidden="false" outlineLevel="0" max="11050" min="11050" style="2" width="54"/>
    <col collapsed="false" customWidth="true" hidden="false" outlineLevel="0" max="11051" min="11051" style="2" width="43.57"/>
    <col collapsed="false" customWidth="true" hidden="false" outlineLevel="0" max="11052" min="11052" style="2" width="44.71"/>
    <col collapsed="false" customWidth="false" hidden="false" outlineLevel="0" max="11262" min="11053" style="2" width="6.29"/>
    <col collapsed="false" customWidth="true" hidden="false" outlineLevel="0" max="11264" min="11263" style="2" width="2.16"/>
    <col collapsed="false" customWidth="true" hidden="true" outlineLevel="0" max="11265" min="11265" style="2" width="11.57"/>
    <col collapsed="false" customWidth="true" hidden="false" outlineLevel="0" max="11268" min="11266" style="2" width="12.86"/>
    <col collapsed="false" customWidth="true" hidden="false" outlineLevel="0" max="11269" min="11269" style="2" width="12"/>
    <col collapsed="false" customWidth="true" hidden="false" outlineLevel="0" max="11270" min="11270" style="2" width="12.29"/>
    <col collapsed="false" customWidth="true" hidden="false" outlineLevel="0" max="11271" min="11271" style="2" width="13.42"/>
    <col collapsed="false" customWidth="true" hidden="true" outlineLevel="0" max="11272" min="11272" style="2" width="11.57"/>
    <col collapsed="false" customWidth="true" hidden="false" outlineLevel="0" max="11275" min="11273" style="2" width="13"/>
    <col collapsed="false" customWidth="true" hidden="false" outlineLevel="0" max="11276" min="11276" style="2" width="14.86"/>
    <col collapsed="false" customWidth="true" hidden="false" outlineLevel="0" max="11277" min="11277" style="2" width="13.29"/>
    <col collapsed="false" customWidth="true" hidden="false" outlineLevel="0" max="11278" min="11278" style="2" width="13.42"/>
    <col collapsed="false" customWidth="true" hidden="false" outlineLevel="0" max="11279" min="11279" style="2" width="2.16"/>
    <col collapsed="false" customWidth="true" hidden="false" outlineLevel="0" max="11280" min="11280" style="2" width="13.86"/>
    <col collapsed="false" customWidth="true" hidden="false" outlineLevel="0" max="11281" min="11281" style="2" width="10.71"/>
    <col collapsed="false" customWidth="true" hidden="false" outlineLevel="0" max="11282" min="11282" style="2" width="12"/>
    <col collapsed="false" customWidth="true" hidden="false" outlineLevel="0" max="11283" min="11283" style="2" width="11.43"/>
    <col collapsed="false" customWidth="true" hidden="false" outlineLevel="0" max="11284" min="11284" style="2" width="16"/>
    <col collapsed="false" customWidth="true" hidden="false" outlineLevel="0" max="11286" min="11285" style="2" width="10.71"/>
    <col collapsed="false" customWidth="true" hidden="false" outlineLevel="0" max="11287" min="11287" style="2" width="15.57"/>
    <col collapsed="false" customWidth="true" hidden="false" outlineLevel="0" max="11288" min="11288" style="2" width="11.43"/>
    <col collapsed="false" customWidth="true" hidden="false" outlineLevel="0" max="11289" min="11289" style="2" width="12"/>
    <col collapsed="false" customWidth="true" hidden="false" outlineLevel="0" max="11290" min="11290" style="2" width="11.43"/>
    <col collapsed="false" customWidth="true" hidden="false" outlineLevel="0" max="11291" min="11291" style="2" width="12"/>
    <col collapsed="false" customWidth="true" hidden="false" outlineLevel="0" max="11292" min="11292" style="2" width="11.43"/>
    <col collapsed="false" customWidth="true" hidden="false" outlineLevel="0" max="11293" min="11293" style="2" width="12.86"/>
    <col collapsed="false" customWidth="true" hidden="false" outlineLevel="0" max="11294" min="11294" style="2" width="10.71"/>
    <col collapsed="false" customWidth="true" hidden="false" outlineLevel="0" max="11295" min="11295" style="2" width="19"/>
    <col collapsed="false" customWidth="true" hidden="false" outlineLevel="0" max="11296" min="11296" style="2" width="13.29"/>
    <col collapsed="false" customWidth="true" hidden="false" outlineLevel="0" max="11297" min="11297" style="2" width="18"/>
    <col collapsed="false" customWidth="true" hidden="false" outlineLevel="0" max="11298" min="11298" style="2" width="42.42"/>
    <col collapsed="false" customWidth="true" hidden="false" outlineLevel="0" max="11299" min="11299" style="2" width="31"/>
    <col collapsed="false" customWidth="true" hidden="false" outlineLevel="0" max="11300" min="11300" style="2" width="35"/>
    <col collapsed="false" customWidth="true" hidden="false" outlineLevel="0" max="11301" min="11301" style="2" width="31"/>
    <col collapsed="false" customWidth="true" hidden="false" outlineLevel="0" max="11302" min="11302" style="2" width="35"/>
    <col collapsed="false" customWidth="true" hidden="false" outlineLevel="0" max="11303" min="11303" style="2" width="31"/>
    <col collapsed="false" customWidth="true" hidden="false" outlineLevel="0" max="11304" min="11304" style="2" width="37.86"/>
    <col collapsed="false" customWidth="true" hidden="false" outlineLevel="0" max="11305" min="11305" style="2" width="11.43"/>
    <col collapsed="false" customWidth="true" hidden="false" outlineLevel="0" max="11306" min="11306" style="2" width="54"/>
    <col collapsed="false" customWidth="true" hidden="false" outlineLevel="0" max="11307" min="11307" style="2" width="43.57"/>
    <col collapsed="false" customWidth="true" hidden="false" outlineLevel="0" max="11308" min="11308" style="2" width="44.71"/>
    <col collapsed="false" customWidth="false" hidden="false" outlineLevel="0" max="11518" min="11309" style="2" width="6.29"/>
    <col collapsed="false" customWidth="true" hidden="false" outlineLevel="0" max="11520" min="11519" style="2" width="2.16"/>
    <col collapsed="false" customWidth="true" hidden="true" outlineLevel="0" max="11521" min="11521" style="2" width="11.57"/>
    <col collapsed="false" customWidth="true" hidden="false" outlineLevel="0" max="11524" min="11522" style="2" width="12.86"/>
    <col collapsed="false" customWidth="true" hidden="false" outlineLevel="0" max="11525" min="11525" style="2" width="12"/>
    <col collapsed="false" customWidth="true" hidden="false" outlineLevel="0" max="11526" min="11526" style="2" width="12.29"/>
    <col collapsed="false" customWidth="true" hidden="false" outlineLevel="0" max="11527" min="11527" style="2" width="13.42"/>
    <col collapsed="false" customWidth="true" hidden="true" outlineLevel="0" max="11528" min="11528" style="2" width="11.57"/>
    <col collapsed="false" customWidth="true" hidden="false" outlineLevel="0" max="11531" min="11529" style="2" width="13"/>
    <col collapsed="false" customWidth="true" hidden="false" outlineLevel="0" max="11532" min="11532" style="2" width="14.86"/>
    <col collapsed="false" customWidth="true" hidden="false" outlineLevel="0" max="11533" min="11533" style="2" width="13.29"/>
    <col collapsed="false" customWidth="true" hidden="false" outlineLevel="0" max="11534" min="11534" style="2" width="13.42"/>
    <col collapsed="false" customWidth="true" hidden="false" outlineLevel="0" max="11535" min="11535" style="2" width="2.16"/>
    <col collapsed="false" customWidth="true" hidden="false" outlineLevel="0" max="11536" min="11536" style="2" width="13.86"/>
    <col collapsed="false" customWidth="true" hidden="false" outlineLevel="0" max="11537" min="11537" style="2" width="10.71"/>
    <col collapsed="false" customWidth="true" hidden="false" outlineLevel="0" max="11538" min="11538" style="2" width="12"/>
    <col collapsed="false" customWidth="true" hidden="false" outlineLevel="0" max="11539" min="11539" style="2" width="11.43"/>
    <col collapsed="false" customWidth="true" hidden="false" outlineLevel="0" max="11540" min="11540" style="2" width="16"/>
    <col collapsed="false" customWidth="true" hidden="false" outlineLevel="0" max="11542" min="11541" style="2" width="10.71"/>
    <col collapsed="false" customWidth="true" hidden="false" outlineLevel="0" max="11543" min="11543" style="2" width="15.57"/>
    <col collapsed="false" customWidth="true" hidden="false" outlineLevel="0" max="11544" min="11544" style="2" width="11.43"/>
    <col collapsed="false" customWidth="true" hidden="false" outlineLevel="0" max="11545" min="11545" style="2" width="12"/>
    <col collapsed="false" customWidth="true" hidden="false" outlineLevel="0" max="11546" min="11546" style="2" width="11.43"/>
    <col collapsed="false" customWidth="true" hidden="false" outlineLevel="0" max="11547" min="11547" style="2" width="12"/>
    <col collapsed="false" customWidth="true" hidden="false" outlineLevel="0" max="11548" min="11548" style="2" width="11.43"/>
    <col collapsed="false" customWidth="true" hidden="false" outlineLevel="0" max="11549" min="11549" style="2" width="12.86"/>
    <col collapsed="false" customWidth="true" hidden="false" outlineLevel="0" max="11550" min="11550" style="2" width="10.71"/>
    <col collapsed="false" customWidth="true" hidden="false" outlineLevel="0" max="11551" min="11551" style="2" width="19"/>
    <col collapsed="false" customWidth="true" hidden="false" outlineLevel="0" max="11552" min="11552" style="2" width="13.29"/>
    <col collapsed="false" customWidth="true" hidden="false" outlineLevel="0" max="11553" min="11553" style="2" width="18"/>
    <col collapsed="false" customWidth="true" hidden="false" outlineLevel="0" max="11554" min="11554" style="2" width="42.42"/>
    <col collapsed="false" customWidth="true" hidden="false" outlineLevel="0" max="11555" min="11555" style="2" width="31"/>
    <col collapsed="false" customWidth="true" hidden="false" outlineLevel="0" max="11556" min="11556" style="2" width="35"/>
    <col collapsed="false" customWidth="true" hidden="false" outlineLevel="0" max="11557" min="11557" style="2" width="31"/>
    <col collapsed="false" customWidth="true" hidden="false" outlineLevel="0" max="11558" min="11558" style="2" width="35"/>
    <col collapsed="false" customWidth="true" hidden="false" outlineLevel="0" max="11559" min="11559" style="2" width="31"/>
    <col collapsed="false" customWidth="true" hidden="false" outlineLevel="0" max="11560" min="11560" style="2" width="37.86"/>
    <col collapsed="false" customWidth="true" hidden="false" outlineLevel="0" max="11561" min="11561" style="2" width="11.43"/>
    <col collapsed="false" customWidth="true" hidden="false" outlineLevel="0" max="11562" min="11562" style="2" width="54"/>
    <col collapsed="false" customWidth="true" hidden="false" outlineLevel="0" max="11563" min="11563" style="2" width="43.57"/>
    <col collapsed="false" customWidth="true" hidden="false" outlineLevel="0" max="11564" min="11564" style="2" width="44.71"/>
    <col collapsed="false" customWidth="false" hidden="false" outlineLevel="0" max="11774" min="11565" style="2" width="6.29"/>
    <col collapsed="false" customWidth="true" hidden="false" outlineLevel="0" max="11776" min="11775" style="2" width="2.16"/>
    <col collapsed="false" customWidth="true" hidden="true" outlineLevel="0" max="11777" min="11777" style="2" width="11.57"/>
    <col collapsed="false" customWidth="true" hidden="false" outlineLevel="0" max="11780" min="11778" style="2" width="12.86"/>
    <col collapsed="false" customWidth="true" hidden="false" outlineLevel="0" max="11781" min="11781" style="2" width="12"/>
    <col collapsed="false" customWidth="true" hidden="false" outlineLevel="0" max="11782" min="11782" style="2" width="12.29"/>
    <col collapsed="false" customWidth="true" hidden="false" outlineLevel="0" max="11783" min="11783" style="2" width="13.42"/>
    <col collapsed="false" customWidth="true" hidden="true" outlineLevel="0" max="11784" min="11784" style="2" width="11.57"/>
    <col collapsed="false" customWidth="true" hidden="false" outlineLevel="0" max="11787" min="11785" style="2" width="13"/>
    <col collapsed="false" customWidth="true" hidden="false" outlineLevel="0" max="11788" min="11788" style="2" width="14.86"/>
    <col collapsed="false" customWidth="true" hidden="false" outlineLevel="0" max="11789" min="11789" style="2" width="13.29"/>
    <col collapsed="false" customWidth="true" hidden="false" outlineLevel="0" max="11790" min="11790" style="2" width="13.42"/>
    <col collapsed="false" customWidth="true" hidden="false" outlineLevel="0" max="11791" min="11791" style="2" width="2.16"/>
    <col collapsed="false" customWidth="true" hidden="false" outlineLevel="0" max="11792" min="11792" style="2" width="13.86"/>
    <col collapsed="false" customWidth="true" hidden="false" outlineLevel="0" max="11793" min="11793" style="2" width="10.71"/>
    <col collapsed="false" customWidth="true" hidden="false" outlineLevel="0" max="11794" min="11794" style="2" width="12"/>
    <col collapsed="false" customWidth="true" hidden="false" outlineLevel="0" max="11795" min="11795" style="2" width="11.43"/>
    <col collapsed="false" customWidth="true" hidden="false" outlineLevel="0" max="11796" min="11796" style="2" width="16"/>
    <col collapsed="false" customWidth="true" hidden="false" outlineLevel="0" max="11798" min="11797" style="2" width="10.71"/>
    <col collapsed="false" customWidth="true" hidden="false" outlineLevel="0" max="11799" min="11799" style="2" width="15.57"/>
    <col collapsed="false" customWidth="true" hidden="false" outlineLevel="0" max="11800" min="11800" style="2" width="11.43"/>
    <col collapsed="false" customWidth="true" hidden="false" outlineLevel="0" max="11801" min="11801" style="2" width="12"/>
    <col collapsed="false" customWidth="true" hidden="false" outlineLevel="0" max="11802" min="11802" style="2" width="11.43"/>
    <col collapsed="false" customWidth="true" hidden="false" outlineLevel="0" max="11803" min="11803" style="2" width="12"/>
    <col collapsed="false" customWidth="true" hidden="false" outlineLevel="0" max="11804" min="11804" style="2" width="11.43"/>
    <col collapsed="false" customWidth="true" hidden="false" outlineLevel="0" max="11805" min="11805" style="2" width="12.86"/>
    <col collapsed="false" customWidth="true" hidden="false" outlineLevel="0" max="11806" min="11806" style="2" width="10.71"/>
    <col collapsed="false" customWidth="true" hidden="false" outlineLevel="0" max="11807" min="11807" style="2" width="19"/>
    <col collapsed="false" customWidth="true" hidden="false" outlineLevel="0" max="11808" min="11808" style="2" width="13.29"/>
    <col collapsed="false" customWidth="true" hidden="false" outlineLevel="0" max="11809" min="11809" style="2" width="18"/>
    <col collapsed="false" customWidth="true" hidden="false" outlineLevel="0" max="11810" min="11810" style="2" width="42.42"/>
    <col collapsed="false" customWidth="true" hidden="false" outlineLevel="0" max="11811" min="11811" style="2" width="31"/>
    <col collapsed="false" customWidth="true" hidden="false" outlineLevel="0" max="11812" min="11812" style="2" width="35"/>
    <col collapsed="false" customWidth="true" hidden="false" outlineLevel="0" max="11813" min="11813" style="2" width="31"/>
    <col collapsed="false" customWidth="true" hidden="false" outlineLevel="0" max="11814" min="11814" style="2" width="35"/>
    <col collapsed="false" customWidth="true" hidden="false" outlineLevel="0" max="11815" min="11815" style="2" width="31"/>
    <col collapsed="false" customWidth="true" hidden="false" outlineLevel="0" max="11816" min="11816" style="2" width="37.86"/>
    <col collapsed="false" customWidth="true" hidden="false" outlineLevel="0" max="11817" min="11817" style="2" width="11.43"/>
    <col collapsed="false" customWidth="true" hidden="false" outlineLevel="0" max="11818" min="11818" style="2" width="54"/>
    <col collapsed="false" customWidth="true" hidden="false" outlineLevel="0" max="11819" min="11819" style="2" width="43.57"/>
    <col collapsed="false" customWidth="true" hidden="false" outlineLevel="0" max="11820" min="11820" style="2" width="44.71"/>
    <col collapsed="false" customWidth="false" hidden="false" outlineLevel="0" max="12030" min="11821" style="2" width="6.29"/>
    <col collapsed="false" customWidth="true" hidden="false" outlineLevel="0" max="12032" min="12031" style="2" width="2.16"/>
    <col collapsed="false" customWidth="true" hidden="true" outlineLevel="0" max="12033" min="12033" style="2" width="11.57"/>
    <col collapsed="false" customWidth="true" hidden="false" outlineLevel="0" max="12036" min="12034" style="2" width="12.86"/>
    <col collapsed="false" customWidth="true" hidden="false" outlineLevel="0" max="12037" min="12037" style="2" width="12"/>
    <col collapsed="false" customWidth="true" hidden="false" outlineLevel="0" max="12038" min="12038" style="2" width="12.29"/>
    <col collapsed="false" customWidth="true" hidden="false" outlineLevel="0" max="12039" min="12039" style="2" width="13.42"/>
    <col collapsed="false" customWidth="true" hidden="true" outlineLevel="0" max="12040" min="12040" style="2" width="11.57"/>
    <col collapsed="false" customWidth="true" hidden="false" outlineLevel="0" max="12043" min="12041" style="2" width="13"/>
    <col collapsed="false" customWidth="true" hidden="false" outlineLevel="0" max="12044" min="12044" style="2" width="14.86"/>
    <col collapsed="false" customWidth="true" hidden="false" outlineLevel="0" max="12045" min="12045" style="2" width="13.29"/>
    <col collapsed="false" customWidth="true" hidden="false" outlineLevel="0" max="12046" min="12046" style="2" width="13.42"/>
    <col collapsed="false" customWidth="true" hidden="false" outlineLevel="0" max="12047" min="12047" style="2" width="2.16"/>
    <col collapsed="false" customWidth="true" hidden="false" outlineLevel="0" max="12048" min="12048" style="2" width="13.86"/>
    <col collapsed="false" customWidth="true" hidden="false" outlineLevel="0" max="12049" min="12049" style="2" width="10.71"/>
    <col collapsed="false" customWidth="true" hidden="false" outlineLevel="0" max="12050" min="12050" style="2" width="12"/>
    <col collapsed="false" customWidth="true" hidden="false" outlineLevel="0" max="12051" min="12051" style="2" width="11.43"/>
    <col collapsed="false" customWidth="true" hidden="false" outlineLevel="0" max="12052" min="12052" style="2" width="16"/>
    <col collapsed="false" customWidth="true" hidden="false" outlineLevel="0" max="12054" min="12053" style="2" width="10.71"/>
    <col collapsed="false" customWidth="true" hidden="false" outlineLevel="0" max="12055" min="12055" style="2" width="15.57"/>
    <col collapsed="false" customWidth="true" hidden="false" outlineLevel="0" max="12056" min="12056" style="2" width="11.43"/>
    <col collapsed="false" customWidth="true" hidden="false" outlineLevel="0" max="12057" min="12057" style="2" width="12"/>
    <col collapsed="false" customWidth="true" hidden="false" outlineLevel="0" max="12058" min="12058" style="2" width="11.43"/>
    <col collapsed="false" customWidth="true" hidden="false" outlineLevel="0" max="12059" min="12059" style="2" width="12"/>
    <col collapsed="false" customWidth="true" hidden="false" outlineLevel="0" max="12060" min="12060" style="2" width="11.43"/>
    <col collapsed="false" customWidth="true" hidden="false" outlineLevel="0" max="12061" min="12061" style="2" width="12.86"/>
    <col collapsed="false" customWidth="true" hidden="false" outlineLevel="0" max="12062" min="12062" style="2" width="10.71"/>
    <col collapsed="false" customWidth="true" hidden="false" outlineLevel="0" max="12063" min="12063" style="2" width="19"/>
    <col collapsed="false" customWidth="true" hidden="false" outlineLevel="0" max="12064" min="12064" style="2" width="13.29"/>
    <col collapsed="false" customWidth="true" hidden="false" outlineLevel="0" max="12065" min="12065" style="2" width="18"/>
    <col collapsed="false" customWidth="true" hidden="false" outlineLevel="0" max="12066" min="12066" style="2" width="42.42"/>
    <col collapsed="false" customWidth="true" hidden="false" outlineLevel="0" max="12067" min="12067" style="2" width="31"/>
    <col collapsed="false" customWidth="true" hidden="false" outlineLevel="0" max="12068" min="12068" style="2" width="35"/>
    <col collapsed="false" customWidth="true" hidden="false" outlineLevel="0" max="12069" min="12069" style="2" width="31"/>
    <col collapsed="false" customWidth="true" hidden="false" outlineLevel="0" max="12070" min="12070" style="2" width="35"/>
    <col collapsed="false" customWidth="true" hidden="false" outlineLevel="0" max="12071" min="12071" style="2" width="31"/>
    <col collapsed="false" customWidth="true" hidden="false" outlineLevel="0" max="12072" min="12072" style="2" width="37.86"/>
    <col collapsed="false" customWidth="true" hidden="false" outlineLevel="0" max="12073" min="12073" style="2" width="11.43"/>
    <col collapsed="false" customWidth="true" hidden="false" outlineLevel="0" max="12074" min="12074" style="2" width="54"/>
    <col collapsed="false" customWidth="true" hidden="false" outlineLevel="0" max="12075" min="12075" style="2" width="43.57"/>
    <col collapsed="false" customWidth="true" hidden="false" outlineLevel="0" max="12076" min="12076" style="2" width="44.71"/>
    <col collapsed="false" customWidth="false" hidden="false" outlineLevel="0" max="12286" min="12077" style="2" width="6.29"/>
    <col collapsed="false" customWidth="true" hidden="false" outlineLevel="0" max="12288" min="12287" style="2" width="2.16"/>
    <col collapsed="false" customWidth="true" hidden="true" outlineLevel="0" max="12289" min="12289" style="2" width="11.57"/>
    <col collapsed="false" customWidth="true" hidden="false" outlineLevel="0" max="12292" min="12290" style="2" width="12.86"/>
    <col collapsed="false" customWidth="true" hidden="false" outlineLevel="0" max="12293" min="12293" style="2" width="12"/>
    <col collapsed="false" customWidth="true" hidden="false" outlineLevel="0" max="12294" min="12294" style="2" width="12.29"/>
    <col collapsed="false" customWidth="true" hidden="false" outlineLevel="0" max="12295" min="12295" style="2" width="13.42"/>
    <col collapsed="false" customWidth="true" hidden="true" outlineLevel="0" max="12296" min="12296" style="2" width="11.57"/>
    <col collapsed="false" customWidth="true" hidden="false" outlineLevel="0" max="12299" min="12297" style="2" width="13"/>
    <col collapsed="false" customWidth="true" hidden="false" outlineLevel="0" max="12300" min="12300" style="2" width="14.86"/>
    <col collapsed="false" customWidth="true" hidden="false" outlineLevel="0" max="12301" min="12301" style="2" width="13.29"/>
    <col collapsed="false" customWidth="true" hidden="false" outlineLevel="0" max="12302" min="12302" style="2" width="13.42"/>
    <col collapsed="false" customWidth="true" hidden="false" outlineLevel="0" max="12303" min="12303" style="2" width="2.16"/>
    <col collapsed="false" customWidth="true" hidden="false" outlineLevel="0" max="12304" min="12304" style="2" width="13.86"/>
    <col collapsed="false" customWidth="true" hidden="false" outlineLevel="0" max="12305" min="12305" style="2" width="10.71"/>
    <col collapsed="false" customWidth="true" hidden="false" outlineLevel="0" max="12306" min="12306" style="2" width="12"/>
    <col collapsed="false" customWidth="true" hidden="false" outlineLevel="0" max="12307" min="12307" style="2" width="11.43"/>
    <col collapsed="false" customWidth="true" hidden="false" outlineLevel="0" max="12308" min="12308" style="2" width="16"/>
    <col collapsed="false" customWidth="true" hidden="false" outlineLevel="0" max="12310" min="12309" style="2" width="10.71"/>
    <col collapsed="false" customWidth="true" hidden="false" outlineLevel="0" max="12311" min="12311" style="2" width="15.57"/>
    <col collapsed="false" customWidth="true" hidden="false" outlineLevel="0" max="12312" min="12312" style="2" width="11.43"/>
    <col collapsed="false" customWidth="true" hidden="false" outlineLevel="0" max="12313" min="12313" style="2" width="12"/>
    <col collapsed="false" customWidth="true" hidden="false" outlineLevel="0" max="12314" min="12314" style="2" width="11.43"/>
    <col collapsed="false" customWidth="true" hidden="false" outlineLevel="0" max="12315" min="12315" style="2" width="12"/>
    <col collapsed="false" customWidth="true" hidden="false" outlineLevel="0" max="12316" min="12316" style="2" width="11.43"/>
    <col collapsed="false" customWidth="true" hidden="false" outlineLevel="0" max="12317" min="12317" style="2" width="12.86"/>
    <col collapsed="false" customWidth="true" hidden="false" outlineLevel="0" max="12318" min="12318" style="2" width="10.71"/>
    <col collapsed="false" customWidth="true" hidden="false" outlineLevel="0" max="12319" min="12319" style="2" width="19"/>
    <col collapsed="false" customWidth="true" hidden="false" outlineLevel="0" max="12320" min="12320" style="2" width="13.29"/>
    <col collapsed="false" customWidth="true" hidden="false" outlineLevel="0" max="12321" min="12321" style="2" width="18"/>
    <col collapsed="false" customWidth="true" hidden="false" outlineLevel="0" max="12322" min="12322" style="2" width="42.42"/>
    <col collapsed="false" customWidth="true" hidden="false" outlineLevel="0" max="12323" min="12323" style="2" width="31"/>
    <col collapsed="false" customWidth="true" hidden="false" outlineLevel="0" max="12324" min="12324" style="2" width="35"/>
    <col collapsed="false" customWidth="true" hidden="false" outlineLevel="0" max="12325" min="12325" style="2" width="31"/>
    <col collapsed="false" customWidth="true" hidden="false" outlineLevel="0" max="12326" min="12326" style="2" width="35"/>
    <col collapsed="false" customWidth="true" hidden="false" outlineLevel="0" max="12327" min="12327" style="2" width="31"/>
    <col collapsed="false" customWidth="true" hidden="false" outlineLevel="0" max="12328" min="12328" style="2" width="37.86"/>
    <col collapsed="false" customWidth="true" hidden="false" outlineLevel="0" max="12329" min="12329" style="2" width="11.43"/>
    <col collapsed="false" customWidth="true" hidden="false" outlineLevel="0" max="12330" min="12330" style="2" width="54"/>
    <col collapsed="false" customWidth="true" hidden="false" outlineLevel="0" max="12331" min="12331" style="2" width="43.57"/>
    <col collapsed="false" customWidth="true" hidden="false" outlineLevel="0" max="12332" min="12332" style="2" width="44.71"/>
    <col collapsed="false" customWidth="false" hidden="false" outlineLevel="0" max="12542" min="12333" style="2" width="6.29"/>
    <col collapsed="false" customWidth="true" hidden="false" outlineLevel="0" max="12544" min="12543" style="2" width="2.16"/>
    <col collapsed="false" customWidth="true" hidden="true" outlineLevel="0" max="12545" min="12545" style="2" width="11.57"/>
    <col collapsed="false" customWidth="true" hidden="false" outlineLevel="0" max="12548" min="12546" style="2" width="12.86"/>
    <col collapsed="false" customWidth="true" hidden="false" outlineLevel="0" max="12549" min="12549" style="2" width="12"/>
    <col collapsed="false" customWidth="true" hidden="false" outlineLevel="0" max="12550" min="12550" style="2" width="12.29"/>
    <col collapsed="false" customWidth="true" hidden="false" outlineLevel="0" max="12551" min="12551" style="2" width="13.42"/>
    <col collapsed="false" customWidth="true" hidden="true" outlineLevel="0" max="12552" min="12552" style="2" width="11.57"/>
    <col collapsed="false" customWidth="true" hidden="false" outlineLevel="0" max="12555" min="12553" style="2" width="13"/>
    <col collapsed="false" customWidth="true" hidden="false" outlineLevel="0" max="12556" min="12556" style="2" width="14.86"/>
    <col collapsed="false" customWidth="true" hidden="false" outlineLevel="0" max="12557" min="12557" style="2" width="13.29"/>
    <col collapsed="false" customWidth="true" hidden="false" outlineLevel="0" max="12558" min="12558" style="2" width="13.42"/>
    <col collapsed="false" customWidth="true" hidden="false" outlineLevel="0" max="12559" min="12559" style="2" width="2.16"/>
    <col collapsed="false" customWidth="true" hidden="false" outlineLevel="0" max="12560" min="12560" style="2" width="13.86"/>
    <col collapsed="false" customWidth="true" hidden="false" outlineLevel="0" max="12561" min="12561" style="2" width="10.71"/>
    <col collapsed="false" customWidth="true" hidden="false" outlineLevel="0" max="12562" min="12562" style="2" width="12"/>
    <col collapsed="false" customWidth="true" hidden="false" outlineLevel="0" max="12563" min="12563" style="2" width="11.43"/>
    <col collapsed="false" customWidth="true" hidden="false" outlineLevel="0" max="12564" min="12564" style="2" width="16"/>
    <col collapsed="false" customWidth="true" hidden="false" outlineLevel="0" max="12566" min="12565" style="2" width="10.71"/>
    <col collapsed="false" customWidth="true" hidden="false" outlineLevel="0" max="12567" min="12567" style="2" width="15.57"/>
    <col collapsed="false" customWidth="true" hidden="false" outlineLevel="0" max="12568" min="12568" style="2" width="11.43"/>
    <col collapsed="false" customWidth="true" hidden="false" outlineLevel="0" max="12569" min="12569" style="2" width="12"/>
    <col collapsed="false" customWidth="true" hidden="false" outlineLevel="0" max="12570" min="12570" style="2" width="11.43"/>
    <col collapsed="false" customWidth="true" hidden="false" outlineLevel="0" max="12571" min="12571" style="2" width="12"/>
    <col collapsed="false" customWidth="true" hidden="false" outlineLevel="0" max="12572" min="12572" style="2" width="11.43"/>
    <col collapsed="false" customWidth="true" hidden="false" outlineLevel="0" max="12573" min="12573" style="2" width="12.86"/>
    <col collapsed="false" customWidth="true" hidden="false" outlineLevel="0" max="12574" min="12574" style="2" width="10.71"/>
    <col collapsed="false" customWidth="true" hidden="false" outlineLevel="0" max="12575" min="12575" style="2" width="19"/>
    <col collapsed="false" customWidth="true" hidden="false" outlineLevel="0" max="12576" min="12576" style="2" width="13.29"/>
    <col collapsed="false" customWidth="true" hidden="false" outlineLevel="0" max="12577" min="12577" style="2" width="18"/>
    <col collapsed="false" customWidth="true" hidden="false" outlineLevel="0" max="12578" min="12578" style="2" width="42.42"/>
    <col collapsed="false" customWidth="true" hidden="false" outlineLevel="0" max="12579" min="12579" style="2" width="31"/>
    <col collapsed="false" customWidth="true" hidden="false" outlineLevel="0" max="12580" min="12580" style="2" width="35"/>
    <col collapsed="false" customWidth="true" hidden="false" outlineLevel="0" max="12581" min="12581" style="2" width="31"/>
    <col collapsed="false" customWidth="true" hidden="false" outlineLevel="0" max="12582" min="12582" style="2" width="35"/>
    <col collapsed="false" customWidth="true" hidden="false" outlineLevel="0" max="12583" min="12583" style="2" width="31"/>
    <col collapsed="false" customWidth="true" hidden="false" outlineLevel="0" max="12584" min="12584" style="2" width="37.86"/>
    <col collapsed="false" customWidth="true" hidden="false" outlineLevel="0" max="12585" min="12585" style="2" width="11.43"/>
    <col collapsed="false" customWidth="true" hidden="false" outlineLevel="0" max="12586" min="12586" style="2" width="54"/>
    <col collapsed="false" customWidth="true" hidden="false" outlineLevel="0" max="12587" min="12587" style="2" width="43.57"/>
    <col collapsed="false" customWidth="true" hidden="false" outlineLevel="0" max="12588" min="12588" style="2" width="44.71"/>
    <col collapsed="false" customWidth="false" hidden="false" outlineLevel="0" max="12798" min="12589" style="2" width="6.29"/>
    <col collapsed="false" customWidth="true" hidden="false" outlineLevel="0" max="12800" min="12799" style="2" width="2.16"/>
    <col collapsed="false" customWidth="true" hidden="true" outlineLevel="0" max="12801" min="12801" style="2" width="11.57"/>
    <col collapsed="false" customWidth="true" hidden="false" outlineLevel="0" max="12804" min="12802" style="2" width="12.86"/>
    <col collapsed="false" customWidth="true" hidden="false" outlineLevel="0" max="12805" min="12805" style="2" width="12"/>
    <col collapsed="false" customWidth="true" hidden="false" outlineLevel="0" max="12806" min="12806" style="2" width="12.29"/>
    <col collapsed="false" customWidth="true" hidden="false" outlineLevel="0" max="12807" min="12807" style="2" width="13.42"/>
    <col collapsed="false" customWidth="true" hidden="true" outlineLevel="0" max="12808" min="12808" style="2" width="11.57"/>
    <col collapsed="false" customWidth="true" hidden="false" outlineLevel="0" max="12811" min="12809" style="2" width="13"/>
    <col collapsed="false" customWidth="true" hidden="false" outlineLevel="0" max="12812" min="12812" style="2" width="14.86"/>
    <col collapsed="false" customWidth="true" hidden="false" outlineLevel="0" max="12813" min="12813" style="2" width="13.29"/>
    <col collapsed="false" customWidth="true" hidden="false" outlineLevel="0" max="12814" min="12814" style="2" width="13.42"/>
    <col collapsed="false" customWidth="true" hidden="false" outlineLevel="0" max="12815" min="12815" style="2" width="2.16"/>
    <col collapsed="false" customWidth="true" hidden="false" outlineLevel="0" max="12816" min="12816" style="2" width="13.86"/>
    <col collapsed="false" customWidth="true" hidden="false" outlineLevel="0" max="12817" min="12817" style="2" width="10.71"/>
    <col collapsed="false" customWidth="true" hidden="false" outlineLevel="0" max="12818" min="12818" style="2" width="12"/>
    <col collapsed="false" customWidth="true" hidden="false" outlineLevel="0" max="12819" min="12819" style="2" width="11.43"/>
    <col collapsed="false" customWidth="true" hidden="false" outlineLevel="0" max="12820" min="12820" style="2" width="16"/>
    <col collapsed="false" customWidth="true" hidden="false" outlineLevel="0" max="12822" min="12821" style="2" width="10.71"/>
    <col collapsed="false" customWidth="true" hidden="false" outlineLevel="0" max="12823" min="12823" style="2" width="15.57"/>
    <col collapsed="false" customWidth="true" hidden="false" outlineLevel="0" max="12824" min="12824" style="2" width="11.43"/>
    <col collapsed="false" customWidth="true" hidden="false" outlineLevel="0" max="12825" min="12825" style="2" width="12"/>
    <col collapsed="false" customWidth="true" hidden="false" outlineLevel="0" max="12826" min="12826" style="2" width="11.43"/>
    <col collapsed="false" customWidth="true" hidden="false" outlineLevel="0" max="12827" min="12827" style="2" width="12"/>
    <col collapsed="false" customWidth="true" hidden="false" outlineLevel="0" max="12828" min="12828" style="2" width="11.43"/>
    <col collapsed="false" customWidth="true" hidden="false" outlineLevel="0" max="12829" min="12829" style="2" width="12.86"/>
    <col collapsed="false" customWidth="true" hidden="false" outlineLevel="0" max="12830" min="12830" style="2" width="10.71"/>
    <col collapsed="false" customWidth="true" hidden="false" outlineLevel="0" max="12831" min="12831" style="2" width="19"/>
    <col collapsed="false" customWidth="true" hidden="false" outlineLevel="0" max="12832" min="12832" style="2" width="13.29"/>
    <col collapsed="false" customWidth="true" hidden="false" outlineLevel="0" max="12833" min="12833" style="2" width="18"/>
    <col collapsed="false" customWidth="true" hidden="false" outlineLevel="0" max="12834" min="12834" style="2" width="42.42"/>
    <col collapsed="false" customWidth="true" hidden="false" outlineLevel="0" max="12835" min="12835" style="2" width="31"/>
    <col collapsed="false" customWidth="true" hidden="false" outlineLevel="0" max="12836" min="12836" style="2" width="35"/>
    <col collapsed="false" customWidth="true" hidden="false" outlineLevel="0" max="12837" min="12837" style="2" width="31"/>
    <col collapsed="false" customWidth="true" hidden="false" outlineLevel="0" max="12838" min="12838" style="2" width="35"/>
    <col collapsed="false" customWidth="true" hidden="false" outlineLevel="0" max="12839" min="12839" style="2" width="31"/>
    <col collapsed="false" customWidth="true" hidden="false" outlineLevel="0" max="12840" min="12840" style="2" width="37.86"/>
    <col collapsed="false" customWidth="true" hidden="false" outlineLevel="0" max="12841" min="12841" style="2" width="11.43"/>
    <col collapsed="false" customWidth="true" hidden="false" outlineLevel="0" max="12842" min="12842" style="2" width="54"/>
    <col collapsed="false" customWidth="true" hidden="false" outlineLevel="0" max="12843" min="12843" style="2" width="43.57"/>
    <col collapsed="false" customWidth="true" hidden="false" outlineLevel="0" max="12844" min="12844" style="2" width="44.71"/>
    <col collapsed="false" customWidth="false" hidden="false" outlineLevel="0" max="13054" min="12845" style="2" width="6.29"/>
    <col collapsed="false" customWidth="true" hidden="false" outlineLevel="0" max="13056" min="13055" style="2" width="2.16"/>
    <col collapsed="false" customWidth="true" hidden="true" outlineLevel="0" max="13057" min="13057" style="2" width="11.57"/>
    <col collapsed="false" customWidth="true" hidden="false" outlineLevel="0" max="13060" min="13058" style="2" width="12.86"/>
    <col collapsed="false" customWidth="true" hidden="false" outlineLevel="0" max="13061" min="13061" style="2" width="12"/>
    <col collapsed="false" customWidth="true" hidden="false" outlineLevel="0" max="13062" min="13062" style="2" width="12.29"/>
    <col collapsed="false" customWidth="true" hidden="false" outlineLevel="0" max="13063" min="13063" style="2" width="13.42"/>
    <col collapsed="false" customWidth="true" hidden="true" outlineLevel="0" max="13064" min="13064" style="2" width="11.57"/>
    <col collapsed="false" customWidth="true" hidden="false" outlineLevel="0" max="13067" min="13065" style="2" width="13"/>
    <col collapsed="false" customWidth="true" hidden="false" outlineLevel="0" max="13068" min="13068" style="2" width="14.86"/>
    <col collapsed="false" customWidth="true" hidden="false" outlineLevel="0" max="13069" min="13069" style="2" width="13.29"/>
    <col collapsed="false" customWidth="true" hidden="false" outlineLevel="0" max="13070" min="13070" style="2" width="13.42"/>
    <col collapsed="false" customWidth="true" hidden="false" outlineLevel="0" max="13071" min="13071" style="2" width="2.16"/>
    <col collapsed="false" customWidth="true" hidden="false" outlineLevel="0" max="13072" min="13072" style="2" width="13.86"/>
    <col collapsed="false" customWidth="true" hidden="false" outlineLevel="0" max="13073" min="13073" style="2" width="10.71"/>
    <col collapsed="false" customWidth="true" hidden="false" outlineLevel="0" max="13074" min="13074" style="2" width="12"/>
    <col collapsed="false" customWidth="true" hidden="false" outlineLevel="0" max="13075" min="13075" style="2" width="11.43"/>
    <col collapsed="false" customWidth="true" hidden="false" outlineLevel="0" max="13076" min="13076" style="2" width="16"/>
    <col collapsed="false" customWidth="true" hidden="false" outlineLevel="0" max="13078" min="13077" style="2" width="10.71"/>
    <col collapsed="false" customWidth="true" hidden="false" outlineLevel="0" max="13079" min="13079" style="2" width="15.57"/>
    <col collapsed="false" customWidth="true" hidden="false" outlineLevel="0" max="13080" min="13080" style="2" width="11.43"/>
    <col collapsed="false" customWidth="true" hidden="false" outlineLevel="0" max="13081" min="13081" style="2" width="12"/>
    <col collapsed="false" customWidth="true" hidden="false" outlineLevel="0" max="13082" min="13082" style="2" width="11.43"/>
    <col collapsed="false" customWidth="true" hidden="false" outlineLevel="0" max="13083" min="13083" style="2" width="12"/>
    <col collapsed="false" customWidth="true" hidden="false" outlineLevel="0" max="13084" min="13084" style="2" width="11.43"/>
    <col collapsed="false" customWidth="true" hidden="false" outlineLevel="0" max="13085" min="13085" style="2" width="12.86"/>
    <col collapsed="false" customWidth="true" hidden="false" outlineLevel="0" max="13086" min="13086" style="2" width="10.71"/>
    <col collapsed="false" customWidth="true" hidden="false" outlineLevel="0" max="13087" min="13087" style="2" width="19"/>
    <col collapsed="false" customWidth="true" hidden="false" outlineLevel="0" max="13088" min="13088" style="2" width="13.29"/>
    <col collapsed="false" customWidth="true" hidden="false" outlineLevel="0" max="13089" min="13089" style="2" width="18"/>
    <col collapsed="false" customWidth="true" hidden="false" outlineLevel="0" max="13090" min="13090" style="2" width="42.42"/>
    <col collapsed="false" customWidth="true" hidden="false" outlineLevel="0" max="13091" min="13091" style="2" width="31"/>
    <col collapsed="false" customWidth="true" hidden="false" outlineLevel="0" max="13092" min="13092" style="2" width="35"/>
    <col collapsed="false" customWidth="true" hidden="false" outlineLevel="0" max="13093" min="13093" style="2" width="31"/>
    <col collapsed="false" customWidth="true" hidden="false" outlineLevel="0" max="13094" min="13094" style="2" width="35"/>
    <col collapsed="false" customWidth="true" hidden="false" outlineLevel="0" max="13095" min="13095" style="2" width="31"/>
    <col collapsed="false" customWidth="true" hidden="false" outlineLevel="0" max="13096" min="13096" style="2" width="37.86"/>
    <col collapsed="false" customWidth="true" hidden="false" outlineLevel="0" max="13097" min="13097" style="2" width="11.43"/>
    <col collapsed="false" customWidth="true" hidden="false" outlineLevel="0" max="13098" min="13098" style="2" width="54"/>
    <col collapsed="false" customWidth="true" hidden="false" outlineLevel="0" max="13099" min="13099" style="2" width="43.57"/>
    <col collapsed="false" customWidth="true" hidden="false" outlineLevel="0" max="13100" min="13100" style="2" width="44.71"/>
    <col collapsed="false" customWidth="false" hidden="false" outlineLevel="0" max="13310" min="13101" style="2" width="6.29"/>
    <col collapsed="false" customWidth="true" hidden="false" outlineLevel="0" max="13312" min="13311" style="2" width="2.16"/>
    <col collapsed="false" customWidth="true" hidden="true" outlineLevel="0" max="13313" min="13313" style="2" width="11.57"/>
    <col collapsed="false" customWidth="true" hidden="false" outlineLevel="0" max="13316" min="13314" style="2" width="12.86"/>
    <col collapsed="false" customWidth="true" hidden="false" outlineLevel="0" max="13317" min="13317" style="2" width="12"/>
    <col collapsed="false" customWidth="true" hidden="false" outlineLevel="0" max="13318" min="13318" style="2" width="12.29"/>
    <col collapsed="false" customWidth="true" hidden="false" outlineLevel="0" max="13319" min="13319" style="2" width="13.42"/>
    <col collapsed="false" customWidth="true" hidden="true" outlineLevel="0" max="13320" min="13320" style="2" width="11.57"/>
    <col collapsed="false" customWidth="true" hidden="false" outlineLevel="0" max="13323" min="13321" style="2" width="13"/>
    <col collapsed="false" customWidth="true" hidden="false" outlineLevel="0" max="13324" min="13324" style="2" width="14.86"/>
    <col collapsed="false" customWidth="true" hidden="false" outlineLevel="0" max="13325" min="13325" style="2" width="13.29"/>
    <col collapsed="false" customWidth="true" hidden="false" outlineLevel="0" max="13326" min="13326" style="2" width="13.42"/>
    <col collapsed="false" customWidth="true" hidden="false" outlineLevel="0" max="13327" min="13327" style="2" width="2.16"/>
    <col collapsed="false" customWidth="true" hidden="false" outlineLevel="0" max="13328" min="13328" style="2" width="13.86"/>
    <col collapsed="false" customWidth="true" hidden="false" outlineLevel="0" max="13329" min="13329" style="2" width="10.71"/>
    <col collapsed="false" customWidth="true" hidden="false" outlineLevel="0" max="13330" min="13330" style="2" width="12"/>
    <col collapsed="false" customWidth="true" hidden="false" outlineLevel="0" max="13331" min="13331" style="2" width="11.43"/>
    <col collapsed="false" customWidth="true" hidden="false" outlineLevel="0" max="13332" min="13332" style="2" width="16"/>
    <col collapsed="false" customWidth="true" hidden="false" outlineLevel="0" max="13334" min="13333" style="2" width="10.71"/>
    <col collapsed="false" customWidth="true" hidden="false" outlineLevel="0" max="13335" min="13335" style="2" width="15.57"/>
    <col collapsed="false" customWidth="true" hidden="false" outlineLevel="0" max="13336" min="13336" style="2" width="11.43"/>
    <col collapsed="false" customWidth="true" hidden="false" outlineLevel="0" max="13337" min="13337" style="2" width="12"/>
    <col collapsed="false" customWidth="true" hidden="false" outlineLevel="0" max="13338" min="13338" style="2" width="11.43"/>
    <col collapsed="false" customWidth="true" hidden="false" outlineLevel="0" max="13339" min="13339" style="2" width="12"/>
    <col collapsed="false" customWidth="true" hidden="false" outlineLevel="0" max="13340" min="13340" style="2" width="11.43"/>
    <col collapsed="false" customWidth="true" hidden="false" outlineLevel="0" max="13341" min="13341" style="2" width="12.86"/>
    <col collapsed="false" customWidth="true" hidden="false" outlineLevel="0" max="13342" min="13342" style="2" width="10.71"/>
    <col collapsed="false" customWidth="true" hidden="false" outlineLevel="0" max="13343" min="13343" style="2" width="19"/>
    <col collapsed="false" customWidth="true" hidden="false" outlineLevel="0" max="13344" min="13344" style="2" width="13.29"/>
    <col collapsed="false" customWidth="true" hidden="false" outlineLevel="0" max="13345" min="13345" style="2" width="18"/>
    <col collapsed="false" customWidth="true" hidden="false" outlineLevel="0" max="13346" min="13346" style="2" width="42.42"/>
    <col collapsed="false" customWidth="true" hidden="false" outlineLevel="0" max="13347" min="13347" style="2" width="31"/>
    <col collapsed="false" customWidth="true" hidden="false" outlineLevel="0" max="13348" min="13348" style="2" width="35"/>
    <col collapsed="false" customWidth="true" hidden="false" outlineLevel="0" max="13349" min="13349" style="2" width="31"/>
    <col collapsed="false" customWidth="true" hidden="false" outlineLevel="0" max="13350" min="13350" style="2" width="35"/>
    <col collapsed="false" customWidth="true" hidden="false" outlineLevel="0" max="13351" min="13351" style="2" width="31"/>
    <col collapsed="false" customWidth="true" hidden="false" outlineLevel="0" max="13352" min="13352" style="2" width="37.86"/>
    <col collapsed="false" customWidth="true" hidden="false" outlineLevel="0" max="13353" min="13353" style="2" width="11.43"/>
    <col collapsed="false" customWidth="true" hidden="false" outlineLevel="0" max="13354" min="13354" style="2" width="54"/>
    <col collapsed="false" customWidth="true" hidden="false" outlineLevel="0" max="13355" min="13355" style="2" width="43.57"/>
    <col collapsed="false" customWidth="true" hidden="false" outlineLevel="0" max="13356" min="13356" style="2" width="44.71"/>
    <col collapsed="false" customWidth="false" hidden="false" outlineLevel="0" max="13566" min="13357" style="2" width="6.29"/>
    <col collapsed="false" customWidth="true" hidden="false" outlineLevel="0" max="13568" min="13567" style="2" width="2.16"/>
    <col collapsed="false" customWidth="true" hidden="true" outlineLevel="0" max="13569" min="13569" style="2" width="11.57"/>
    <col collapsed="false" customWidth="true" hidden="false" outlineLevel="0" max="13572" min="13570" style="2" width="12.86"/>
    <col collapsed="false" customWidth="true" hidden="false" outlineLevel="0" max="13573" min="13573" style="2" width="12"/>
    <col collapsed="false" customWidth="true" hidden="false" outlineLevel="0" max="13574" min="13574" style="2" width="12.29"/>
    <col collapsed="false" customWidth="true" hidden="false" outlineLevel="0" max="13575" min="13575" style="2" width="13.42"/>
    <col collapsed="false" customWidth="true" hidden="true" outlineLevel="0" max="13576" min="13576" style="2" width="11.57"/>
    <col collapsed="false" customWidth="true" hidden="false" outlineLevel="0" max="13579" min="13577" style="2" width="13"/>
    <col collapsed="false" customWidth="true" hidden="false" outlineLevel="0" max="13580" min="13580" style="2" width="14.86"/>
    <col collapsed="false" customWidth="true" hidden="false" outlineLevel="0" max="13581" min="13581" style="2" width="13.29"/>
    <col collapsed="false" customWidth="true" hidden="false" outlineLevel="0" max="13582" min="13582" style="2" width="13.42"/>
    <col collapsed="false" customWidth="true" hidden="false" outlineLevel="0" max="13583" min="13583" style="2" width="2.16"/>
    <col collapsed="false" customWidth="true" hidden="false" outlineLevel="0" max="13584" min="13584" style="2" width="13.86"/>
    <col collapsed="false" customWidth="true" hidden="false" outlineLevel="0" max="13585" min="13585" style="2" width="10.71"/>
    <col collapsed="false" customWidth="true" hidden="false" outlineLevel="0" max="13586" min="13586" style="2" width="12"/>
    <col collapsed="false" customWidth="true" hidden="false" outlineLevel="0" max="13587" min="13587" style="2" width="11.43"/>
    <col collapsed="false" customWidth="true" hidden="false" outlineLevel="0" max="13588" min="13588" style="2" width="16"/>
    <col collapsed="false" customWidth="true" hidden="false" outlineLevel="0" max="13590" min="13589" style="2" width="10.71"/>
    <col collapsed="false" customWidth="true" hidden="false" outlineLevel="0" max="13591" min="13591" style="2" width="15.57"/>
    <col collapsed="false" customWidth="true" hidden="false" outlineLevel="0" max="13592" min="13592" style="2" width="11.43"/>
    <col collapsed="false" customWidth="true" hidden="false" outlineLevel="0" max="13593" min="13593" style="2" width="12"/>
    <col collapsed="false" customWidth="true" hidden="false" outlineLevel="0" max="13594" min="13594" style="2" width="11.43"/>
    <col collapsed="false" customWidth="true" hidden="false" outlineLevel="0" max="13595" min="13595" style="2" width="12"/>
    <col collapsed="false" customWidth="true" hidden="false" outlineLevel="0" max="13596" min="13596" style="2" width="11.43"/>
    <col collapsed="false" customWidth="true" hidden="false" outlineLevel="0" max="13597" min="13597" style="2" width="12.86"/>
    <col collapsed="false" customWidth="true" hidden="false" outlineLevel="0" max="13598" min="13598" style="2" width="10.71"/>
    <col collapsed="false" customWidth="true" hidden="false" outlineLevel="0" max="13599" min="13599" style="2" width="19"/>
    <col collapsed="false" customWidth="true" hidden="false" outlineLevel="0" max="13600" min="13600" style="2" width="13.29"/>
    <col collapsed="false" customWidth="true" hidden="false" outlineLevel="0" max="13601" min="13601" style="2" width="18"/>
    <col collapsed="false" customWidth="true" hidden="false" outlineLevel="0" max="13602" min="13602" style="2" width="42.42"/>
    <col collapsed="false" customWidth="true" hidden="false" outlineLevel="0" max="13603" min="13603" style="2" width="31"/>
    <col collapsed="false" customWidth="true" hidden="false" outlineLevel="0" max="13604" min="13604" style="2" width="35"/>
    <col collapsed="false" customWidth="true" hidden="false" outlineLevel="0" max="13605" min="13605" style="2" width="31"/>
    <col collapsed="false" customWidth="true" hidden="false" outlineLevel="0" max="13606" min="13606" style="2" width="35"/>
    <col collapsed="false" customWidth="true" hidden="false" outlineLevel="0" max="13607" min="13607" style="2" width="31"/>
    <col collapsed="false" customWidth="true" hidden="false" outlineLevel="0" max="13608" min="13608" style="2" width="37.86"/>
    <col collapsed="false" customWidth="true" hidden="false" outlineLevel="0" max="13609" min="13609" style="2" width="11.43"/>
    <col collapsed="false" customWidth="true" hidden="false" outlineLevel="0" max="13610" min="13610" style="2" width="54"/>
    <col collapsed="false" customWidth="true" hidden="false" outlineLevel="0" max="13611" min="13611" style="2" width="43.57"/>
    <col collapsed="false" customWidth="true" hidden="false" outlineLevel="0" max="13612" min="13612" style="2" width="44.71"/>
    <col collapsed="false" customWidth="false" hidden="false" outlineLevel="0" max="13822" min="13613" style="2" width="6.29"/>
    <col collapsed="false" customWidth="true" hidden="false" outlineLevel="0" max="13824" min="13823" style="2" width="2.16"/>
    <col collapsed="false" customWidth="true" hidden="true" outlineLevel="0" max="13825" min="13825" style="2" width="11.57"/>
    <col collapsed="false" customWidth="true" hidden="false" outlineLevel="0" max="13828" min="13826" style="2" width="12.86"/>
    <col collapsed="false" customWidth="true" hidden="false" outlineLevel="0" max="13829" min="13829" style="2" width="12"/>
    <col collapsed="false" customWidth="true" hidden="false" outlineLevel="0" max="13830" min="13830" style="2" width="12.29"/>
    <col collapsed="false" customWidth="true" hidden="false" outlineLevel="0" max="13831" min="13831" style="2" width="13.42"/>
    <col collapsed="false" customWidth="true" hidden="true" outlineLevel="0" max="13832" min="13832" style="2" width="11.57"/>
    <col collapsed="false" customWidth="true" hidden="false" outlineLevel="0" max="13835" min="13833" style="2" width="13"/>
    <col collapsed="false" customWidth="true" hidden="false" outlineLevel="0" max="13836" min="13836" style="2" width="14.86"/>
    <col collapsed="false" customWidth="true" hidden="false" outlineLevel="0" max="13837" min="13837" style="2" width="13.29"/>
    <col collapsed="false" customWidth="true" hidden="false" outlineLevel="0" max="13838" min="13838" style="2" width="13.42"/>
    <col collapsed="false" customWidth="true" hidden="false" outlineLevel="0" max="13839" min="13839" style="2" width="2.16"/>
    <col collapsed="false" customWidth="true" hidden="false" outlineLevel="0" max="13840" min="13840" style="2" width="13.86"/>
    <col collapsed="false" customWidth="true" hidden="false" outlineLevel="0" max="13841" min="13841" style="2" width="10.71"/>
    <col collapsed="false" customWidth="true" hidden="false" outlineLevel="0" max="13842" min="13842" style="2" width="12"/>
    <col collapsed="false" customWidth="true" hidden="false" outlineLevel="0" max="13843" min="13843" style="2" width="11.43"/>
    <col collapsed="false" customWidth="true" hidden="false" outlineLevel="0" max="13844" min="13844" style="2" width="16"/>
    <col collapsed="false" customWidth="true" hidden="false" outlineLevel="0" max="13846" min="13845" style="2" width="10.71"/>
    <col collapsed="false" customWidth="true" hidden="false" outlineLevel="0" max="13847" min="13847" style="2" width="15.57"/>
    <col collapsed="false" customWidth="true" hidden="false" outlineLevel="0" max="13848" min="13848" style="2" width="11.43"/>
    <col collapsed="false" customWidth="true" hidden="false" outlineLevel="0" max="13849" min="13849" style="2" width="12"/>
    <col collapsed="false" customWidth="true" hidden="false" outlineLevel="0" max="13850" min="13850" style="2" width="11.43"/>
    <col collapsed="false" customWidth="true" hidden="false" outlineLevel="0" max="13851" min="13851" style="2" width="12"/>
    <col collapsed="false" customWidth="true" hidden="false" outlineLevel="0" max="13852" min="13852" style="2" width="11.43"/>
    <col collapsed="false" customWidth="true" hidden="false" outlineLevel="0" max="13853" min="13853" style="2" width="12.86"/>
    <col collapsed="false" customWidth="true" hidden="false" outlineLevel="0" max="13854" min="13854" style="2" width="10.71"/>
    <col collapsed="false" customWidth="true" hidden="false" outlineLevel="0" max="13855" min="13855" style="2" width="19"/>
    <col collapsed="false" customWidth="true" hidden="false" outlineLevel="0" max="13856" min="13856" style="2" width="13.29"/>
    <col collapsed="false" customWidth="true" hidden="false" outlineLevel="0" max="13857" min="13857" style="2" width="18"/>
    <col collapsed="false" customWidth="true" hidden="false" outlineLevel="0" max="13858" min="13858" style="2" width="42.42"/>
    <col collapsed="false" customWidth="true" hidden="false" outlineLevel="0" max="13859" min="13859" style="2" width="31"/>
    <col collapsed="false" customWidth="true" hidden="false" outlineLevel="0" max="13860" min="13860" style="2" width="35"/>
    <col collapsed="false" customWidth="true" hidden="false" outlineLevel="0" max="13861" min="13861" style="2" width="31"/>
    <col collapsed="false" customWidth="true" hidden="false" outlineLevel="0" max="13862" min="13862" style="2" width="35"/>
    <col collapsed="false" customWidth="true" hidden="false" outlineLevel="0" max="13863" min="13863" style="2" width="31"/>
    <col collapsed="false" customWidth="true" hidden="false" outlineLevel="0" max="13864" min="13864" style="2" width="37.86"/>
    <col collapsed="false" customWidth="true" hidden="false" outlineLevel="0" max="13865" min="13865" style="2" width="11.43"/>
    <col collapsed="false" customWidth="true" hidden="false" outlineLevel="0" max="13866" min="13866" style="2" width="54"/>
    <col collapsed="false" customWidth="true" hidden="false" outlineLevel="0" max="13867" min="13867" style="2" width="43.57"/>
    <col collapsed="false" customWidth="true" hidden="false" outlineLevel="0" max="13868" min="13868" style="2" width="44.71"/>
    <col collapsed="false" customWidth="false" hidden="false" outlineLevel="0" max="14078" min="13869" style="2" width="6.29"/>
    <col collapsed="false" customWidth="true" hidden="false" outlineLevel="0" max="14080" min="14079" style="2" width="2.16"/>
    <col collapsed="false" customWidth="true" hidden="true" outlineLevel="0" max="14081" min="14081" style="2" width="11.57"/>
    <col collapsed="false" customWidth="true" hidden="false" outlineLevel="0" max="14084" min="14082" style="2" width="12.86"/>
    <col collapsed="false" customWidth="true" hidden="false" outlineLevel="0" max="14085" min="14085" style="2" width="12"/>
    <col collapsed="false" customWidth="true" hidden="false" outlineLevel="0" max="14086" min="14086" style="2" width="12.29"/>
    <col collapsed="false" customWidth="true" hidden="false" outlineLevel="0" max="14087" min="14087" style="2" width="13.42"/>
    <col collapsed="false" customWidth="true" hidden="true" outlineLevel="0" max="14088" min="14088" style="2" width="11.57"/>
    <col collapsed="false" customWidth="true" hidden="false" outlineLevel="0" max="14091" min="14089" style="2" width="13"/>
    <col collapsed="false" customWidth="true" hidden="false" outlineLevel="0" max="14092" min="14092" style="2" width="14.86"/>
    <col collapsed="false" customWidth="true" hidden="false" outlineLevel="0" max="14093" min="14093" style="2" width="13.29"/>
    <col collapsed="false" customWidth="true" hidden="false" outlineLevel="0" max="14094" min="14094" style="2" width="13.42"/>
    <col collapsed="false" customWidth="true" hidden="false" outlineLevel="0" max="14095" min="14095" style="2" width="2.16"/>
    <col collapsed="false" customWidth="true" hidden="false" outlineLevel="0" max="14096" min="14096" style="2" width="13.86"/>
    <col collapsed="false" customWidth="true" hidden="false" outlineLevel="0" max="14097" min="14097" style="2" width="10.71"/>
    <col collapsed="false" customWidth="true" hidden="false" outlineLevel="0" max="14098" min="14098" style="2" width="12"/>
    <col collapsed="false" customWidth="true" hidden="false" outlineLevel="0" max="14099" min="14099" style="2" width="11.43"/>
    <col collapsed="false" customWidth="true" hidden="false" outlineLevel="0" max="14100" min="14100" style="2" width="16"/>
    <col collapsed="false" customWidth="true" hidden="false" outlineLevel="0" max="14102" min="14101" style="2" width="10.71"/>
    <col collapsed="false" customWidth="true" hidden="false" outlineLevel="0" max="14103" min="14103" style="2" width="15.57"/>
    <col collapsed="false" customWidth="true" hidden="false" outlineLevel="0" max="14104" min="14104" style="2" width="11.43"/>
    <col collapsed="false" customWidth="true" hidden="false" outlineLevel="0" max="14105" min="14105" style="2" width="12"/>
    <col collapsed="false" customWidth="true" hidden="false" outlineLevel="0" max="14106" min="14106" style="2" width="11.43"/>
    <col collapsed="false" customWidth="true" hidden="false" outlineLevel="0" max="14107" min="14107" style="2" width="12"/>
    <col collapsed="false" customWidth="true" hidden="false" outlineLevel="0" max="14108" min="14108" style="2" width="11.43"/>
    <col collapsed="false" customWidth="true" hidden="false" outlineLevel="0" max="14109" min="14109" style="2" width="12.86"/>
    <col collapsed="false" customWidth="true" hidden="false" outlineLevel="0" max="14110" min="14110" style="2" width="10.71"/>
    <col collapsed="false" customWidth="true" hidden="false" outlineLevel="0" max="14111" min="14111" style="2" width="19"/>
    <col collapsed="false" customWidth="true" hidden="false" outlineLevel="0" max="14112" min="14112" style="2" width="13.29"/>
    <col collapsed="false" customWidth="true" hidden="false" outlineLevel="0" max="14113" min="14113" style="2" width="18"/>
    <col collapsed="false" customWidth="true" hidden="false" outlineLevel="0" max="14114" min="14114" style="2" width="42.42"/>
    <col collapsed="false" customWidth="true" hidden="false" outlineLevel="0" max="14115" min="14115" style="2" width="31"/>
    <col collapsed="false" customWidth="true" hidden="false" outlineLevel="0" max="14116" min="14116" style="2" width="35"/>
    <col collapsed="false" customWidth="true" hidden="false" outlineLevel="0" max="14117" min="14117" style="2" width="31"/>
    <col collapsed="false" customWidth="true" hidden="false" outlineLevel="0" max="14118" min="14118" style="2" width="35"/>
    <col collapsed="false" customWidth="true" hidden="false" outlineLevel="0" max="14119" min="14119" style="2" width="31"/>
    <col collapsed="false" customWidth="true" hidden="false" outlineLevel="0" max="14120" min="14120" style="2" width="37.86"/>
    <col collapsed="false" customWidth="true" hidden="false" outlineLevel="0" max="14121" min="14121" style="2" width="11.43"/>
    <col collapsed="false" customWidth="true" hidden="false" outlineLevel="0" max="14122" min="14122" style="2" width="54"/>
    <col collapsed="false" customWidth="true" hidden="false" outlineLevel="0" max="14123" min="14123" style="2" width="43.57"/>
    <col collapsed="false" customWidth="true" hidden="false" outlineLevel="0" max="14124" min="14124" style="2" width="44.71"/>
    <col collapsed="false" customWidth="false" hidden="false" outlineLevel="0" max="14334" min="14125" style="2" width="6.29"/>
    <col collapsed="false" customWidth="true" hidden="false" outlineLevel="0" max="14336" min="14335" style="2" width="2.16"/>
    <col collapsed="false" customWidth="true" hidden="true" outlineLevel="0" max="14337" min="14337" style="2" width="11.57"/>
    <col collapsed="false" customWidth="true" hidden="false" outlineLevel="0" max="14340" min="14338" style="2" width="12.86"/>
    <col collapsed="false" customWidth="true" hidden="false" outlineLevel="0" max="14341" min="14341" style="2" width="12"/>
    <col collapsed="false" customWidth="true" hidden="false" outlineLevel="0" max="14342" min="14342" style="2" width="12.29"/>
    <col collapsed="false" customWidth="true" hidden="false" outlineLevel="0" max="14343" min="14343" style="2" width="13.42"/>
    <col collapsed="false" customWidth="true" hidden="true" outlineLevel="0" max="14344" min="14344" style="2" width="11.57"/>
    <col collapsed="false" customWidth="true" hidden="false" outlineLevel="0" max="14347" min="14345" style="2" width="13"/>
    <col collapsed="false" customWidth="true" hidden="false" outlineLevel="0" max="14348" min="14348" style="2" width="14.86"/>
    <col collapsed="false" customWidth="true" hidden="false" outlineLevel="0" max="14349" min="14349" style="2" width="13.29"/>
    <col collapsed="false" customWidth="true" hidden="false" outlineLevel="0" max="14350" min="14350" style="2" width="13.42"/>
    <col collapsed="false" customWidth="true" hidden="false" outlineLevel="0" max="14351" min="14351" style="2" width="2.16"/>
    <col collapsed="false" customWidth="true" hidden="false" outlineLevel="0" max="14352" min="14352" style="2" width="13.86"/>
    <col collapsed="false" customWidth="true" hidden="false" outlineLevel="0" max="14353" min="14353" style="2" width="10.71"/>
    <col collapsed="false" customWidth="true" hidden="false" outlineLevel="0" max="14354" min="14354" style="2" width="12"/>
    <col collapsed="false" customWidth="true" hidden="false" outlineLevel="0" max="14355" min="14355" style="2" width="11.43"/>
    <col collapsed="false" customWidth="true" hidden="false" outlineLevel="0" max="14356" min="14356" style="2" width="16"/>
    <col collapsed="false" customWidth="true" hidden="false" outlineLevel="0" max="14358" min="14357" style="2" width="10.71"/>
    <col collapsed="false" customWidth="true" hidden="false" outlineLevel="0" max="14359" min="14359" style="2" width="15.57"/>
    <col collapsed="false" customWidth="true" hidden="false" outlineLevel="0" max="14360" min="14360" style="2" width="11.43"/>
    <col collapsed="false" customWidth="true" hidden="false" outlineLevel="0" max="14361" min="14361" style="2" width="12"/>
    <col collapsed="false" customWidth="true" hidden="false" outlineLevel="0" max="14362" min="14362" style="2" width="11.43"/>
    <col collapsed="false" customWidth="true" hidden="false" outlineLevel="0" max="14363" min="14363" style="2" width="12"/>
    <col collapsed="false" customWidth="true" hidden="false" outlineLevel="0" max="14364" min="14364" style="2" width="11.43"/>
    <col collapsed="false" customWidth="true" hidden="false" outlineLevel="0" max="14365" min="14365" style="2" width="12.86"/>
    <col collapsed="false" customWidth="true" hidden="false" outlineLevel="0" max="14366" min="14366" style="2" width="10.71"/>
    <col collapsed="false" customWidth="true" hidden="false" outlineLevel="0" max="14367" min="14367" style="2" width="19"/>
    <col collapsed="false" customWidth="true" hidden="false" outlineLevel="0" max="14368" min="14368" style="2" width="13.29"/>
    <col collapsed="false" customWidth="true" hidden="false" outlineLevel="0" max="14369" min="14369" style="2" width="18"/>
    <col collapsed="false" customWidth="true" hidden="false" outlineLevel="0" max="14370" min="14370" style="2" width="42.42"/>
    <col collapsed="false" customWidth="true" hidden="false" outlineLevel="0" max="14371" min="14371" style="2" width="31"/>
    <col collapsed="false" customWidth="true" hidden="false" outlineLevel="0" max="14372" min="14372" style="2" width="35"/>
    <col collapsed="false" customWidth="true" hidden="false" outlineLevel="0" max="14373" min="14373" style="2" width="31"/>
    <col collapsed="false" customWidth="true" hidden="false" outlineLevel="0" max="14374" min="14374" style="2" width="35"/>
    <col collapsed="false" customWidth="true" hidden="false" outlineLevel="0" max="14375" min="14375" style="2" width="31"/>
    <col collapsed="false" customWidth="true" hidden="false" outlineLevel="0" max="14376" min="14376" style="2" width="37.86"/>
    <col collapsed="false" customWidth="true" hidden="false" outlineLevel="0" max="14377" min="14377" style="2" width="11.43"/>
    <col collapsed="false" customWidth="true" hidden="false" outlineLevel="0" max="14378" min="14378" style="2" width="54"/>
    <col collapsed="false" customWidth="true" hidden="false" outlineLevel="0" max="14379" min="14379" style="2" width="43.57"/>
    <col collapsed="false" customWidth="true" hidden="false" outlineLevel="0" max="14380" min="14380" style="2" width="44.71"/>
    <col collapsed="false" customWidth="false" hidden="false" outlineLevel="0" max="14590" min="14381" style="2" width="6.29"/>
    <col collapsed="false" customWidth="true" hidden="false" outlineLevel="0" max="14592" min="14591" style="2" width="2.16"/>
    <col collapsed="false" customWidth="true" hidden="true" outlineLevel="0" max="14593" min="14593" style="2" width="11.57"/>
    <col collapsed="false" customWidth="true" hidden="false" outlineLevel="0" max="14596" min="14594" style="2" width="12.86"/>
    <col collapsed="false" customWidth="true" hidden="false" outlineLevel="0" max="14597" min="14597" style="2" width="12"/>
    <col collapsed="false" customWidth="true" hidden="false" outlineLevel="0" max="14598" min="14598" style="2" width="12.29"/>
    <col collapsed="false" customWidth="true" hidden="false" outlineLevel="0" max="14599" min="14599" style="2" width="13.42"/>
    <col collapsed="false" customWidth="true" hidden="true" outlineLevel="0" max="14600" min="14600" style="2" width="11.57"/>
    <col collapsed="false" customWidth="true" hidden="false" outlineLevel="0" max="14603" min="14601" style="2" width="13"/>
    <col collapsed="false" customWidth="true" hidden="false" outlineLevel="0" max="14604" min="14604" style="2" width="14.86"/>
    <col collapsed="false" customWidth="true" hidden="false" outlineLevel="0" max="14605" min="14605" style="2" width="13.29"/>
    <col collapsed="false" customWidth="true" hidden="false" outlineLevel="0" max="14606" min="14606" style="2" width="13.42"/>
    <col collapsed="false" customWidth="true" hidden="false" outlineLevel="0" max="14607" min="14607" style="2" width="2.16"/>
    <col collapsed="false" customWidth="true" hidden="false" outlineLevel="0" max="14608" min="14608" style="2" width="13.86"/>
    <col collapsed="false" customWidth="true" hidden="false" outlineLevel="0" max="14609" min="14609" style="2" width="10.71"/>
    <col collapsed="false" customWidth="true" hidden="false" outlineLevel="0" max="14610" min="14610" style="2" width="12"/>
    <col collapsed="false" customWidth="true" hidden="false" outlineLevel="0" max="14611" min="14611" style="2" width="11.43"/>
    <col collapsed="false" customWidth="true" hidden="false" outlineLevel="0" max="14612" min="14612" style="2" width="16"/>
    <col collapsed="false" customWidth="true" hidden="false" outlineLevel="0" max="14614" min="14613" style="2" width="10.71"/>
    <col collapsed="false" customWidth="true" hidden="false" outlineLevel="0" max="14615" min="14615" style="2" width="15.57"/>
    <col collapsed="false" customWidth="true" hidden="false" outlineLevel="0" max="14616" min="14616" style="2" width="11.43"/>
    <col collapsed="false" customWidth="true" hidden="false" outlineLevel="0" max="14617" min="14617" style="2" width="12"/>
    <col collapsed="false" customWidth="true" hidden="false" outlineLevel="0" max="14618" min="14618" style="2" width="11.43"/>
    <col collapsed="false" customWidth="true" hidden="false" outlineLevel="0" max="14619" min="14619" style="2" width="12"/>
    <col collapsed="false" customWidth="true" hidden="false" outlineLevel="0" max="14620" min="14620" style="2" width="11.43"/>
    <col collapsed="false" customWidth="true" hidden="false" outlineLevel="0" max="14621" min="14621" style="2" width="12.86"/>
    <col collapsed="false" customWidth="true" hidden="false" outlineLevel="0" max="14622" min="14622" style="2" width="10.71"/>
    <col collapsed="false" customWidth="true" hidden="false" outlineLevel="0" max="14623" min="14623" style="2" width="19"/>
    <col collapsed="false" customWidth="true" hidden="false" outlineLevel="0" max="14624" min="14624" style="2" width="13.29"/>
    <col collapsed="false" customWidth="true" hidden="false" outlineLevel="0" max="14625" min="14625" style="2" width="18"/>
    <col collapsed="false" customWidth="true" hidden="false" outlineLevel="0" max="14626" min="14626" style="2" width="42.42"/>
    <col collapsed="false" customWidth="true" hidden="false" outlineLevel="0" max="14627" min="14627" style="2" width="31"/>
    <col collapsed="false" customWidth="true" hidden="false" outlineLevel="0" max="14628" min="14628" style="2" width="35"/>
    <col collapsed="false" customWidth="true" hidden="false" outlineLevel="0" max="14629" min="14629" style="2" width="31"/>
    <col collapsed="false" customWidth="true" hidden="false" outlineLevel="0" max="14630" min="14630" style="2" width="35"/>
    <col collapsed="false" customWidth="true" hidden="false" outlineLevel="0" max="14631" min="14631" style="2" width="31"/>
    <col collapsed="false" customWidth="true" hidden="false" outlineLevel="0" max="14632" min="14632" style="2" width="37.86"/>
    <col collapsed="false" customWidth="true" hidden="false" outlineLevel="0" max="14633" min="14633" style="2" width="11.43"/>
    <col collapsed="false" customWidth="true" hidden="false" outlineLevel="0" max="14634" min="14634" style="2" width="54"/>
    <col collapsed="false" customWidth="true" hidden="false" outlineLevel="0" max="14635" min="14635" style="2" width="43.57"/>
    <col collapsed="false" customWidth="true" hidden="false" outlineLevel="0" max="14636" min="14636" style="2" width="44.71"/>
    <col collapsed="false" customWidth="false" hidden="false" outlineLevel="0" max="14846" min="14637" style="2" width="6.29"/>
    <col collapsed="false" customWidth="true" hidden="false" outlineLevel="0" max="14848" min="14847" style="2" width="2.16"/>
    <col collapsed="false" customWidth="true" hidden="true" outlineLevel="0" max="14849" min="14849" style="2" width="11.57"/>
    <col collapsed="false" customWidth="true" hidden="false" outlineLevel="0" max="14852" min="14850" style="2" width="12.86"/>
    <col collapsed="false" customWidth="true" hidden="false" outlineLevel="0" max="14853" min="14853" style="2" width="12"/>
    <col collapsed="false" customWidth="true" hidden="false" outlineLevel="0" max="14854" min="14854" style="2" width="12.29"/>
    <col collapsed="false" customWidth="true" hidden="false" outlineLevel="0" max="14855" min="14855" style="2" width="13.42"/>
    <col collapsed="false" customWidth="true" hidden="true" outlineLevel="0" max="14856" min="14856" style="2" width="11.57"/>
    <col collapsed="false" customWidth="true" hidden="false" outlineLevel="0" max="14859" min="14857" style="2" width="13"/>
    <col collapsed="false" customWidth="true" hidden="false" outlineLevel="0" max="14860" min="14860" style="2" width="14.86"/>
    <col collapsed="false" customWidth="true" hidden="false" outlineLevel="0" max="14861" min="14861" style="2" width="13.29"/>
    <col collapsed="false" customWidth="true" hidden="false" outlineLevel="0" max="14862" min="14862" style="2" width="13.42"/>
    <col collapsed="false" customWidth="true" hidden="false" outlineLevel="0" max="14863" min="14863" style="2" width="2.16"/>
    <col collapsed="false" customWidth="true" hidden="false" outlineLevel="0" max="14864" min="14864" style="2" width="13.86"/>
    <col collapsed="false" customWidth="true" hidden="false" outlineLevel="0" max="14865" min="14865" style="2" width="10.71"/>
    <col collapsed="false" customWidth="true" hidden="false" outlineLevel="0" max="14866" min="14866" style="2" width="12"/>
    <col collapsed="false" customWidth="true" hidden="false" outlineLevel="0" max="14867" min="14867" style="2" width="11.43"/>
    <col collapsed="false" customWidth="true" hidden="false" outlineLevel="0" max="14868" min="14868" style="2" width="16"/>
    <col collapsed="false" customWidth="true" hidden="false" outlineLevel="0" max="14870" min="14869" style="2" width="10.71"/>
    <col collapsed="false" customWidth="true" hidden="false" outlineLevel="0" max="14871" min="14871" style="2" width="15.57"/>
    <col collapsed="false" customWidth="true" hidden="false" outlineLevel="0" max="14872" min="14872" style="2" width="11.43"/>
    <col collapsed="false" customWidth="true" hidden="false" outlineLevel="0" max="14873" min="14873" style="2" width="12"/>
    <col collapsed="false" customWidth="true" hidden="false" outlineLevel="0" max="14874" min="14874" style="2" width="11.43"/>
    <col collapsed="false" customWidth="true" hidden="false" outlineLevel="0" max="14875" min="14875" style="2" width="12"/>
    <col collapsed="false" customWidth="true" hidden="false" outlineLevel="0" max="14876" min="14876" style="2" width="11.43"/>
    <col collapsed="false" customWidth="true" hidden="false" outlineLevel="0" max="14877" min="14877" style="2" width="12.86"/>
    <col collapsed="false" customWidth="true" hidden="false" outlineLevel="0" max="14878" min="14878" style="2" width="10.71"/>
    <col collapsed="false" customWidth="true" hidden="false" outlineLevel="0" max="14879" min="14879" style="2" width="19"/>
    <col collapsed="false" customWidth="true" hidden="false" outlineLevel="0" max="14880" min="14880" style="2" width="13.29"/>
    <col collapsed="false" customWidth="true" hidden="false" outlineLevel="0" max="14881" min="14881" style="2" width="18"/>
    <col collapsed="false" customWidth="true" hidden="false" outlineLevel="0" max="14882" min="14882" style="2" width="42.42"/>
    <col collapsed="false" customWidth="true" hidden="false" outlineLevel="0" max="14883" min="14883" style="2" width="31"/>
    <col collapsed="false" customWidth="true" hidden="false" outlineLevel="0" max="14884" min="14884" style="2" width="35"/>
    <col collapsed="false" customWidth="true" hidden="false" outlineLevel="0" max="14885" min="14885" style="2" width="31"/>
    <col collapsed="false" customWidth="true" hidden="false" outlineLevel="0" max="14886" min="14886" style="2" width="35"/>
    <col collapsed="false" customWidth="true" hidden="false" outlineLevel="0" max="14887" min="14887" style="2" width="31"/>
    <col collapsed="false" customWidth="true" hidden="false" outlineLevel="0" max="14888" min="14888" style="2" width="37.86"/>
    <col collapsed="false" customWidth="true" hidden="false" outlineLevel="0" max="14889" min="14889" style="2" width="11.43"/>
    <col collapsed="false" customWidth="true" hidden="false" outlineLevel="0" max="14890" min="14890" style="2" width="54"/>
    <col collapsed="false" customWidth="true" hidden="false" outlineLevel="0" max="14891" min="14891" style="2" width="43.57"/>
    <col collapsed="false" customWidth="true" hidden="false" outlineLevel="0" max="14892" min="14892" style="2" width="44.71"/>
    <col collapsed="false" customWidth="false" hidden="false" outlineLevel="0" max="15102" min="14893" style="2" width="6.29"/>
    <col collapsed="false" customWidth="true" hidden="false" outlineLevel="0" max="15104" min="15103" style="2" width="2.16"/>
    <col collapsed="false" customWidth="true" hidden="true" outlineLevel="0" max="15105" min="15105" style="2" width="11.57"/>
    <col collapsed="false" customWidth="true" hidden="false" outlineLevel="0" max="15108" min="15106" style="2" width="12.86"/>
    <col collapsed="false" customWidth="true" hidden="false" outlineLevel="0" max="15109" min="15109" style="2" width="12"/>
    <col collapsed="false" customWidth="true" hidden="false" outlineLevel="0" max="15110" min="15110" style="2" width="12.29"/>
    <col collapsed="false" customWidth="true" hidden="false" outlineLevel="0" max="15111" min="15111" style="2" width="13.42"/>
    <col collapsed="false" customWidth="true" hidden="true" outlineLevel="0" max="15112" min="15112" style="2" width="11.57"/>
    <col collapsed="false" customWidth="true" hidden="false" outlineLevel="0" max="15115" min="15113" style="2" width="13"/>
    <col collapsed="false" customWidth="true" hidden="false" outlineLevel="0" max="15116" min="15116" style="2" width="14.86"/>
    <col collapsed="false" customWidth="true" hidden="false" outlineLevel="0" max="15117" min="15117" style="2" width="13.29"/>
    <col collapsed="false" customWidth="true" hidden="false" outlineLevel="0" max="15118" min="15118" style="2" width="13.42"/>
    <col collapsed="false" customWidth="true" hidden="false" outlineLevel="0" max="15119" min="15119" style="2" width="2.16"/>
    <col collapsed="false" customWidth="true" hidden="false" outlineLevel="0" max="15120" min="15120" style="2" width="13.86"/>
    <col collapsed="false" customWidth="true" hidden="false" outlineLevel="0" max="15121" min="15121" style="2" width="10.71"/>
    <col collapsed="false" customWidth="true" hidden="false" outlineLevel="0" max="15122" min="15122" style="2" width="12"/>
    <col collapsed="false" customWidth="true" hidden="false" outlineLevel="0" max="15123" min="15123" style="2" width="11.43"/>
    <col collapsed="false" customWidth="true" hidden="false" outlineLevel="0" max="15124" min="15124" style="2" width="16"/>
    <col collapsed="false" customWidth="true" hidden="false" outlineLevel="0" max="15126" min="15125" style="2" width="10.71"/>
    <col collapsed="false" customWidth="true" hidden="false" outlineLevel="0" max="15127" min="15127" style="2" width="15.57"/>
    <col collapsed="false" customWidth="true" hidden="false" outlineLevel="0" max="15128" min="15128" style="2" width="11.43"/>
    <col collapsed="false" customWidth="true" hidden="false" outlineLevel="0" max="15129" min="15129" style="2" width="12"/>
    <col collapsed="false" customWidth="true" hidden="false" outlineLevel="0" max="15130" min="15130" style="2" width="11.43"/>
    <col collapsed="false" customWidth="true" hidden="false" outlineLevel="0" max="15131" min="15131" style="2" width="12"/>
    <col collapsed="false" customWidth="true" hidden="false" outlineLevel="0" max="15132" min="15132" style="2" width="11.43"/>
    <col collapsed="false" customWidth="true" hidden="false" outlineLevel="0" max="15133" min="15133" style="2" width="12.86"/>
    <col collapsed="false" customWidth="true" hidden="false" outlineLevel="0" max="15134" min="15134" style="2" width="10.71"/>
    <col collapsed="false" customWidth="true" hidden="false" outlineLevel="0" max="15135" min="15135" style="2" width="19"/>
    <col collapsed="false" customWidth="true" hidden="false" outlineLevel="0" max="15136" min="15136" style="2" width="13.29"/>
    <col collapsed="false" customWidth="true" hidden="false" outlineLevel="0" max="15137" min="15137" style="2" width="18"/>
    <col collapsed="false" customWidth="true" hidden="false" outlineLevel="0" max="15138" min="15138" style="2" width="42.42"/>
    <col collapsed="false" customWidth="true" hidden="false" outlineLevel="0" max="15139" min="15139" style="2" width="31"/>
    <col collapsed="false" customWidth="true" hidden="false" outlineLevel="0" max="15140" min="15140" style="2" width="35"/>
    <col collapsed="false" customWidth="true" hidden="false" outlineLevel="0" max="15141" min="15141" style="2" width="31"/>
    <col collapsed="false" customWidth="true" hidden="false" outlineLevel="0" max="15142" min="15142" style="2" width="35"/>
    <col collapsed="false" customWidth="true" hidden="false" outlineLevel="0" max="15143" min="15143" style="2" width="31"/>
    <col collapsed="false" customWidth="true" hidden="false" outlineLevel="0" max="15144" min="15144" style="2" width="37.86"/>
    <col collapsed="false" customWidth="true" hidden="false" outlineLevel="0" max="15145" min="15145" style="2" width="11.43"/>
    <col collapsed="false" customWidth="true" hidden="false" outlineLevel="0" max="15146" min="15146" style="2" width="54"/>
    <col collapsed="false" customWidth="true" hidden="false" outlineLevel="0" max="15147" min="15147" style="2" width="43.57"/>
    <col collapsed="false" customWidth="true" hidden="false" outlineLevel="0" max="15148" min="15148" style="2" width="44.71"/>
    <col collapsed="false" customWidth="false" hidden="false" outlineLevel="0" max="15358" min="15149" style="2" width="6.29"/>
    <col collapsed="false" customWidth="true" hidden="false" outlineLevel="0" max="15360" min="15359" style="2" width="2.16"/>
    <col collapsed="false" customWidth="true" hidden="true" outlineLevel="0" max="15361" min="15361" style="2" width="11.57"/>
    <col collapsed="false" customWidth="true" hidden="false" outlineLevel="0" max="15364" min="15362" style="2" width="12.86"/>
    <col collapsed="false" customWidth="true" hidden="false" outlineLevel="0" max="15365" min="15365" style="2" width="12"/>
    <col collapsed="false" customWidth="true" hidden="false" outlineLevel="0" max="15366" min="15366" style="2" width="12.29"/>
    <col collapsed="false" customWidth="true" hidden="false" outlineLevel="0" max="15367" min="15367" style="2" width="13.42"/>
    <col collapsed="false" customWidth="true" hidden="true" outlineLevel="0" max="15368" min="15368" style="2" width="11.57"/>
    <col collapsed="false" customWidth="true" hidden="false" outlineLevel="0" max="15371" min="15369" style="2" width="13"/>
    <col collapsed="false" customWidth="true" hidden="false" outlineLevel="0" max="15372" min="15372" style="2" width="14.86"/>
    <col collapsed="false" customWidth="true" hidden="false" outlineLevel="0" max="15373" min="15373" style="2" width="13.29"/>
    <col collapsed="false" customWidth="true" hidden="false" outlineLevel="0" max="15374" min="15374" style="2" width="13.42"/>
    <col collapsed="false" customWidth="true" hidden="false" outlineLevel="0" max="15375" min="15375" style="2" width="2.16"/>
    <col collapsed="false" customWidth="true" hidden="false" outlineLevel="0" max="15376" min="15376" style="2" width="13.86"/>
    <col collapsed="false" customWidth="true" hidden="false" outlineLevel="0" max="15377" min="15377" style="2" width="10.71"/>
    <col collapsed="false" customWidth="true" hidden="false" outlineLevel="0" max="15378" min="15378" style="2" width="12"/>
    <col collapsed="false" customWidth="true" hidden="false" outlineLevel="0" max="15379" min="15379" style="2" width="11.43"/>
    <col collapsed="false" customWidth="true" hidden="false" outlineLevel="0" max="15380" min="15380" style="2" width="16"/>
    <col collapsed="false" customWidth="true" hidden="false" outlineLevel="0" max="15382" min="15381" style="2" width="10.71"/>
    <col collapsed="false" customWidth="true" hidden="false" outlineLevel="0" max="15383" min="15383" style="2" width="15.57"/>
    <col collapsed="false" customWidth="true" hidden="false" outlineLevel="0" max="15384" min="15384" style="2" width="11.43"/>
    <col collapsed="false" customWidth="true" hidden="false" outlineLevel="0" max="15385" min="15385" style="2" width="12"/>
    <col collapsed="false" customWidth="true" hidden="false" outlineLevel="0" max="15386" min="15386" style="2" width="11.43"/>
    <col collapsed="false" customWidth="true" hidden="false" outlineLevel="0" max="15387" min="15387" style="2" width="12"/>
    <col collapsed="false" customWidth="true" hidden="false" outlineLevel="0" max="15388" min="15388" style="2" width="11.43"/>
    <col collapsed="false" customWidth="true" hidden="false" outlineLevel="0" max="15389" min="15389" style="2" width="12.86"/>
    <col collapsed="false" customWidth="true" hidden="false" outlineLevel="0" max="15390" min="15390" style="2" width="10.71"/>
    <col collapsed="false" customWidth="true" hidden="false" outlineLevel="0" max="15391" min="15391" style="2" width="19"/>
    <col collapsed="false" customWidth="true" hidden="false" outlineLevel="0" max="15392" min="15392" style="2" width="13.29"/>
    <col collapsed="false" customWidth="true" hidden="false" outlineLevel="0" max="15393" min="15393" style="2" width="18"/>
    <col collapsed="false" customWidth="true" hidden="false" outlineLevel="0" max="15394" min="15394" style="2" width="42.42"/>
    <col collapsed="false" customWidth="true" hidden="false" outlineLevel="0" max="15395" min="15395" style="2" width="31"/>
    <col collapsed="false" customWidth="true" hidden="false" outlineLevel="0" max="15396" min="15396" style="2" width="35"/>
    <col collapsed="false" customWidth="true" hidden="false" outlineLevel="0" max="15397" min="15397" style="2" width="31"/>
    <col collapsed="false" customWidth="true" hidden="false" outlineLevel="0" max="15398" min="15398" style="2" width="35"/>
    <col collapsed="false" customWidth="true" hidden="false" outlineLevel="0" max="15399" min="15399" style="2" width="31"/>
    <col collapsed="false" customWidth="true" hidden="false" outlineLevel="0" max="15400" min="15400" style="2" width="37.86"/>
    <col collapsed="false" customWidth="true" hidden="false" outlineLevel="0" max="15401" min="15401" style="2" width="11.43"/>
    <col collapsed="false" customWidth="true" hidden="false" outlineLevel="0" max="15402" min="15402" style="2" width="54"/>
    <col collapsed="false" customWidth="true" hidden="false" outlineLevel="0" max="15403" min="15403" style="2" width="43.57"/>
    <col collapsed="false" customWidth="true" hidden="false" outlineLevel="0" max="15404" min="15404" style="2" width="44.71"/>
    <col collapsed="false" customWidth="false" hidden="false" outlineLevel="0" max="15614" min="15405" style="2" width="6.29"/>
    <col collapsed="false" customWidth="true" hidden="false" outlineLevel="0" max="15616" min="15615" style="2" width="2.16"/>
    <col collapsed="false" customWidth="true" hidden="true" outlineLevel="0" max="15617" min="15617" style="2" width="11.57"/>
    <col collapsed="false" customWidth="true" hidden="false" outlineLevel="0" max="15620" min="15618" style="2" width="12.86"/>
    <col collapsed="false" customWidth="true" hidden="false" outlineLevel="0" max="15621" min="15621" style="2" width="12"/>
    <col collapsed="false" customWidth="true" hidden="false" outlineLevel="0" max="15622" min="15622" style="2" width="12.29"/>
    <col collapsed="false" customWidth="true" hidden="false" outlineLevel="0" max="15623" min="15623" style="2" width="13.42"/>
    <col collapsed="false" customWidth="true" hidden="true" outlineLevel="0" max="15624" min="15624" style="2" width="11.57"/>
    <col collapsed="false" customWidth="true" hidden="false" outlineLevel="0" max="15627" min="15625" style="2" width="13"/>
    <col collapsed="false" customWidth="true" hidden="false" outlineLevel="0" max="15628" min="15628" style="2" width="14.86"/>
    <col collapsed="false" customWidth="true" hidden="false" outlineLevel="0" max="15629" min="15629" style="2" width="13.29"/>
    <col collapsed="false" customWidth="true" hidden="false" outlineLevel="0" max="15630" min="15630" style="2" width="13.42"/>
    <col collapsed="false" customWidth="true" hidden="false" outlineLevel="0" max="15631" min="15631" style="2" width="2.16"/>
    <col collapsed="false" customWidth="true" hidden="false" outlineLevel="0" max="15632" min="15632" style="2" width="13.86"/>
    <col collapsed="false" customWidth="true" hidden="false" outlineLevel="0" max="15633" min="15633" style="2" width="10.71"/>
    <col collapsed="false" customWidth="true" hidden="false" outlineLevel="0" max="15634" min="15634" style="2" width="12"/>
    <col collapsed="false" customWidth="true" hidden="false" outlineLevel="0" max="15635" min="15635" style="2" width="11.43"/>
    <col collapsed="false" customWidth="true" hidden="false" outlineLevel="0" max="15636" min="15636" style="2" width="16"/>
    <col collapsed="false" customWidth="true" hidden="false" outlineLevel="0" max="15638" min="15637" style="2" width="10.71"/>
    <col collapsed="false" customWidth="true" hidden="false" outlineLevel="0" max="15639" min="15639" style="2" width="15.57"/>
    <col collapsed="false" customWidth="true" hidden="false" outlineLevel="0" max="15640" min="15640" style="2" width="11.43"/>
    <col collapsed="false" customWidth="true" hidden="false" outlineLevel="0" max="15641" min="15641" style="2" width="12"/>
    <col collapsed="false" customWidth="true" hidden="false" outlineLevel="0" max="15642" min="15642" style="2" width="11.43"/>
    <col collapsed="false" customWidth="true" hidden="false" outlineLevel="0" max="15643" min="15643" style="2" width="12"/>
    <col collapsed="false" customWidth="true" hidden="false" outlineLevel="0" max="15644" min="15644" style="2" width="11.43"/>
    <col collapsed="false" customWidth="true" hidden="false" outlineLevel="0" max="15645" min="15645" style="2" width="12.86"/>
    <col collapsed="false" customWidth="true" hidden="false" outlineLevel="0" max="15646" min="15646" style="2" width="10.71"/>
    <col collapsed="false" customWidth="true" hidden="false" outlineLevel="0" max="15647" min="15647" style="2" width="19"/>
    <col collapsed="false" customWidth="true" hidden="false" outlineLevel="0" max="15648" min="15648" style="2" width="13.29"/>
    <col collapsed="false" customWidth="true" hidden="false" outlineLevel="0" max="15649" min="15649" style="2" width="18"/>
    <col collapsed="false" customWidth="true" hidden="false" outlineLevel="0" max="15650" min="15650" style="2" width="42.42"/>
    <col collapsed="false" customWidth="true" hidden="false" outlineLevel="0" max="15651" min="15651" style="2" width="31"/>
    <col collapsed="false" customWidth="true" hidden="false" outlineLevel="0" max="15652" min="15652" style="2" width="35"/>
    <col collapsed="false" customWidth="true" hidden="false" outlineLevel="0" max="15653" min="15653" style="2" width="31"/>
    <col collapsed="false" customWidth="true" hidden="false" outlineLevel="0" max="15654" min="15654" style="2" width="35"/>
    <col collapsed="false" customWidth="true" hidden="false" outlineLevel="0" max="15655" min="15655" style="2" width="31"/>
    <col collapsed="false" customWidth="true" hidden="false" outlineLevel="0" max="15656" min="15656" style="2" width="37.86"/>
    <col collapsed="false" customWidth="true" hidden="false" outlineLevel="0" max="15657" min="15657" style="2" width="11.43"/>
    <col collapsed="false" customWidth="true" hidden="false" outlineLevel="0" max="15658" min="15658" style="2" width="54"/>
    <col collapsed="false" customWidth="true" hidden="false" outlineLevel="0" max="15659" min="15659" style="2" width="43.57"/>
    <col collapsed="false" customWidth="true" hidden="false" outlineLevel="0" max="15660" min="15660" style="2" width="44.71"/>
    <col collapsed="false" customWidth="false" hidden="false" outlineLevel="0" max="15870" min="15661" style="2" width="6.29"/>
    <col collapsed="false" customWidth="true" hidden="false" outlineLevel="0" max="15872" min="15871" style="2" width="2.16"/>
    <col collapsed="false" customWidth="true" hidden="true" outlineLevel="0" max="15873" min="15873" style="2" width="11.57"/>
    <col collapsed="false" customWidth="true" hidden="false" outlineLevel="0" max="15876" min="15874" style="2" width="12.86"/>
    <col collapsed="false" customWidth="true" hidden="false" outlineLevel="0" max="15877" min="15877" style="2" width="12"/>
    <col collapsed="false" customWidth="true" hidden="false" outlineLevel="0" max="15878" min="15878" style="2" width="12.29"/>
    <col collapsed="false" customWidth="true" hidden="false" outlineLevel="0" max="15879" min="15879" style="2" width="13.42"/>
    <col collapsed="false" customWidth="true" hidden="true" outlineLevel="0" max="15880" min="15880" style="2" width="11.57"/>
    <col collapsed="false" customWidth="true" hidden="false" outlineLevel="0" max="15883" min="15881" style="2" width="13"/>
    <col collapsed="false" customWidth="true" hidden="false" outlineLevel="0" max="15884" min="15884" style="2" width="14.86"/>
    <col collapsed="false" customWidth="true" hidden="false" outlineLevel="0" max="15885" min="15885" style="2" width="13.29"/>
    <col collapsed="false" customWidth="true" hidden="false" outlineLevel="0" max="15886" min="15886" style="2" width="13.42"/>
    <col collapsed="false" customWidth="true" hidden="false" outlineLevel="0" max="15887" min="15887" style="2" width="2.16"/>
    <col collapsed="false" customWidth="true" hidden="false" outlineLevel="0" max="15888" min="15888" style="2" width="13.86"/>
    <col collapsed="false" customWidth="true" hidden="false" outlineLevel="0" max="15889" min="15889" style="2" width="10.71"/>
    <col collapsed="false" customWidth="true" hidden="false" outlineLevel="0" max="15890" min="15890" style="2" width="12"/>
    <col collapsed="false" customWidth="true" hidden="false" outlineLevel="0" max="15891" min="15891" style="2" width="11.43"/>
    <col collapsed="false" customWidth="true" hidden="false" outlineLevel="0" max="15892" min="15892" style="2" width="16"/>
    <col collapsed="false" customWidth="true" hidden="false" outlineLevel="0" max="15894" min="15893" style="2" width="10.71"/>
    <col collapsed="false" customWidth="true" hidden="false" outlineLevel="0" max="15895" min="15895" style="2" width="15.57"/>
    <col collapsed="false" customWidth="true" hidden="false" outlineLevel="0" max="15896" min="15896" style="2" width="11.43"/>
    <col collapsed="false" customWidth="true" hidden="false" outlineLevel="0" max="15897" min="15897" style="2" width="12"/>
    <col collapsed="false" customWidth="true" hidden="false" outlineLevel="0" max="15898" min="15898" style="2" width="11.43"/>
    <col collapsed="false" customWidth="true" hidden="false" outlineLevel="0" max="15899" min="15899" style="2" width="12"/>
    <col collapsed="false" customWidth="true" hidden="false" outlineLevel="0" max="15900" min="15900" style="2" width="11.43"/>
    <col collapsed="false" customWidth="true" hidden="false" outlineLevel="0" max="15901" min="15901" style="2" width="12.86"/>
    <col collapsed="false" customWidth="true" hidden="false" outlineLevel="0" max="15902" min="15902" style="2" width="10.71"/>
    <col collapsed="false" customWidth="true" hidden="false" outlineLevel="0" max="15903" min="15903" style="2" width="19"/>
    <col collapsed="false" customWidth="true" hidden="false" outlineLevel="0" max="15904" min="15904" style="2" width="13.29"/>
    <col collapsed="false" customWidth="true" hidden="false" outlineLevel="0" max="15905" min="15905" style="2" width="18"/>
    <col collapsed="false" customWidth="true" hidden="false" outlineLevel="0" max="15906" min="15906" style="2" width="42.42"/>
    <col collapsed="false" customWidth="true" hidden="false" outlineLevel="0" max="15907" min="15907" style="2" width="31"/>
    <col collapsed="false" customWidth="true" hidden="false" outlineLevel="0" max="15908" min="15908" style="2" width="35"/>
    <col collapsed="false" customWidth="true" hidden="false" outlineLevel="0" max="15909" min="15909" style="2" width="31"/>
    <col collapsed="false" customWidth="true" hidden="false" outlineLevel="0" max="15910" min="15910" style="2" width="35"/>
    <col collapsed="false" customWidth="true" hidden="false" outlineLevel="0" max="15911" min="15911" style="2" width="31"/>
    <col collapsed="false" customWidth="true" hidden="false" outlineLevel="0" max="15912" min="15912" style="2" width="37.86"/>
    <col collapsed="false" customWidth="true" hidden="false" outlineLevel="0" max="15913" min="15913" style="2" width="11.43"/>
    <col collapsed="false" customWidth="true" hidden="false" outlineLevel="0" max="15914" min="15914" style="2" width="54"/>
    <col collapsed="false" customWidth="true" hidden="false" outlineLevel="0" max="15915" min="15915" style="2" width="43.57"/>
    <col collapsed="false" customWidth="true" hidden="false" outlineLevel="0" max="15916" min="15916" style="2" width="44.71"/>
    <col collapsed="false" customWidth="false" hidden="false" outlineLevel="0" max="16126" min="15917" style="2" width="6.29"/>
    <col collapsed="false" customWidth="true" hidden="false" outlineLevel="0" max="16128" min="16127" style="2" width="2.16"/>
    <col collapsed="false" customWidth="true" hidden="true" outlineLevel="0" max="16129" min="16129" style="2" width="11.57"/>
    <col collapsed="false" customWidth="true" hidden="false" outlineLevel="0" max="16132" min="16130" style="2" width="12.86"/>
    <col collapsed="false" customWidth="true" hidden="false" outlineLevel="0" max="16133" min="16133" style="2" width="12"/>
    <col collapsed="false" customWidth="true" hidden="false" outlineLevel="0" max="16134" min="16134" style="2" width="12.29"/>
    <col collapsed="false" customWidth="true" hidden="false" outlineLevel="0" max="16135" min="16135" style="2" width="13.42"/>
    <col collapsed="false" customWidth="true" hidden="true" outlineLevel="0" max="16136" min="16136" style="2" width="11.57"/>
    <col collapsed="false" customWidth="true" hidden="false" outlineLevel="0" max="16139" min="16137" style="2" width="13"/>
    <col collapsed="false" customWidth="true" hidden="false" outlineLevel="0" max="16140" min="16140" style="2" width="14.86"/>
    <col collapsed="false" customWidth="true" hidden="false" outlineLevel="0" max="16141" min="16141" style="2" width="13.29"/>
    <col collapsed="false" customWidth="true" hidden="false" outlineLevel="0" max="16142" min="16142" style="2" width="13.42"/>
    <col collapsed="false" customWidth="true" hidden="false" outlineLevel="0" max="16143" min="16143" style="2" width="2.16"/>
    <col collapsed="false" customWidth="true" hidden="false" outlineLevel="0" max="16144" min="16144" style="2" width="13.86"/>
    <col collapsed="false" customWidth="true" hidden="false" outlineLevel="0" max="16145" min="16145" style="2" width="10.71"/>
    <col collapsed="false" customWidth="true" hidden="false" outlineLevel="0" max="16146" min="16146" style="2" width="12"/>
    <col collapsed="false" customWidth="true" hidden="false" outlineLevel="0" max="16147" min="16147" style="2" width="11.43"/>
    <col collapsed="false" customWidth="true" hidden="false" outlineLevel="0" max="16148" min="16148" style="2" width="16"/>
    <col collapsed="false" customWidth="true" hidden="false" outlineLevel="0" max="16150" min="16149" style="2" width="10.71"/>
    <col collapsed="false" customWidth="true" hidden="false" outlineLevel="0" max="16151" min="16151" style="2" width="15.57"/>
    <col collapsed="false" customWidth="true" hidden="false" outlineLevel="0" max="16152" min="16152" style="2" width="11.43"/>
    <col collapsed="false" customWidth="true" hidden="false" outlineLevel="0" max="16153" min="16153" style="2" width="12"/>
    <col collapsed="false" customWidth="true" hidden="false" outlineLevel="0" max="16154" min="16154" style="2" width="11.43"/>
    <col collapsed="false" customWidth="true" hidden="false" outlineLevel="0" max="16155" min="16155" style="2" width="12"/>
    <col collapsed="false" customWidth="true" hidden="false" outlineLevel="0" max="16156" min="16156" style="2" width="11.43"/>
    <col collapsed="false" customWidth="true" hidden="false" outlineLevel="0" max="16157" min="16157" style="2" width="12.86"/>
    <col collapsed="false" customWidth="true" hidden="false" outlineLevel="0" max="16158" min="16158" style="2" width="10.71"/>
    <col collapsed="false" customWidth="true" hidden="false" outlineLevel="0" max="16159" min="16159" style="2" width="19"/>
    <col collapsed="false" customWidth="true" hidden="false" outlineLevel="0" max="16160" min="16160" style="2" width="13.29"/>
    <col collapsed="false" customWidth="true" hidden="false" outlineLevel="0" max="16161" min="16161" style="2" width="18"/>
    <col collapsed="false" customWidth="true" hidden="false" outlineLevel="0" max="16162" min="16162" style="2" width="42.42"/>
    <col collapsed="false" customWidth="true" hidden="false" outlineLevel="0" max="16163" min="16163" style="2" width="31"/>
    <col collapsed="false" customWidth="true" hidden="false" outlineLevel="0" max="16164" min="16164" style="2" width="35"/>
    <col collapsed="false" customWidth="true" hidden="false" outlineLevel="0" max="16165" min="16165" style="2" width="31"/>
    <col collapsed="false" customWidth="true" hidden="false" outlineLevel="0" max="16166" min="16166" style="2" width="35"/>
    <col collapsed="false" customWidth="true" hidden="false" outlineLevel="0" max="16167" min="16167" style="2" width="31"/>
    <col collapsed="false" customWidth="true" hidden="false" outlineLevel="0" max="16168" min="16168" style="2" width="37.86"/>
    <col collapsed="false" customWidth="true" hidden="false" outlineLevel="0" max="16169" min="16169" style="2" width="11.43"/>
    <col collapsed="false" customWidth="true" hidden="false" outlineLevel="0" max="16170" min="16170" style="2" width="54"/>
    <col collapsed="false" customWidth="true" hidden="false" outlineLevel="0" max="16171" min="16171" style="2" width="43.57"/>
    <col collapsed="false" customWidth="true" hidden="false" outlineLevel="0" max="16172" min="16172" style="2" width="44.71"/>
    <col collapsed="false" customWidth="false" hidden="false" outlineLevel="0" max="16384" min="16173" style="2" width="6.29"/>
  </cols>
  <sheetData>
    <row r="1" customFormat="false" ht="12.75" hidden="false" customHeight="false" outlineLevel="0" collapsed="false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6"/>
    </row>
    <row r="2" customFormat="false" ht="12.75" hidden="false" customHeight="true" outlineLevel="0" collapsed="false">
      <c r="B2" s="7"/>
      <c r="C2" s="8"/>
      <c r="D2" s="9"/>
      <c r="E2" s="9"/>
      <c r="F2" s="10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customFormat="false" ht="12.75" hidden="false" customHeight="false" outlineLevel="0" collapsed="false">
      <c r="B3" s="7"/>
      <c r="C3" s="8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</row>
    <row r="4" customFormat="false" ht="12.75" hidden="false" customHeight="true" outlineLevel="0" collapsed="false">
      <c r="B4" s="7"/>
      <c r="C4" s="8"/>
      <c r="D4" s="9"/>
      <c r="E4" s="9"/>
      <c r="F4" s="12" t="s">
        <v>1</v>
      </c>
      <c r="G4" s="12"/>
      <c r="H4" s="12"/>
      <c r="I4" s="12"/>
      <c r="J4" s="12"/>
      <c r="K4" s="12"/>
      <c r="L4" s="12"/>
      <c r="M4" s="12" t="s">
        <v>2</v>
      </c>
      <c r="N4" s="12"/>
      <c r="O4" s="12"/>
      <c r="P4" s="13" t="n">
        <v>46065</v>
      </c>
      <c r="Q4" s="13"/>
      <c r="R4" s="11"/>
    </row>
    <row r="5" customFormat="false" ht="12.75" hidden="false" customHeight="false" outlineLevel="0" collapsed="false">
      <c r="B5" s="7"/>
      <c r="C5" s="8"/>
      <c r="D5" s="9"/>
      <c r="E5" s="9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3"/>
      <c r="R5" s="11"/>
    </row>
    <row r="6" customFormat="false" ht="12.75" hidden="false" customHeight="false" outlineLevel="0" collapsed="false">
      <c r="B6" s="7"/>
      <c r="C6" s="8"/>
      <c r="D6" s="14"/>
      <c r="E6" s="14"/>
      <c r="F6" s="14"/>
      <c r="G6" s="14"/>
      <c r="H6" s="14"/>
      <c r="I6" s="14"/>
      <c r="J6" s="14"/>
      <c r="K6" s="14"/>
      <c r="L6" s="14"/>
      <c r="M6" s="15"/>
      <c r="N6" s="15"/>
      <c r="O6" s="8"/>
      <c r="P6" s="16"/>
      <c r="Q6" s="16"/>
      <c r="R6" s="11"/>
    </row>
    <row r="7" customFormat="false" ht="12.75" hidden="false" customHeight="false" outlineLevel="0" collapsed="false">
      <c r="B7" s="17"/>
      <c r="C7" s="18"/>
      <c r="D7" s="19"/>
      <c r="E7" s="19"/>
      <c r="F7" s="19"/>
      <c r="G7" s="20" t="s">
        <v>3</v>
      </c>
      <c r="H7" s="20" t="s">
        <v>3</v>
      </c>
      <c r="I7" s="20" t="s">
        <v>4</v>
      </c>
      <c r="J7" s="21" t="s">
        <v>5</v>
      </c>
      <c r="K7" s="22"/>
      <c r="L7" s="22"/>
      <c r="M7" s="22"/>
      <c r="N7" s="20" t="s">
        <v>3</v>
      </c>
      <c r="O7" s="20" t="s">
        <v>3</v>
      </c>
      <c r="P7" s="20" t="s">
        <v>4</v>
      </c>
      <c r="Q7" s="20" t="s">
        <v>5</v>
      </c>
      <c r="R7" s="11"/>
    </row>
    <row r="8" customFormat="false" ht="12.75" hidden="false" customHeight="false" outlineLevel="0" collapsed="false">
      <c r="B8" s="17"/>
      <c r="C8" s="18"/>
      <c r="D8" s="19"/>
      <c r="E8" s="19"/>
      <c r="F8" s="19"/>
      <c r="G8" s="23" t="s">
        <v>6</v>
      </c>
      <c r="H8" s="23" t="s">
        <v>7</v>
      </c>
      <c r="I8" s="23" t="s">
        <v>8</v>
      </c>
      <c r="J8" s="24" t="s">
        <v>9</v>
      </c>
      <c r="K8" s="22"/>
      <c r="L8" s="22"/>
      <c r="M8" s="22"/>
      <c r="N8" s="23" t="s">
        <v>6</v>
      </c>
      <c r="O8" s="23" t="s">
        <v>7</v>
      </c>
      <c r="P8" s="23" t="s">
        <v>8</v>
      </c>
      <c r="Q8" s="23" t="s">
        <v>9</v>
      </c>
      <c r="R8" s="11"/>
    </row>
    <row r="9" customFormat="false" ht="12.75" hidden="false" customHeight="false" outlineLevel="0" collapsed="false">
      <c r="B9" s="17"/>
      <c r="C9" s="18"/>
      <c r="D9" s="25" t="s">
        <v>10</v>
      </c>
      <c r="E9" s="25"/>
      <c r="F9" s="25"/>
      <c r="G9" s="25"/>
      <c r="H9" s="25"/>
      <c r="I9" s="25"/>
      <c r="J9" s="25"/>
      <c r="K9" s="26" t="s">
        <v>11</v>
      </c>
      <c r="L9" s="26"/>
      <c r="M9" s="26"/>
      <c r="N9" s="26"/>
      <c r="O9" s="26"/>
      <c r="P9" s="26"/>
      <c r="Q9" s="26"/>
      <c r="R9" s="11"/>
    </row>
    <row r="10" customFormat="false" ht="12.75" hidden="false" customHeight="false" outlineLevel="0" collapsed="false">
      <c r="B10" s="17"/>
      <c r="C10" s="18" t="s">
        <v>12</v>
      </c>
      <c r="D10" s="27" t="s">
        <v>13</v>
      </c>
      <c r="E10" s="27"/>
      <c r="F10" s="27"/>
      <c r="G10" s="28" t="n">
        <f aca="false">'Diag Proc Los Colorados'!K3</f>
        <v>448636</v>
      </c>
      <c r="H10" s="28" t="n">
        <f aca="false">Utilidad!M40</f>
        <v>443431.8224</v>
      </c>
      <c r="I10" s="29" t="n">
        <f aca="false">Utilidad!N40</f>
        <v>0.509697</v>
      </c>
      <c r="J10" s="30" t="n">
        <f aca="false">+H10*I10</f>
        <v>226015.869581813</v>
      </c>
      <c r="K10" s="31" t="s">
        <v>14</v>
      </c>
      <c r="L10" s="31"/>
      <c r="M10" s="31"/>
      <c r="N10" s="28" t="n">
        <f aca="false">O10/(1-'Datos Extra'!E11)</f>
        <v>310847.205655605</v>
      </c>
      <c r="O10" s="28" t="n">
        <f aca="false">Utilidad!M52</f>
        <v>307241.37807</v>
      </c>
      <c r="P10" s="29" t="n">
        <f aca="false">Utilidad!N52</f>
        <v>0.60297908339</v>
      </c>
      <c r="Q10" s="30" t="n">
        <f aca="false">+O10*P10</f>
        <v>185260.124528129</v>
      </c>
      <c r="R10" s="11"/>
      <c r="T10" s="1" t="s">
        <v>15</v>
      </c>
    </row>
    <row r="11" customFormat="false" ht="12.75" hidden="false" customHeight="false" outlineLevel="0" collapsed="false">
      <c r="B11" s="17"/>
      <c r="C11" s="18"/>
      <c r="D11" s="27" t="s">
        <v>16</v>
      </c>
      <c r="E11" s="27"/>
      <c r="F11" s="27"/>
      <c r="G11" s="28" t="n">
        <f aca="false">H11/(1-1.1%)</f>
        <v>421288.312578362</v>
      </c>
      <c r="H11" s="28" t="n">
        <f aca="false">Flujos!G12</f>
        <v>416654.14114</v>
      </c>
      <c r="I11" s="29" t="n">
        <f aca="false">Flujos!H12</f>
        <v>0.51006524434</v>
      </c>
      <c r="J11" s="30" t="n">
        <f aca="false">+H11*I11</f>
        <v>212520.796305847</v>
      </c>
      <c r="K11" s="31" t="s">
        <v>17</v>
      </c>
      <c r="L11" s="31"/>
      <c r="M11" s="31"/>
      <c r="N11" s="28" t="n">
        <v>0</v>
      </c>
      <c r="O11" s="28" t="n">
        <v>0</v>
      </c>
      <c r="P11" s="32" t="n">
        <v>0</v>
      </c>
      <c r="Q11" s="30" t="n">
        <f aca="false">+O11*P11</f>
        <v>0</v>
      </c>
      <c r="R11" s="11"/>
    </row>
    <row r="12" customFormat="false" ht="12.75" hidden="false" customHeight="false" outlineLevel="0" collapsed="false">
      <c r="B12" s="17"/>
      <c r="C12" s="18"/>
      <c r="D12" s="27" t="s">
        <v>18</v>
      </c>
      <c r="E12" s="27"/>
      <c r="F12" s="27"/>
      <c r="G12" s="28" t="n">
        <f aca="false">'Diag Proc Los Colorados'!K33</f>
        <v>147345.526838377</v>
      </c>
      <c r="H12" s="28" t="n">
        <f aca="false">Utilidad!M58</f>
        <v>145592.11507</v>
      </c>
      <c r="I12" s="29" t="n">
        <f aca="false">Utilidad!N58</f>
        <v>0.21705979068</v>
      </c>
      <c r="J12" s="30" t="n">
        <f aca="false">+H12*I12</f>
        <v>31602.1940217527</v>
      </c>
      <c r="K12" s="31" t="s">
        <v>19</v>
      </c>
      <c r="L12" s="31"/>
      <c r="M12" s="31"/>
      <c r="N12" s="28" t="n">
        <f aca="false">O12/(1-'Datos Extra'!E12)</f>
        <v>0</v>
      </c>
      <c r="O12" s="28" t="n">
        <f aca="false">'Datos Extra'!B10</f>
        <v>0</v>
      </c>
      <c r="P12" s="32" t="n">
        <f aca="false">Utilidad!N60</f>
        <v>0.47504338397</v>
      </c>
      <c r="Q12" s="30" t="n">
        <f aca="false">+O12*P12</f>
        <v>0</v>
      </c>
      <c r="R12" s="11"/>
    </row>
    <row r="13" customFormat="false" ht="12.75" hidden="false" customHeight="true" outlineLevel="0" collapsed="false">
      <c r="B13" s="17"/>
      <c r="C13" s="18" t="s">
        <v>20</v>
      </c>
      <c r="D13" s="33" t="s">
        <v>21</v>
      </c>
      <c r="E13" s="33"/>
      <c r="F13" s="33"/>
      <c r="G13" s="34"/>
      <c r="H13" s="35"/>
      <c r="I13" s="36"/>
      <c r="J13" s="37"/>
      <c r="K13" s="38" t="s">
        <v>21</v>
      </c>
      <c r="L13" s="38"/>
      <c r="M13" s="38"/>
      <c r="N13" s="35" t="n">
        <f aca="false">SUM(N10:N12)</f>
        <v>310847.205655605</v>
      </c>
      <c r="O13" s="35" t="n">
        <f aca="false">SUM(O10:O12)</f>
        <v>307241.37807</v>
      </c>
      <c r="P13" s="39" t="n">
        <f aca="false">+Q13/O13</f>
        <v>0.60297908339</v>
      </c>
      <c r="Q13" s="35" t="n">
        <f aca="false">SUM(Q10:Q12)</f>
        <v>185260.124528129</v>
      </c>
      <c r="R13" s="11"/>
    </row>
    <row r="14" customFormat="false" ht="12.75" hidden="false" customHeight="false" outlineLevel="0" collapsed="false">
      <c r="B14" s="17"/>
      <c r="C14" s="18"/>
      <c r="D14" s="25" t="s">
        <v>22</v>
      </c>
      <c r="E14" s="25"/>
      <c r="F14" s="25"/>
      <c r="G14" s="25"/>
      <c r="H14" s="25"/>
      <c r="I14" s="25"/>
      <c r="J14" s="25"/>
      <c r="K14" s="40" t="s">
        <v>23</v>
      </c>
      <c r="L14" s="40"/>
      <c r="M14" s="40"/>
      <c r="N14" s="40"/>
      <c r="O14" s="40"/>
      <c r="P14" s="40"/>
      <c r="Q14" s="40"/>
      <c r="R14" s="11"/>
    </row>
    <row r="15" customFormat="false" ht="12.75" hidden="false" customHeight="false" outlineLevel="0" collapsed="false">
      <c r="B15" s="17"/>
      <c r="C15" s="18"/>
      <c r="D15" s="27" t="s">
        <v>24</v>
      </c>
      <c r="E15" s="27"/>
      <c r="F15" s="27"/>
      <c r="G15" s="28" t="n">
        <f aca="false">'Datos Extra'!B1</f>
        <v>311847.36</v>
      </c>
      <c r="H15" s="28" t="n">
        <f aca="false">'Datos Extra'!C1</f>
        <v>311815.897234815</v>
      </c>
      <c r="I15" s="32" t="n">
        <f aca="false">'Datos Extra'!D1</f>
        <v>0.60972389337393</v>
      </c>
      <c r="J15" s="41" t="n">
        <f aca="false">H15*I15</f>
        <v>190121.602877897</v>
      </c>
      <c r="K15" s="42" t="s">
        <v>25</v>
      </c>
      <c r="L15" s="42"/>
      <c r="M15" s="42"/>
      <c r="N15" s="28" t="n">
        <f aca="false">O15/(1-'Datos Extra'!E9)</f>
        <v>116724.1322437</v>
      </c>
      <c r="O15" s="28" t="n">
        <f aca="false">'Diag Proc Los Colorados'!S28</f>
        <v>115335.11507</v>
      </c>
      <c r="P15" s="29" t="n">
        <f aca="false">'Diag Proc Los Colorados'!S29</f>
        <v>0.14938040633</v>
      </c>
      <c r="Q15" s="30" t="n">
        <f aca="false">'Diag Proc Los Colorados'!S30</f>
        <v>17228.8063532739</v>
      </c>
      <c r="R15" s="11"/>
    </row>
    <row r="16" customFormat="false" ht="12.75" hidden="false" customHeight="true" outlineLevel="0" collapsed="false">
      <c r="B16" s="17"/>
      <c r="C16" s="18"/>
      <c r="D16" s="27" t="s">
        <v>26</v>
      </c>
      <c r="E16" s="27"/>
      <c r="F16" s="27"/>
      <c r="G16" s="28" t="n">
        <f aca="false">'Datos Extra'!B2</f>
        <v>0</v>
      </c>
      <c r="H16" s="28" t="n">
        <f aca="false">'Datos Extra'!C2</f>
        <v>0</v>
      </c>
      <c r="I16" s="32" t="n">
        <f aca="false">'Datos Extra'!D2</f>
        <v>0</v>
      </c>
      <c r="J16" s="41" t="n">
        <f aca="false">H16*I16</f>
        <v>0</v>
      </c>
      <c r="K16" s="33" t="s">
        <v>21</v>
      </c>
      <c r="L16" s="33"/>
      <c r="M16" s="33"/>
      <c r="N16" s="34" t="n">
        <f aca="false">SUM(N14:N15)</f>
        <v>116724.1322437</v>
      </c>
      <c r="O16" s="34" t="n">
        <f aca="false">SUM(O15)</f>
        <v>115335.11507</v>
      </c>
      <c r="P16" s="43" t="n">
        <f aca="false">+P15</f>
        <v>0.14938040633</v>
      </c>
      <c r="Q16" s="34" t="n">
        <f aca="false">SUM(Q15)</f>
        <v>17228.8063532739</v>
      </c>
      <c r="R16" s="11"/>
    </row>
    <row r="17" customFormat="false" ht="12.75" hidden="false" customHeight="false" outlineLevel="0" collapsed="false">
      <c r="B17" s="17"/>
      <c r="C17" s="18"/>
      <c r="D17" s="27" t="s">
        <v>27</v>
      </c>
      <c r="E17" s="27"/>
      <c r="F17" s="27"/>
      <c r="G17" s="28" t="n">
        <f aca="false">'Datos Extra'!B3</f>
        <v>14566.66</v>
      </c>
      <c r="H17" s="28" t="n">
        <f aca="false">'Datos Extra'!C3</f>
        <v>14565.203334</v>
      </c>
      <c r="I17" s="32" t="n">
        <f aca="false">'Datos Extra'!D3</f>
        <v>0.4735</v>
      </c>
      <c r="J17" s="41" t="n">
        <f aca="false">H17*I17</f>
        <v>6896.623778649</v>
      </c>
      <c r="K17" s="16"/>
      <c r="L17" s="16"/>
      <c r="M17" s="16"/>
      <c r="N17" s="16"/>
      <c r="O17" s="16"/>
      <c r="P17" s="16"/>
      <c r="Q17" s="16"/>
      <c r="R17" s="11"/>
    </row>
    <row r="18" customFormat="false" ht="12.75" hidden="false" customHeight="false" outlineLevel="0" collapsed="false">
      <c r="B18" s="17"/>
      <c r="C18" s="18"/>
      <c r="D18" s="27" t="s">
        <v>28</v>
      </c>
      <c r="E18" s="27"/>
      <c r="F18" s="27"/>
      <c r="G18" s="28" t="n">
        <f aca="false">'Datos Extra'!B4</f>
        <v>26475.29</v>
      </c>
      <c r="H18" s="28" t="n">
        <f aca="false">'Datos Extra'!C4</f>
        <v>26473.1719768</v>
      </c>
      <c r="I18" s="32" t="n">
        <f aca="false">'Datos Extra'!D4</f>
        <v>0.6042</v>
      </c>
      <c r="J18" s="41" t="n">
        <f aca="false">H18*I18</f>
        <v>15995.0905083826</v>
      </c>
      <c r="K18" s="16"/>
      <c r="L18" s="16"/>
      <c r="M18" s="16"/>
      <c r="N18" s="44"/>
      <c r="O18" s="16"/>
      <c r="P18" s="16"/>
      <c r="Q18" s="16"/>
      <c r="R18" s="11"/>
    </row>
    <row r="19" customFormat="false" ht="12.75" hidden="false" customHeight="false" outlineLevel="0" collapsed="false">
      <c r="B19" s="17"/>
      <c r="C19" s="18"/>
      <c r="D19" s="45" t="s">
        <v>29</v>
      </c>
      <c r="E19" s="31"/>
      <c r="F19" s="46"/>
      <c r="G19" s="28" t="n">
        <f aca="false">'Datos Extra'!B5</f>
        <v>5017.45</v>
      </c>
      <c r="H19" s="28" t="n">
        <f aca="false">'Datos Extra'!C5</f>
        <v>5017.148953</v>
      </c>
      <c r="I19" s="32" t="n">
        <f aca="false">'Datos Extra'!D5</f>
        <v>0.6296</v>
      </c>
      <c r="J19" s="41" t="n">
        <f aca="false">H19*I19</f>
        <v>3158.7969808088</v>
      </c>
      <c r="K19" s="16"/>
      <c r="L19" s="16"/>
      <c r="M19" s="16"/>
      <c r="N19" s="44"/>
      <c r="O19" s="16"/>
      <c r="P19" s="16"/>
      <c r="Q19" s="16"/>
      <c r="R19" s="11"/>
    </row>
    <row r="20" customFormat="false" ht="12.75" hidden="false" customHeight="false" outlineLevel="0" collapsed="false">
      <c r="B20" s="17"/>
      <c r="C20" s="18"/>
      <c r="D20" s="27" t="s">
        <v>30</v>
      </c>
      <c r="E20" s="27"/>
      <c r="F20" s="27"/>
      <c r="G20" s="28" t="n">
        <f aca="false">'Datos Extra'!B6</f>
        <v>18139.79</v>
      </c>
      <c r="H20" s="28" t="n">
        <f aca="false">'Datos Extra'!C6</f>
        <v>18138.219094186</v>
      </c>
      <c r="I20" s="32" t="n">
        <f aca="false">'Datos Extra'!D6</f>
        <v>0.4795</v>
      </c>
      <c r="J20" s="41" t="n">
        <f aca="false">H20*I20</f>
        <v>8697.27605566219</v>
      </c>
      <c r="K20" s="47"/>
      <c r="L20" s="47"/>
      <c r="M20" s="47"/>
      <c r="N20" s="47"/>
      <c r="O20" s="48"/>
      <c r="P20" s="49"/>
      <c r="Q20" s="48"/>
      <c r="R20" s="11"/>
    </row>
    <row r="21" customFormat="false" ht="12.75" hidden="false" customHeight="false" outlineLevel="0" collapsed="false">
      <c r="B21" s="17"/>
      <c r="C21" s="18"/>
      <c r="D21" s="27" t="s">
        <v>31</v>
      </c>
      <c r="E21" s="27"/>
      <c r="F21" s="27"/>
      <c r="G21" s="28" t="n">
        <f aca="false">'Datos Extra'!B7</f>
        <v>27832.44</v>
      </c>
      <c r="H21" s="28" t="n">
        <f aca="false">'Datos Extra'!C7</f>
        <v>27830.2134048</v>
      </c>
      <c r="I21" s="32" t="n">
        <f aca="false">'Datos Extra'!D7</f>
        <v>0.5992</v>
      </c>
      <c r="J21" s="41" t="n">
        <f aca="false">H21*I21</f>
        <v>16675.8638721562</v>
      </c>
      <c r="K21" s="50"/>
      <c r="L21" s="51" t="n">
        <v>24218.0247296137</v>
      </c>
      <c r="M21" s="51" t="n">
        <v>66344</v>
      </c>
      <c r="N21" s="50"/>
      <c r="O21" s="52" t="n">
        <v>2100.86628411675</v>
      </c>
      <c r="P21" s="49"/>
      <c r="Q21" s="48"/>
      <c r="R21" s="11"/>
      <c r="S21" s="53"/>
    </row>
    <row r="22" customFormat="false" ht="12.75" hidden="false" customHeight="false" outlineLevel="0" collapsed="false">
      <c r="B22" s="17"/>
      <c r="C22" s="18"/>
      <c r="D22" s="45" t="s">
        <v>32</v>
      </c>
      <c r="E22" s="31"/>
      <c r="F22" s="46"/>
      <c r="G22" s="28" t="n">
        <f aca="false">'Datos Extra'!B8</f>
        <v>4410.46</v>
      </c>
      <c r="H22" s="28" t="n">
        <f aca="false">'Datos Extra'!C8</f>
        <v>4410.078054164</v>
      </c>
      <c r="I22" s="32" t="n">
        <f aca="false">'Datos Extra'!D8</f>
        <v>0.6219</v>
      </c>
      <c r="J22" s="41" t="n">
        <f aca="false">H22*I22</f>
        <v>2742.62754188459</v>
      </c>
      <c r="K22" s="51"/>
      <c r="L22" s="51"/>
      <c r="M22" s="51"/>
      <c r="N22" s="54"/>
      <c r="O22" s="52" t="n">
        <v>2100.86628411675</v>
      </c>
      <c r="P22" s="49"/>
      <c r="Q22" s="48"/>
      <c r="R22" s="11"/>
    </row>
    <row r="23" customFormat="false" ht="12.75" hidden="false" customHeight="true" outlineLevel="0" collapsed="false">
      <c r="B23" s="17"/>
      <c r="C23" s="18"/>
      <c r="D23" s="33" t="s">
        <v>21</v>
      </c>
      <c r="E23" s="33"/>
      <c r="F23" s="33"/>
      <c r="G23" s="34" t="n">
        <f aca="false">+SUM(G15:G22)</f>
        <v>408289.45</v>
      </c>
      <c r="H23" s="34" t="n">
        <f aca="false">+SUM(H15:H22)</f>
        <v>408249.932051765</v>
      </c>
      <c r="I23" s="43" t="n">
        <f aca="false">+J23/H23</f>
        <v>0.59837825419274</v>
      </c>
      <c r="J23" s="34" t="n">
        <f aca="false">+SUM(J15:J22)</f>
        <v>244287.88161544</v>
      </c>
      <c r="K23" s="55"/>
      <c r="L23" s="55"/>
      <c r="M23" s="55"/>
      <c r="N23" s="56" t="n">
        <v>471219.055009821</v>
      </c>
      <c r="O23" s="52" t="n">
        <v>2100.86628411675</v>
      </c>
      <c r="P23" s="57"/>
      <c r="Q23" s="58"/>
      <c r="R23" s="11"/>
      <c r="S23" s="59"/>
    </row>
    <row r="24" customFormat="false" ht="12.75" hidden="false" customHeight="false" outlineLevel="0" collapsed="false">
      <c r="B24" s="17"/>
      <c r="C24" s="18"/>
      <c r="D24" s="60"/>
      <c r="E24" s="60"/>
      <c r="F24" s="60"/>
      <c r="G24" s="60"/>
      <c r="H24" s="58"/>
      <c r="I24" s="57"/>
      <c r="J24" s="58"/>
      <c r="K24" s="61"/>
      <c r="L24" s="61"/>
      <c r="M24" s="61"/>
      <c r="N24" s="61"/>
      <c r="O24" s="61"/>
      <c r="P24" s="16"/>
      <c r="Q24" s="16"/>
      <c r="R24" s="11"/>
    </row>
    <row r="25" customFormat="false" ht="12.75" hidden="true" customHeight="false" outlineLevel="0" collapsed="false">
      <c r="B25" s="17"/>
      <c r="C25" s="18"/>
      <c r="D25" s="25" t="s">
        <v>33</v>
      </c>
      <c r="E25" s="25"/>
      <c r="F25" s="25"/>
      <c r="G25" s="25"/>
      <c r="H25" s="25"/>
      <c r="I25" s="25"/>
      <c r="J25" s="25"/>
      <c r="K25" s="62"/>
      <c r="L25" s="62"/>
      <c r="M25" s="62"/>
      <c r="N25" s="62"/>
      <c r="O25" s="62"/>
      <c r="P25" s="62"/>
      <c r="Q25" s="62"/>
      <c r="R25" s="63"/>
    </row>
    <row r="26" customFormat="false" ht="12.75" hidden="true" customHeight="false" outlineLevel="0" collapsed="false">
      <c r="B26" s="17"/>
      <c r="C26" s="18" t="s">
        <v>34</v>
      </c>
      <c r="D26" s="27" t="s">
        <v>35</v>
      </c>
      <c r="E26" s="27"/>
      <c r="F26" s="27"/>
      <c r="G26" s="64"/>
      <c r="H26" s="28"/>
      <c r="I26" s="65"/>
      <c r="J26" s="30"/>
      <c r="K26" s="66"/>
      <c r="L26" s="66"/>
      <c r="M26" s="66"/>
      <c r="N26" s="66"/>
      <c r="O26" s="67"/>
      <c r="P26" s="68"/>
      <c r="Q26" s="67"/>
      <c r="R26" s="11"/>
    </row>
    <row r="27" customFormat="false" ht="12.75" hidden="true" customHeight="false" outlineLevel="0" collapsed="false">
      <c r="B27" s="17"/>
      <c r="C27" s="18"/>
      <c r="D27" s="27" t="s">
        <v>36</v>
      </c>
      <c r="E27" s="27"/>
      <c r="F27" s="27"/>
      <c r="G27" s="64"/>
      <c r="H27" s="28"/>
      <c r="I27" s="69"/>
      <c r="J27" s="30"/>
      <c r="K27" s="66"/>
      <c r="L27" s="66"/>
      <c r="M27" s="66"/>
      <c r="N27" s="66"/>
      <c r="O27" s="67"/>
      <c r="P27" s="68"/>
      <c r="Q27" s="67"/>
      <c r="R27" s="11"/>
    </row>
    <row r="28" customFormat="false" ht="12.75" hidden="true" customHeight="false" outlineLevel="0" collapsed="false">
      <c r="B28" s="17"/>
      <c r="C28" s="18"/>
      <c r="D28" s="27" t="s">
        <v>37</v>
      </c>
      <c r="E28" s="27"/>
      <c r="F28" s="27"/>
      <c r="G28" s="64"/>
      <c r="H28" s="28"/>
      <c r="I28" s="69"/>
      <c r="J28" s="30"/>
      <c r="K28" s="66"/>
      <c r="L28" s="66"/>
      <c r="M28" s="66"/>
      <c r="N28" s="66"/>
      <c r="O28" s="67"/>
      <c r="P28" s="68"/>
      <c r="Q28" s="67"/>
      <c r="R28" s="11"/>
    </row>
    <row r="29" customFormat="false" ht="12.75" hidden="true" customHeight="false" outlineLevel="0" collapsed="false">
      <c r="B29" s="17"/>
      <c r="C29" s="18"/>
      <c r="D29" s="70" t="s">
        <v>38</v>
      </c>
      <c r="E29" s="70"/>
      <c r="F29" s="70"/>
      <c r="G29" s="64"/>
      <c r="H29" s="28"/>
      <c r="I29" s="69"/>
      <c r="J29" s="30"/>
      <c r="K29" s="71"/>
      <c r="L29" s="71"/>
      <c r="M29" s="71"/>
      <c r="N29" s="71"/>
      <c r="O29" s="67"/>
      <c r="P29" s="68"/>
      <c r="Q29" s="67"/>
      <c r="R29" s="11"/>
    </row>
    <row r="30" customFormat="false" ht="12.75" hidden="true" customHeight="false" outlineLevel="0" collapsed="false">
      <c r="B30" s="17"/>
      <c r="C30" s="18"/>
      <c r="D30" s="70" t="s">
        <v>39</v>
      </c>
      <c r="E30" s="70"/>
      <c r="F30" s="70"/>
      <c r="G30" s="64"/>
      <c r="H30" s="28"/>
      <c r="I30" s="69"/>
      <c r="J30" s="30"/>
      <c r="K30" s="71"/>
      <c r="L30" s="71"/>
      <c r="M30" s="71"/>
      <c r="N30" s="71"/>
      <c r="O30" s="67"/>
      <c r="P30" s="68"/>
      <c r="Q30" s="67"/>
      <c r="R30" s="11"/>
    </row>
    <row r="31" customFormat="false" ht="12.75" hidden="true" customHeight="false" outlineLevel="0" collapsed="false">
      <c r="B31" s="17"/>
      <c r="C31" s="18"/>
      <c r="D31" s="27" t="s">
        <v>40</v>
      </c>
      <c r="E31" s="27"/>
      <c r="F31" s="27"/>
      <c r="G31" s="64"/>
      <c r="H31" s="72"/>
      <c r="I31" s="69"/>
      <c r="J31" s="30"/>
      <c r="K31" s="66"/>
      <c r="L31" s="66"/>
      <c r="M31" s="66"/>
      <c r="N31" s="66"/>
      <c r="O31" s="67"/>
      <c r="P31" s="68"/>
      <c r="Q31" s="67"/>
      <c r="R31" s="11"/>
    </row>
    <row r="32" customFormat="false" ht="12.75" hidden="true" customHeight="false" outlineLevel="0" collapsed="false">
      <c r="B32" s="17"/>
      <c r="C32" s="18"/>
      <c r="D32" s="73" t="s">
        <v>21</v>
      </c>
      <c r="E32" s="73"/>
      <c r="F32" s="73"/>
      <c r="G32" s="34"/>
      <c r="H32" s="34"/>
      <c r="I32" s="74"/>
      <c r="J32" s="37"/>
      <c r="K32" s="75"/>
      <c r="L32" s="75"/>
      <c r="M32" s="75"/>
      <c r="N32" s="75"/>
      <c r="O32" s="76"/>
      <c r="P32" s="77"/>
      <c r="Q32" s="76"/>
      <c r="R32" s="11"/>
    </row>
    <row r="33" customFormat="false" ht="12.75" hidden="true" customHeight="false" outlineLevel="0" collapsed="false">
      <c r="B33" s="17"/>
      <c r="C33" s="16"/>
      <c r="D33" s="78"/>
      <c r="E33" s="16"/>
      <c r="F33" s="16"/>
      <c r="G33" s="16"/>
      <c r="H33" s="16"/>
      <c r="I33" s="79"/>
      <c r="J33" s="79"/>
      <c r="K33" s="79"/>
      <c r="L33" s="80"/>
      <c r="M33" s="79"/>
      <c r="N33" s="79"/>
      <c r="O33" s="16"/>
      <c r="P33" s="81"/>
      <c r="Q33" s="16"/>
      <c r="R33" s="11"/>
    </row>
    <row r="34" customFormat="false" ht="12.75" hidden="false" customHeight="false" outlineLevel="0" collapsed="false">
      <c r="B34" s="17"/>
      <c r="C34" s="16"/>
      <c r="D34" s="82" t="s">
        <v>41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11"/>
    </row>
    <row r="35" customFormat="false" ht="12.75" hidden="false" customHeight="false" outlineLevel="0" collapsed="false"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1"/>
    </row>
    <row r="36" customFormat="false" ht="12.75" hidden="false" customHeight="false" outlineLevel="0" collapsed="false">
      <c r="B36" s="17"/>
      <c r="C36" s="16"/>
      <c r="D36" s="83" t="s">
        <v>42</v>
      </c>
      <c r="E36" s="83"/>
      <c r="F36" s="83"/>
      <c r="G36" s="84"/>
      <c r="H36" s="85"/>
      <c r="I36" s="85"/>
      <c r="J36" s="16"/>
      <c r="K36" s="83" t="s">
        <v>43</v>
      </c>
      <c r="L36" s="83"/>
      <c r="M36" s="83"/>
      <c r="N36" s="84"/>
      <c r="O36" s="85"/>
      <c r="P36" s="85"/>
      <c r="Q36" s="16"/>
      <c r="R36" s="11"/>
    </row>
    <row r="37" customFormat="false" ht="12.75" hidden="false" customHeight="false" outlineLevel="0" collapsed="false">
      <c r="B37" s="17"/>
      <c r="C37" s="16"/>
      <c r="D37" s="86" t="n">
        <f aca="false">(Flujos!H12-Flujos!H17)/(Flujos!H16-Flujos!H17)</f>
        <v>0.737401474563072</v>
      </c>
      <c r="E37" s="86"/>
      <c r="F37" s="86"/>
      <c r="G37" s="87"/>
      <c r="H37" s="88"/>
      <c r="I37" s="89"/>
      <c r="J37" s="16"/>
      <c r="K37" s="86" t="n">
        <f aca="false">'Diag Proc Los Colorados'!Q55</f>
        <v>0.87172703918121</v>
      </c>
      <c r="L37" s="86"/>
      <c r="M37" s="86"/>
      <c r="N37" s="87"/>
      <c r="O37" s="89"/>
      <c r="P37" s="89"/>
      <c r="Q37" s="16"/>
      <c r="R37" s="11"/>
    </row>
    <row r="38" customFormat="false" ht="12.75" hidden="false" customHeight="false" outlineLevel="0" collapsed="false">
      <c r="B38" s="17"/>
      <c r="C38" s="16"/>
      <c r="D38" s="86"/>
      <c r="E38" s="86"/>
      <c r="F38" s="86"/>
      <c r="G38" s="90"/>
      <c r="H38" s="91"/>
      <c r="I38" s="91"/>
      <c r="J38" s="16"/>
      <c r="K38" s="86"/>
      <c r="L38" s="86"/>
      <c r="M38" s="86"/>
      <c r="N38" s="87"/>
      <c r="O38" s="92"/>
      <c r="P38" s="93"/>
      <c r="Q38" s="16"/>
      <c r="R38" s="11"/>
    </row>
    <row r="39" customFormat="false" ht="12.75" hidden="false" customHeight="false" outlineLevel="0" collapsed="false">
      <c r="B39" s="17"/>
      <c r="C39" s="16"/>
      <c r="D39" s="83" t="s">
        <v>44</v>
      </c>
      <c r="E39" s="83"/>
      <c r="F39" s="83"/>
      <c r="G39" s="87"/>
      <c r="H39" s="92"/>
      <c r="I39" s="93"/>
      <c r="J39" s="16"/>
      <c r="K39" s="94"/>
      <c r="L39" s="94"/>
      <c r="M39" s="94"/>
      <c r="N39" s="87"/>
      <c r="O39" s="92"/>
      <c r="P39" s="93"/>
      <c r="Q39" s="16"/>
      <c r="R39" s="11"/>
    </row>
    <row r="40" customFormat="false" ht="12.75" hidden="false" customHeight="false" outlineLevel="0" collapsed="false">
      <c r="B40" s="17"/>
      <c r="C40" s="16"/>
      <c r="D40" s="86" t="n">
        <f aca="false">'Diag Proc Los Colorados'!Q54</f>
        <v>0.737401474588402</v>
      </c>
      <c r="E40" s="86"/>
      <c r="F40" s="8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1"/>
    </row>
    <row r="41" customFormat="false" ht="12.75" hidden="false" customHeight="false" outlineLevel="0" collapsed="false">
      <c r="B41" s="17"/>
      <c r="C41" s="16"/>
      <c r="D41" s="86"/>
      <c r="E41" s="86"/>
      <c r="F41" s="8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1"/>
    </row>
    <row r="42" customFormat="false" ht="13.8" hidden="false" customHeight="false" outlineLevel="0" collapsed="false">
      <c r="B42" s="17"/>
      <c r="C42" s="16"/>
      <c r="D42" s="16"/>
      <c r="E42" s="95"/>
      <c r="F42" s="95"/>
      <c r="G42" s="95"/>
      <c r="H42" s="95"/>
      <c r="I42" s="95"/>
      <c r="J42" s="96"/>
      <c r="K42" s="96"/>
      <c r="L42" s="16"/>
      <c r="M42" s="16"/>
      <c r="N42" s="16"/>
      <c r="O42" s="16"/>
      <c r="P42" s="16"/>
      <c r="Q42" s="16"/>
      <c r="R42" s="11"/>
    </row>
    <row r="43" customFormat="false" ht="12.75" hidden="false" customHeight="false" outlineLevel="0" collapsed="false">
      <c r="B43" s="17"/>
      <c r="C43" s="16"/>
      <c r="D43" s="16"/>
      <c r="E43" s="97"/>
      <c r="F43" s="98" t="s">
        <v>45</v>
      </c>
      <c r="G43" s="98" t="s">
        <v>46</v>
      </c>
      <c r="H43" s="98" t="s">
        <v>47</v>
      </c>
      <c r="I43" s="99" t="s">
        <v>48</v>
      </c>
      <c r="J43" s="16"/>
      <c r="K43" s="16"/>
      <c r="L43" s="16"/>
      <c r="M43" s="16"/>
      <c r="N43" s="16"/>
      <c r="O43" s="16"/>
      <c r="P43" s="16"/>
      <c r="Q43" s="16"/>
      <c r="R43" s="11"/>
    </row>
    <row r="44" customFormat="false" ht="13.8" hidden="false" customHeight="false" outlineLevel="0" collapsed="false">
      <c r="B44" s="17"/>
      <c r="C44" s="16"/>
      <c r="D44" s="16"/>
      <c r="E44" s="100" t="s">
        <v>49</v>
      </c>
      <c r="F44" s="101"/>
      <c r="G44" s="102" t="n">
        <f aca="false">G10</f>
        <v>448636</v>
      </c>
      <c r="H44" s="102" t="n">
        <f aca="false">G44-F44</f>
        <v>448636</v>
      </c>
      <c r="I44" s="103" t="n">
        <f aca="false">IF(F44&gt;0,H44/F44,0)</f>
        <v>0</v>
      </c>
      <c r="J44" s="16"/>
      <c r="K44" s="16"/>
      <c r="L44" s="16"/>
      <c r="M44" s="16"/>
      <c r="N44" s="16"/>
      <c r="O44" s="16"/>
      <c r="P44" s="16"/>
      <c r="Q44" s="16"/>
      <c r="R44" s="11"/>
    </row>
    <row r="45" customFormat="false" ht="13.8" hidden="false" customHeight="false" outlineLevel="0" collapsed="false">
      <c r="B45" s="17"/>
      <c r="C45" s="16"/>
      <c r="D45" s="16"/>
      <c r="E45" s="100" t="s">
        <v>50</v>
      </c>
      <c r="F45" s="101"/>
      <c r="G45" s="102" t="n">
        <v>459737.272612676</v>
      </c>
      <c r="H45" s="102" t="n">
        <f aca="false">G45-F45</f>
        <v>459737.272612676</v>
      </c>
      <c r="I45" s="103" t="n">
        <f aca="false">IF(F45&gt;0,H45/F45,0)</f>
        <v>0</v>
      </c>
      <c r="J45" s="16"/>
      <c r="K45" s="16"/>
      <c r="L45" s="16"/>
      <c r="M45" s="16"/>
      <c r="N45" s="16"/>
      <c r="O45" s="16"/>
      <c r="P45" s="16"/>
      <c r="Q45" s="16"/>
      <c r="R45" s="11"/>
    </row>
    <row r="46" customFormat="false" ht="13.8" hidden="false" customHeight="false" outlineLevel="0" collapsed="false">
      <c r="B46" s="17"/>
      <c r="C46" s="16"/>
      <c r="D46" s="16"/>
      <c r="E46" s="100" t="s">
        <v>51</v>
      </c>
      <c r="F46" s="101"/>
      <c r="G46" s="102" t="n">
        <f aca="false">N10</f>
        <v>310847.205655605</v>
      </c>
      <c r="H46" s="102" t="n">
        <f aca="false">G46-F46</f>
        <v>310847.205655605</v>
      </c>
      <c r="I46" s="103" t="n">
        <f aca="false">IF(F46&gt;0,H46/F46,0)</f>
        <v>0</v>
      </c>
      <c r="J46" s="16"/>
      <c r="K46" s="16"/>
      <c r="L46" s="16"/>
      <c r="M46" s="16"/>
      <c r="N46" s="16"/>
      <c r="O46" s="16"/>
      <c r="P46" s="16"/>
      <c r="Q46" s="16"/>
      <c r="R46" s="11"/>
    </row>
    <row r="47" customFormat="false" ht="13.8" hidden="false" customHeight="false" outlineLevel="0" collapsed="false">
      <c r="B47" s="17"/>
      <c r="C47" s="16"/>
      <c r="D47" s="16"/>
      <c r="E47" s="100" t="s">
        <v>52</v>
      </c>
      <c r="F47" s="101"/>
      <c r="G47" s="102" t="n">
        <f aca="false">G12</f>
        <v>147345.526838377</v>
      </c>
      <c r="H47" s="102" t="n">
        <f aca="false">G47-F47</f>
        <v>147345.526838377</v>
      </c>
      <c r="I47" s="103" t="n">
        <f aca="false">IF(F47&gt;0,H47/F47,0)</f>
        <v>0</v>
      </c>
      <c r="J47" s="16"/>
      <c r="K47" s="16"/>
      <c r="L47" s="16"/>
      <c r="M47" s="16"/>
      <c r="N47" s="16"/>
      <c r="O47" s="16"/>
      <c r="P47" s="16"/>
      <c r="Q47" s="16"/>
      <c r="R47" s="11"/>
    </row>
    <row r="48" customFormat="false" ht="13.8" hidden="false" customHeight="false" outlineLevel="0" collapsed="false">
      <c r="B48" s="17"/>
      <c r="C48" s="16"/>
      <c r="D48" s="16"/>
      <c r="E48" s="104" t="s">
        <v>53</v>
      </c>
      <c r="F48" s="16"/>
      <c r="G48" s="16"/>
      <c r="H48" s="16" t="n">
        <f aca="false">G48-F48</f>
        <v>0</v>
      </c>
      <c r="I48" s="103" t="n">
        <f aca="false">IF(F48&gt;0,H48/F48,0)</f>
        <v>0</v>
      </c>
      <c r="J48" s="16"/>
      <c r="K48" s="16"/>
      <c r="L48" s="16"/>
      <c r="M48" s="16"/>
      <c r="N48" s="16"/>
      <c r="O48" s="16"/>
      <c r="P48" s="16"/>
      <c r="Q48" s="16"/>
      <c r="R48" s="11"/>
    </row>
    <row r="49" customFormat="false" ht="13.8" hidden="false" customHeight="false" outlineLevel="0" collapsed="false">
      <c r="B49" s="17"/>
      <c r="C49" s="16"/>
      <c r="D49" s="16"/>
      <c r="E49" s="104" t="s">
        <v>54</v>
      </c>
      <c r="F49" s="16"/>
      <c r="G49" s="16"/>
      <c r="H49" s="16" t="n">
        <f aca="false">G49-F49</f>
        <v>0</v>
      </c>
      <c r="I49" s="103" t="n">
        <f aca="false">IF(F49&gt;0,H49/F49,0)</f>
        <v>0</v>
      </c>
      <c r="J49" s="16"/>
      <c r="K49" s="16"/>
      <c r="L49" s="16"/>
      <c r="M49" s="16"/>
      <c r="N49" s="16"/>
      <c r="O49" s="16"/>
      <c r="P49" s="16"/>
      <c r="Q49" s="16"/>
      <c r="R49" s="11"/>
    </row>
    <row r="50" customFormat="false" ht="13.8" hidden="false" customHeight="false" outlineLevel="0" collapsed="false">
      <c r="B50" s="17"/>
      <c r="C50" s="16"/>
      <c r="D50" s="16"/>
      <c r="E50" s="104" t="s">
        <v>55</v>
      </c>
      <c r="F50" s="16"/>
      <c r="G50" s="16"/>
      <c r="H50" s="16" t="n">
        <f aca="false">G50-F50</f>
        <v>0</v>
      </c>
      <c r="I50" s="103" t="n">
        <f aca="false">IF(F50&gt;0,H50/F50,0)</f>
        <v>0</v>
      </c>
      <c r="J50" s="16"/>
      <c r="K50" s="16"/>
      <c r="L50" s="16"/>
      <c r="M50" s="16"/>
      <c r="N50" s="16"/>
      <c r="O50" s="16"/>
      <c r="P50" s="16"/>
      <c r="Q50" s="16"/>
      <c r="R50" s="11"/>
    </row>
    <row r="51" customFormat="false" ht="13.8" hidden="false" customHeight="false" outlineLevel="0" collapsed="false">
      <c r="B51" s="105"/>
      <c r="C51" s="78"/>
      <c r="D51" s="78"/>
      <c r="E51" s="106" t="s">
        <v>56</v>
      </c>
      <c r="F51" s="107"/>
      <c r="G51" s="108" t="n">
        <f aca="false">N12</f>
        <v>0</v>
      </c>
      <c r="H51" s="108" t="n">
        <f aca="false">G51-F51</f>
        <v>0</v>
      </c>
      <c r="I51" s="109" t="n">
        <f aca="false">IF(F51&gt;0,H51/F51,0)</f>
        <v>0</v>
      </c>
      <c r="J51" s="78"/>
      <c r="K51" s="78"/>
      <c r="L51" s="78"/>
      <c r="M51" s="78"/>
      <c r="N51" s="78"/>
      <c r="O51" s="78"/>
      <c r="P51" s="78"/>
      <c r="Q51" s="78"/>
      <c r="R51" s="110"/>
    </row>
  </sheetData>
  <mergeCells count="56">
    <mergeCell ref="D2:E5"/>
    <mergeCell ref="F2:Q3"/>
    <mergeCell ref="F4:L5"/>
    <mergeCell ref="M4:O5"/>
    <mergeCell ref="P4:Q5"/>
    <mergeCell ref="D7:F8"/>
    <mergeCell ref="K7:M8"/>
    <mergeCell ref="D9:J9"/>
    <mergeCell ref="K9:Q9"/>
    <mergeCell ref="D10:F10"/>
    <mergeCell ref="K10:M10"/>
    <mergeCell ref="D11:F11"/>
    <mergeCell ref="K11:M11"/>
    <mergeCell ref="D12:F12"/>
    <mergeCell ref="K12:M12"/>
    <mergeCell ref="D13:F13"/>
    <mergeCell ref="K13:M13"/>
    <mergeCell ref="D14:J14"/>
    <mergeCell ref="K14:Q14"/>
    <mergeCell ref="D15:F15"/>
    <mergeCell ref="K15:M15"/>
    <mergeCell ref="D16:F16"/>
    <mergeCell ref="K16:M16"/>
    <mergeCell ref="D17:F17"/>
    <mergeCell ref="D18:F18"/>
    <mergeCell ref="D20:F20"/>
    <mergeCell ref="K20:M20"/>
    <mergeCell ref="D21:F21"/>
    <mergeCell ref="K22:M22"/>
    <mergeCell ref="D23:F23"/>
    <mergeCell ref="K23:M23"/>
    <mergeCell ref="D24:F24"/>
    <mergeCell ref="D25:J25"/>
    <mergeCell ref="K25:Q25"/>
    <mergeCell ref="D26:F26"/>
    <mergeCell ref="K26:M26"/>
    <mergeCell ref="D27:F27"/>
    <mergeCell ref="D28:F28"/>
    <mergeCell ref="K28:M28"/>
    <mergeCell ref="D29:F29"/>
    <mergeCell ref="K29:M29"/>
    <mergeCell ref="D30:F30"/>
    <mergeCell ref="K30:M30"/>
    <mergeCell ref="D31:F31"/>
    <mergeCell ref="K31:M31"/>
    <mergeCell ref="D32:F32"/>
    <mergeCell ref="K32:M32"/>
    <mergeCell ref="D34:Q34"/>
    <mergeCell ref="D36:F36"/>
    <mergeCell ref="H36:I36"/>
    <mergeCell ref="K36:M36"/>
    <mergeCell ref="O36:P36"/>
    <mergeCell ref="D37:F38"/>
    <mergeCell ref="K37:M38"/>
    <mergeCell ref="D39:F39"/>
    <mergeCell ref="D40:F41"/>
  </mergeCells>
  <printOptions headings="false" gridLines="false" gridLinesSet="true" horizontalCentered="false" verticalCentered="false"/>
  <pageMargins left="0.118055555555556" right="0.118055555555556" top="0.747916666666667" bottom="0.747916666666667" header="0.511811023622047" footer="0.511811023622047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G2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95" width="51.11"/>
    <col collapsed="false" customWidth="true" hidden="false" outlineLevel="0" max="5" min="4" style="95" width="33.72"/>
    <col collapsed="false" customWidth="true" hidden="false" outlineLevel="0" max="6" min="6" style="95" width="25.21"/>
    <col collapsed="false" customWidth="true" hidden="false" outlineLevel="0" max="7" min="7" style="95" width="33.55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C4" s="111"/>
      <c r="D4" s="111"/>
      <c r="E4" s="111"/>
      <c r="F4" s="111"/>
      <c r="G4" s="111"/>
    </row>
    <row r="5" customFormat="false" ht="17.35" hidden="false" customHeight="false" outlineLevel="0" collapsed="false">
      <c r="C5" s="112"/>
      <c r="D5" s="112"/>
      <c r="E5" s="113" t="s">
        <v>57</v>
      </c>
      <c r="F5" s="113"/>
      <c r="G5" s="112"/>
    </row>
    <row r="6" customFormat="false" ht="13.8" hidden="false" customHeight="false" outlineLevel="0" collapsed="false">
      <c r="C6" s="112"/>
      <c r="D6" s="112" t="s">
        <v>58</v>
      </c>
      <c r="E6" s="112" t="s">
        <v>59</v>
      </c>
      <c r="F6" s="112" t="s">
        <v>60</v>
      </c>
      <c r="G6" s="112"/>
    </row>
    <row r="7" customFormat="false" ht="13.8" hidden="false" customHeight="false" outlineLevel="0" collapsed="false">
      <c r="C7" s="112"/>
      <c r="D7" s="114" t="n">
        <f aca="false">'Datos Extra'!B27</f>
        <v>100</v>
      </c>
      <c r="E7" s="114" t="n">
        <f aca="false">100-F7</f>
        <v>100</v>
      </c>
      <c r="F7" s="114" t="n">
        <f aca="false">'Datos Extra'!B28</f>
        <v>0</v>
      </c>
      <c r="G7" s="112"/>
    </row>
    <row r="8" customFormat="false" ht="13.8" hidden="false" customHeight="false" outlineLevel="0" collapsed="false">
      <c r="C8" s="115" t="s">
        <v>61</v>
      </c>
      <c r="D8" s="115" t="s">
        <v>62</v>
      </c>
      <c r="E8" s="115" t="n">
        <v>0</v>
      </c>
      <c r="F8" s="115" t="n">
        <v>61.19</v>
      </c>
      <c r="G8" s="112"/>
    </row>
    <row r="9" customFormat="false" ht="13.8" hidden="false" customHeight="false" outlineLevel="0" collapsed="false">
      <c r="C9" s="112"/>
      <c r="D9" s="112"/>
      <c r="E9" s="112"/>
      <c r="F9" s="112"/>
      <c r="G9" s="112"/>
    </row>
    <row r="10" customFormat="false" ht="13.8" hidden="false" customHeight="false" outlineLevel="0" collapsed="false">
      <c r="C10" s="112"/>
      <c r="D10" s="112"/>
      <c r="E10" s="112"/>
      <c r="F10" s="112"/>
      <c r="G10" s="112"/>
    </row>
    <row r="11" customFormat="false" ht="17.35" hidden="false" customHeight="false" outlineLevel="0" collapsed="false">
      <c r="C11" s="112"/>
      <c r="D11" s="116" t="s">
        <v>63</v>
      </c>
      <c r="E11" s="116"/>
      <c r="F11" s="116"/>
      <c r="G11" s="116"/>
    </row>
    <row r="12" customFormat="false" ht="17.35" hidden="false" customHeight="false" outlineLevel="0" collapsed="false">
      <c r="C12" s="112"/>
      <c r="D12" s="116" t="s">
        <v>6</v>
      </c>
      <c r="E12" s="116" t="s">
        <v>64</v>
      </c>
      <c r="F12" s="116" t="s">
        <v>65</v>
      </c>
      <c r="G12" s="116" t="s">
        <v>7</v>
      </c>
    </row>
    <row r="13" customFormat="false" ht="13.8" hidden="false" customHeight="false" outlineLevel="0" collapsed="false">
      <c r="C13" s="117" t="s">
        <v>66</v>
      </c>
      <c r="D13" s="118" t="n">
        <f aca="false">'Datos Extra'!B17</f>
        <v>420796</v>
      </c>
      <c r="E13" s="119" t="n">
        <f aca="false">'Datos Extra'!C17</f>
        <v>0.509696922003587</v>
      </c>
      <c r="F13" s="119" t="n">
        <f aca="false">'Datos Extra'!D17</f>
        <v>0.0116</v>
      </c>
      <c r="G13" s="118" t="n">
        <f aca="false">'Datos Extra'!E17</f>
        <v>415914.7664</v>
      </c>
    </row>
    <row r="14" customFormat="false" ht="13.8" hidden="false" customHeight="false" outlineLevel="0" collapsed="false">
      <c r="C14" s="117" t="s">
        <v>67</v>
      </c>
      <c r="D14" s="118" t="n">
        <f aca="false">'Datos Extra'!B18</f>
        <v>309330</v>
      </c>
      <c r="E14" s="119" t="n">
        <f aca="false">'Datos Extra'!C18</f>
        <v>0.611911427305211</v>
      </c>
      <c r="F14" s="119" t="n">
        <f aca="false">'Datos Extra'!D18</f>
        <v>0.0116</v>
      </c>
      <c r="G14" s="118" t="n">
        <f aca="false">'Datos Extra'!E18</f>
        <v>305741.772</v>
      </c>
    </row>
    <row r="15" customFormat="false" ht="13.8" hidden="false" customHeight="false" outlineLevel="0" collapsed="false">
      <c r="C15" s="117" t="s">
        <v>68</v>
      </c>
      <c r="D15" s="118" t="n">
        <f aca="false">'Datos Extra'!B19</f>
        <v>309330</v>
      </c>
      <c r="E15" s="119" t="n">
        <f aca="false">'Datos Extra'!C19</f>
        <v>0.6119</v>
      </c>
      <c r="F15" s="119" t="n">
        <f aca="false">'Datos Extra'!D19</f>
        <v>0.0116</v>
      </c>
      <c r="G15" s="118" t="n">
        <f aca="false">'Datos Extra'!E19</f>
        <v>305741.772</v>
      </c>
    </row>
    <row r="16" customFormat="false" ht="13.8" hidden="false" customHeight="false" outlineLevel="0" collapsed="false">
      <c r="C16" s="120" t="s">
        <v>69</v>
      </c>
      <c r="D16" s="118" t="n">
        <f aca="false">'Datos Extra'!B20</f>
        <v>0</v>
      </c>
      <c r="E16" s="119" t="n">
        <f aca="false">'Datos Extra'!C20</f>
        <v>0</v>
      </c>
      <c r="F16" s="119" t="n">
        <f aca="false">'Datos Extra'!D20</f>
        <v>0</v>
      </c>
      <c r="G16" s="118" t="n">
        <f aca="false">'Datos Extra'!E20</f>
        <v>0</v>
      </c>
    </row>
    <row r="17" customFormat="false" ht="13.8" hidden="false" customHeight="false" outlineLevel="0" collapsed="false">
      <c r="C17" s="120" t="s">
        <v>70</v>
      </c>
      <c r="D17" s="118" t="n">
        <f aca="false">'Datos Extra'!B21</f>
        <v>0</v>
      </c>
      <c r="E17" s="119" t="n">
        <f aca="false">'Datos Extra'!C21</f>
        <v>0</v>
      </c>
      <c r="F17" s="119" t="n">
        <f aca="false">'Datos Extra'!D21</f>
        <v>0</v>
      </c>
      <c r="G17" s="118" t="n">
        <f aca="false">'Datos Extra'!E21</f>
        <v>0</v>
      </c>
    </row>
    <row r="18" customFormat="false" ht="13.8" hidden="false" customHeight="false" outlineLevel="0" collapsed="false">
      <c r="C18" s="117" t="s">
        <v>71</v>
      </c>
      <c r="D18" s="118" t="n">
        <f aca="false">'Datos Extra'!B22</f>
        <v>0</v>
      </c>
      <c r="E18" s="119" t="n">
        <f aca="false">'Datos Extra'!C22</f>
        <v>0</v>
      </c>
      <c r="F18" s="119" t="n">
        <f aca="false">'Datos Extra'!D22</f>
        <v>0</v>
      </c>
      <c r="G18" s="118" t="n">
        <f aca="false">'Datos Extra'!E22</f>
        <v>0</v>
      </c>
    </row>
    <row r="19" customFormat="false" ht="13.8" hidden="false" customHeight="false" outlineLevel="0" collapsed="false">
      <c r="C19" s="117" t="s">
        <v>72</v>
      </c>
      <c r="D19" s="118" t="n">
        <f aca="false">'Datos Extra'!B23</f>
        <v>148804</v>
      </c>
      <c r="E19" s="119" t="n">
        <f aca="false">'Datos Extra'!C23</f>
        <v>0.200439242339058</v>
      </c>
      <c r="F19" s="119" t="n">
        <f aca="false">'Datos Extra'!D23</f>
        <v>0.0119</v>
      </c>
      <c r="G19" s="118" t="n">
        <f aca="false">'Datos Extra'!E23</f>
        <v>147033.2324</v>
      </c>
    </row>
    <row r="20" customFormat="false" ht="13.8" hidden="false" customHeight="false" outlineLevel="0" collapsed="false">
      <c r="C20" s="117" t="s">
        <v>73</v>
      </c>
      <c r="D20" s="118" t="n">
        <f aca="false">'Datos Extra'!B24</f>
        <v>27533</v>
      </c>
      <c r="E20" s="119" t="n">
        <f aca="false">'Datos Extra'!C24</f>
        <v>0.477801743479969</v>
      </c>
      <c r="F20" s="119" t="n">
        <f aca="false">'Datos Extra'!D24</f>
        <v>0.01</v>
      </c>
      <c r="G20" s="118" t="n">
        <f aca="false">'Datos Extra'!E24</f>
        <v>27257.67</v>
      </c>
    </row>
    <row r="21" customFormat="false" ht="13.8" hidden="false" customHeight="false" outlineLevel="0" collapsed="false">
      <c r="C21" s="117" t="s">
        <v>74</v>
      </c>
      <c r="D21" s="118" t="n">
        <f aca="false">'Datos Extra'!B25</f>
        <v>0</v>
      </c>
      <c r="E21" s="119" t="n">
        <f aca="false">'Datos Extra'!C25</f>
        <v>0</v>
      </c>
      <c r="F21" s="119" t="n">
        <f aca="false">'Datos Extra'!D25</f>
        <v>0</v>
      </c>
      <c r="G21" s="118" t="n">
        <f aca="false">'Datos Extra'!E25</f>
        <v>0</v>
      </c>
    </row>
  </sheetData>
  <mergeCells count="2">
    <mergeCell ref="E5:F5"/>
    <mergeCell ref="D11:G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false"/>
  </sheetPr>
  <dimension ref="A1:AU110"/>
  <sheetViews>
    <sheetView showFormulas="false" showGridLines="true" showRowColHeaders="true" showZeros="true" rightToLeft="false" tabSelected="false" showOutlineSymbols="true" defaultGridColor="true" view="normal" topLeftCell="N91" colorId="64" zoomScale="85" zoomScaleNormal="85" zoomScalePageLayoutView="100" workbookViewId="0">
      <selection pane="topLeft" activeCell="O72" activeCellId="0" sqref="O72"/>
    </sheetView>
  </sheetViews>
  <sheetFormatPr defaultColWidth="24.859375" defaultRowHeight="15" customHeight="true" zeroHeight="false" outlineLevelRow="1" outlineLevelCol="1"/>
  <cols>
    <col collapsed="false" customWidth="false" hidden="false" outlineLevel="1" max="6" min="1" style="95" width="24.86"/>
    <col collapsed="false" customWidth="true" hidden="false" outlineLevel="0" max="14" min="14" style="95" width="17.15"/>
    <col collapsed="false" customWidth="true" hidden="false" outlineLevel="0" max="15" min="15" style="95" width="13.15"/>
  </cols>
  <sheetData>
    <row r="1" customFormat="false" ht="15" hidden="false" customHeight="false" outlineLevel="0" collapsed="false">
      <c r="A1" s="121" t="n">
        <v>443431.8224</v>
      </c>
      <c r="B1" s="121" t="n">
        <v>443431.8224</v>
      </c>
      <c r="C1" s="122" t="n">
        <v>50.9697</v>
      </c>
      <c r="D1" s="122" t="n">
        <v>50.9697</v>
      </c>
      <c r="E1" s="121" t="n">
        <v>1.16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Z1" s="123" t="n">
        <f aca="false">+'Diag Proc Los Colorados'!S8</f>
        <v>69486.68126</v>
      </c>
    </row>
    <row r="2" customFormat="false" ht="15" hidden="false" customHeight="false" outlineLevel="1" collapsed="false">
      <c r="A2" s="121" t="n">
        <v>0</v>
      </c>
      <c r="B2" s="121" t="n">
        <v>0</v>
      </c>
      <c r="C2" s="122" t="n">
        <v>0</v>
      </c>
      <c r="D2" s="122" t="n">
        <v>0</v>
      </c>
      <c r="E2" s="121" t="n">
        <v>0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="127" customFormat="true" ht="51" hidden="false" customHeight="true" outlineLevel="1" collapsed="false">
      <c r="A3" s="121" t="n">
        <v>35392.0207456316</v>
      </c>
      <c r="B3" s="121" t="n">
        <v>35392.020746</v>
      </c>
      <c r="C3" s="122" t="n">
        <v>60.8098</v>
      </c>
      <c r="D3" s="122" t="n">
        <v>60.974740327</v>
      </c>
      <c r="E3" s="124" t="n">
        <v>0.780028189770107</v>
      </c>
      <c r="F3" s="124"/>
      <c r="G3" s="124"/>
      <c r="H3" s="124"/>
      <c r="I3" s="124"/>
      <c r="J3" s="125"/>
      <c r="K3" s="125"/>
      <c r="L3" s="125"/>
      <c r="M3" s="125"/>
      <c r="N3" s="125"/>
      <c r="O3" s="125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</row>
    <row r="4" customFormat="false" ht="15" hidden="false" customHeight="false" outlineLevel="1" collapsed="false">
      <c r="A4" s="121" t="n">
        <v>-19882.4175374116</v>
      </c>
      <c r="B4" s="121" t="n">
        <v>-20101.562675</v>
      </c>
      <c r="C4" s="122" t="n">
        <v>61.2859</v>
      </c>
      <c r="D4" s="122" t="n">
        <v>61.190716692</v>
      </c>
      <c r="E4" s="121" t="n">
        <v>1.0089155535787</v>
      </c>
      <c r="F4" s="121"/>
      <c r="G4" s="128"/>
      <c r="H4" s="121"/>
      <c r="I4" s="121"/>
      <c r="J4" s="121"/>
      <c r="K4" s="121"/>
      <c r="L4" s="121"/>
      <c r="M4" s="121"/>
      <c r="N4" s="121"/>
      <c r="O4" s="121"/>
    </row>
    <row r="5" customFormat="false" ht="15" hidden="false" customHeight="false" outlineLevel="1" collapsed="false">
      <c r="A5" s="121" t="n">
        <v>443431.8224</v>
      </c>
      <c r="B5" s="121" t="n">
        <v>443431.8224</v>
      </c>
      <c r="C5" s="122" t="n">
        <v>50.9697</v>
      </c>
      <c r="D5" s="122" t="n">
        <v>50.9697</v>
      </c>
      <c r="E5" s="121" t="n">
        <v>1.16</v>
      </c>
      <c r="F5" s="121"/>
      <c r="G5" s="128"/>
      <c r="H5" s="121"/>
      <c r="I5" s="121"/>
      <c r="J5" s="121"/>
      <c r="K5" s="121"/>
      <c r="L5" s="121"/>
      <c r="M5" s="121"/>
      <c r="N5" s="121"/>
      <c r="O5" s="121"/>
    </row>
    <row r="6" customFormat="false" ht="15" hidden="false" customHeight="false" outlineLevel="1" collapsed="false">
      <c r="A6" s="121" t="n">
        <v>0</v>
      </c>
      <c r="B6" s="121" t="n">
        <v>0</v>
      </c>
      <c r="C6" s="122" t="n">
        <v>0</v>
      </c>
      <c r="D6" s="122" t="n">
        <v>0</v>
      </c>
      <c r="E6" s="121" t="n">
        <v>0</v>
      </c>
      <c r="F6" s="121"/>
      <c r="G6" s="128"/>
      <c r="H6" s="121"/>
      <c r="I6" s="121"/>
      <c r="J6" s="121"/>
      <c r="K6" s="121"/>
      <c r="L6" s="121"/>
      <c r="M6" s="121"/>
      <c r="N6" s="121"/>
      <c r="O6" s="121"/>
    </row>
    <row r="7" customFormat="false" ht="15" hidden="false" customHeight="false" outlineLevel="1" collapsed="false">
      <c r="A7" s="121" t="n">
        <v>448636</v>
      </c>
      <c r="B7" s="121" t="n">
        <v>443431.8224</v>
      </c>
      <c r="C7" s="122" t="n">
        <v>50.9697</v>
      </c>
      <c r="D7" s="122" t="n">
        <v>50.9697</v>
      </c>
      <c r="E7" s="121" t="n">
        <v>0</v>
      </c>
      <c r="F7" s="121"/>
      <c r="G7" s="128"/>
      <c r="H7" s="121"/>
      <c r="I7" s="121"/>
      <c r="J7" s="121"/>
      <c r="K7" s="121"/>
      <c r="L7" s="121"/>
      <c r="M7" s="121"/>
      <c r="N7" s="121"/>
      <c r="O7" s="121"/>
    </row>
    <row r="8" customFormat="false" ht="15" hidden="false" customHeight="false" outlineLevel="1" collapsed="false">
      <c r="A8" s="121" t="n">
        <v>27558.3326588426</v>
      </c>
      <c r="B8" s="121" t="n">
        <v>26777.681263</v>
      </c>
      <c r="C8" s="122" t="n">
        <v>50.9697</v>
      </c>
      <c r="D8" s="122" t="n">
        <v>50.396720765</v>
      </c>
      <c r="E8" s="121" t="n">
        <v>1.01173613921489</v>
      </c>
      <c r="F8" s="121"/>
      <c r="G8" s="128"/>
      <c r="H8" s="121"/>
      <c r="I8" s="121"/>
      <c r="J8" s="121"/>
      <c r="K8" s="121"/>
      <c r="L8" s="121"/>
      <c r="M8" s="121"/>
      <c r="N8" s="121"/>
      <c r="O8" s="121"/>
    </row>
    <row r="9" customFormat="false" ht="15" hidden="false" customHeight="false" outlineLevel="1" collapsed="false">
      <c r="A9" s="121" t="n">
        <v>415914.7664</v>
      </c>
      <c r="B9" s="121" t="n">
        <v>416654.14114</v>
      </c>
      <c r="C9" s="122" t="n">
        <v>50.9697</v>
      </c>
      <c r="D9" s="122" t="n">
        <v>51.006524434</v>
      </c>
      <c r="E9" s="121" t="n">
        <v>1.16</v>
      </c>
      <c r="F9" s="121"/>
      <c r="G9" s="128"/>
      <c r="H9" s="121"/>
      <c r="I9" s="121"/>
      <c r="J9" s="121"/>
      <c r="K9" s="121"/>
      <c r="L9" s="121"/>
      <c r="M9" s="121"/>
      <c r="N9" s="121"/>
      <c r="O9" s="121"/>
    </row>
    <row r="10" customFormat="false" ht="15" hidden="false" customHeight="false" outlineLevel="1" collapsed="false">
      <c r="A10" s="121" t="n">
        <v>15427.9584931437</v>
      </c>
      <c r="B10" s="121" t="n">
        <v>15290.458071</v>
      </c>
      <c r="C10" s="122" t="n">
        <v>61.1911</v>
      </c>
      <c r="D10" s="122" t="n">
        <v>60.69080774</v>
      </c>
      <c r="E10" s="121" t="n">
        <v>1.0089155535787</v>
      </c>
      <c r="F10" s="121"/>
      <c r="G10" s="128"/>
      <c r="H10" s="121"/>
      <c r="I10" s="121"/>
      <c r="J10" s="121"/>
      <c r="K10" s="121"/>
      <c r="L10" s="121"/>
      <c r="M10" s="121"/>
      <c r="N10" s="121"/>
      <c r="O10" s="121"/>
    </row>
    <row r="11" customFormat="false" ht="15" hidden="false" customHeight="false" outlineLevel="1" collapsed="false">
      <c r="A11" s="121" t="n">
        <v>-40663.143074649</v>
      </c>
      <c r="B11" s="121" t="n">
        <v>-42531.584192</v>
      </c>
      <c r="C11" s="122" t="n">
        <v>59.1737</v>
      </c>
      <c r="D11" s="122" t="n">
        <v>60.289160519</v>
      </c>
      <c r="E11" s="121" t="n">
        <v>1.0089155535787</v>
      </c>
      <c r="F11" s="121"/>
      <c r="G11" s="128"/>
      <c r="H11" s="121"/>
      <c r="I11" s="121"/>
      <c r="J11" s="121"/>
      <c r="K11" s="121"/>
      <c r="L11" s="121"/>
      <c r="M11" s="121"/>
      <c r="N11" s="121"/>
      <c r="O11" s="121"/>
    </row>
    <row r="12" customFormat="false" ht="15" hidden="false" customHeight="false" outlineLevel="1" collapsed="false">
      <c r="A12" s="121" t="n">
        <v>30820.4232750344</v>
      </c>
      <c r="B12" s="121" t="n">
        <v>30820.423275</v>
      </c>
      <c r="C12" s="122" t="n">
        <v>53.4454</v>
      </c>
      <c r="D12" s="122" t="n">
        <v>53.4454</v>
      </c>
      <c r="E12" s="121" t="n">
        <v>0.907636875061453</v>
      </c>
      <c r="F12" s="121"/>
      <c r="G12" s="128"/>
      <c r="H12" s="121"/>
      <c r="I12" s="121"/>
      <c r="J12" s="121"/>
      <c r="K12" s="121"/>
      <c r="L12" s="121"/>
      <c r="M12" s="121"/>
      <c r="N12" s="121"/>
      <c r="O12" s="121"/>
    </row>
    <row r="13" customFormat="false" ht="15" hidden="false" customHeight="false" outlineLevel="1" collapsed="false">
      <c r="A13" s="121" t="n">
        <v>305741.772</v>
      </c>
      <c r="B13" s="121" t="n">
        <v>307241.37807</v>
      </c>
      <c r="C13" s="122" t="n">
        <v>61.1911</v>
      </c>
      <c r="D13" s="122" t="n">
        <v>60.297908339</v>
      </c>
      <c r="E13" s="121" t="n">
        <v>1.16</v>
      </c>
      <c r="F13" s="121"/>
      <c r="G13" s="128"/>
      <c r="H13" s="121"/>
      <c r="I13" s="121"/>
      <c r="J13" s="121"/>
      <c r="K13" s="121"/>
      <c r="L13" s="121"/>
      <c r="M13" s="121"/>
      <c r="N13" s="121"/>
      <c r="O13" s="121"/>
    </row>
    <row r="14" customFormat="false" ht="15" hidden="false" customHeight="false" outlineLevel="1" collapsed="false">
      <c r="A14" s="121" t="n">
        <v>116941.635</v>
      </c>
      <c r="B14" s="121" t="n">
        <v>109412.76307</v>
      </c>
      <c r="C14" s="122" t="n">
        <v>26.1881</v>
      </c>
      <c r="D14" s="122" t="n">
        <v>24.915440408</v>
      </c>
      <c r="E14" s="121" t="n">
        <v>1.19</v>
      </c>
      <c r="F14" s="121"/>
      <c r="G14" s="128"/>
      <c r="H14" s="121"/>
      <c r="I14" s="121"/>
      <c r="J14" s="121"/>
      <c r="K14" s="121"/>
      <c r="L14" s="121"/>
      <c r="M14" s="121"/>
      <c r="N14" s="121"/>
      <c r="O14" s="121"/>
    </row>
    <row r="15" customFormat="false" ht="15" hidden="false" customHeight="false" outlineLevel="1" collapsed="false">
      <c r="A15" s="121" t="n">
        <v>33642.0469588098</v>
      </c>
      <c r="B15" s="121" t="n">
        <v>18816.826111</v>
      </c>
      <c r="C15" s="122" t="n">
        <v>26.1881</v>
      </c>
      <c r="D15" s="122" t="n">
        <v>22.521766</v>
      </c>
      <c r="E15" s="121" t="n">
        <v>1.0120433154539</v>
      </c>
      <c r="F15" s="121"/>
      <c r="G15" s="128"/>
      <c r="H15" s="121"/>
      <c r="I15" s="121"/>
      <c r="J15" s="121"/>
      <c r="K15" s="121"/>
      <c r="L15" s="121"/>
      <c r="M15" s="121"/>
      <c r="N15" s="121"/>
      <c r="O15" s="121"/>
    </row>
    <row r="16" customFormat="false" ht="15" hidden="false" customHeight="false" outlineLevel="1" collapsed="false">
      <c r="A16" s="121" t="n">
        <v>83510.1997773505</v>
      </c>
      <c r="B16" s="121" t="n">
        <v>90595.936958</v>
      </c>
      <c r="C16" s="122" t="n">
        <v>26.1881</v>
      </c>
      <c r="D16" s="122" t="n">
        <v>25.412607905</v>
      </c>
      <c r="E16" s="121" t="n">
        <v>1.0120433154539</v>
      </c>
      <c r="F16" s="121"/>
      <c r="G16" s="128"/>
      <c r="H16" s="121"/>
      <c r="I16" s="121"/>
      <c r="J16" s="121"/>
      <c r="K16" s="121"/>
      <c r="L16" s="121"/>
      <c r="M16" s="121"/>
      <c r="N16" s="121"/>
      <c r="O16" s="121"/>
    </row>
    <row r="17" customFormat="false" ht="15" hidden="false" customHeight="false" outlineLevel="1" collapsed="false">
      <c r="A17" s="121" t="n">
        <v>-30149.46</v>
      </c>
      <c r="B17" s="121" t="n">
        <v>-36179.352</v>
      </c>
      <c r="C17" s="122" t="n">
        <v>12</v>
      </c>
      <c r="D17" s="122" t="n">
        <v>12</v>
      </c>
      <c r="E17" s="121" t="n">
        <v>1</v>
      </c>
      <c r="F17" s="121"/>
      <c r="G17" s="128"/>
      <c r="H17" s="121"/>
      <c r="I17" s="121"/>
      <c r="J17" s="121"/>
      <c r="K17" s="121"/>
      <c r="L17" s="121"/>
      <c r="M17" s="121"/>
      <c r="N17" s="121"/>
      <c r="O17" s="121"/>
    </row>
    <row r="18" customFormat="false" ht="15" hidden="false" customHeight="false" outlineLevel="1" collapsed="false">
      <c r="A18" s="121" t="n">
        <v>63787.8392875215</v>
      </c>
      <c r="B18" s="121" t="n">
        <v>54996.178111</v>
      </c>
      <c r="C18" s="122" t="n">
        <v>12</v>
      </c>
      <c r="D18" s="122" t="n">
        <v>15.6</v>
      </c>
      <c r="E18" s="121" t="n">
        <v>1.0120433154539</v>
      </c>
      <c r="F18" s="121"/>
      <c r="G18" s="128"/>
      <c r="H18" s="121"/>
      <c r="I18" s="121"/>
      <c r="J18" s="121"/>
      <c r="K18" s="121"/>
      <c r="L18" s="121"/>
      <c r="M18" s="121"/>
      <c r="N18" s="121"/>
      <c r="O18" s="121"/>
    </row>
    <row r="19" customFormat="false" ht="15" hidden="false" customHeight="false" outlineLevel="1" collapsed="false">
      <c r="A19" s="121" t="n">
        <v>147033.2324</v>
      </c>
      <c r="B19" s="121" t="n">
        <v>145592.11507</v>
      </c>
      <c r="C19" s="122" t="n">
        <v>20.0439</v>
      </c>
      <c r="D19" s="122" t="n">
        <v>21.705979068</v>
      </c>
      <c r="E19" s="121" t="n">
        <v>1.19</v>
      </c>
      <c r="F19" s="121"/>
      <c r="G19" s="128"/>
      <c r="H19" s="121"/>
      <c r="I19" s="121"/>
      <c r="J19" s="121"/>
      <c r="K19" s="121"/>
      <c r="L19" s="121"/>
      <c r="M19" s="121"/>
      <c r="N19" s="121"/>
      <c r="O19" s="121"/>
      <c r="AG19" s="129"/>
      <c r="AH19" s="129"/>
    </row>
    <row r="20" customFormat="false" ht="15" hidden="false" customHeight="false" outlineLevel="1" collapsed="false">
      <c r="A20" s="121" t="n">
        <v>139617.5419</v>
      </c>
      <c r="B20" s="121" t="n">
        <v>115335.11507</v>
      </c>
      <c r="C20" s="122" t="n">
        <v>15.129</v>
      </c>
      <c r="D20" s="122" t="n">
        <v>14.938040633</v>
      </c>
      <c r="E20" s="121" t="n">
        <v>1.19</v>
      </c>
      <c r="F20" s="121"/>
      <c r="G20" s="128"/>
      <c r="H20" s="121"/>
      <c r="I20" s="121"/>
      <c r="J20" s="121"/>
      <c r="K20" s="121"/>
      <c r="L20" s="121"/>
      <c r="M20" s="121"/>
      <c r="N20" s="121"/>
      <c r="O20" s="121"/>
      <c r="AG20" s="129"/>
      <c r="AH20" s="129"/>
    </row>
    <row r="21" customFormat="false" ht="15" hidden="false" customHeight="false" outlineLevel="1" collapsed="false">
      <c r="A21" s="121" t="n">
        <v>30257</v>
      </c>
      <c r="B21" s="121" t="n">
        <v>30257</v>
      </c>
      <c r="C21" s="122" t="n">
        <v>47.7802</v>
      </c>
      <c r="D21" s="122" t="n">
        <v>47.504338397</v>
      </c>
      <c r="E21" s="121" t="n">
        <v>1</v>
      </c>
      <c r="F21" s="121"/>
      <c r="G21" s="128"/>
      <c r="H21" s="121"/>
      <c r="I21" s="121"/>
      <c r="J21" s="121"/>
      <c r="K21" s="121"/>
      <c r="L21" s="121"/>
      <c r="M21" s="121"/>
      <c r="N21" s="121"/>
      <c r="O21" s="121"/>
      <c r="AG21" s="129"/>
      <c r="AH21" s="129"/>
    </row>
    <row r="22" customFormat="false" ht="15" hidden="false" customHeight="false" outlineLevel="1" collapsed="false">
      <c r="A22" s="121" t="n">
        <v>-5121.7155</v>
      </c>
      <c r="B22" s="121" t="n">
        <v>-2122.3855</v>
      </c>
      <c r="C22" s="122" t="n">
        <v>50.2094</v>
      </c>
      <c r="D22" s="122" t="n">
        <v>50.226971507</v>
      </c>
      <c r="E22" s="121" t="n">
        <v>1</v>
      </c>
      <c r="F22" s="121"/>
      <c r="G22" s="128"/>
      <c r="H22" s="121"/>
      <c r="I22" s="121"/>
      <c r="J22" s="121"/>
      <c r="K22" s="121"/>
      <c r="L22" s="121"/>
      <c r="M22" s="121"/>
      <c r="N22" s="121"/>
      <c r="O22" s="121"/>
      <c r="AG22" s="129"/>
      <c r="AH22" s="129"/>
    </row>
    <row r="23" customFormat="false" ht="15" hidden="false" customHeight="false" outlineLevel="1" collapsed="false">
      <c r="A23" s="121" t="n">
        <v>32379.3855</v>
      </c>
      <c r="B23" s="121" t="n">
        <v>32379.3855</v>
      </c>
      <c r="C23" s="122" t="n">
        <v>47.6828</v>
      </c>
      <c r="D23" s="122" t="n">
        <v>47.6828</v>
      </c>
      <c r="E23" s="121" t="n">
        <v>1</v>
      </c>
      <c r="F23" s="121"/>
      <c r="G23" s="128"/>
      <c r="H23" s="121"/>
      <c r="I23" s="121"/>
      <c r="J23" s="121"/>
      <c r="K23" s="121"/>
      <c r="L23" s="121"/>
      <c r="M23" s="121"/>
      <c r="N23" s="121"/>
      <c r="O23" s="121"/>
      <c r="AG23" s="129"/>
      <c r="AH23" s="129"/>
    </row>
    <row r="24" customFormat="false" ht="15" hidden="false" customHeight="false" outlineLevel="1" collapsed="false">
      <c r="A24" s="121" t="n">
        <v>303662.080915309</v>
      </c>
      <c r="B24" s="121" t="n">
        <v>303662.08092</v>
      </c>
      <c r="C24" s="122" t="n">
        <v>60.9724</v>
      </c>
      <c r="D24" s="122" t="n">
        <v>60.9724</v>
      </c>
      <c r="E24" s="121" t="n">
        <v>1.0089155535787</v>
      </c>
      <c r="F24" s="121"/>
      <c r="G24" s="128"/>
      <c r="H24" s="121"/>
      <c r="I24" s="121"/>
      <c r="J24" s="121"/>
      <c r="K24" s="121"/>
      <c r="L24" s="121"/>
      <c r="M24" s="121"/>
      <c r="N24" s="121"/>
      <c r="O24" s="121"/>
      <c r="AG24" s="129"/>
      <c r="AH24" s="129"/>
    </row>
    <row r="25" customFormat="false" ht="15" hidden="false" customHeight="false" outlineLevel="1" collapsed="false">
      <c r="A25" s="121" t="n">
        <v>0</v>
      </c>
      <c r="B25" s="121" t="n">
        <v>0</v>
      </c>
      <c r="C25" s="122" t="n">
        <v>0</v>
      </c>
      <c r="D25" s="122" t="n">
        <v>0</v>
      </c>
      <c r="E25" s="121" t="n">
        <v>0</v>
      </c>
      <c r="F25" s="121"/>
      <c r="G25" s="128"/>
      <c r="H25" s="121"/>
      <c r="I25" s="121"/>
      <c r="J25" s="121"/>
      <c r="K25" s="121"/>
      <c r="L25" s="121"/>
      <c r="M25" s="121"/>
      <c r="N25" s="121"/>
      <c r="O25" s="121"/>
      <c r="AG25" s="129"/>
      <c r="AH25" s="129"/>
    </row>
    <row r="26" customFormat="false" ht="15" hidden="false" customHeight="false" outlineLevel="1" collapsed="false">
      <c r="A26" s="121" t="n">
        <v>0</v>
      </c>
      <c r="B26" s="121" t="n">
        <v>0</v>
      </c>
      <c r="C26" s="122" t="n">
        <v>0</v>
      </c>
      <c r="D26" s="122" t="n">
        <v>0</v>
      </c>
      <c r="E26" s="121" t="n">
        <v>0</v>
      </c>
      <c r="F26" s="121"/>
      <c r="G26" s="128"/>
      <c r="H26" s="121"/>
      <c r="I26" s="121"/>
      <c r="J26" s="121"/>
      <c r="K26" s="121"/>
      <c r="L26" s="121"/>
      <c r="M26" s="121"/>
      <c r="N26" s="121"/>
      <c r="O26" s="121"/>
      <c r="X26" s="123"/>
      <c r="AG26" s="129"/>
      <c r="AH26" s="129"/>
    </row>
    <row r="27" customFormat="false" ht="15" hidden="false" customHeight="false" outlineLevel="1" collapsed="false">
      <c r="A27" s="121" t="n">
        <v>0</v>
      </c>
      <c r="B27" s="121" t="n">
        <v>0</v>
      </c>
      <c r="C27" s="122" t="n">
        <v>0</v>
      </c>
      <c r="D27" s="122" t="n">
        <v>0</v>
      </c>
      <c r="E27" s="121" t="n">
        <v>0</v>
      </c>
      <c r="F27" s="121"/>
      <c r="G27" s="128"/>
      <c r="H27" s="121"/>
      <c r="I27" s="130"/>
      <c r="J27" s="121"/>
      <c r="K27" s="121"/>
      <c r="L27" s="121"/>
      <c r="M27" s="121"/>
      <c r="N27" s="121"/>
      <c r="O27" s="121"/>
      <c r="AG27" s="129"/>
      <c r="AH27" s="129"/>
    </row>
    <row r="28" customFormat="false" ht="15" hidden="false" customHeight="false" outlineLevel="1" collapsed="false">
      <c r="A28" s="121" t="n">
        <v>0</v>
      </c>
      <c r="B28" s="121" t="n">
        <v>0</v>
      </c>
      <c r="C28" s="122" t="n">
        <v>0</v>
      </c>
      <c r="D28" s="122" t="n">
        <v>0</v>
      </c>
      <c r="E28" s="121" t="n">
        <v>0</v>
      </c>
      <c r="F28" s="121"/>
      <c r="G28" s="128"/>
      <c r="H28" s="121"/>
      <c r="I28" s="121"/>
      <c r="J28" s="121"/>
      <c r="K28" s="121"/>
      <c r="L28" s="121"/>
      <c r="M28" s="121"/>
      <c r="N28" s="121"/>
      <c r="O28" s="121"/>
      <c r="AG28" s="129"/>
      <c r="AH28" s="129"/>
      <c r="AI28" s="129"/>
      <c r="AJ28" s="129"/>
    </row>
    <row r="29" customFormat="false" ht="15" hidden="false" customHeight="false" outlineLevel="1" collapsed="false">
      <c r="A29" s="121" t="n">
        <v>0</v>
      </c>
      <c r="B29" s="121" t="n">
        <v>0</v>
      </c>
      <c r="C29" s="122" t="n">
        <v>0</v>
      </c>
      <c r="D29" s="122" t="n">
        <v>0</v>
      </c>
      <c r="E29" s="121" t="n">
        <v>0</v>
      </c>
      <c r="F29" s="121"/>
      <c r="G29" s="128"/>
      <c r="H29" s="121"/>
      <c r="I29" s="121"/>
      <c r="J29" s="121"/>
      <c r="K29" s="121"/>
      <c r="L29" s="121"/>
      <c r="M29" s="121"/>
      <c r="N29" s="121"/>
      <c r="O29" s="121"/>
      <c r="AG29" s="129"/>
      <c r="AH29" s="129"/>
      <c r="AI29" s="129"/>
      <c r="AJ29" s="129"/>
    </row>
    <row r="30" customFormat="false" ht="15" hidden="false" customHeight="false" outlineLevel="1" collapsed="false">
      <c r="A30" s="121" t="n">
        <v>0</v>
      </c>
      <c r="B30" s="121" t="n">
        <v>0</v>
      </c>
      <c r="C30" s="122" t="n">
        <v>0</v>
      </c>
      <c r="D30" s="122" t="n">
        <v>0</v>
      </c>
      <c r="E30" s="121" t="n">
        <v>0</v>
      </c>
      <c r="F30" s="121"/>
      <c r="G30" s="128"/>
      <c r="H30" s="121"/>
      <c r="I30" s="121"/>
      <c r="J30" s="121"/>
      <c r="K30" s="121"/>
      <c r="L30" s="121"/>
      <c r="M30" s="121"/>
      <c r="N30" s="121"/>
      <c r="O30" s="121"/>
      <c r="AG30" s="129"/>
      <c r="AH30" s="129"/>
      <c r="AI30" s="129"/>
      <c r="AJ30" s="129"/>
    </row>
    <row r="31" customFormat="false" ht="15" hidden="false" customHeight="false" outlineLevel="1" collapsed="false">
      <c r="A31" s="121" t="n">
        <v>0</v>
      </c>
      <c r="B31" s="121" t="n">
        <v>0</v>
      </c>
      <c r="C31" s="122" t="n">
        <v>0</v>
      </c>
      <c r="D31" s="122" t="n">
        <v>0</v>
      </c>
      <c r="E31" s="121" t="n">
        <v>0</v>
      </c>
      <c r="F31" s="121"/>
      <c r="G31" s="128"/>
      <c r="H31" s="121"/>
      <c r="I31" s="121"/>
      <c r="J31" s="121"/>
      <c r="K31" s="121"/>
      <c r="L31" s="121"/>
      <c r="M31" s="121"/>
      <c r="N31" s="121"/>
      <c r="O31" s="121"/>
      <c r="AG31" s="129"/>
      <c r="AH31" s="129"/>
      <c r="AI31" s="129"/>
      <c r="AJ31" s="129"/>
    </row>
    <row r="32" customFormat="false" ht="15" hidden="false" customHeight="false" outlineLevel="1" collapsed="false">
      <c r="A32" s="121"/>
      <c r="B32" s="122"/>
      <c r="C32" s="122"/>
      <c r="D32" s="121"/>
      <c r="E32" s="121"/>
      <c r="F32" s="121"/>
      <c r="G32" s="128"/>
      <c r="H32" s="121"/>
      <c r="I32" s="121"/>
      <c r="J32" s="121"/>
      <c r="K32" s="121"/>
      <c r="L32" s="121"/>
      <c r="M32" s="121"/>
      <c r="N32" s="121"/>
      <c r="O32" s="121"/>
      <c r="AG32" s="129"/>
      <c r="AH32" s="129"/>
      <c r="AI32" s="129"/>
      <c r="AJ32" s="129"/>
    </row>
    <row r="33" customFormat="false" ht="15" hidden="false" customHeight="false" outlineLevel="1" collapsed="false">
      <c r="A33" s="121"/>
      <c r="B33" s="122"/>
      <c r="C33" s="122"/>
      <c r="D33" s="121"/>
      <c r="E33" s="121"/>
      <c r="F33" s="121"/>
      <c r="G33" s="128"/>
      <c r="H33" s="121"/>
      <c r="I33" s="121"/>
      <c r="J33" s="121"/>
      <c r="K33" s="121"/>
      <c r="L33" s="121"/>
      <c r="M33" s="121"/>
      <c r="N33" s="121"/>
      <c r="O33" s="121"/>
      <c r="AG33" s="129"/>
      <c r="AH33" s="129"/>
      <c r="AI33" s="129"/>
      <c r="AJ33" s="129"/>
    </row>
    <row r="34" customFormat="false" ht="15" hidden="false" customHeight="false" outlineLevel="1" collapsed="false">
      <c r="A34" s="121"/>
      <c r="B34" s="122"/>
      <c r="C34" s="122"/>
      <c r="D34" s="121"/>
      <c r="E34" s="121"/>
      <c r="F34" s="121"/>
      <c r="G34" s="128"/>
      <c r="H34" s="121"/>
      <c r="I34" s="121"/>
      <c r="J34" s="121"/>
      <c r="K34" s="121"/>
      <c r="L34" s="121"/>
      <c r="M34" s="121"/>
      <c r="N34" s="121"/>
      <c r="O34" s="121"/>
      <c r="AG34" s="129"/>
      <c r="AH34" s="129"/>
      <c r="AI34" s="129"/>
      <c r="AJ34" s="129"/>
    </row>
    <row r="35" customFormat="false" ht="15" hidden="false" customHeight="false" outlineLevel="1" collapsed="false">
      <c r="A35" s="121"/>
      <c r="B35" s="122"/>
      <c r="C35" s="122"/>
      <c r="D35" s="121"/>
      <c r="E35" s="121"/>
      <c r="F35" s="121"/>
      <c r="G35" s="128"/>
      <c r="H35" s="121"/>
      <c r="I35" s="121"/>
      <c r="J35" s="121"/>
      <c r="K35" s="121"/>
      <c r="L35" s="121"/>
      <c r="M35" s="121"/>
      <c r="N35" s="121"/>
      <c r="O35" s="121"/>
      <c r="AG35" s="129"/>
      <c r="AH35" s="129"/>
      <c r="AI35" s="129"/>
      <c r="AJ35" s="129"/>
    </row>
    <row r="36" customFormat="false" ht="15" hidden="false" customHeight="false" outlineLevel="1" collapsed="false">
      <c r="A36" s="121"/>
      <c r="B36" s="122"/>
      <c r="C36" s="122"/>
      <c r="D36" s="121"/>
      <c r="E36" s="121"/>
      <c r="F36" s="121"/>
      <c r="G36" s="128"/>
      <c r="H36" s="121"/>
      <c r="I36" s="121"/>
      <c r="J36" s="121"/>
      <c r="K36" s="121"/>
      <c r="L36" s="121"/>
      <c r="M36" s="131"/>
      <c r="N36" s="121"/>
      <c r="O36" s="121"/>
      <c r="AG36" s="129"/>
      <c r="AH36" s="129"/>
      <c r="AI36" s="129"/>
      <c r="AJ36" s="129"/>
    </row>
    <row r="37" customFormat="false" ht="15" hidden="false" customHeight="false" outlineLevel="0" collapsed="false">
      <c r="A37" s="121"/>
      <c r="B37" s="122"/>
      <c r="C37" s="122"/>
      <c r="D37" s="121"/>
      <c r="E37" s="121"/>
      <c r="F37" s="121"/>
      <c r="G37" s="121"/>
      <c r="H37" s="121"/>
      <c r="I37" s="131"/>
      <c r="J37" s="121"/>
      <c r="K37" s="121"/>
      <c r="L37" s="121"/>
      <c r="M37" s="121"/>
      <c r="N37" s="121"/>
      <c r="O37" s="121"/>
      <c r="AG37" s="129"/>
      <c r="AH37" s="129"/>
      <c r="AI37" s="129"/>
      <c r="AJ37" s="129"/>
    </row>
    <row r="38" customFormat="false" ht="31.5" hidden="false" customHeight="true" outlineLevel="0" collapsed="false">
      <c r="A38" s="121"/>
      <c r="B38" s="122"/>
      <c r="C38" s="122"/>
      <c r="D38" s="121"/>
      <c r="E38" s="121"/>
      <c r="F38" s="121"/>
      <c r="G38" s="121"/>
      <c r="H38" s="121"/>
      <c r="I38" s="121"/>
      <c r="J38" s="132"/>
      <c r="K38" s="132"/>
      <c r="L38" s="121"/>
      <c r="M38" s="133" t="s">
        <v>75</v>
      </c>
      <c r="N38" s="133"/>
      <c r="O38" s="133"/>
      <c r="R38" s="134"/>
      <c r="S38" s="134"/>
      <c r="V38" s="135"/>
      <c r="AG38" s="129"/>
      <c r="AH38" s="129"/>
      <c r="AI38" s="129"/>
      <c r="AJ38" s="129"/>
    </row>
    <row r="39" customFormat="false" ht="15" hidden="false" customHeight="false" outlineLevel="0" collapsed="false">
      <c r="A39" s="121"/>
      <c r="B39" s="122"/>
      <c r="C39" s="122"/>
      <c r="D39" s="121"/>
      <c r="E39" s="121"/>
      <c r="F39" s="121"/>
      <c r="G39" s="121"/>
      <c r="H39" s="121"/>
      <c r="I39" s="121"/>
      <c r="J39" s="136"/>
      <c r="K39" s="136"/>
      <c r="L39" s="121"/>
      <c r="M39" s="136" t="s">
        <v>7</v>
      </c>
      <c r="N39" s="136" t="s">
        <v>76</v>
      </c>
      <c r="O39" s="136" t="s">
        <v>77</v>
      </c>
      <c r="R39" s="137"/>
      <c r="S39" s="137"/>
      <c r="T39" s="138"/>
      <c r="V39" s="138"/>
      <c r="AB39" s="139"/>
      <c r="AC39" s="139"/>
      <c r="AG39" s="129"/>
      <c r="AH39" s="129"/>
      <c r="AI39" s="129"/>
      <c r="AJ39" s="129"/>
    </row>
    <row r="40" customFormat="false" ht="15" hidden="false" customHeight="false" outlineLevel="0" collapsed="false">
      <c r="A40" s="121"/>
      <c r="B40" s="122"/>
      <c r="C40" s="122"/>
      <c r="D40" s="121"/>
      <c r="E40" s="121"/>
      <c r="F40" s="121"/>
      <c r="G40" s="128"/>
      <c r="H40" s="121"/>
      <c r="I40" s="121"/>
      <c r="J40" s="131"/>
      <c r="K40" s="122"/>
      <c r="L40" s="121"/>
      <c r="M40" s="121" t="n">
        <f aca="false">B1</f>
        <v>443431.8224</v>
      </c>
      <c r="N40" s="122" t="n">
        <f aca="false">IF(D1&gt;1,D1/100,D1)</f>
        <v>0.509697</v>
      </c>
      <c r="O40" s="140" t="n">
        <f aca="false">M40*N40</f>
        <v>226015.869581813</v>
      </c>
      <c r="R40" s="141"/>
      <c r="S40" s="141"/>
      <c r="T40" s="141"/>
      <c r="U40" s="138"/>
      <c r="V40" s="141"/>
      <c r="W40" s="138"/>
      <c r="AB40" s="139"/>
      <c r="AC40" s="139"/>
      <c r="AG40" s="129"/>
      <c r="AH40" s="129"/>
      <c r="AI40" s="129"/>
      <c r="AJ40" s="129"/>
    </row>
    <row r="41" customFormat="false" ht="15" hidden="false" customHeight="false" outlineLevel="0" collapsed="false">
      <c r="A41" s="121"/>
      <c r="B41" s="122"/>
      <c r="C41" s="122"/>
      <c r="D41" s="121"/>
      <c r="E41" s="121"/>
      <c r="F41" s="121"/>
      <c r="G41" s="128"/>
      <c r="H41" s="121"/>
      <c r="I41" s="121"/>
      <c r="J41" s="131"/>
      <c r="K41" s="122"/>
      <c r="L41" s="121"/>
      <c r="M41" s="121" t="n">
        <f aca="false">B2</f>
        <v>0</v>
      </c>
      <c r="N41" s="122" t="n">
        <f aca="false">IF(D2&gt;1,D2/100,D2)</f>
        <v>0</v>
      </c>
      <c r="O41" s="140" t="n">
        <f aca="false">M41*N41</f>
        <v>0</v>
      </c>
      <c r="R41" s="142"/>
      <c r="S41" s="142"/>
      <c r="T41" s="141"/>
      <c r="U41" s="138"/>
      <c r="V41" s="141"/>
      <c r="W41" s="138"/>
      <c r="AB41" s="139"/>
      <c r="AC41" s="139"/>
      <c r="AG41" s="129"/>
      <c r="AH41" s="129"/>
      <c r="AI41" s="129"/>
      <c r="AJ41" s="129"/>
    </row>
    <row r="42" customFormat="false" ht="15" hidden="false" customHeight="false" outlineLevel="0" collapsed="false">
      <c r="A42" s="121"/>
      <c r="B42" s="122"/>
      <c r="C42" s="122"/>
      <c r="D42" s="121"/>
      <c r="E42" s="121"/>
      <c r="F42" s="121"/>
      <c r="G42" s="128"/>
      <c r="H42" s="121"/>
      <c r="I42" s="130"/>
      <c r="J42" s="131"/>
      <c r="K42" s="122"/>
      <c r="L42" s="121"/>
      <c r="M42" s="121" t="n">
        <f aca="false">B3</f>
        <v>35392.020746</v>
      </c>
      <c r="N42" s="122" t="n">
        <f aca="false">IF(D3&gt;1,D3/100,D3)</f>
        <v>0.60974740327</v>
      </c>
      <c r="O42" s="140" t="n">
        <f aca="false">M42*N42</f>
        <v>21580.1927463515</v>
      </c>
      <c r="R42" s="142"/>
      <c r="S42" s="142"/>
      <c r="T42" s="141"/>
      <c r="U42" s="138"/>
      <c r="V42" s="141"/>
      <c r="W42" s="138"/>
      <c r="AB42" s="139"/>
      <c r="AC42" s="139"/>
      <c r="AG42" s="129"/>
      <c r="AH42" s="129"/>
      <c r="AI42" s="129"/>
      <c r="AJ42" s="129"/>
    </row>
    <row r="43" customFormat="false" ht="15" hidden="false" customHeight="false" outlineLevel="0" collapsed="false">
      <c r="A43" s="121"/>
      <c r="B43" s="122"/>
      <c r="C43" s="122"/>
      <c r="D43" s="121"/>
      <c r="E43" s="121"/>
      <c r="F43" s="121"/>
      <c r="G43" s="121"/>
      <c r="H43" s="121"/>
      <c r="I43" s="121"/>
      <c r="J43" s="131"/>
      <c r="K43" s="122"/>
      <c r="L43" s="121"/>
      <c r="M43" s="121" t="n">
        <f aca="false">B4</f>
        <v>-20101.562675</v>
      </c>
      <c r="N43" s="122" t="n">
        <f aca="false">IF(D4&gt;1,D4/100,D4)</f>
        <v>0.61190716692</v>
      </c>
      <c r="O43" s="140" t="n">
        <f aca="false">M43*N43</f>
        <v>-12300.2902671241</v>
      </c>
      <c r="Q43" s="123"/>
      <c r="R43" s="142"/>
      <c r="S43" s="142"/>
      <c r="T43" s="141"/>
      <c r="U43" s="138"/>
      <c r="V43" s="141"/>
      <c r="W43" s="138"/>
      <c r="AB43" s="139"/>
      <c r="AC43" s="139"/>
      <c r="AG43" s="129"/>
      <c r="AH43" s="129"/>
      <c r="AI43" s="129"/>
      <c r="AJ43" s="129"/>
    </row>
    <row r="44" customFormat="false" ht="15" hidden="false" customHeight="false" outlineLevel="0" collapsed="false">
      <c r="A44" s="121"/>
      <c r="B44" s="122"/>
      <c r="C44" s="122"/>
      <c r="D44" s="121"/>
      <c r="E44" s="121"/>
      <c r="F44" s="121"/>
      <c r="G44" s="128"/>
      <c r="H44" s="121"/>
      <c r="I44" s="121"/>
      <c r="J44" s="131"/>
      <c r="K44" s="122"/>
      <c r="L44" s="121"/>
      <c r="M44" s="121" t="n">
        <f aca="false">B5</f>
        <v>443431.8224</v>
      </c>
      <c r="N44" s="122" t="n">
        <f aca="false">IF(D5&gt;1,D5/100,D5)</f>
        <v>0.509697</v>
      </c>
      <c r="O44" s="140" t="n">
        <f aca="false">M44*N44</f>
        <v>226015.869581813</v>
      </c>
      <c r="R44" s="142"/>
      <c r="S44" s="142"/>
      <c r="T44" s="141"/>
      <c r="U44" s="138"/>
      <c r="V44" s="141"/>
      <c r="W44" s="138"/>
      <c r="AB44" s="139"/>
      <c r="AC44" s="139"/>
      <c r="AG44" s="129"/>
      <c r="AH44" s="129"/>
      <c r="AI44" s="129"/>
      <c r="AJ44" s="129"/>
    </row>
    <row r="45" customFormat="false" ht="15" hidden="false" customHeight="false" outlineLevel="0" collapsed="false">
      <c r="A45" s="121"/>
      <c r="B45" s="122"/>
      <c r="C45" s="122"/>
      <c r="D45" s="121"/>
      <c r="E45" s="121"/>
      <c r="F45" s="121"/>
      <c r="G45" s="128"/>
      <c r="H45" s="121"/>
      <c r="I45" s="121"/>
      <c r="J45" s="131"/>
      <c r="K45" s="122"/>
      <c r="L45" s="121"/>
      <c r="M45" s="121" t="n">
        <f aca="false">B6</f>
        <v>0</v>
      </c>
      <c r="N45" s="122" t="n">
        <f aca="false">IF(D6&gt;1,D6/100,D6)</f>
        <v>0</v>
      </c>
      <c r="O45" s="140" t="n">
        <f aca="false">M45*N45</f>
        <v>0</v>
      </c>
      <c r="R45" s="142"/>
      <c r="S45" s="142"/>
      <c r="T45" s="141"/>
      <c r="U45" s="138"/>
      <c r="V45" s="141"/>
      <c r="W45" s="138"/>
      <c r="AB45" s="139"/>
      <c r="AC45" s="139"/>
      <c r="AG45" s="129"/>
      <c r="AH45" s="129"/>
      <c r="AI45" s="129"/>
      <c r="AJ45" s="129"/>
    </row>
    <row r="46" customFormat="false" ht="15" hidden="false" customHeight="false" outlineLevel="0" collapsed="false">
      <c r="A46" s="121"/>
      <c r="B46" s="122"/>
      <c r="C46" s="122"/>
      <c r="D46" s="121"/>
      <c r="E46" s="121"/>
      <c r="F46" s="121"/>
      <c r="G46" s="128"/>
      <c r="H46" s="121"/>
      <c r="I46" s="121"/>
      <c r="J46" s="131"/>
      <c r="K46" s="122"/>
      <c r="L46" s="121"/>
      <c r="M46" s="121" t="n">
        <f aca="false">B7</f>
        <v>443431.8224</v>
      </c>
      <c r="N46" s="122" t="n">
        <f aca="false">IF(D7&gt;1,D7/100,D7)</f>
        <v>0.509697</v>
      </c>
      <c r="O46" s="140" t="n">
        <f aca="false">M46*N46</f>
        <v>226015.869581813</v>
      </c>
      <c r="R46" s="142"/>
      <c r="S46" s="142"/>
      <c r="T46" s="141"/>
      <c r="U46" s="138"/>
      <c r="V46" s="141"/>
      <c r="W46" s="138"/>
      <c r="AB46" s="139"/>
      <c r="AC46" s="139"/>
      <c r="AG46" s="129"/>
      <c r="AH46" s="129"/>
      <c r="AI46" s="129"/>
      <c r="AJ46" s="129"/>
    </row>
    <row r="47" customFormat="false" ht="15" hidden="false" customHeight="false" outlineLevel="0" collapsed="false">
      <c r="A47" s="131"/>
      <c r="B47" s="143"/>
      <c r="C47" s="122"/>
      <c r="D47" s="121"/>
      <c r="E47" s="121"/>
      <c r="F47" s="121"/>
      <c r="G47" s="121"/>
      <c r="H47" s="121"/>
      <c r="I47" s="121"/>
      <c r="J47" s="131"/>
      <c r="K47" s="122"/>
      <c r="L47" s="121"/>
      <c r="M47" s="121" t="n">
        <f aca="false">B8</f>
        <v>26777.681263</v>
      </c>
      <c r="N47" s="122" t="n">
        <f aca="false">IF(D8&gt;1,D8/100,D8)</f>
        <v>0.50396720765</v>
      </c>
      <c r="O47" s="140" t="n">
        <f aca="false">M47*N47</f>
        <v>13495.0732534558</v>
      </c>
      <c r="Q47" s="123"/>
      <c r="R47" s="142"/>
      <c r="S47" s="142"/>
      <c r="T47" s="141"/>
      <c r="U47" s="138"/>
      <c r="V47" s="141"/>
      <c r="W47" s="138"/>
      <c r="AB47" s="139"/>
      <c r="AC47" s="139"/>
      <c r="AG47" s="129"/>
      <c r="AH47" s="129"/>
      <c r="AI47" s="129"/>
      <c r="AJ47" s="129"/>
    </row>
    <row r="48" customFormat="false" ht="15" hidden="false" customHeight="false" outlineLevel="0" collapsed="false">
      <c r="A48" s="121"/>
      <c r="B48" s="122"/>
      <c r="C48" s="122"/>
      <c r="D48" s="121"/>
      <c r="E48" s="121"/>
      <c r="F48" s="121"/>
      <c r="G48" s="128"/>
      <c r="H48" s="121"/>
      <c r="I48" s="121"/>
      <c r="J48" s="131"/>
      <c r="K48" s="122"/>
      <c r="L48" s="121"/>
      <c r="M48" s="121" t="n">
        <f aca="false">B9</f>
        <v>416654.14114</v>
      </c>
      <c r="N48" s="122" t="n">
        <f aca="false">IF(D9&gt;1,D9/100,D9)</f>
        <v>0.51006524434</v>
      </c>
      <c r="O48" s="140" t="n">
        <f aca="false">M48*N48</f>
        <v>212520.796305847</v>
      </c>
      <c r="R48" s="142"/>
      <c r="S48" s="142"/>
      <c r="T48" s="141"/>
      <c r="U48" s="138"/>
      <c r="V48" s="141"/>
      <c r="W48" s="138"/>
      <c r="AB48" s="139"/>
      <c r="AC48" s="139"/>
      <c r="AG48" s="129"/>
      <c r="AH48" s="129"/>
      <c r="AI48" s="129"/>
      <c r="AJ48" s="129"/>
    </row>
    <row r="49" customFormat="false" ht="15" hidden="false" customHeight="false" outlineLevel="0" collapsed="false">
      <c r="A49" s="121"/>
      <c r="B49" s="121"/>
      <c r="C49" s="121"/>
      <c r="D49" s="121"/>
      <c r="E49" s="121"/>
      <c r="F49" s="121"/>
      <c r="G49" s="128"/>
      <c r="H49" s="121"/>
      <c r="I49" s="121"/>
      <c r="J49" s="131"/>
      <c r="K49" s="122"/>
      <c r="L49" s="121"/>
      <c r="M49" s="121" t="n">
        <f aca="false">B10</f>
        <v>15290.458071</v>
      </c>
      <c r="N49" s="122" t="n">
        <f aca="false">IF(D10&gt;1,D10/100,D10)</f>
        <v>0.6069080774</v>
      </c>
      <c r="O49" s="140" t="n">
        <f aca="false">M49*N49</f>
        <v>9279.90251043592</v>
      </c>
      <c r="R49" s="142"/>
      <c r="S49" s="142"/>
      <c r="T49" s="141"/>
      <c r="U49" s="138"/>
      <c r="V49" s="141"/>
      <c r="W49" s="138"/>
      <c r="AB49" s="139"/>
      <c r="AC49" s="139"/>
      <c r="AG49" s="129"/>
      <c r="AH49" s="129"/>
      <c r="AI49" s="129"/>
      <c r="AJ49" s="129"/>
    </row>
    <row r="50" customFormat="false" ht="15" hidden="false" customHeight="false" outlineLevel="0" collapsed="false">
      <c r="A50" s="121"/>
      <c r="B50" s="121"/>
      <c r="C50" s="121"/>
      <c r="D50" s="131"/>
      <c r="E50" s="144"/>
      <c r="F50" s="122"/>
      <c r="G50" s="121"/>
      <c r="H50" s="121"/>
      <c r="I50" s="121"/>
      <c r="J50" s="131"/>
      <c r="K50" s="122"/>
      <c r="L50" s="121"/>
      <c r="M50" s="121" t="n">
        <f aca="false">B11</f>
        <v>-42531.584192</v>
      </c>
      <c r="N50" s="122" t="n">
        <f aca="false">IF(D11&gt;1,D11/100,D11)</f>
        <v>0.60289160519</v>
      </c>
      <c r="O50" s="140" t="n">
        <f aca="false">M50*N50</f>
        <v>-25641.9350647885</v>
      </c>
      <c r="Q50" s="123"/>
      <c r="R50" s="142"/>
      <c r="S50" s="142"/>
      <c r="T50" s="141"/>
      <c r="U50" s="138"/>
      <c r="V50" s="141"/>
      <c r="W50" s="138"/>
      <c r="AB50" s="139"/>
      <c r="AC50" s="139"/>
      <c r="AG50" s="129"/>
      <c r="AH50" s="129"/>
      <c r="AI50" s="129"/>
      <c r="AJ50" s="129"/>
    </row>
    <row r="51" customFormat="false" ht="15" hidden="false" customHeight="false" outlineLevel="0" collapsed="false">
      <c r="A51" s="121"/>
      <c r="B51" s="121"/>
      <c r="C51" s="121"/>
      <c r="D51" s="121"/>
      <c r="E51" s="121"/>
      <c r="F51" s="121"/>
      <c r="G51" s="128"/>
      <c r="H51" s="121"/>
      <c r="I51" s="130"/>
      <c r="J51" s="131"/>
      <c r="K51" s="122"/>
      <c r="L51" s="121"/>
      <c r="M51" s="121" t="n">
        <f aca="false">B12</f>
        <v>30820.423275</v>
      </c>
      <c r="N51" s="122" t="n">
        <f aca="false">IF(D12&gt;1,D12/100,D12)</f>
        <v>0.534454</v>
      </c>
      <c r="O51" s="140" t="n">
        <f aca="false">M51*N51</f>
        <v>16472.0985010169</v>
      </c>
      <c r="R51" s="142"/>
      <c r="S51" s="142"/>
      <c r="T51" s="141"/>
      <c r="U51" s="138"/>
      <c r="V51" s="141"/>
      <c r="W51" s="138"/>
      <c r="AB51" s="139"/>
      <c r="AC51" s="139"/>
      <c r="AG51" s="129"/>
      <c r="AH51" s="129"/>
      <c r="AI51" s="129"/>
      <c r="AJ51" s="129"/>
    </row>
    <row r="52" customFormat="false" ht="15" hidden="false" customHeight="false" outlineLevel="0" collapsed="false">
      <c r="A52" s="121"/>
      <c r="B52" s="121"/>
      <c r="C52" s="121"/>
      <c r="D52" s="121"/>
      <c r="E52" s="121"/>
      <c r="F52" s="121"/>
      <c r="G52" s="128"/>
      <c r="H52" s="121"/>
      <c r="I52" s="121"/>
      <c r="J52" s="131"/>
      <c r="K52" s="122"/>
      <c r="L52" s="121"/>
      <c r="M52" s="121" t="n">
        <f aca="false">B13</f>
        <v>307241.37807</v>
      </c>
      <c r="N52" s="122" t="n">
        <f aca="false">IF(D13&gt;1,D13/100,D13)</f>
        <v>0.60297908339</v>
      </c>
      <c r="O52" s="140" t="n">
        <f aca="false">M52*N52</f>
        <v>185260.124528129</v>
      </c>
      <c r="R52" s="142"/>
      <c r="S52" s="142"/>
      <c r="T52" s="141"/>
      <c r="U52" s="138"/>
      <c r="V52" s="141"/>
      <c r="W52" s="138"/>
      <c r="AB52" s="139"/>
      <c r="AC52" s="139"/>
      <c r="AI52" s="129"/>
      <c r="AJ52" s="129"/>
    </row>
    <row r="53" customFormat="false" ht="15" hidden="false" customHeight="false" outlineLevel="0" collapsed="false">
      <c r="A53" s="121"/>
      <c r="B53" s="121"/>
      <c r="C53" s="121"/>
      <c r="D53" s="121"/>
      <c r="E53" s="121"/>
      <c r="F53" s="121"/>
      <c r="G53" s="128"/>
      <c r="H53" s="121"/>
      <c r="I53" s="121"/>
      <c r="J53" s="131"/>
      <c r="K53" s="122"/>
      <c r="L53" s="121"/>
      <c r="M53" s="121" t="n">
        <f aca="false">B14</f>
        <v>109412.76307</v>
      </c>
      <c r="N53" s="122" t="n">
        <f aca="false">IF(D14&gt;1,D14/100,D14)</f>
        <v>0.24915440408</v>
      </c>
      <c r="O53" s="140" t="n">
        <f aca="false">M53*N53</f>
        <v>27260.6717814521</v>
      </c>
      <c r="R53" s="142"/>
      <c r="S53" s="142"/>
      <c r="T53" s="141"/>
      <c r="U53" s="138"/>
      <c r="V53" s="141"/>
      <c r="W53" s="138"/>
    </row>
    <row r="54" customFormat="false" ht="15" hidden="false" customHeight="false" outlineLevel="0" collapsed="false">
      <c r="A54" s="121"/>
      <c r="B54" s="121"/>
      <c r="C54" s="121"/>
      <c r="D54" s="121"/>
      <c r="E54" s="121"/>
      <c r="F54" s="121"/>
      <c r="G54" s="128"/>
      <c r="H54" s="121"/>
      <c r="I54" s="121"/>
      <c r="J54" s="131"/>
      <c r="K54" s="122"/>
      <c r="L54" s="121"/>
      <c r="M54" s="121" t="n">
        <f aca="false">B15</f>
        <v>18816.826111</v>
      </c>
      <c r="N54" s="122" t="n">
        <f aca="false">IF(D15&gt;1,D15/100,D15)</f>
        <v>0.22521766</v>
      </c>
      <c r="O54" s="140" t="n">
        <f aca="false">M54*N54</f>
        <v>4237.88154534632</v>
      </c>
      <c r="R54" s="142"/>
      <c r="S54" s="142"/>
      <c r="T54" s="141"/>
      <c r="U54" s="138"/>
      <c r="V54" s="141"/>
      <c r="W54" s="138"/>
    </row>
    <row r="55" customFormat="false" ht="15" hidden="false" customHeight="false" outlineLevel="0" collapsed="false">
      <c r="A55" s="121"/>
      <c r="B55" s="121"/>
      <c r="C55" s="121"/>
      <c r="D55" s="121"/>
      <c r="E55" s="121"/>
      <c r="F55" s="121"/>
      <c r="G55" s="128"/>
      <c r="H55" s="121"/>
      <c r="I55" s="121"/>
      <c r="J55" s="131"/>
      <c r="K55" s="122"/>
      <c r="L55" s="121"/>
      <c r="M55" s="121" t="n">
        <f aca="false">B16</f>
        <v>90595.936958</v>
      </c>
      <c r="N55" s="122" t="n">
        <f aca="false">IF(D16&gt;1,D16/100,D16)</f>
        <v>0.25412607905</v>
      </c>
      <c r="O55" s="140" t="n">
        <f aca="false">M55*N55</f>
        <v>23022.7902369975</v>
      </c>
      <c r="R55" s="142"/>
      <c r="S55" s="142"/>
      <c r="T55" s="141"/>
      <c r="U55" s="138"/>
      <c r="V55" s="141"/>
      <c r="W55" s="138"/>
    </row>
    <row r="56" customFormat="false" ht="15" hidden="false" customHeight="false" outlineLevel="0" collapsed="false">
      <c r="A56" s="121"/>
      <c r="B56" s="121"/>
      <c r="C56" s="121"/>
      <c r="D56" s="131"/>
      <c r="E56" s="144"/>
      <c r="F56" s="122"/>
      <c r="G56" s="121"/>
      <c r="H56" s="121"/>
      <c r="I56" s="121"/>
      <c r="J56" s="131"/>
      <c r="K56" s="122"/>
      <c r="L56" s="121"/>
      <c r="M56" s="121" t="n">
        <f aca="false">B17</f>
        <v>-36179.352</v>
      </c>
      <c r="N56" s="122" t="n">
        <f aca="false">IF(D17&gt;1,D17/100,D17)</f>
        <v>0.12</v>
      </c>
      <c r="O56" s="140" t="n">
        <f aca="false">M56*N56</f>
        <v>-4341.52224</v>
      </c>
      <c r="P56" s="123"/>
      <c r="Q56" s="123"/>
      <c r="R56" s="142"/>
      <c r="S56" s="142"/>
      <c r="T56" s="141"/>
      <c r="U56" s="138"/>
      <c r="V56" s="141"/>
      <c r="W56" s="138"/>
    </row>
    <row r="57" customFormat="false" ht="15" hidden="false" customHeight="false" outlineLevel="0" collapsed="false">
      <c r="A57" s="121"/>
      <c r="B57" s="121"/>
      <c r="C57" s="121"/>
      <c r="D57" s="121"/>
      <c r="E57" s="121"/>
      <c r="F57" s="121"/>
      <c r="G57" s="128"/>
      <c r="H57" s="121"/>
      <c r="I57" s="121"/>
      <c r="J57" s="131"/>
      <c r="K57" s="122"/>
      <c r="L57" s="121"/>
      <c r="M57" s="121" t="n">
        <f aca="false">B18</f>
        <v>54996.178111</v>
      </c>
      <c r="N57" s="122" t="n">
        <f aca="false">IF(D18&gt;1,D18/100,D18)</f>
        <v>0.156</v>
      </c>
      <c r="O57" s="140" t="n">
        <f aca="false">M57*N57</f>
        <v>8579.403785316</v>
      </c>
      <c r="P57" s="123"/>
      <c r="R57" s="142"/>
      <c r="S57" s="142"/>
      <c r="T57" s="141"/>
      <c r="U57" s="138"/>
      <c r="V57" s="141"/>
      <c r="W57" s="138"/>
    </row>
    <row r="58" customFormat="false" ht="15" hidden="false" customHeight="false" outlineLevel="0" collapsed="false">
      <c r="A58" s="121"/>
      <c r="B58" s="121"/>
      <c r="C58" s="121"/>
      <c r="D58" s="121"/>
      <c r="E58" s="121"/>
      <c r="F58" s="121"/>
      <c r="G58" s="128"/>
      <c r="H58" s="121"/>
      <c r="I58" s="121"/>
      <c r="J58" s="131"/>
      <c r="K58" s="122"/>
      <c r="L58" s="131"/>
      <c r="M58" s="121" t="n">
        <f aca="false">B19</f>
        <v>145592.11507</v>
      </c>
      <c r="N58" s="122" t="n">
        <f aca="false">IF(D19&gt;1,D19/100,D19)</f>
        <v>0.21705979068</v>
      </c>
      <c r="O58" s="140" t="n">
        <f aca="false">M58*N58</f>
        <v>31602.1940217527</v>
      </c>
      <c r="R58" s="142"/>
      <c r="S58" s="142"/>
      <c r="T58" s="141"/>
      <c r="U58" s="138"/>
      <c r="V58" s="141"/>
      <c r="W58" s="138"/>
    </row>
    <row r="59" customFormat="false" ht="15" hidden="false" customHeight="false" outlineLevel="0" collapsed="false">
      <c r="A59" s="121"/>
      <c r="B59" s="121"/>
      <c r="C59" s="121"/>
      <c r="D59" s="121"/>
      <c r="E59" s="121"/>
      <c r="F59" s="121"/>
      <c r="G59" s="128"/>
      <c r="H59" s="121"/>
      <c r="I59" s="130"/>
      <c r="J59" s="131"/>
      <c r="K59" s="122"/>
      <c r="L59" s="121"/>
      <c r="M59" s="121" t="n">
        <f aca="false">B20</f>
        <v>115335.11507</v>
      </c>
      <c r="N59" s="122" t="n">
        <f aca="false">IF(D20&gt;1,D20/100,D20)</f>
        <v>0.14938040633</v>
      </c>
      <c r="O59" s="140" t="n">
        <f aca="false">M59*N59</f>
        <v>17228.8063532739</v>
      </c>
      <c r="R59" s="142"/>
      <c r="S59" s="142"/>
      <c r="T59" s="141"/>
      <c r="U59" s="138"/>
      <c r="V59" s="141"/>
      <c r="W59" s="138"/>
    </row>
    <row r="60" customFormat="false" ht="15" hidden="false" customHeight="false" outlineLevel="0" collapsed="false">
      <c r="A60" s="121"/>
      <c r="B60" s="121"/>
      <c r="C60" s="121"/>
      <c r="D60" s="121"/>
      <c r="E60" s="121"/>
      <c r="F60" s="121"/>
      <c r="G60" s="128"/>
      <c r="H60" s="121"/>
      <c r="I60" s="121"/>
      <c r="J60" s="131"/>
      <c r="K60" s="122"/>
      <c r="L60" s="121"/>
      <c r="M60" s="121" t="n">
        <f aca="false">B21</f>
        <v>30257</v>
      </c>
      <c r="N60" s="122" t="n">
        <f aca="false">IF(D21&gt;1,D21/100,D21)</f>
        <v>0.47504338397</v>
      </c>
      <c r="O60" s="140" t="n">
        <f aca="false">M60*N60</f>
        <v>14373.3876687803</v>
      </c>
      <c r="R60" s="142"/>
      <c r="S60" s="142"/>
      <c r="T60" s="141"/>
      <c r="U60" s="138"/>
      <c r="V60" s="141"/>
      <c r="W60" s="138"/>
      <c r="AA60" s="123"/>
      <c r="AB60" s="123"/>
    </row>
    <row r="61" customFormat="false" ht="15" hidden="false" customHeight="false" outlineLevel="0" collapsed="false">
      <c r="A61" s="121"/>
      <c r="B61" s="121"/>
      <c r="C61" s="121"/>
      <c r="D61" s="131"/>
      <c r="E61" s="131"/>
      <c r="F61" s="122"/>
      <c r="G61" s="121"/>
      <c r="H61" s="121"/>
      <c r="I61" s="121"/>
      <c r="J61" s="131"/>
      <c r="K61" s="122"/>
      <c r="L61" s="121"/>
      <c r="M61" s="121" t="n">
        <f aca="false">B22</f>
        <v>-2122.3855</v>
      </c>
      <c r="N61" s="122" t="n">
        <f aca="false">IF(D22&gt;1,D22/100,D22)</f>
        <v>0.50226971507</v>
      </c>
      <c r="O61" s="140" t="n">
        <f aca="false">M61*N61</f>
        <v>-1066.0099603537</v>
      </c>
      <c r="Q61" s="123"/>
      <c r="R61" s="142"/>
      <c r="S61" s="142"/>
      <c r="T61" s="141"/>
      <c r="U61" s="138"/>
      <c r="V61" s="141"/>
      <c r="W61" s="138"/>
    </row>
    <row r="62" customFormat="false" ht="15" hidden="false" customHeight="false" outlineLevel="0" collapsed="false">
      <c r="A62" s="121"/>
      <c r="B62" s="121"/>
      <c r="C62" s="121"/>
      <c r="D62" s="121"/>
      <c r="E62" s="121"/>
      <c r="F62" s="121"/>
      <c r="G62" s="128"/>
      <c r="H62" s="121"/>
      <c r="I62" s="130"/>
      <c r="J62" s="131"/>
      <c r="K62" s="122"/>
      <c r="L62" s="121"/>
      <c r="M62" s="121" t="n">
        <f aca="false">B23</f>
        <v>32379.3855</v>
      </c>
      <c r="N62" s="122" t="n">
        <f aca="false">IF(D23&gt;1,D23/100,D23)</f>
        <v>0.476828</v>
      </c>
      <c r="O62" s="140" t="n">
        <f aca="false">M62*N62</f>
        <v>15439.397629194</v>
      </c>
      <c r="R62" s="142"/>
      <c r="S62" s="142"/>
      <c r="T62" s="141"/>
      <c r="U62" s="138"/>
      <c r="V62" s="141"/>
      <c r="W62" s="138"/>
      <c r="AA62" s="123"/>
      <c r="AB62" s="123"/>
    </row>
    <row r="63" customFormat="false" ht="15" hidden="false" customHeight="false" outlineLevel="0" collapsed="false">
      <c r="A63" s="121"/>
      <c r="B63" s="121"/>
      <c r="C63" s="121"/>
      <c r="D63" s="121"/>
      <c r="E63" s="121"/>
      <c r="F63" s="121"/>
      <c r="G63" s="128"/>
      <c r="H63" s="121"/>
      <c r="I63" s="121"/>
      <c r="J63" s="131"/>
      <c r="K63" s="122"/>
      <c r="L63" s="121"/>
      <c r="M63" s="121" t="n">
        <f aca="false">B24</f>
        <v>303662.08092</v>
      </c>
      <c r="N63" s="122" t="n">
        <f aca="false">IF(D24&gt;1,D24/100,D24)</f>
        <v>0.609724</v>
      </c>
      <c r="O63" s="140" t="n">
        <f aca="false">M63*N63</f>
        <v>185150.058626866</v>
      </c>
      <c r="P63" s="123"/>
      <c r="R63" s="142"/>
      <c r="S63" s="142"/>
      <c r="T63" s="141"/>
      <c r="U63" s="138"/>
      <c r="V63" s="141"/>
      <c r="W63" s="138"/>
      <c r="AA63" s="141"/>
      <c r="AB63" s="123"/>
      <c r="AC63" s="123"/>
    </row>
    <row r="64" customFormat="false" ht="15" hidden="false" customHeight="false" outlineLevel="0" collapsed="false">
      <c r="A64" s="121"/>
      <c r="B64" s="121"/>
      <c r="C64" s="121"/>
      <c r="D64" s="121"/>
      <c r="E64" s="121"/>
      <c r="F64" s="121"/>
      <c r="G64" s="121"/>
      <c r="H64" s="121"/>
      <c r="I64" s="121"/>
      <c r="J64" s="131"/>
      <c r="K64" s="122"/>
      <c r="L64" s="121"/>
      <c r="M64" s="121" t="n">
        <f aca="false">B25</f>
        <v>0</v>
      </c>
      <c r="N64" s="122" t="n">
        <f aca="false">IF(D25&gt;1,D25/100,D25)</f>
        <v>0</v>
      </c>
      <c r="O64" s="140" t="n">
        <f aca="false">M64*N64</f>
        <v>0</v>
      </c>
      <c r="R64" s="142"/>
      <c r="S64" s="142"/>
      <c r="T64" s="141"/>
      <c r="U64" s="138"/>
      <c r="V64" s="141"/>
      <c r="W64" s="138"/>
      <c r="AA64" s="141"/>
      <c r="AB64" s="123"/>
    </row>
    <row r="65" customFormat="false" ht="15" hidden="false" customHeight="false" outlineLevel="0" collapsed="false">
      <c r="A65" s="121"/>
      <c r="B65" s="121"/>
      <c r="C65" s="121"/>
      <c r="D65" s="121"/>
      <c r="E65" s="121"/>
      <c r="F65" s="121"/>
      <c r="G65" s="121"/>
      <c r="H65" s="121"/>
      <c r="I65" s="121"/>
      <c r="J65" s="131"/>
      <c r="K65" s="122"/>
      <c r="L65" s="121"/>
      <c r="M65" s="121" t="n">
        <f aca="false">B26</f>
        <v>0</v>
      </c>
      <c r="N65" s="122" t="n">
        <f aca="false">IF(D26&gt;1,D26/100,D26)</f>
        <v>0</v>
      </c>
      <c r="O65" s="140" t="n">
        <f aca="false">M65*N65</f>
        <v>0</v>
      </c>
      <c r="R65" s="142"/>
      <c r="S65" s="142"/>
      <c r="T65" s="141"/>
      <c r="U65" s="138"/>
      <c r="V65" s="141"/>
      <c r="W65" s="138"/>
      <c r="AA65" s="141"/>
      <c r="AB65" s="123"/>
    </row>
    <row r="66" customFormat="false" ht="15" hidden="false" customHeight="false" outlineLevel="0" collapsed="false">
      <c r="A66" s="121"/>
      <c r="B66" s="121"/>
      <c r="C66" s="121"/>
      <c r="D66" s="121"/>
      <c r="E66" s="121"/>
      <c r="F66" s="121"/>
      <c r="G66" s="121"/>
      <c r="H66" s="121"/>
      <c r="I66" s="121"/>
      <c r="J66" s="131"/>
      <c r="K66" s="122"/>
      <c r="L66" s="121"/>
      <c r="M66" s="121" t="n">
        <f aca="false">B27</f>
        <v>0</v>
      </c>
      <c r="N66" s="122" t="n">
        <f aca="false">IF(D27&gt;1,D27/100,D27)</f>
        <v>0</v>
      </c>
      <c r="O66" s="140" t="n">
        <f aca="false">M66*N66</f>
        <v>0</v>
      </c>
      <c r="R66" s="142"/>
      <c r="S66" s="142"/>
      <c r="T66" s="141"/>
      <c r="U66" s="138"/>
      <c r="V66" s="141"/>
      <c r="W66" s="138"/>
      <c r="AA66" s="141"/>
      <c r="AB66" s="123"/>
    </row>
    <row r="67" customFormat="false" ht="15" hidden="false" customHeight="false" outlineLevel="0" collapsed="false">
      <c r="A67" s="121"/>
      <c r="B67" s="121"/>
      <c r="C67" s="121"/>
      <c r="D67" s="131"/>
      <c r="E67" s="131"/>
      <c r="F67" s="122"/>
      <c r="G67" s="121"/>
      <c r="H67" s="121"/>
      <c r="I67" s="121"/>
      <c r="J67" s="131"/>
      <c r="K67" s="122"/>
      <c r="L67" s="121"/>
      <c r="M67" s="121" t="n">
        <f aca="false">B28</f>
        <v>0</v>
      </c>
      <c r="N67" s="122" t="n">
        <f aca="false">IF(D28&gt;1,D28/100,D28)</f>
        <v>0</v>
      </c>
      <c r="O67" s="140" t="n">
        <f aca="false">M67*N67</f>
        <v>0</v>
      </c>
      <c r="R67" s="142"/>
      <c r="S67" s="142"/>
      <c r="T67" s="141"/>
      <c r="U67" s="138"/>
      <c r="V67" s="141"/>
      <c r="W67" s="138"/>
      <c r="AA67" s="141"/>
      <c r="AB67" s="123"/>
    </row>
    <row r="68" customFormat="false" ht="15" hidden="false" customHeight="false" outlineLevel="0" collapsed="false">
      <c r="A68" s="121"/>
      <c r="B68" s="121"/>
      <c r="C68" s="121"/>
      <c r="D68" s="121"/>
      <c r="E68" s="121"/>
      <c r="F68" s="121"/>
      <c r="G68" s="121"/>
      <c r="H68" s="121"/>
      <c r="I68" s="121"/>
      <c r="J68" s="131"/>
      <c r="K68" s="122"/>
      <c r="L68" s="121"/>
      <c r="M68" s="121" t="n">
        <f aca="false">B29</f>
        <v>0</v>
      </c>
      <c r="N68" s="122" t="n">
        <f aca="false">IF(D29&gt;1,D29/100,D29)</f>
        <v>0</v>
      </c>
      <c r="O68" s="140" t="n">
        <f aca="false">M68*N68</f>
        <v>0</v>
      </c>
      <c r="R68" s="142"/>
      <c r="S68" s="142"/>
      <c r="T68" s="141"/>
      <c r="U68" s="138"/>
      <c r="V68" s="141"/>
      <c r="W68" s="138"/>
      <c r="AA68" s="141"/>
      <c r="AB68" s="123"/>
    </row>
    <row r="69" customFormat="false" ht="15" hidden="false" customHeight="false" outlineLevel="0" collapsed="false">
      <c r="A69" s="121"/>
      <c r="B69" s="121"/>
      <c r="C69" s="121"/>
      <c r="D69" s="121"/>
      <c r="E69" s="121"/>
      <c r="F69" s="121"/>
      <c r="G69" s="121"/>
      <c r="H69" s="121"/>
      <c r="I69" s="121"/>
      <c r="J69" s="131"/>
      <c r="K69" s="122"/>
      <c r="L69" s="121"/>
      <c r="M69" s="121" t="n">
        <f aca="false">B30</f>
        <v>0</v>
      </c>
      <c r="N69" s="122" t="n">
        <f aca="false">IF(D30&gt;1,D30/100,D30)</f>
        <v>0</v>
      </c>
      <c r="O69" s="140" t="n">
        <f aca="false">M69*N69</f>
        <v>0</v>
      </c>
      <c r="R69" s="142"/>
      <c r="S69" s="142"/>
      <c r="T69" s="141"/>
      <c r="U69" s="138"/>
      <c r="V69" s="141"/>
      <c r="W69" s="138"/>
      <c r="AA69" s="141"/>
      <c r="AB69" s="123"/>
    </row>
    <row r="70" customFormat="false" ht="15" hidden="false" customHeight="false" outlineLevel="0" collapsed="false">
      <c r="A70" s="121"/>
      <c r="B70" s="121"/>
      <c r="C70" s="121"/>
      <c r="D70" s="121"/>
      <c r="E70" s="121"/>
      <c r="F70" s="121"/>
      <c r="G70" s="121"/>
      <c r="H70" s="121"/>
      <c r="I70" s="121"/>
      <c r="J70" s="131"/>
      <c r="K70" s="122"/>
      <c r="L70" s="121"/>
      <c r="M70" s="121" t="n">
        <f aca="false">B31</f>
        <v>0</v>
      </c>
      <c r="N70" s="122" t="n">
        <f aca="false">IF(D31&gt;1,D31/100,D31)</f>
        <v>0</v>
      </c>
      <c r="O70" s="140" t="n">
        <f aca="false">M70*N70</f>
        <v>0</v>
      </c>
      <c r="R70" s="142"/>
      <c r="S70" s="142"/>
      <c r="T70" s="141"/>
      <c r="U70" s="138"/>
      <c r="V70" s="141"/>
      <c r="W70" s="138"/>
      <c r="AA70" s="141"/>
      <c r="AB70" s="123"/>
    </row>
    <row r="71" customFormat="false" ht="15" hidden="false" customHeight="false" outlineLevel="0" collapsed="false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AA71" s="141"/>
      <c r="AB71" s="123"/>
    </row>
    <row r="72" customFormat="false" ht="15" hidden="false" customHeight="false" outlineLevel="0" collapsed="false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AA72" s="141"/>
      <c r="AB72" s="123"/>
    </row>
    <row r="73" customFormat="false" ht="15" hidden="false" customHeight="false" outlineLevel="0" collapsed="false">
      <c r="J73" s="145"/>
      <c r="K73" s="145"/>
      <c r="M73" s="137"/>
      <c r="N73" s="137"/>
      <c r="R73" s="141"/>
      <c r="V73" s="123"/>
    </row>
    <row r="74" customFormat="false" ht="15" hidden="false" customHeight="false" outlineLevel="0" collapsed="false">
      <c r="J74" s="137"/>
      <c r="K74" s="137"/>
      <c r="M74" s="137"/>
      <c r="N74" s="137"/>
      <c r="P74" s="123"/>
    </row>
    <row r="75" customFormat="false" ht="15" hidden="false" customHeight="false" outlineLevel="0" collapsed="false">
      <c r="M75" s="123"/>
      <c r="N75" s="141"/>
    </row>
    <row r="76" customFormat="false" ht="15" hidden="false" customHeight="false" outlineLevel="0" collapsed="false">
      <c r="M76" s="123"/>
      <c r="N76" s="141"/>
    </row>
    <row r="77" customFormat="false" ht="15" hidden="false" customHeight="false" outlineLevel="0" collapsed="false">
      <c r="I77" s="146"/>
      <c r="J77" s="146"/>
      <c r="K77" s="146"/>
      <c r="M77" s="123"/>
      <c r="N77" s="141"/>
    </row>
    <row r="78" customFormat="false" ht="15" hidden="false" customHeight="false" outlineLevel="0" collapsed="false">
      <c r="M78" s="123"/>
      <c r="N78" s="141"/>
    </row>
    <row r="79" customFormat="false" ht="15" hidden="false" customHeight="false" outlineLevel="0" collapsed="false">
      <c r="M79" s="123"/>
      <c r="N79" s="141"/>
    </row>
    <row r="80" customFormat="false" ht="15" hidden="false" customHeight="false" outlineLevel="0" collapsed="false">
      <c r="M80" s="123"/>
      <c r="N80" s="141"/>
    </row>
    <row r="81" customFormat="false" ht="15" hidden="false" customHeight="false" outlineLevel="0" collapsed="false">
      <c r="M81" s="123"/>
      <c r="N81" s="141"/>
    </row>
    <row r="82" customFormat="false" ht="15" hidden="false" customHeight="false" outlineLevel="0" collapsed="false">
      <c r="M82" s="123"/>
      <c r="N82" s="141"/>
    </row>
    <row r="83" customFormat="false" ht="15" hidden="false" customHeight="false" outlineLevel="0" collapsed="false">
      <c r="M83" s="123"/>
      <c r="N83" s="141"/>
    </row>
    <row r="84" customFormat="false" ht="15" hidden="false" customHeight="false" outlineLevel="0" collapsed="false">
      <c r="M84" s="123"/>
      <c r="N84" s="141"/>
    </row>
    <row r="85" customFormat="false" ht="15" hidden="false" customHeight="false" outlineLevel="0" collapsed="false">
      <c r="M85" s="123"/>
      <c r="N85" s="141"/>
    </row>
    <row r="86" customFormat="false" ht="15" hidden="false" customHeight="false" outlineLevel="0" collapsed="false">
      <c r="I86" s="146"/>
      <c r="J86" s="146"/>
      <c r="K86" s="146"/>
      <c r="M86" s="123"/>
      <c r="N86" s="141"/>
    </row>
    <row r="87" customFormat="false" ht="15" hidden="false" customHeight="false" outlineLevel="0" collapsed="false">
      <c r="M87" s="123"/>
      <c r="N87" s="141"/>
    </row>
    <row r="88" customFormat="false" ht="15" hidden="false" customHeight="false" outlineLevel="0" collapsed="false">
      <c r="M88" s="123"/>
      <c r="N88" s="141"/>
    </row>
    <row r="89" customFormat="false" ht="15" hidden="false" customHeight="false" outlineLevel="0" collapsed="false">
      <c r="M89" s="123"/>
      <c r="N89" s="141"/>
    </row>
    <row r="90" customFormat="false" ht="15" hidden="false" customHeight="false" outlineLevel="0" collapsed="false">
      <c r="M90" s="123"/>
      <c r="N90" s="141"/>
    </row>
    <row r="91" customFormat="false" ht="15" hidden="false" customHeight="false" outlineLevel="0" collapsed="false">
      <c r="M91" s="123"/>
      <c r="N91" s="141"/>
    </row>
    <row r="92" customFormat="false" ht="15" hidden="false" customHeight="false" outlineLevel="0" collapsed="false">
      <c r="M92" s="123"/>
      <c r="N92" s="141"/>
    </row>
    <row r="93" customFormat="false" ht="15" hidden="false" customHeight="false" outlineLevel="0" collapsed="false">
      <c r="M93" s="123"/>
      <c r="N93" s="141"/>
    </row>
    <row r="94" customFormat="false" ht="15" hidden="false" customHeight="false" outlineLevel="0" collapsed="false">
      <c r="J94" s="146"/>
      <c r="M94" s="123"/>
      <c r="N94" s="141"/>
    </row>
    <row r="95" customFormat="false" ht="15" hidden="false" customHeight="false" outlineLevel="0" collapsed="false">
      <c r="J95" s="146"/>
      <c r="M95" s="123"/>
      <c r="N95" s="141"/>
    </row>
    <row r="96" customFormat="false" ht="15" hidden="false" customHeight="false" outlineLevel="0" collapsed="false">
      <c r="J96" s="146"/>
      <c r="M96" s="123"/>
      <c r="N96" s="141"/>
    </row>
    <row r="97" customFormat="false" ht="15" hidden="false" customHeight="false" outlineLevel="0" collapsed="false">
      <c r="I97" s="146"/>
      <c r="J97" s="146"/>
      <c r="M97" s="123"/>
      <c r="N97" s="141"/>
    </row>
    <row r="98" customFormat="false" ht="15" hidden="false" customHeight="false" outlineLevel="0" collapsed="false">
      <c r="M98" s="123"/>
      <c r="N98" s="141"/>
    </row>
    <row r="99" customFormat="false" ht="15" hidden="false" customHeight="false" outlineLevel="0" collapsed="false">
      <c r="M99" s="123"/>
      <c r="N99" s="141"/>
    </row>
    <row r="100" customFormat="false" ht="15" hidden="false" customHeight="false" outlineLevel="0" collapsed="false">
      <c r="M100" s="123"/>
      <c r="N100" s="141"/>
    </row>
    <row r="101" customFormat="false" ht="15" hidden="false" customHeight="false" outlineLevel="0" collapsed="false">
      <c r="M101" s="123"/>
      <c r="N101" s="141"/>
    </row>
    <row r="102" customFormat="false" ht="15" hidden="false" customHeight="false" outlineLevel="0" collapsed="false">
      <c r="M102" s="123"/>
      <c r="N102" s="141"/>
    </row>
    <row r="103" customFormat="false" ht="15" hidden="false" customHeight="false" outlineLevel="0" collapsed="false">
      <c r="M103" s="123"/>
      <c r="N103" s="141"/>
    </row>
    <row r="104" customFormat="false" ht="15" hidden="false" customHeight="false" outlineLevel="0" collapsed="false">
      <c r="M104" s="123"/>
      <c r="N104" s="141"/>
    </row>
    <row r="105" customFormat="false" ht="15" hidden="false" customHeight="false" outlineLevel="0" collapsed="false">
      <c r="M105" s="123"/>
      <c r="N105" s="141"/>
    </row>
    <row r="109" customFormat="false" ht="15" hidden="false" customHeight="false" outlineLevel="0" collapsed="false">
      <c r="J109" s="137"/>
      <c r="K109" s="137"/>
    </row>
    <row r="110" customFormat="false" ht="15" hidden="false" customHeight="false" outlineLevel="0" collapsed="false">
      <c r="J110" s="137"/>
      <c r="K110" s="137"/>
    </row>
  </sheetData>
  <mergeCells count="4">
    <mergeCell ref="J38:K38"/>
    <mergeCell ref="M38:O38"/>
    <mergeCell ref="R38:S38"/>
    <mergeCell ref="J73:K73"/>
  </mergeCells>
  <conditionalFormatting sqref="J4:T27 Q28:R37 AA4:AX14 AY11:BE12">
    <cfRule type="expression" priority="2" aboveAverage="0" equalAverage="0" bottom="0" percent="0" rank="0" text="" dxfId="0">
      <formula>J4&lt;&gt;0</formula>
    </cfRule>
  </conditionalFormatting>
  <conditionalFormatting sqref="V40:V63 R40:T70 V64:V70">
    <cfRule type="expression" priority="3" aboveAverage="0" equalAverage="0" bottom="0" percent="0" rank="0" text="" dxfId="1">
      <formula>ABS(R40)&gt;=10%</formula>
    </cfRule>
  </conditionalFormatting>
  <conditionalFormatting sqref="J28:W34 U4:W34 AY4:BE17 AA15:AX17">
    <cfRule type="expression" priority="4" aboveAverage="0" equalAverage="0" bottom="0" percent="0" rank="0" text="" dxfId="2">
      <formula>#ref!&lt;&gt;0</formula>
    </cfRule>
  </conditionalFormatting>
  <conditionalFormatting sqref="AB39:AC39 AB40:AC52">
    <cfRule type="cellIs" priority="5" operator="greaterThan" aboveAverage="0" equalAverage="0" bottom="0" percent="0" rank="0" text="" dxfId="3">
      <formula>0.001</formula>
    </cfRule>
  </conditionalFormatting>
  <conditionalFormatting sqref="AB39:AC39 AB40:AC52">
    <cfRule type="cellIs" priority="6" operator="lessThan" aboveAverage="0" equalAverage="0" bottom="0" percent="0" rank="0" text="" dxfId="4">
      <formula>-0.001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3" activeCellId="0" sqref="C3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95" width="47.79"/>
    <col collapsed="false" customWidth="true" hidden="false" outlineLevel="0" max="3" min="3" style="95" width="14.4"/>
    <col collapsed="false" customWidth="true" hidden="false" outlineLevel="0" max="4" min="4" style="95" width="13.57"/>
    <col collapsed="false" customWidth="true" hidden="false" outlineLevel="0" max="5" min="5" style="95" width="19.47"/>
  </cols>
  <sheetData>
    <row r="1" customFormat="false" ht="22.05" hidden="false" customHeight="false" outlineLevel="0" collapsed="false">
      <c r="A1" s="147" t="s">
        <v>24</v>
      </c>
      <c r="B1" s="147" t="n">
        <v>311847.36</v>
      </c>
      <c r="C1" s="147" t="n">
        <v>311815.897234815</v>
      </c>
      <c r="D1" s="148" t="n">
        <v>0.60972389337393</v>
      </c>
      <c r="E1" s="147" t="n">
        <v>0.010089155535787</v>
      </c>
    </row>
    <row r="2" customFormat="false" ht="22.05" hidden="false" customHeight="false" outlineLevel="0" collapsed="false">
      <c r="A2" s="147" t="s">
        <v>26</v>
      </c>
      <c r="B2" s="149" t="n">
        <v>0</v>
      </c>
      <c r="C2" s="149" t="n">
        <v>0</v>
      </c>
      <c r="D2" s="150" t="n">
        <v>0</v>
      </c>
      <c r="E2" s="151" t="n">
        <v>0</v>
      </c>
    </row>
    <row r="3" customFormat="false" ht="22.05" hidden="false" customHeight="false" outlineLevel="0" collapsed="false">
      <c r="A3" s="147" t="s">
        <v>27</v>
      </c>
      <c r="B3" s="149" t="n">
        <v>14566.66</v>
      </c>
      <c r="C3" s="149" t="n">
        <v>14565.203334</v>
      </c>
      <c r="D3" s="150" t="n">
        <v>0.4735</v>
      </c>
      <c r="E3" s="151" t="n">
        <v>0.01</v>
      </c>
    </row>
    <row r="4" customFormat="false" ht="22.05" hidden="false" customHeight="false" outlineLevel="0" collapsed="false">
      <c r="A4" s="147" t="s">
        <v>28</v>
      </c>
      <c r="B4" s="149" t="n">
        <v>26475.29</v>
      </c>
      <c r="C4" s="149" t="n">
        <v>26473.1719768</v>
      </c>
      <c r="D4" s="150" t="n">
        <v>0.6042</v>
      </c>
      <c r="E4" s="151" t="n">
        <v>0.008</v>
      </c>
    </row>
    <row r="5" customFormat="false" ht="22.05" hidden="false" customHeight="false" outlineLevel="0" collapsed="false">
      <c r="A5" s="147" t="s">
        <v>29</v>
      </c>
      <c r="B5" s="152" t="n">
        <v>5017.45</v>
      </c>
      <c r="C5" s="149" t="n">
        <v>5017.148953</v>
      </c>
      <c r="D5" s="153" t="n">
        <v>0.6296</v>
      </c>
      <c r="E5" s="151" t="n">
        <v>0.006</v>
      </c>
    </row>
    <row r="6" customFormat="false" ht="22.05" hidden="false" customHeight="false" outlineLevel="0" collapsed="false">
      <c r="A6" s="147" t="s">
        <v>30</v>
      </c>
      <c r="B6" s="152" t="n">
        <v>18139.79</v>
      </c>
      <c r="C6" s="149" t="n">
        <v>18138.219094186</v>
      </c>
      <c r="D6" s="150" t="n">
        <v>0.4795</v>
      </c>
      <c r="E6" s="151" t="n">
        <v>0.00866</v>
      </c>
    </row>
    <row r="7" customFormat="false" ht="22.05" hidden="false" customHeight="false" outlineLevel="0" collapsed="false">
      <c r="A7" s="147" t="s">
        <v>31</v>
      </c>
      <c r="B7" s="152" t="n">
        <v>27832.44</v>
      </c>
      <c r="C7" s="149" t="n">
        <v>27830.2134048</v>
      </c>
      <c r="D7" s="150" t="n">
        <v>0.5992</v>
      </c>
      <c r="E7" s="151" t="n">
        <v>0.008</v>
      </c>
    </row>
    <row r="8" customFormat="false" ht="22.05" hidden="false" customHeight="false" outlineLevel="0" collapsed="false">
      <c r="A8" s="147" t="s">
        <v>32</v>
      </c>
      <c r="B8" s="152" t="n">
        <v>4410.46</v>
      </c>
      <c r="C8" s="149" t="n">
        <v>4410.078054164</v>
      </c>
      <c r="D8" s="153" t="n">
        <v>0.6219</v>
      </c>
      <c r="E8" s="151" t="n">
        <v>0.00866</v>
      </c>
    </row>
    <row r="9" customFormat="false" ht="22.05" hidden="false" customHeight="false" outlineLevel="0" collapsed="false">
      <c r="A9" s="147" t="s">
        <v>25</v>
      </c>
      <c r="B9" s="152" t="n">
        <v>141299</v>
      </c>
      <c r="C9" s="149" t="n">
        <v>141282.185419</v>
      </c>
      <c r="D9" s="153" t="n">
        <v>0.151289947884762</v>
      </c>
      <c r="E9" s="151" t="n">
        <v>0.0119</v>
      </c>
    </row>
    <row r="10" customFormat="false" ht="22.05" hidden="false" customHeight="false" outlineLevel="0" collapsed="false">
      <c r="A10" s="147" t="s">
        <v>78</v>
      </c>
      <c r="B10" s="154" t="n">
        <v>0</v>
      </c>
      <c r="C10" s="149" t="n">
        <v>0</v>
      </c>
      <c r="D10" s="155" t="n">
        <v>0</v>
      </c>
      <c r="E10" s="151" t="n">
        <v>0</v>
      </c>
    </row>
    <row r="11" customFormat="false" ht="22.05" hidden="false" customHeight="false" outlineLevel="0" collapsed="false">
      <c r="A11" s="147" t="s">
        <v>14</v>
      </c>
      <c r="B11" s="156" t="n">
        <v>309330</v>
      </c>
      <c r="C11" s="149" t="n">
        <v>309294.11772</v>
      </c>
      <c r="D11" s="155" t="n">
        <v>0.611911427305211</v>
      </c>
      <c r="E11" s="151" t="n">
        <v>0.0116</v>
      </c>
    </row>
    <row r="12" customFormat="false" ht="22.05" hidden="false" customHeight="false" outlineLevel="0" collapsed="false">
      <c r="A12" s="147" t="s">
        <v>19</v>
      </c>
      <c r="B12" s="154" t="n">
        <v>0</v>
      </c>
      <c r="C12" s="149" t="n">
        <v>0</v>
      </c>
      <c r="D12" s="155" t="n">
        <v>0.477801743479969</v>
      </c>
      <c r="E12" s="151" t="n">
        <v>0.01</v>
      </c>
    </row>
    <row r="13" customFormat="false" ht="22.05" hidden="false" customHeight="false" outlineLevel="0" collapsed="false">
      <c r="A13" s="157" t="s">
        <v>66</v>
      </c>
      <c r="B13" s="158" t="n">
        <v>0</v>
      </c>
      <c r="C13" s="158" t="n">
        <v>0</v>
      </c>
      <c r="D13" s="159" t="n">
        <v>0.509696922003587</v>
      </c>
      <c r="E13" s="151" t="n">
        <v>0.0116</v>
      </c>
    </row>
    <row r="14" customFormat="false" ht="22.05" hidden="false" customHeight="false" outlineLevel="0" collapsed="false">
      <c r="A14" s="160" t="s">
        <v>79</v>
      </c>
      <c r="B14" s="161" t="n">
        <v>0</v>
      </c>
      <c r="C14" s="161" t="n">
        <v>0</v>
      </c>
      <c r="D14" s="155" t="n">
        <v>0.200439242339058</v>
      </c>
      <c r="E14" s="151" t="n">
        <v>0.0119</v>
      </c>
    </row>
    <row r="15" customFormat="false" ht="22.05" hidden="false" customHeight="false" outlineLevel="0" collapsed="false">
      <c r="A15" s="160" t="s">
        <v>80</v>
      </c>
      <c r="B15" s="161"/>
      <c r="C15" s="161"/>
      <c r="D15" s="155"/>
      <c r="E15" s="151"/>
    </row>
    <row r="16" customFormat="false" ht="18.55" hidden="false" customHeight="false" outlineLevel="0" collapsed="false">
      <c r="A16" s="162" t="s">
        <v>66</v>
      </c>
      <c r="B16" s="163" t="n">
        <v>448636</v>
      </c>
      <c r="C16" s="164" t="n">
        <v>0.509696922003587</v>
      </c>
      <c r="D16" s="164" t="n">
        <v>0.0116</v>
      </c>
      <c r="E16" s="163" t="n">
        <v>443431.8224</v>
      </c>
    </row>
    <row r="17" customFormat="false" ht="15" hidden="false" customHeight="false" outlineLevel="0" collapsed="false">
      <c r="A17" s="165" t="s">
        <v>67</v>
      </c>
      <c r="B17" s="166" t="n">
        <v>420796</v>
      </c>
      <c r="C17" s="164" t="n">
        <v>0.509696922003587</v>
      </c>
      <c r="D17" s="164" t="n">
        <v>0.0116</v>
      </c>
      <c r="E17" s="166" t="n">
        <v>415914.7664</v>
      </c>
    </row>
    <row r="18" customFormat="false" ht="15" hidden="false" customHeight="false" outlineLevel="0" collapsed="false">
      <c r="A18" s="165" t="s">
        <v>68</v>
      </c>
      <c r="B18" s="163" t="n">
        <v>309330</v>
      </c>
      <c r="C18" s="164" t="n">
        <v>0.611911427305211</v>
      </c>
      <c r="D18" s="164" t="n">
        <v>0.0116</v>
      </c>
      <c r="E18" s="163" t="n">
        <v>305741.772</v>
      </c>
    </row>
    <row r="19" customFormat="false" ht="15" hidden="false" customHeight="false" outlineLevel="0" collapsed="false">
      <c r="A19" s="165" t="s">
        <v>69</v>
      </c>
      <c r="B19" s="166" t="n">
        <v>309330</v>
      </c>
      <c r="C19" s="164" t="n">
        <v>0.6119</v>
      </c>
      <c r="D19" s="164" t="n">
        <v>0.0116</v>
      </c>
      <c r="E19" s="166" t="n">
        <v>305741.772</v>
      </c>
    </row>
    <row r="20" customFormat="false" ht="15" hidden="false" customHeight="false" outlineLevel="0" collapsed="false">
      <c r="A20" s="167" t="s">
        <v>70</v>
      </c>
      <c r="B20" s="163" t="n">
        <v>0</v>
      </c>
      <c r="C20" s="164" t="n">
        <v>0</v>
      </c>
      <c r="D20" s="164" t="n">
        <v>0</v>
      </c>
      <c r="E20" s="163" t="n">
        <v>0</v>
      </c>
    </row>
    <row r="21" customFormat="false" ht="15" hidden="false" customHeight="false" outlineLevel="0" collapsed="false">
      <c r="A21" s="167" t="s">
        <v>71</v>
      </c>
      <c r="B21" s="166" t="n">
        <v>0</v>
      </c>
      <c r="C21" s="164" t="n">
        <v>0</v>
      </c>
      <c r="D21" s="164" t="n">
        <v>0</v>
      </c>
      <c r="E21" s="166" t="n">
        <v>0</v>
      </c>
    </row>
    <row r="22" customFormat="false" ht="15" hidden="false" customHeight="false" outlineLevel="0" collapsed="false">
      <c r="A22" s="165" t="s">
        <v>72</v>
      </c>
      <c r="B22" s="163" t="n">
        <v>0</v>
      </c>
      <c r="C22" s="164" t="n">
        <v>0</v>
      </c>
      <c r="D22" s="164" t="n">
        <v>0</v>
      </c>
      <c r="E22" s="163" t="n">
        <v>0</v>
      </c>
    </row>
    <row r="23" customFormat="false" ht="15" hidden="false" customHeight="false" outlineLevel="0" collapsed="false">
      <c r="A23" s="165" t="s">
        <v>73</v>
      </c>
      <c r="B23" s="166" t="n">
        <v>148804</v>
      </c>
      <c r="C23" s="164" t="n">
        <v>0.200439242339058</v>
      </c>
      <c r="D23" s="164" t="n">
        <v>0.0119</v>
      </c>
      <c r="E23" s="166" t="n">
        <v>147033.2324</v>
      </c>
    </row>
    <row r="24" customFormat="false" ht="15" hidden="false" customHeight="false" outlineLevel="0" collapsed="false">
      <c r="A24" s="165" t="s">
        <v>74</v>
      </c>
      <c r="B24" s="163" t="n">
        <v>27533</v>
      </c>
      <c r="C24" s="164" t="n">
        <v>0.477801743479969</v>
      </c>
      <c r="D24" s="164" t="n">
        <v>0.01</v>
      </c>
      <c r="E24" s="163" t="n">
        <v>27257.67</v>
      </c>
    </row>
    <row r="25" customFormat="false" ht="15" hidden="false" customHeight="false" outlineLevel="0" collapsed="false">
      <c r="A25" s="165" t="s">
        <v>81</v>
      </c>
      <c r="B25" s="168"/>
      <c r="C25" s="168"/>
      <c r="D25" s="168"/>
      <c r="E25" s="168"/>
    </row>
    <row r="26" customFormat="false" ht="15" hidden="false" customHeight="false" outlineLevel="0" collapsed="false">
      <c r="A26" s="169" t="s">
        <v>58</v>
      </c>
      <c r="B26" s="170" t="n">
        <v>309330</v>
      </c>
      <c r="C26" s="169"/>
      <c r="D26" s="171"/>
      <c r="E26" s="169"/>
    </row>
    <row r="27" customFormat="false" ht="15" hidden="false" customHeight="false" outlineLevel="0" collapsed="false">
      <c r="A27" s="169" t="s">
        <v>82</v>
      </c>
      <c r="B27" s="169" t="n">
        <v>100</v>
      </c>
      <c r="C27" s="169"/>
      <c r="D27" s="171"/>
      <c r="E27" s="169"/>
    </row>
    <row r="28" customFormat="false" ht="15" hidden="false" customHeight="false" outlineLevel="0" collapsed="false">
      <c r="A28" s="169" t="s">
        <v>59</v>
      </c>
      <c r="B28" s="169" t="n">
        <v>0</v>
      </c>
      <c r="C28" s="169"/>
      <c r="D28" s="171"/>
      <c r="E28" s="169"/>
    </row>
    <row r="29" customFormat="false" ht="15" hidden="false" customHeight="false" outlineLevel="0" collapsed="false">
      <c r="A29" s="172"/>
      <c r="B29" s="173"/>
      <c r="C29" s="172"/>
      <c r="D29" s="174"/>
      <c r="E29" s="172"/>
    </row>
    <row r="30" customFormat="false" ht="13.8" hidden="false" customHeight="false" outlineLevel="0" collapsed="false"/>
    <row r="3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false"/>
  </sheetPr>
  <dimension ref="B1:N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N16" activeCellId="0" sqref="N16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95" width="15.85"/>
    <col collapsed="false" customWidth="true" hidden="false" outlineLevel="0" max="2" min="2" style="95" width="41.15"/>
    <col collapsed="false" customWidth="true" hidden="false" outlineLevel="0" max="3" min="3" style="175" width="10.85"/>
    <col collapsed="false" customWidth="true" hidden="false" outlineLevel="0" max="6" min="6" style="95" width="32.29"/>
    <col collapsed="false" customWidth="true" hidden="false" outlineLevel="0" max="7" min="7" style="175" width="10.85"/>
    <col collapsed="false" customWidth="true" hidden="false" outlineLevel="0" max="14" min="14" style="95" width="19"/>
  </cols>
  <sheetData>
    <row r="1" customFormat="false" ht="15" hidden="false" customHeight="false" outlineLevel="0" collapsed="false">
      <c r="B1" s="111"/>
      <c r="C1" s="176"/>
      <c r="D1" s="177"/>
    </row>
    <row r="2" customFormat="false" ht="21.75" hidden="false" customHeight="true" outlineLevel="0" collapsed="false">
      <c r="B2" s="178" t="s">
        <v>83</v>
      </c>
      <c r="C2" s="178"/>
      <c r="D2" s="178"/>
      <c r="F2" s="179" t="s">
        <v>46</v>
      </c>
      <c r="G2" s="179"/>
      <c r="H2" s="179"/>
      <c r="J2" s="180" t="s">
        <v>84</v>
      </c>
      <c r="K2" s="180"/>
      <c r="L2" s="181"/>
      <c r="M2" s="182" t="s">
        <v>85</v>
      </c>
      <c r="N2" s="183" t="s">
        <v>86</v>
      </c>
    </row>
    <row r="3" customFormat="false" ht="22.05" hidden="false" customHeight="false" outlineLevel="0" collapsed="false">
      <c r="B3" s="184" t="s">
        <v>87</v>
      </c>
      <c r="C3" s="185" t="s">
        <v>7</v>
      </c>
      <c r="D3" s="179" t="s">
        <v>76</v>
      </c>
      <c r="F3" s="184" t="s">
        <v>87</v>
      </c>
      <c r="G3" s="185" t="s">
        <v>7</v>
      </c>
      <c r="H3" s="179" t="s">
        <v>76</v>
      </c>
      <c r="J3" s="186" t="s">
        <v>88</v>
      </c>
      <c r="K3" s="186" t="s">
        <v>64</v>
      </c>
      <c r="L3" s="187"/>
      <c r="M3" s="188"/>
      <c r="N3" s="188"/>
    </row>
    <row r="4" customFormat="false" ht="17.35" hidden="false" customHeight="false" outlineLevel="0" collapsed="false">
      <c r="B4" s="189" t="s">
        <v>66</v>
      </c>
      <c r="C4" s="190" t="n">
        <f aca="false">Utilidad!A1</f>
        <v>443431.8224</v>
      </c>
      <c r="D4" s="191" t="n">
        <f aca="false">IF(Utilidad!C1&gt;1,Utilidad!C1/100,Utilidad!C1)</f>
        <v>0.509697</v>
      </c>
      <c r="F4" s="189" t="s">
        <v>66</v>
      </c>
      <c r="G4" s="190" t="n">
        <f aca="false">Utilidad!B1</f>
        <v>443431.8224</v>
      </c>
      <c r="H4" s="191" t="n">
        <f aca="false">IF(Utilidad!D1&gt;1,Utilidad!D1/100,Utilidad!D1)</f>
        <v>0.509697</v>
      </c>
      <c r="J4" s="192" t="n">
        <f aca="false">+IF(C4&lt;&gt;0,(G4-C4)/C4,ABS(G4-C4))</f>
        <v>0</v>
      </c>
      <c r="K4" s="192" t="n">
        <f aca="false">+IF(D4&lt;&gt;0,(H4-D4)/D4,0)</f>
        <v>0</v>
      </c>
      <c r="L4" s="193"/>
      <c r="M4" s="194" t="n">
        <f aca="false">+IF(J4&lt;&gt;"",ABS(J4),0)</f>
        <v>0</v>
      </c>
      <c r="N4" s="194" t="n">
        <f aca="false">+IF(J4&lt;&gt;"",ABS(K4),0)</f>
        <v>0</v>
      </c>
    </row>
    <row r="5" customFormat="false" ht="17.35" hidden="false" customHeight="false" outlineLevel="0" collapsed="false">
      <c r="B5" s="189" t="s">
        <v>89</v>
      </c>
      <c r="C5" s="190" t="n">
        <f aca="false">Utilidad!A2</f>
        <v>0</v>
      </c>
      <c r="D5" s="191" t="n">
        <f aca="false">IF(Utilidad!C2&gt;1,Utilidad!C2/100,Utilidad!C2)</f>
        <v>0</v>
      </c>
      <c r="F5" s="189" t="s">
        <v>89</v>
      </c>
      <c r="G5" s="190" t="n">
        <f aca="false">Utilidad!B2</f>
        <v>0</v>
      </c>
      <c r="H5" s="191" t="n">
        <f aca="false">IF(Utilidad!D2&gt;1,Utilidad!D2/100,Utilidad!D2)</f>
        <v>0</v>
      </c>
      <c r="J5" s="192" t="n">
        <f aca="false">+IF(C5&lt;&gt;0,(G5-C5)/C5,ABS(G5-C5))</f>
        <v>0</v>
      </c>
      <c r="K5" s="192" t="n">
        <f aca="false">+IF(D5&lt;&gt;0,(H5-D5)/D5,0)</f>
        <v>0</v>
      </c>
      <c r="L5" s="193"/>
      <c r="M5" s="194" t="n">
        <f aca="false">+IF(J5&lt;&gt;"",ABS(J5),0)</f>
        <v>0</v>
      </c>
      <c r="N5" s="194" t="n">
        <f aca="false">+IF(J5&lt;&gt;"",ABS(K5),0)</f>
        <v>0</v>
      </c>
    </row>
    <row r="6" customFormat="false" ht="17.35" hidden="false" customHeight="false" outlineLevel="0" collapsed="false">
      <c r="B6" s="189" t="s">
        <v>90</v>
      </c>
      <c r="C6" s="190" t="n">
        <f aca="false">Utilidad!A3</f>
        <v>35392.0207456316</v>
      </c>
      <c r="D6" s="191" t="n">
        <f aca="false">IF(Utilidad!C3&gt;1,Utilidad!C3/100,Utilidad!C3)</f>
        <v>0.608098</v>
      </c>
      <c r="F6" s="189" t="s">
        <v>90</v>
      </c>
      <c r="G6" s="190" t="n">
        <f aca="false">Utilidad!B3</f>
        <v>35392.020746</v>
      </c>
      <c r="H6" s="191" t="n">
        <f aca="false">IF(Utilidad!D3&gt;1,Utilidad!D3/100,Utilidad!D3)</f>
        <v>0.60974740327</v>
      </c>
      <c r="J6" s="192" t="n">
        <f aca="false">+IF(C6&lt;&gt;0,(G6-C6)/C6,ABS(G6-C6))</f>
        <v>1.04092265464786E-011</v>
      </c>
      <c r="K6" s="192" t="n">
        <f aca="false">+IF(D6&lt;&gt;0,(H6-D6)/D6,0)</f>
        <v>0.00271239713006779</v>
      </c>
      <c r="L6" s="193"/>
      <c r="M6" s="194" t="n">
        <f aca="false">+IF(J6&lt;&gt;"",ABS(J6),0)</f>
        <v>1.04092265464786E-011</v>
      </c>
      <c r="N6" s="194" t="n">
        <f aca="false">+IF(J6&lt;&gt;"",ABS(K6),0)</f>
        <v>0.00271239713006779</v>
      </c>
    </row>
    <row r="7" customFormat="false" ht="17.35" hidden="false" customHeight="false" outlineLevel="0" collapsed="false">
      <c r="B7" s="189" t="s">
        <v>91</v>
      </c>
      <c r="C7" s="190" t="n">
        <f aca="false">Utilidad!A4</f>
        <v>-19882.4175374116</v>
      </c>
      <c r="D7" s="191" t="n">
        <f aca="false">IF(Utilidad!C4&gt;1,Utilidad!C4/100,Utilidad!C4)</f>
        <v>0.612859</v>
      </c>
      <c r="F7" s="189" t="s">
        <v>91</v>
      </c>
      <c r="G7" s="190" t="n">
        <f aca="false">Utilidad!B4</f>
        <v>-20101.562675</v>
      </c>
      <c r="H7" s="191" t="n">
        <f aca="false">IF(Utilidad!D4&gt;1,Utilidad!D4/100,Utilidad!D4)</f>
        <v>0.61190716692</v>
      </c>
      <c r="J7" s="192" t="n">
        <f aca="false">+IF(C7&lt;&gt;0,(G7-C7)/C7,ABS(G7-C7))</f>
        <v>0.0110220569091284</v>
      </c>
      <c r="K7" s="192" t="n">
        <f aca="false">+IF(D7&lt;&gt;0,(H7-D7)/D7,0)</f>
        <v>-0.00155310288337107</v>
      </c>
      <c r="L7" s="193"/>
      <c r="M7" s="194" t="n">
        <f aca="false">+IF(J7&lt;&gt;"",ABS(J7),0)</f>
        <v>0.0110220569091284</v>
      </c>
      <c r="N7" s="194" t="n">
        <f aca="false">+IF(J7&lt;&gt;"",ABS(K7),0)</f>
        <v>0.00155310288337107</v>
      </c>
    </row>
    <row r="8" customFormat="false" ht="17.35" hidden="false" customHeight="false" outlineLevel="0" collapsed="false">
      <c r="B8" s="189" t="s">
        <v>92</v>
      </c>
      <c r="C8" s="190" t="n">
        <f aca="false">Utilidad!A5</f>
        <v>443431.8224</v>
      </c>
      <c r="D8" s="191" t="n">
        <f aca="false">IF(Utilidad!C5&gt;1,Utilidad!C5/100,Utilidad!C5)</f>
        <v>0.509697</v>
      </c>
      <c r="F8" s="189" t="s">
        <v>92</v>
      </c>
      <c r="G8" s="190" t="n">
        <f aca="false">Utilidad!B5</f>
        <v>443431.8224</v>
      </c>
      <c r="H8" s="191" t="n">
        <f aca="false">IF(Utilidad!D5&gt;1,Utilidad!D5/100,Utilidad!D5)</f>
        <v>0.509697</v>
      </c>
      <c r="J8" s="192" t="n">
        <f aca="false">+IF(C8&lt;&gt;0,(G8-C8)/C8,ABS(G8-C8))</f>
        <v>0</v>
      </c>
      <c r="K8" s="192" t="n">
        <f aca="false">+IF(D8&lt;&gt;0,(H8-D8)/D8,0)</f>
        <v>0</v>
      </c>
      <c r="L8" s="193"/>
      <c r="M8" s="194" t="n">
        <f aca="false">+IF(J8&lt;&gt;"",ABS(J8),0)</f>
        <v>0</v>
      </c>
      <c r="N8" s="194" t="n">
        <f aca="false">+IF(J8&lt;&gt;"",ABS(K8),0)</f>
        <v>0</v>
      </c>
    </row>
    <row r="9" customFormat="false" ht="17.35" hidden="false" customHeight="false" outlineLevel="0" collapsed="false">
      <c r="B9" s="189" t="s">
        <v>93</v>
      </c>
      <c r="C9" s="190" t="n">
        <f aca="false">Utilidad!A6</f>
        <v>0</v>
      </c>
      <c r="D9" s="191" t="n">
        <f aca="false">IF(Utilidad!C6&gt;1,Utilidad!C6/100,Utilidad!C6)</f>
        <v>0</v>
      </c>
      <c r="F9" s="189" t="s">
        <v>93</v>
      </c>
      <c r="G9" s="190" t="n">
        <f aca="false">Utilidad!B6</f>
        <v>0</v>
      </c>
      <c r="H9" s="191" t="n">
        <f aca="false">IF(Utilidad!D6&gt;1,Utilidad!D6/100,Utilidad!D6)</f>
        <v>0</v>
      </c>
      <c r="J9" s="192" t="n">
        <f aca="false">+IF(C9&lt;&gt;0,(G9-C9)/C9,ABS(G9-C9))</f>
        <v>0</v>
      </c>
      <c r="K9" s="192" t="n">
        <f aca="false">+IF(D9&lt;&gt;0,(H9-D9)/D9,0)</f>
        <v>0</v>
      </c>
      <c r="L9" s="193"/>
      <c r="M9" s="194" t="n">
        <f aca="false">+IF(J9&lt;&gt;"",ABS(J9),0)</f>
        <v>0</v>
      </c>
      <c r="N9" s="194" t="n">
        <f aca="false">+IF(J9&lt;&gt;"",ABS(K9),0)</f>
        <v>0</v>
      </c>
    </row>
    <row r="10" customFormat="false" ht="17.35" hidden="false" customHeight="false" outlineLevel="0" collapsed="false">
      <c r="B10" s="189" t="s">
        <v>94</v>
      </c>
      <c r="C10" s="190" t="n">
        <f aca="false">Utilidad!A7</f>
        <v>448636</v>
      </c>
      <c r="D10" s="191" t="n">
        <f aca="false">IF(Utilidad!C7&gt;1,Utilidad!C7/100,Utilidad!C7)</f>
        <v>0.509697</v>
      </c>
      <c r="F10" s="189" t="s">
        <v>94</v>
      </c>
      <c r="G10" s="190" t="n">
        <f aca="false">Utilidad!B7</f>
        <v>443431.8224</v>
      </c>
      <c r="H10" s="191" t="n">
        <f aca="false">IF(Utilidad!D7&gt;1,Utilidad!D7/100,Utilidad!D7)</f>
        <v>0.509697</v>
      </c>
      <c r="J10" s="192" t="n">
        <f aca="false">+IF(C10&lt;&gt;0,(G10-C10)/C10,ABS(G10-C10))</f>
        <v>-0.0116</v>
      </c>
      <c r="K10" s="192" t="n">
        <f aca="false">+IF(D10&lt;&gt;0,(H10-D10)/D10,0)</f>
        <v>0</v>
      </c>
      <c r="L10" s="193"/>
      <c r="M10" s="194" t="n">
        <f aca="false">+IF(J10&lt;&gt;"",ABS(J10),0)</f>
        <v>0.0116</v>
      </c>
      <c r="N10" s="194" t="n">
        <f aca="false">+IF(J10&lt;&gt;"",ABS(K10),0)</f>
        <v>0</v>
      </c>
    </row>
    <row r="11" customFormat="false" ht="17.35" hidden="false" customHeight="false" outlineLevel="0" collapsed="false">
      <c r="B11" s="189" t="s">
        <v>95</v>
      </c>
      <c r="C11" s="190" t="n">
        <f aca="false">Utilidad!A8</f>
        <v>27558.3326588426</v>
      </c>
      <c r="D11" s="191" t="n">
        <f aca="false">IF(Utilidad!C8&gt;1,Utilidad!C8/100,Utilidad!C8)</f>
        <v>0.509697</v>
      </c>
      <c r="F11" s="189" t="s">
        <v>95</v>
      </c>
      <c r="G11" s="190" t="n">
        <f aca="false">Utilidad!B8</f>
        <v>26777.681263</v>
      </c>
      <c r="H11" s="191" t="n">
        <f aca="false">IF(Utilidad!D8&gt;1,Utilidad!D8/100,Utilidad!D8)</f>
        <v>0.50396720765</v>
      </c>
      <c r="J11" s="192" t="n">
        <f aca="false">+IF(C11&lt;&gt;0,(G11-C11)/C11,ABS(G11-C11))</f>
        <v>-0.0283272361033828</v>
      </c>
      <c r="K11" s="192" t="n">
        <f aca="false">+IF(D11&lt;&gt;0,(H11-D11)/D11,0)</f>
        <v>-0.0112415657733909</v>
      </c>
      <c r="L11" s="193"/>
      <c r="M11" s="194" t="n">
        <f aca="false">+IF(J11&lt;&gt;"",ABS(J11),0)</f>
        <v>0.0283272361033828</v>
      </c>
      <c r="N11" s="194" t="n">
        <f aca="false">+IF(J11&lt;&gt;"",ABS(K11),0)</f>
        <v>0.0112415657733909</v>
      </c>
    </row>
    <row r="12" customFormat="false" ht="17.35" hidden="false" customHeight="false" outlineLevel="0" collapsed="false">
      <c r="B12" s="189" t="s">
        <v>96</v>
      </c>
      <c r="C12" s="190" t="n">
        <f aca="false">Utilidad!A9</f>
        <v>415914.7664</v>
      </c>
      <c r="D12" s="191" t="n">
        <f aca="false">IF(Utilidad!C9&gt;1,Utilidad!C9/100,Utilidad!C9)</f>
        <v>0.509697</v>
      </c>
      <c r="F12" s="189" t="s">
        <v>96</v>
      </c>
      <c r="G12" s="190" t="n">
        <f aca="false">Utilidad!B9</f>
        <v>416654.14114</v>
      </c>
      <c r="H12" s="191" t="n">
        <f aca="false">IF(Utilidad!D9&gt;1,Utilidad!D9/100,Utilidad!D9)</f>
        <v>0.51006524434</v>
      </c>
      <c r="J12" s="192" t="n">
        <f aca="false">+IF(C12&lt;&gt;0,(G12-C12)/C12,ABS(G12-C12))</f>
        <v>0.00177770735672538</v>
      </c>
      <c r="K12" s="192" t="n">
        <f aca="false">+IF(D12&lt;&gt;0,(H12-D12)/D12,0)</f>
        <v>0.000722476961802668</v>
      </c>
      <c r="L12" s="193"/>
      <c r="M12" s="194" t="n">
        <f aca="false">+IF(J12&lt;&gt;"",ABS(J12),0)</f>
        <v>0.00177770735672538</v>
      </c>
      <c r="N12" s="194" t="n">
        <f aca="false">+IF(J12&lt;&gt;"",ABS(K12),0)</f>
        <v>0.000722476961802668</v>
      </c>
    </row>
    <row r="13" customFormat="false" ht="17.35" hidden="false" customHeight="false" outlineLevel="0" collapsed="false">
      <c r="B13" s="189" t="s">
        <v>97</v>
      </c>
      <c r="C13" s="190" t="n">
        <f aca="false">Utilidad!A10</f>
        <v>15427.9584931437</v>
      </c>
      <c r="D13" s="191" t="n">
        <f aca="false">IF(Utilidad!C10&gt;1,Utilidad!C10/100,Utilidad!C10)</f>
        <v>0.611911</v>
      </c>
      <c r="F13" s="189" t="s">
        <v>97</v>
      </c>
      <c r="G13" s="190" t="n">
        <f aca="false">Utilidad!B10</f>
        <v>15290.458071</v>
      </c>
      <c r="H13" s="191" t="n">
        <f aca="false">IF(Utilidad!D10&gt;1,Utilidad!D10/100,Utilidad!D10)</f>
        <v>0.6069080774</v>
      </c>
      <c r="J13" s="192" t="n">
        <f aca="false">+IF(C13&lt;&gt;0,(G13-C13)/C13,ABS(G13-C13))</f>
        <v>-0.00891241846449142</v>
      </c>
      <c r="K13" s="192" t="n">
        <f aca="false">+IF(D13&lt;&gt;0,(H13-D13)/D13,0)</f>
        <v>-0.00817589910951105</v>
      </c>
      <c r="L13" s="193"/>
      <c r="M13" s="194" t="n">
        <f aca="false">+IF(J13&lt;&gt;"",ABS(J13),0)</f>
        <v>0.00891241846449142</v>
      </c>
      <c r="N13" s="194" t="n">
        <f aca="false">+IF(J13&lt;&gt;"",ABS(K13),0)</f>
        <v>0.00817589910951105</v>
      </c>
    </row>
    <row r="14" customFormat="false" ht="17.35" hidden="false" customHeight="false" outlineLevel="0" collapsed="false">
      <c r="B14" s="189" t="s">
        <v>98</v>
      </c>
      <c r="C14" s="190" t="n">
        <f aca="false">Utilidad!A11</f>
        <v>-40663.143074649</v>
      </c>
      <c r="D14" s="191" t="n">
        <f aca="false">IF(Utilidad!C11&gt;1,Utilidad!C11/100,Utilidad!C11)</f>
        <v>0.591737</v>
      </c>
      <c r="F14" s="189" t="s">
        <v>98</v>
      </c>
      <c r="G14" s="190" t="n">
        <f aca="false">Utilidad!B11</f>
        <v>-42531.584192</v>
      </c>
      <c r="H14" s="191" t="n">
        <f aca="false">IF(Utilidad!D11&gt;1,Utilidad!D11/100,Utilidad!D11)</f>
        <v>0.60289160519</v>
      </c>
      <c r="J14" s="192" t="n">
        <f aca="false">+IF(C14&lt;&gt;0,(G14-C14)/C14,ABS(G14-C14))</f>
        <v>0.0459492546830661</v>
      </c>
      <c r="K14" s="192" t="n">
        <f aca="false">+IF(D14&lt;&gt;0,(H14-D14)/D14,0)</f>
        <v>0.0188506130088198</v>
      </c>
      <c r="L14" s="193"/>
      <c r="M14" s="194" t="n">
        <f aca="false">+IF(J14&lt;&gt;"",ABS(J14),0)</f>
        <v>0.0459492546830661</v>
      </c>
      <c r="N14" s="194" t="n">
        <f aca="false">+IF(J14&lt;&gt;"",ABS(K14),0)</f>
        <v>0.0188506130088198</v>
      </c>
    </row>
    <row r="15" customFormat="false" ht="17.35" hidden="false" customHeight="false" outlineLevel="0" collapsed="false">
      <c r="B15" s="189" t="s">
        <v>99</v>
      </c>
      <c r="C15" s="190" t="n">
        <f aca="false">Utilidad!A12</f>
        <v>30820.4232750344</v>
      </c>
      <c r="D15" s="191" t="n">
        <f aca="false">IF(Utilidad!C12&gt;1,Utilidad!C12/100,Utilidad!C12)</f>
        <v>0.534454</v>
      </c>
      <c r="F15" s="189" t="s">
        <v>99</v>
      </c>
      <c r="G15" s="190" t="n">
        <f aca="false">Utilidad!B12</f>
        <v>30820.423275</v>
      </c>
      <c r="H15" s="191" t="n">
        <f aca="false">IF(Utilidad!D12&gt;1,Utilidad!D12/100,Utilidad!D12)</f>
        <v>0.534454</v>
      </c>
      <c r="J15" s="192" t="n">
        <f aca="false">+IF(C15&lt;&gt;0,(G15-C15)/C15,ABS(G15-C15))</f>
        <v>-1.11616661759882E-012</v>
      </c>
      <c r="K15" s="192" t="n">
        <f aca="false">+IF(D15&lt;&gt;0,(H15-D15)/D15,0)</f>
        <v>0</v>
      </c>
      <c r="L15" s="193"/>
      <c r="M15" s="194" t="n">
        <f aca="false">+IF(J15&lt;&gt;"",ABS(J15),0)</f>
        <v>1.11616661759882E-012</v>
      </c>
      <c r="N15" s="194" t="n">
        <f aca="false">+IF(J15&lt;&gt;"",ABS(K15),0)</f>
        <v>0</v>
      </c>
    </row>
    <row r="16" customFormat="false" ht="17.35" hidden="false" customHeight="false" outlineLevel="0" collapsed="false">
      <c r="B16" s="189" t="s">
        <v>100</v>
      </c>
      <c r="C16" s="190" t="n">
        <f aca="false">Utilidad!A13</f>
        <v>305741.772</v>
      </c>
      <c r="D16" s="191" t="n">
        <f aca="false">IF(Utilidad!C13&gt;1,Utilidad!C13/100,Utilidad!C13)</f>
        <v>0.611911</v>
      </c>
      <c r="F16" s="189" t="s">
        <v>100</v>
      </c>
      <c r="G16" s="190" t="n">
        <f aca="false">Utilidad!B13</f>
        <v>307241.37807</v>
      </c>
      <c r="H16" s="191" t="n">
        <f aca="false">IF(Utilidad!D13&gt;1,Utilidad!D13/100,Utilidad!D13)</f>
        <v>0.60297908339</v>
      </c>
      <c r="J16" s="192" t="n">
        <f aca="false">+IF(C16&lt;&gt;0,(G16-C16)/C16,ABS(G16-C16))</f>
        <v>0.0049048125160993</v>
      </c>
      <c r="K16" s="192" t="n">
        <f aca="false">+IF(D16&lt;&gt;0,(H16-D16)/D16,0)</f>
        <v>-0.0145967577147656</v>
      </c>
      <c r="L16" s="193"/>
      <c r="M16" s="194" t="n">
        <f aca="false">+IF(J16&lt;&gt;"",ABS(J16),0)</f>
        <v>0.0049048125160993</v>
      </c>
      <c r="N16" s="194" t="n">
        <f aca="false">+IF(J16&lt;&gt;"",ABS(K16),0)</f>
        <v>0.0145967577147656</v>
      </c>
    </row>
    <row r="17" customFormat="false" ht="17.35" hidden="false" customHeight="false" outlineLevel="0" collapsed="false">
      <c r="B17" s="189" t="s">
        <v>101</v>
      </c>
      <c r="C17" s="190" t="n">
        <f aca="false">Utilidad!A14</f>
        <v>116941.635</v>
      </c>
      <c r="D17" s="191" t="n">
        <f aca="false">IF(Utilidad!C14&gt;1,Utilidad!C14/100,Utilidad!C14)</f>
        <v>0.261881</v>
      </c>
      <c r="F17" s="189" t="s">
        <v>101</v>
      </c>
      <c r="G17" s="190" t="n">
        <f aca="false">Utilidad!B14</f>
        <v>109412.76307</v>
      </c>
      <c r="H17" s="191" t="n">
        <f aca="false">IF(Utilidad!D14&gt;1,Utilidad!D14/100,Utilidad!D14)</f>
        <v>0.24915440408</v>
      </c>
      <c r="J17" s="192" t="n">
        <f aca="false">+IF(C17&lt;&gt;0,(G17-C17)/C17,ABS(G17-C17))</f>
        <v>-0.0643814491733419</v>
      </c>
      <c r="K17" s="192" t="n">
        <f aca="false">+IF(D17&lt;&gt;0,(H17-D17)/D17,0)</f>
        <v>-0.0485968662102253</v>
      </c>
      <c r="L17" s="193"/>
      <c r="M17" s="194" t="n">
        <f aca="false">+IF(J17&lt;&gt;"",ABS(J17),0)</f>
        <v>0.0643814491733419</v>
      </c>
      <c r="N17" s="194" t="n">
        <f aca="false">+IF(J17&lt;&gt;"",ABS(K17),0)</f>
        <v>0.0485968662102253</v>
      </c>
    </row>
    <row r="18" customFormat="false" ht="17.35" hidden="false" customHeight="false" outlineLevel="0" collapsed="false">
      <c r="B18" s="189" t="s">
        <v>102</v>
      </c>
      <c r="C18" s="190" t="n">
        <f aca="false">Utilidad!A15</f>
        <v>33642.0469588098</v>
      </c>
      <c r="D18" s="191" t="n">
        <f aca="false">IF(Utilidad!C15&gt;1,Utilidad!C15/100,Utilidad!C15)</f>
        <v>0.261881</v>
      </c>
      <c r="F18" s="189" t="s">
        <v>102</v>
      </c>
      <c r="G18" s="190" t="n">
        <f aca="false">Utilidad!B15</f>
        <v>18816.826111</v>
      </c>
      <c r="H18" s="191" t="n">
        <f aca="false">IF(Utilidad!D15&gt;1,Utilidad!D15/100,Utilidad!D15)</f>
        <v>0.22521766</v>
      </c>
      <c r="J18" s="192" t="n">
        <f aca="false">+IF(C18&lt;&gt;0,(G18-C18)/C18,ABS(G18-C18))</f>
        <v>-0.440675350877469</v>
      </c>
      <c r="K18" s="192" t="n">
        <f aca="false">+IF(D18&lt;&gt;0,(H18-D18)/D18,0)</f>
        <v>-0.14</v>
      </c>
      <c r="L18" s="193"/>
      <c r="M18" s="194" t="n">
        <f aca="false">+IF(J18&lt;&gt;"",ABS(J18),0)</f>
        <v>0.440675350877469</v>
      </c>
      <c r="N18" s="194" t="n">
        <f aca="false">+IF(J18&lt;&gt;"",ABS(K18),0)</f>
        <v>0.14</v>
      </c>
    </row>
    <row r="19" customFormat="false" ht="17.35" hidden="false" customHeight="false" outlineLevel="0" collapsed="false">
      <c r="B19" s="189" t="s">
        <v>103</v>
      </c>
      <c r="C19" s="190" t="n">
        <f aca="false">Utilidad!A16</f>
        <v>83510.1997773505</v>
      </c>
      <c r="D19" s="191" t="n">
        <f aca="false">IF(Utilidad!C16&gt;1,Utilidad!C16/100,Utilidad!C16)</f>
        <v>0.261881</v>
      </c>
      <c r="F19" s="189" t="s">
        <v>103</v>
      </c>
      <c r="G19" s="190" t="n">
        <f aca="false">Utilidad!B16</f>
        <v>90595.936958</v>
      </c>
      <c r="H19" s="191" t="n">
        <f aca="false">IF(Utilidad!D16&gt;1,Utilidad!D16/100,Utilidad!D16)</f>
        <v>0.25412607905</v>
      </c>
      <c r="J19" s="192" t="n">
        <f aca="false">+IF(C19&lt;&gt;0,(G19-C19)/C19,ABS(G19-C19))</f>
        <v>0.0848487633790967</v>
      </c>
      <c r="K19" s="192" t="n">
        <f aca="false">+IF(D19&lt;&gt;0,(H19-D19)/D19,0)</f>
        <v>-0.0296123848236411</v>
      </c>
      <c r="L19" s="193"/>
      <c r="M19" s="194" t="n">
        <f aca="false">+IF(J19&lt;&gt;"",ABS(J19),0)</f>
        <v>0.0848487633790967</v>
      </c>
      <c r="N19" s="194" t="n">
        <f aca="false">+IF(J19&lt;&gt;"",ABS(K19),0)</f>
        <v>0.0296123848236411</v>
      </c>
    </row>
    <row r="20" customFormat="false" ht="17.35" hidden="false" customHeight="false" outlineLevel="0" collapsed="false">
      <c r="B20" s="189" t="s">
        <v>104</v>
      </c>
      <c r="C20" s="190" t="n">
        <f aca="false">Utilidad!A17</f>
        <v>-30149.46</v>
      </c>
      <c r="D20" s="191" t="n">
        <f aca="false">IF(Utilidad!C17&gt;1,Utilidad!C17/100,Utilidad!C17)</f>
        <v>0.12</v>
      </c>
      <c r="F20" s="189" t="s">
        <v>104</v>
      </c>
      <c r="G20" s="190" t="n">
        <f aca="false">Utilidad!B17</f>
        <v>-36179.352</v>
      </c>
      <c r="H20" s="191" t="n">
        <f aca="false">IF(Utilidad!D17&gt;1,Utilidad!D17/100,Utilidad!D17)</f>
        <v>0.12</v>
      </c>
      <c r="J20" s="192" t="n">
        <f aca="false">+IF(C20&lt;&gt;0,(G20-C20)/C20,ABS(G20-C20))</f>
        <v>0.2</v>
      </c>
      <c r="K20" s="192" t="n">
        <f aca="false">+IF(D20&lt;&gt;0,(H20-D20)/D20,0)</f>
        <v>0</v>
      </c>
      <c r="L20" s="193"/>
      <c r="M20" s="194" t="n">
        <f aca="false">+IF(J20&lt;&gt;"",ABS(J20),0)</f>
        <v>0.2</v>
      </c>
      <c r="N20" s="194" t="n">
        <f aca="false">+IF(J20&lt;&gt;"",ABS(K20),0)</f>
        <v>0</v>
      </c>
    </row>
    <row r="21" customFormat="false" ht="17.35" hidden="false" customHeight="false" outlineLevel="0" collapsed="false">
      <c r="B21" s="189" t="s">
        <v>105</v>
      </c>
      <c r="C21" s="190" t="n">
        <f aca="false">Utilidad!A18</f>
        <v>63787.8392875215</v>
      </c>
      <c r="D21" s="191" t="n">
        <f aca="false">IF(Utilidad!C18&gt;1,Utilidad!C18/100,Utilidad!C18)</f>
        <v>0.12</v>
      </c>
      <c r="F21" s="189" t="s">
        <v>105</v>
      </c>
      <c r="G21" s="190" t="n">
        <f aca="false">Utilidad!B18</f>
        <v>54996.178111</v>
      </c>
      <c r="H21" s="191" t="n">
        <f aca="false">IF(Utilidad!D18&gt;1,Utilidad!D18/100,Utilidad!D18)</f>
        <v>0.156</v>
      </c>
      <c r="J21" s="192" t="n">
        <f aca="false">+IF(C21&lt;&gt;0,(G21-C21)/C21,ABS(G21-C21))</f>
        <v>-0.137826602605136</v>
      </c>
      <c r="K21" s="192" t="n">
        <f aca="false">+IF(D21&lt;&gt;0,(H21-D21)/D21,0)</f>
        <v>0.3</v>
      </c>
      <c r="L21" s="193"/>
      <c r="M21" s="194" t="n">
        <f aca="false">+IF(J21&lt;&gt;"",ABS(J21),0)</f>
        <v>0.137826602605136</v>
      </c>
      <c r="N21" s="194" t="n">
        <f aca="false">+IF(J21&lt;&gt;"",ABS(K21),0)</f>
        <v>0.3</v>
      </c>
    </row>
    <row r="22" customFormat="false" ht="17.35" hidden="false" customHeight="false" outlineLevel="0" collapsed="false">
      <c r="B22" s="189" t="s">
        <v>73</v>
      </c>
      <c r="C22" s="190" t="n">
        <f aca="false">Utilidad!A19</f>
        <v>147033.2324</v>
      </c>
      <c r="D22" s="191" t="n">
        <f aca="false">IF(Utilidad!C19&gt;1,Utilidad!C19/100,Utilidad!C19)</f>
        <v>0.200439</v>
      </c>
      <c r="F22" s="189" t="s">
        <v>73</v>
      </c>
      <c r="G22" s="190" t="n">
        <f aca="false">Utilidad!B19</f>
        <v>145592.11507</v>
      </c>
      <c r="H22" s="191" t="n">
        <f aca="false">IF(Utilidad!D19&gt;1,Utilidad!D19/100,Utilidad!D19)</f>
        <v>0.21705979068</v>
      </c>
      <c r="J22" s="192" t="n">
        <f aca="false">+IF(C22&lt;&gt;0,(G22-C22)/C22,ABS(G22-C22))</f>
        <v>-0.00980130346369239</v>
      </c>
      <c r="K22" s="192" t="n">
        <f aca="false">+IF(D22&lt;&gt;0,(H22-D22)/D22,0)</f>
        <v>0.0829219397422657</v>
      </c>
      <c r="L22" s="193"/>
      <c r="M22" s="194" t="n">
        <f aca="false">+IF(J22&lt;&gt;"",ABS(J22),0)</f>
        <v>0.00980130346369239</v>
      </c>
      <c r="N22" s="194" t="n">
        <f aca="false">+IF(J22&lt;&gt;"",ABS(K22),0)</f>
        <v>0.0829219397422657</v>
      </c>
    </row>
    <row r="23" customFormat="false" ht="17.35" hidden="false" customHeight="false" outlineLevel="0" collapsed="false">
      <c r="B23" s="189" t="s">
        <v>106</v>
      </c>
      <c r="C23" s="190" t="n">
        <f aca="false">Utilidad!A20</f>
        <v>139617.5419</v>
      </c>
      <c r="D23" s="191" t="n">
        <f aca="false">IF(Utilidad!C20&gt;1,Utilidad!C20/100,Utilidad!C20)</f>
        <v>0.15129</v>
      </c>
      <c r="F23" s="189" t="s">
        <v>106</v>
      </c>
      <c r="G23" s="190" t="n">
        <f aca="false">Utilidad!B20</f>
        <v>115335.11507</v>
      </c>
      <c r="H23" s="191" t="n">
        <f aca="false">IF(Utilidad!D20&gt;1,Utilidad!D20/100,Utilidad!D20)</f>
        <v>0.14938040633</v>
      </c>
      <c r="J23" s="192" t="n">
        <f aca="false">+IF(C23&lt;&gt;0,(G23-C23)/C23,ABS(G23-C23))</f>
        <v>-0.173921030978988</v>
      </c>
      <c r="K23" s="192" t="n">
        <f aca="false">+IF(D23&lt;&gt;0,(H23-D23)/D23,0)</f>
        <v>-0.0126220746248927</v>
      </c>
      <c r="L23" s="193"/>
      <c r="M23" s="194" t="n">
        <f aca="false">+IF(J23&lt;&gt;"",ABS(J23),0)</f>
        <v>0.173921030978988</v>
      </c>
      <c r="N23" s="194" t="n">
        <f aca="false">+IF(J23&lt;&gt;"",ABS(K23),0)</f>
        <v>0.0126220746248927</v>
      </c>
    </row>
    <row r="24" customFormat="false" ht="17.35" hidden="false" customHeight="false" outlineLevel="0" collapsed="false">
      <c r="B24" s="189" t="s">
        <v>107</v>
      </c>
      <c r="C24" s="190" t="n">
        <f aca="false">Utilidad!A21</f>
        <v>30257</v>
      </c>
      <c r="D24" s="191" t="n">
        <f aca="false">IF(Utilidad!C21&gt;1,Utilidad!C21/100,Utilidad!C21)</f>
        <v>0.477802</v>
      </c>
      <c r="F24" s="189" t="s">
        <v>107</v>
      </c>
      <c r="G24" s="190" t="n">
        <f aca="false">Utilidad!B21</f>
        <v>30257</v>
      </c>
      <c r="H24" s="191" t="n">
        <f aca="false">IF(Utilidad!D21&gt;1,Utilidad!D21/100,Utilidad!D21)</f>
        <v>0.47504338397</v>
      </c>
      <c r="J24" s="192" t="n">
        <f aca="false">+IF(C24&lt;&gt;0,(G24-C24)/C24,ABS(G24-C24))</f>
        <v>0</v>
      </c>
      <c r="K24" s="192" t="n">
        <f aca="false">+IF(D24&lt;&gt;0,(H24-D24)/D24,0)</f>
        <v>-0.00577355479884984</v>
      </c>
      <c r="L24" s="193"/>
      <c r="M24" s="194" t="n">
        <f aca="false">+IF(J24&lt;&gt;"",ABS(J24),0)</f>
        <v>0</v>
      </c>
      <c r="N24" s="194" t="n">
        <f aca="false">+IF(J24&lt;&gt;"",ABS(K24),0)</f>
        <v>0.00577355479884984</v>
      </c>
    </row>
    <row r="25" customFormat="false" ht="17.35" hidden="false" customHeight="false" outlineLevel="0" collapsed="false">
      <c r="B25" s="189" t="s">
        <v>108</v>
      </c>
      <c r="C25" s="190" t="n">
        <f aca="false">Utilidad!A22</f>
        <v>-5121.7155</v>
      </c>
      <c r="D25" s="191" t="n">
        <f aca="false">IF(Utilidad!C22&gt;1,Utilidad!C22/100,Utilidad!C22)</f>
        <v>0.502094</v>
      </c>
      <c r="F25" s="189" t="s">
        <v>108</v>
      </c>
      <c r="G25" s="190" t="n">
        <f aca="false">Utilidad!B22</f>
        <v>-2122.3855</v>
      </c>
      <c r="H25" s="191" t="n">
        <f aca="false">IF(Utilidad!D22&gt;1,Utilidad!D22/100,Utilidad!D22)</f>
        <v>0.50226971507</v>
      </c>
      <c r="J25" s="192" t="n">
        <f aca="false">+IF(C25&lt;&gt;0,(G25-C25)/C25,ABS(G25-C25))</f>
        <v>-0.585610426818905</v>
      </c>
      <c r="K25" s="192" t="n">
        <f aca="false">+IF(D25&lt;&gt;0,(H25-D25)/D25,0)</f>
        <v>0.000349964488721288</v>
      </c>
      <c r="L25" s="193"/>
      <c r="M25" s="194" t="n">
        <f aca="false">+IF(J25&lt;&gt;"",ABS(J25),0)</f>
        <v>0.585610426818905</v>
      </c>
      <c r="N25" s="194" t="n">
        <f aca="false">+IF(J25&lt;&gt;"",ABS(K25),0)</f>
        <v>0.000349964488721288</v>
      </c>
    </row>
    <row r="26" customFormat="false" ht="17.35" hidden="false" customHeight="false" outlineLevel="0" collapsed="false">
      <c r="B26" s="189" t="s">
        <v>109</v>
      </c>
      <c r="C26" s="190" t="n">
        <f aca="false">Utilidad!A23</f>
        <v>32379.3855</v>
      </c>
      <c r="D26" s="191" t="n">
        <f aca="false">IF(Utilidad!C23&gt;1,Utilidad!C23/100,Utilidad!C23)</f>
        <v>0.476828</v>
      </c>
      <c r="F26" s="189" t="s">
        <v>109</v>
      </c>
      <c r="G26" s="190" t="n">
        <f aca="false">Utilidad!B23</f>
        <v>32379.3855</v>
      </c>
      <c r="H26" s="191" t="n">
        <f aca="false">IF(Utilidad!D23&gt;1,Utilidad!D23/100,Utilidad!D23)</f>
        <v>0.476828</v>
      </c>
      <c r="J26" s="192" t="n">
        <f aca="false">+IF(C26&lt;&gt;0,(G26-C26)/C26,ABS(G26-C26))</f>
        <v>0</v>
      </c>
      <c r="K26" s="192" t="n">
        <f aca="false">+IF(D26&lt;&gt;0,(H26-D26)/D26,0)</f>
        <v>0</v>
      </c>
      <c r="L26" s="193"/>
      <c r="M26" s="194" t="n">
        <f aca="false">+IF(J26&lt;&gt;"",ABS(J26),0)</f>
        <v>0</v>
      </c>
      <c r="N26" s="194" t="n">
        <f aca="false">+IF(J26&lt;&gt;"",ABS(K26),0)</f>
        <v>0</v>
      </c>
    </row>
    <row r="27" customFormat="false" ht="17.35" hidden="false" customHeight="false" outlineLevel="0" collapsed="false">
      <c r="B27" s="189" t="s">
        <v>110</v>
      </c>
      <c r="C27" s="190" t="n">
        <f aca="false">Utilidad!A24</f>
        <v>303662.080915309</v>
      </c>
      <c r="D27" s="191" t="n">
        <f aca="false">IF(Utilidad!C24&gt;1,Utilidad!C24/100,Utilidad!C24)</f>
        <v>0.609724</v>
      </c>
      <c r="F27" s="189" t="s">
        <v>110</v>
      </c>
      <c r="G27" s="190" t="n">
        <f aca="false">Utilidad!B24</f>
        <v>303662.08092</v>
      </c>
      <c r="H27" s="191" t="n">
        <f aca="false">IF(Utilidad!D24&gt;1,Utilidad!D24/100,Utilidad!D24)</f>
        <v>0.609724</v>
      </c>
      <c r="J27" s="192" t="n">
        <f aca="false">+IF(C27&lt;&gt;0,(G27-C27)/C27,ABS(G27-C27))</f>
        <v>1.54492876835391E-011</v>
      </c>
      <c r="K27" s="192" t="n">
        <f aca="false">+IF(D27&lt;&gt;0,(H27-D27)/D27,0)</f>
        <v>0</v>
      </c>
      <c r="L27" s="193"/>
      <c r="M27" s="194" t="n">
        <f aca="false">+IF(J27&lt;&gt;"",ABS(J27),0)</f>
        <v>1.54492876835391E-011</v>
      </c>
      <c r="N27" s="194" t="n">
        <f aca="false">+IF(J27&lt;&gt;"",ABS(K27),0)</f>
        <v>0</v>
      </c>
    </row>
    <row r="28" customFormat="false" ht="17.35" hidden="false" customHeight="false" outlineLevel="0" collapsed="false">
      <c r="B28" s="189" t="s">
        <v>111</v>
      </c>
      <c r="C28" s="190" t="n">
        <f aca="false">Utilidad!A25</f>
        <v>0</v>
      </c>
      <c r="D28" s="191" t="n">
        <f aca="false">IF(Utilidad!C25&gt;1,Utilidad!C25/100,Utilidad!C25)</f>
        <v>0</v>
      </c>
      <c r="F28" s="189" t="s">
        <v>111</v>
      </c>
      <c r="G28" s="190" t="n">
        <f aca="false">Utilidad!B25</f>
        <v>0</v>
      </c>
      <c r="H28" s="191" t="n">
        <f aca="false">IF(Utilidad!D25&gt;1,Utilidad!D25/100,Utilidad!D25)</f>
        <v>0</v>
      </c>
      <c r="J28" s="192" t="n">
        <f aca="false">+IF(C28&lt;&gt;0,(G28-C28)/C28,ABS(G28-C28))</f>
        <v>0</v>
      </c>
      <c r="K28" s="192" t="n">
        <f aca="false">+IF(D28&lt;&gt;0,(H28-D28)/D28,0)</f>
        <v>0</v>
      </c>
      <c r="L28" s="193"/>
      <c r="M28" s="194" t="n">
        <f aca="false">+IF(J28&lt;&gt;"",ABS(J28),0)</f>
        <v>0</v>
      </c>
      <c r="N28" s="194" t="n">
        <f aca="false">+IF(J28&lt;&gt;"",ABS(K28),0)</f>
        <v>0</v>
      </c>
    </row>
    <row r="29" customFormat="false" ht="17.35" hidden="false" customHeight="false" outlineLevel="0" collapsed="false">
      <c r="B29" s="189" t="s">
        <v>112</v>
      </c>
      <c r="C29" s="190" t="n">
        <f aca="false">Utilidad!A26</f>
        <v>0</v>
      </c>
      <c r="D29" s="191" t="n">
        <f aca="false">IF(Utilidad!C26&gt;1,Utilidad!C26/100,Utilidad!C26)</f>
        <v>0</v>
      </c>
      <c r="F29" s="189" t="s">
        <v>112</v>
      </c>
      <c r="G29" s="190" t="n">
        <f aca="false">Utilidad!B26</f>
        <v>0</v>
      </c>
      <c r="H29" s="191" t="n">
        <f aca="false">IF(Utilidad!D26&gt;1,Utilidad!D26/100,Utilidad!D26)</f>
        <v>0</v>
      </c>
      <c r="J29" s="192" t="n">
        <f aca="false">+IF(C29&lt;&gt;0,(G29-C29)/C29,ABS(G29-C29))</f>
        <v>0</v>
      </c>
      <c r="K29" s="192" t="n">
        <f aca="false">+IF(D29&lt;&gt;0,(H29-D29)/D29,0)</f>
        <v>0</v>
      </c>
      <c r="L29" s="193"/>
      <c r="M29" s="194" t="n">
        <f aca="false">+IF(J29&lt;&gt;"",ABS(J29),0)</f>
        <v>0</v>
      </c>
      <c r="N29" s="194" t="n">
        <f aca="false">+IF(J29&lt;&gt;"",ABS(K29),0)</f>
        <v>0</v>
      </c>
    </row>
    <row r="30" customFormat="false" ht="17.35" hidden="false" customHeight="false" outlineLevel="0" collapsed="false">
      <c r="B30" s="189" t="s">
        <v>113</v>
      </c>
      <c r="C30" s="190" t="n">
        <f aca="false">Utilidad!A27</f>
        <v>0</v>
      </c>
      <c r="D30" s="191" t="n">
        <f aca="false">IF(Utilidad!C27&gt;1,Utilidad!C27/100,Utilidad!C27)</f>
        <v>0</v>
      </c>
      <c r="F30" s="189" t="s">
        <v>113</v>
      </c>
      <c r="G30" s="190" t="n">
        <f aca="false">Utilidad!B27</f>
        <v>0</v>
      </c>
      <c r="H30" s="191" t="n">
        <f aca="false">IF(Utilidad!D27&gt;1,Utilidad!D27/100,Utilidad!D27)</f>
        <v>0</v>
      </c>
      <c r="J30" s="192" t="n">
        <f aca="false">+IF(C30&lt;&gt;0,(G30-C30)/C30,ABS(G30-C30))</f>
        <v>0</v>
      </c>
      <c r="K30" s="192" t="n">
        <f aca="false">+IF(D30&lt;&gt;0,(H30-D30)/D30,0)</f>
        <v>0</v>
      </c>
      <c r="L30" s="193"/>
      <c r="M30" s="194" t="n">
        <f aca="false">+IF(J30&lt;&gt;"",ABS(J30),0)</f>
        <v>0</v>
      </c>
      <c r="N30" s="194" t="n">
        <f aca="false">+IF(J30&lt;&gt;"",ABS(K30),0)</f>
        <v>0</v>
      </c>
    </row>
    <row r="31" customFormat="false" ht="17.35" hidden="false" customHeight="false" outlineLevel="0" collapsed="false">
      <c r="B31" s="189" t="s">
        <v>114</v>
      </c>
      <c r="C31" s="190" t="n">
        <f aca="false">Utilidad!A28</f>
        <v>0</v>
      </c>
      <c r="D31" s="191" t="n">
        <f aca="false">IF(Utilidad!C28&gt;1,Utilidad!C28/100,Utilidad!C28)</f>
        <v>0</v>
      </c>
      <c r="F31" s="189" t="s">
        <v>114</v>
      </c>
      <c r="G31" s="190" t="n">
        <f aca="false">Utilidad!B28</f>
        <v>0</v>
      </c>
      <c r="H31" s="191" t="n">
        <f aca="false">IF(Utilidad!D28&gt;1,Utilidad!D28/100,Utilidad!D28)</f>
        <v>0</v>
      </c>
      <c r="J31" s="192" t="n">
        <f aca="false">+IF(C31&lt;&gt;0,(G31-C31)/C31,ABS(G31-C31))</f>
        <v>0</v>
      </c>
      <c r="K31" s="192" t="n">
        <f aca="false">+IF(D31&lt;&gt;0,(H31-D31)/D31,0)</f>
        <v>0</v>
      </c>
      <c r="L31" s="193"/>
      <c r="M31" s="194" t="n">
        <f aca="false">+IF(J31&lt;&gt;"",ABS(J31),0)</f>
        <v>0</v>
      </c>
      <c r="N31" s="194" t="n">
        <f aca="false">+IF(J31&lt;&gt;"",ABS(K31),0)</f>
        <v>0</v>
      </c>
    </row>
    <row r="32" customFormat="false" ht="17.35" hidden="false" customHeight="false" outlineLevel="0" collapsed="false">
      <c r="B32" s="189" t="s">
        <v>115</v>
      </c>
      <c r="C32" s="190" t="n">
        <f aca="false">Utilidad!A29</f>
        <v>0</v>
      </c>
      <c r="D32" s="191" t="n">
        <f aca="false">IF(Utilidad!C29&gt;1,Utilidad!C29/100,Utilidad!C29)</f>
        <v>0</v>
      </c>
      <c r="F32" s="189" t="s">
        <v>115</v>
      </c>
      <c r="G32" s="190" t="n">
        <f aca="false">Utilidad!B29</f>
        <v>0</v>
      </c>
      <c r="H32" s="191" t="n">
        <f aca="false">IF(Utilidad!D29&gt;1,Utilidad!D29/100,Utilidad!D29)</f>
        <v>0</v>
      </c>
      <c r="J32" s="192" t="n">
        <f aca="false">+IF(C32&lt;&gt;0,(G32-C32)/C32,ABS(G32-C32))</f>
        <v>0</v>
      </c>
      <c r="K32" s="192" t="n">
        <f aca="false">+IF(D32&lt;&gt;0,(H32-D32)/D32,0)</f>
        <v>0</v>
      </c>
      <c r="L32" s="193"/>
      <c r="M32" s="194" t="n">
        <f aca="false">+IF(J32&lt;&gt;"",ABS(J32),0)</f>
        <v>0</v>
      </c>
      <c r="N32" s="194" t="n">
        <f aca="false">+IF(J32&lt;&gt;"",ABS(K32),0)</f>
        <v>0</v>
      </c>
    </row>
    <row r="33" customFormat="false" ht="17.35" hidden="false" customHeight="false" outlineLevel="0" collapsed="false">
      <c r="B33" s="189" t="s">
        <v>116</v>
      </c>
      <c r="C33" s="190" t="n">
        <f aca="false">Utilidad!A30</f>
        <v>0</v>
      </c>
      <c r="D33" s="191" t="n">
        <f aca="false">IF(Utilidad!C30&gt;1,Utilidad!C30/100,Utilidad!C30)</f>
        <v>0</v>
      </c>
      <c r="F33" s="189" t="s">
        <v>116</v>
      </c>
      <c r="G33" s="190" t="n">
        <f aca="false">Utilidad!B30</f>
        <v>0</v>
      </c>
      <c r="H33" s="191" t="n">
        <f aca="false">IF(Utilidad!D30&gt;1,Utilidad!D30/100,Utilidad!D30)</f>
        <v>0</v>
      </c>
      <c r="J33" s="192" t="n">
        <f aca="false">+IF(C33&lt;&gt;0,(G33-C33)/C33,ABS(G33-C33))</f>
        <v>0</v>
      </c>
      <c r="K33" s="192" t="n">
        <f aca="false">+IF(D33&lt;&gt;0,(H33-D33)/D33,0)</f>
        <v>0</v>
      </c>
      <c r="L33" s="193"/>
      <c r="M33" s="194" t="n">
        <f aca="false">+IF(J33&lt;&gt;"",ABS(J33),0)</f>
        <v>0</v>
      </c>
      <c r="N33" s="194" t="n">
        <f aca="false">+IF(J33&lt;&gt;"",ABS(K33),0)</f>
        <v>0</v>
      </c>
    </row>
    <row r="34" customFormat="false" ht="17.35" hidden="false" customHeight="false" outlineLevel="0" collapsed="false">
      <c r="B34" s="189" t="s">
        <v>117</v>
      </c>
      <c r="C34" s="190" t="n">
        <f aca="false">Utilidad!A31</f>
        <v>0</v>
      </c>
      <c r="D34" s="191" t="n">
        <f aca="false">IF(Utilidad!C31&gt;1,Utilidad!C31/100,Utilidad!C31)</f>
        <v>0</v>
      </c>
      <c r="F34" s="189" t="s">
        <v>117</v>
      </c>
      <c r="G34" s="190" t="n">
        <f aca="false">Utilidad!B31</f>
        <v>0</v>
      </c>
      <c r="H34" s="191" t="n">
        <f aca="false">IF(Utilidad!D31&gt;1,Utilidad!D31/100,Utilidad!D31)</f>
        <v>0</v>
      </c>
      <c r="J34" s="192" t="n">
        <f aca="false">+IF(C34&lt;&gt;0,(G34-C34)/C34,ABS(G34-C34))</f>
        <v>0</v>
      </c>
      <c r="K34" s="192" t="n">
        <f aca="false">+IF(D34&lt;&gt;0,(H34-D34)/D34,0)</f>
        <v>0</v>
      </c>
      <c r="L34" s="193"/>
      <c r="M34" s="194" t="n">
        <f aca="false">+IF(J34&lt;&gt;"",ABS(J34),0)</f>
        <v>0</v>
      </c>
      <c r="N34" s="194" t="n">
        <f aca="false">+IF(J34&lt;&gt;"",ABS(K34),0)</f>
        <v>0</v>
      </c>
    </row>
  </sheetData>
  <mergeCells count="3">
    <mergeCell ref="B2:D2"/>
    <mergeCell ref="F2:H2"/>
    <mergeCell ref="J2:K2"/>
  </mergeCells>
  <conditionalFormatting sqref="J4:K34 L4:L34">
    <cfRule type="expression" priority="2" aboveAverage="0" equalAverage="0" bottom="0" percent="0" rank="0" text="" dxfId="5">
      <formula>ABS(J4)&gt;=10%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true"/>
  </sheetPr>
  <dimension ref="B1:AG103"/>
  <sheetViews>
    <sheetView showFormulas="false" showGridLines="false" showRowColHeaders="true" showZeros="true" rightToLeft="false" tabSelected="false" showOutlineSymbols="true" defaultGridColor="true" view="normal" topLeftCell="L48" colorId="64" zoomScale="85" zoomScaleNormal="85" zoomScalePageLayoutView="100" workbookViewId="0">
      <selection pane="topLeft" activeCell="L50" activeCellId="0" sqref="L50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95" width="4.86"/>
    <col collapsed="false" customWidth="true" hidden="false" outlineLevel="0" max="5" min="5" style="95" width="16"/>
    <col collapsed="false" customWidth="true" hidden="false" outlineLevel="0" max="7" min="7" style="95" width="18"/>
    <col collapsed="false" customWidth="true" hidden="false" outlineLevel="0" max="8" min="8" style="95" width="14.86"/>
    <col collapsed="false" customWidth="true" hidden="false" outlineLevel="0" max="9" min="9" style="95" width="26.86"/>
    <col collapsed="false" customWidth="true" hidden="false" outlineLevel="0" max="10" min="10" style="95" width="17.29"/>
    <col collapsed="false" customWidth="true" hidden="false" outlineLevel="0" max="11" min="11" style="95" width="13.42"/>
    <col collapsed="false" customWidth="true" hidden="false" outlineLevel="0" max="12" min="12" style="95" width="16"/>
    <col collapsed="false" customWidth="true" hidden="false" outlineLevel="0" max="13" min="13" style="95" width="13.42"/>
    <col collapsed="false" customWidth="true" hidden="false" outlineLevel="0" max="14" min="14" style="95" width="13.86"/>
    <col collapsed="false" customWidth="true" hidden="false" outlineLevel="0" max="15" min="15" style="95" width="18.14"/>
    <col collapsed="false" customWidth="true" hidden="false" outlineLevel="0" max="16" min="16" style="95" width="13.71"/>
    <col collapsed="false" customWidth="true" hidden="false" outlineLevel="0" max="18" min="18" style="95" width="7.29"/>
    <col collapsed="false" customWidth="true" hidden="false" outlineLevel="0" max="19" min="19" style="95" width="23.29"/>
    <col collapsed="false" customWidth="true" hidden="false" outlineLevel="0" max="20" min="20" style="95" width="5.57"/>
    <col collapsed="false" customWidth="true" hidden="false" outlineLevel="0" max="24" min="24" style="95" width="26.42"/>
  </cols>
  <sheetData>
    <row r="1" customFormat="false" ht="15" hidden="false" customHeight="false" outlineLevel="0" collapsed="false">
      <c r="P1" s="195"/>
    </row>
    <row r="2" customFormat="false" ht="15" hidden="false" customHeight="false" outlineLevel="0" collapsed="false">
      <c r="B2" s="196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Q2" s="197"/>
      <c r="R2" s="197"/>
      <c r="S2" s="197"/>
      <c r="T2" s="198"/>
    </row>
    <row r="3" customFormat="false" ht="17.35" hidden="false" customHeight="false" outlineLevel="0" collapsed="false">
      <c r="B3" s="199"/>
      <c r="J3" s="200" t="s">
        <v>118</v>
      </c>
      <c r="K3" s="201" t="n">
        <f aca="false">+I6/(1-'Datos Extra'!E13)</f>
        <v>448636</v>
      </c>
      <c r="L3" s="95" t="n">
        <f aca="false">+K4/K3</f>
        <v>1.42964006455122</v>
      </c>
      <c r="T3" s="202"/>
      <c r="X3" s="203"/>
      <c r="Y3" s="204"/>
      <c r="Z3" s="203"/>
      <c r="AA3" s="203"/>
    </row>
    <row r="4" customFormat="false" ht="17.35" hidden="false" customHeight="false" outlineLevel="0" collapsed="false">
      <c r="B4" s="199"/>
      <c r="J4" s="95" t="s">
        <v>119</v>
      </c>
      <c r="K4" s="201" t="n">
        <v>641388</v>
      </c>
      <c r="L4" s="95" t="n">
        <f aca="false">1-L3</f>
        <v>-0.429640064551217</v>
      </c>
      <c r="T4" s="202"/>
      <c r="X4" s="203"/>
      <c r="Y4" s="204"/>
      <c r="Z4" s="203"/>
      <c r="AA4" s="203"/>
    </row>
    <row r="5" customFormat="false" ht="15" hidden="false" customHeight="false" outlineLevel="0" collapsed="false">
      <c r="B5" s="199"/>
      <c r="K5" s="123" t="n">
        <f aca="false">+K3-K4</f>
        <v>-192752</v>
      </c>
      <c r="P5" s="95" t="s">
        <v>120</v>
      </c>
      <c r="S5" s="205" t="n">
        <f aca="false">J19</f>
        <v>26777.68126</v>
      </c>
      <c r="T5" s="202"/>
    </row>
    <row r="6" customFormat="false" ht="15" hidden="false" customHeight="false" outlineLevel="0" collapsed="false">
      <c r="B6" s="199"/>
      <c r="F6" s="206" t="n">
        <f aca="false">+Utilidad!M41</f>
        <v>0</v>
      </c>
      <c r="I6" s="207" t="n">
        <f aca="false">+Utilidad!M40+W7</f>
        <v>443431.8224</v>
      </c>
      <c r="T6" s="202"/>
    </row>
    <row r="7" customFormat="false" ht="15" hidden="false" customHeight="false" outlineLevel="0" collapsed="false">
      <c r="B7" s="199"/>
      <c r="E7" s="208" t="n">
        <f aca="false">+-C8+D16-F6</f>
        <v>-20101.562675</v>
      </c>
      <c r="F7" s="209" t="n">
        <f aca="false">+Utilidad!N41</f>
        <v>0</v>
      </c>
      <c r="I7" s="210" t="n">
        <f aca="false">+Utilidad!N40</f>
        <v>0.509697</v>
      </c>
      <c r="P7" s="95" t="s">
        <v>121</v>
      </c>
      <c r="S7" s="205" t="n">
        <v>42709</v>
      </c>
      <c r="T7" s="202"/>
    </row>
    <row r="8" customFormat="false" ht="15" hidden="false" customHeight="false" outlineLevel="0" collapsed="false">
      <c r="B8" s="199"/>
      <c r="C8" s="207" t="n">
        <f aca="false">+Utilidad!M42</f>
        <v>35392.020746</v>
      </c>
      <c r="E8" s="210" t="n">
        <f aca="false">+E9/E7</f>
        <v>0.611907165367458</v>
      </c>
      <c r="F8" s="211" t="n">
        <f aca="false">+Utilidad!O41</f>
        <v>0</v>
      </c>
      <c r="I8" s="212" t="n">
        <f aca="false">+Utilidad!O40+W8</f>
        <v>226015.869581813</v>
      </c>
      <c r="P8" s="95" t="s">
        <v>122</v>
      </c>
      <c r="S8" s="205" t="n">
        <f aca="false">+S7+S5</f>
        <v>69486.68126</v>
      </c>
      <c r="T8" s="202"/>
    </row>
    <row r="9" customFormat="false" ht="15" hidden="false" customHeight="false" outlineLevel="0" collapsed="false">
      <c r="B9" s="199"/>
      <c r="C9" s="210" t="n">
        <f aca="false">+Utilidad!N42</f>
        <v>0.60974740327</v>
      </c>
      <c r="E9" s="208" t="n">
        <f aca="false">+-C10+D18-F8</f>
        <v>-12300.2902359155</v>
      </c>
      <c r="T9" s="202"/>
    </row>
    <row r="10" customFormat="false" ht="15" hidden="false" customHeight="false" outlineLevel="0" collapsed="false">
      <c r="B10" s="199"/>
      <c r="C10" s="212" t="n">
        <f aca="false">+Utilidad!O42</f>
        <v>21580.1927463515</v>
      </c>
      <c r="E10" s="208"/>
      <c r="T10" s="202"/>
    </row>
    <row r="11" customFormat="false" ht="15" hidden="false" customHeight="false" outlineLevel="0" collapsed="false">
      <c r="B11" s="199"/>
      <c r="J11" s="207" t="n">
        <f aca="false">+Utilidad!M46+W7</f>
        <v>443431.8224</v>
      </c>
      <c r="T11" s="202"/>
    </row>
    <row r="12" customFormat="false" ht="15" hidden="false" customHeight="false" outlineLevel="0" collapsed="false">
      <c r="B12" s="199"/>
      <c r="H12" s="207" t="n">
        <f aca="false">+Utilidad!M44+W7</f>
        <v>443431.8224</v>
      </c>
      <c r="J12" s="210" t="n">
        <f aca="false">+Utilidad!N46</f>
        <v>0.509697</v>
      </c>
      <c r="T12" s="202"/>
      <c r="X12" s="129"/>
    </row>
    <row r="13" customFormat="false" ht="15" hidden="false" customHeight="false" outlineLevel="0" collapsed="false">
      <c r="B13" s="199"/>
      <c r="H13" s="210" t="n">
        <f aca="false">+Utilidad!N44</f>
        <v>0.509697</v>
      </c>
      <c r="J13" s="212" t="n">
        <f aca="false">+Utilidad!O46+W8</f>
        <v>226015.869581813</v>
      </c>
      <c r="K13" s="123"/>
      <c r="T13" s="202"/>
      <c r="X13" s="213"/>
    </row>
    <row r="14" customFormat="false" ht="15" hidden="false" customHeight="false" outlineLevel="0" collapsed="false">
      <c r="B14" s="199"/>
      <c r="H14" s="212" t="n">
        <f aca="false">+Utilidad!O44+W8</f>
        <v>226015.869581813</v>
      </c>
      <c r="K14" s="123"/>
      <c r="T14" s="202"/>
    </row>
    <row r="15" customFormat="false" ht="15" hidden="false" customHeight="false" outlineLevel="0" collapsed="false">
      <c r="B15" s="199"/>
      <c r="M15" s="206" t="n">
        <f aca="false">+Utilidad!M54</f>
        <v>18816.826111</v>
      </c>
      <c r="T15" s="202"/>
    </row>
    <row r="16" customFormat="false" ht="15" hidden="false" customHeight="false" outlineLevel="0" collapsed="false">
      <c r="B16" s="199"/>
      <c r="D16" s="206" t="n">
        <f aca="false">+Utilidad!M49</f>
        <v>15290.458071</v>
      </c>
      <c r="M16" s="209" t="n">
        <f aca="false">+Utilidad!N54</f>
        <v>0.22521766</v>
      </c>
      <c r="T16" s="202"/>
      <c r="U16" s="141"/>
    </row>
    <row r="17" customFormat="false" ht="15" hidden="false" customHeight="false" outlineLevel="0" collapsed="false">
      <c r="B17" s="199"/>
      <c r="D17" s="209" t="n">
        <f aca="false">+Utilidad!N49</f>
        <v>0.6069080774</v>
      </c>
      <c r="M17" s="211" t="n">
        <f aca="false">+Utilidad!O54</f>
        <v>4237.88154534632</v>
      </c>
      <c r="T17" s="202"/>
      <c r="U17" s="141"/>
    </row>
    <row r="18" customFormat="false" ht="15" hidden="false" customHeight="false" outlineLevel="0" collapsed="false">
      <c r="B18" s="199"/>
      <c r="D18" s="211" t="n">
        <f aca="false">+Utilidad!O49</f>
        <v>9279.90251043592</v>
      </c>
      <c r="R18" s="123" t="n">
        <f aca="false">P24+M32-O35-S30</f>
        <v>2.59333319263533E-007</v>
      </c>
      <c r="T18" s="202"/>
      <c r="Z18" s="214"/>
      <c r="AA18" s="214"/>
    </row>
    <row r="19" customFormat="false" ht="15" hidden="false" customHeight="false" outlineLevel="0" collapsed="false">
      <c r="B19" s="199"/>
      <c r="H19" s="207"/>
      <c r="J19" s="208" t="n">
        <f aca="false">+J11-K20</f>
        <v>26777.68126</v>
      </c>
      <c r="K19" s="123"/>
      <c r="T19" s="202"/>
      <c r="Y19" s="123"/>
      <c r="Z19" s="214"/>
      <c r="AA19" s="214"/>
      <c r="AC19" s="123"/>
    </row>
    <row r="20" customFormat="false" ht="15" hidden="false" customHeight="false" outlineLevel="0" collapsed="false">
      <c r="B20" s="199"/>
      <c r="H20" s="210"/>
      <c r="J20" s="215"/>
      <c r="K20" s="207" t="n">
        <f aca="false">+Utilidad!M48</f>
        <v>416654.14114</v>
      </c>
      <c r="O20" s="208" t="n">
        <f aca="false">+M15-P22</f>
        <v>-36179.352</v>
      </c>
      <c r="T20" s="202"/>
      <c r="Z20" s="214"/>
      <c r="AA20" s="214"/>
      <c r="AC20" s="123"/>
    </row>
    <row r="21" customFormat="false" ht="15" hidden="false" customHeight="false" outlineLevel="0" collapsed="false">
      <c r="B21" s="199"/>
      <c r="H21" s="212"/>
      <c r="J21" s="216"/>
      <c r="K21" s="210" t="n">
        <f aca="false">+Utilidad!N48</f>
        <v>0.51006524434</v>
      </c>
      <c r="O21" s="210" t="n">
        <f aca="false">+O22/O20</f>
        <v>0.119999999999162</v>
      </c>
      <c r="T21" s="202"/>
    </row>
    <row r="22" customFormat="false" ht="15" hidden="false" customHeight="false" outlineLevel="0" collapsed="false">
      <c r="B22" s="217"/>
      <c r="K22" s="212" t="n">
        <f aca="false">+Utilidad!O48</f>
        <v>212520.796305847</v>
      </c>
      <c r="O22" s="208" t="n">
        <f aca="false">+M17-P24</f>
        <v>-4341.52223996968</v>
      </c>
      <c r="P22" s="206" t="n">
        <f aca="false">+Utilidad!M57</f>
        <v>54996.178111</v>
      </c>
      <c r="Q22" s="123" t="n">
        <f aca="false">+P22-L29</f>
        <v>54996.17811</v>
      </c>
      <c r="T22" s="202"/>
    </row>
    <row r="23" customFormat="false" ht="15" hidden="false" customHeight="false" outlineLevel="0" collapsed="false">
      <c r="B23" s="199"/>
      <c r="P23" s="209" t="n">
        <f aca="false">+Utilidad!N57</f>
        <v>0.156</v>
      </c>
      <c r="T23" s="202"/>
    </row>
    <row r="24" customFormat="false" ht="15" hidden="false" customHeight="false" outlineLevel="0" collapsed="false">
      <c r="B24" s="199"/>
      <c r="P24" s="211" t="n">
        <f aca="false">+Utilidad!O57</f>
        <v>8579.403785316</v>
      </c>
      <c r="T24" s="202"/>
    </row>
    <row r="25" customFormat="false" ht="15" hidden="false" customHeight="false" outlineLevel="0" collapsed="false">
      <c r="B25" s="199"/>
      <c r="I25" s="207" t="n">
        <f aca="false">+Utilidad!M52</f>
        <v>307241.37807</v>
      </c>
      <c r="L25" s="207" t="n">
        <f aca="false">+Utilidad!M53</f>
        <v>109412.76307</v>
      </c>
      <c r="S25" s="218" t="n">
        <f aca="false">S28+O33-P22-M30</f>
        <v>9.99993062578142E-007</v>
      </c>
      <c r="T25" s="202"/>
      <c r="AB25" s="123"/>
    </row>
    <row r="26" customFormat="false" ht="17.35" hidden="false" customHeight="false" outlineLevel="0" collapsed="false">
      <c r="B26" s="199"/>
      <c r="I26" s="210" t="n">
        <f aca="false">+Utilidad!N52</f>
        <v>0.60297908339</v>
      </c>
      <c r="L26" s="210" t="n">
        <f aca="false">Utilidad!N53</f>
        <v>0.24915440408</v>
      </c>
      <c r="N26" s="219"/>
      <c r="O26" s="220"/>
      <c r="T26" s="202"/>
    </row>
    <row r="27" customFormat="false" ht="15" hidden="false" customHeight="false" outlineLevel="0" collapsed="false">
      <c r="B27" s="199"/>
      <c r="G27" s="221" t="n">
        <f aca="false">+I25-C28-G36-D16+F45</f>
        <v>-13499.381096</v>
      </c>
      <c r="I27" s="212" t="n">
        <f aca="false">+Utilidad!O52</f>
        <v>185260.124528129</v>
      </c>
      <c r="J27" s="123"/>
      <c r="L27" s="212" t="n">
        <f aca="false">L25*L26</f>
        <v>27260.6717814521</v>
      </c>
      <c r="T27" s="202"/>
      <c r="AB27" s="123"/>
    </row>
    <row r="28" customFormat="false" ht="17.35" hidden="false" customHeight="false" outlineLevel="0" collapsed="false">
      <c r="B28" s="199"/>
      <c r="C28" s="207" t="n">
        <f aca="false">+Utilidad!M51</f>
        <v>30820.423275</v>
      </c>
      <c r="G28" s="210" t="n">
        <f aca="false">+G29/G27</f>
        <v>0.593195709514607</v>
      </c>
      <c r="I28" s="222"/>
      <c r="J28" s="223"/>
      <c r="L28" s="123"/>
      <c r="N28" s="220"/>
      <c r="S28" s="206" t="n">
        <f aca="false">+Utilidad!M59</f>
        <v>115335.11507</v>
      </c>
      <c r="T28" s="202"/>
      <c r="Z28" s="123"/>
      <c r="AA28" s="123"/>
      <c r="AB28" s="123"/>
    </row>
    <row r="29" customFormat="false" ht="15" hidden="false" customHeight="false" outlineLevel="0" collapsed="false">
      <c r="B29" s="199"/>
      <c r="C29" s="210" t="n">
        <f aca="false">+Utilidad!N51</f>
        <v>0.534454</v>
      </c>
      <c r="G29" s="221" t="n">
        <f aca="false">+I27-C30-G38-D18+F47</f>
        <v>-8007.7749472498</v>
      </c>
      <c r="I29" s="123"/>
      <c r="J29" s="223"/>
      <c r="L29" s="123" t="n">
        <f aca="false">+L25-L30</f>
        <v>9.99993062578142E-007</v>
      </c>
      <c r="S29" s="209" t="n">
        <f aca="false">+Utilidad!N59</f>
        <v>0.14938040633</v>
      </c>
      <c r="T29" s="202"/>
      <c r="Z29" s="123"/>
      <c r="AA29" s="123"/>
      <c r="AB29" s="123"/>
    </row>
    <row r="30" customFormat="false" ht="15" hidden="false" customHeight="false" outlineLevel="0" collapsed="false">
      <c r="B30" s="199"/>
      <c r="C30" s="212" t="n">
        <f aca="false">+Utilidad!O51</f>
        <v>16472.0985010169</v>
      </c>
      <c r="J30" s="223"/>
      <c r="K30" s="123"/>
      <c r="L30" s="123" t="n">
        <f aca="false">+M30+M15</f>
        <v>109412.763069</v>
      </c>
      <c r="M30" s="206" t="n">
        <f aca="false">+Utilidad!M55</f>
        <v>90595.936958</v>
      </c>
      <c r="S30" s="211" t="n">
        <f aca="false">+Utilidad!O59</f>
        <v>17228.8063532739</v>
      </c>
      <c r="T30" s="202"/>
      <c r="Z30" s="123"/>
      <c r="AA30" s="123"/>
      <c r="AB30" s="123"/>
    </row>
    <row r="31" customFormat="false" ht="15" hidden="false" customHeight="false" outlineLevel="0" collapsed="false">
      <c r="B31" s="199"/>
      <c r="H31" s="123"/>
      <c r="L31" s="123" t="n">
        <f aca="false">+M30+L29</f>
        <v>90595.936959</v>
      </c>
      <c r="M31" s="209" t="n">
        <f aca="false">+Utilidad!N55</f>
        <v>0.25412607905</v>
      </c>
      <c r="T31" s="202"/>
    </row>
    <row r="32" customFormat="false" ht="15" hidden="false" customHeight="false" outlineLevel="0" collapsed="false">
      <c r="B32" s="199"/>
      <c r="H32" s="123"/>
      <c r="I32" s="224" t="n">
        <f aca="false">(I27-K22)/L25</f>
        <v>-0.249154404045871</v>
      </c>
      <c r="K32" s="200" t="s">
        <v>123</v>
      </c>
      <c r="M32" s="211" t="n">
        <f aca="false">+Utilidad!O55</f>
        <v>23022.7902369975</v>
      </c>
      <c r="T32" s="202"/>
    </row>
    <row r="33" customFormat="false" ht="17.35" hidden="false" customHeight="false" outlineLevel="0" collapsed="false">
      <c r="B33" s="199"/>
      <c r="I33" s="141"/>
      <c r="K33" s="123" t="n">
        <f aca="false">+K34/(1-'Datos Extra'!E14)</f>
        <v>147345.526838377</v>
      </c>
      <c r="O33" s="206" t="n">
        <f aca="false">+Utilidad!M60</f>
        <v>30257</v>
      </c>
      <c r="P33" s="220"/>
      <c r="T33" s="202"/>
      <c r="V33" s="123"/>
    </row>
    <row r="34" customFormat="false" ht="15" hidden="false" customHeight="false" outlineLevel="0" collapsed="false">
      <c r="B34" s="199"/>
      <c r="I34" s="218" t="n">
        <f aca="false">(I27+L27-K22)/L25</f>
        <v>3.41294376067682E-011</v>
      </c>
      <c r="K34" s="123" t="n">
        <f aca="false">+M30+P22</f>
        <v>145592.115069</v>
      </c>
      <c r="O34" s="209" t="n">
        <f aca="false">+Utilidad!N60</f>
        <v>0.47504338397</v>
      </c>
      <c r="T34" s="202"/>
    </row>
    <row r="35" customFormat="false" ht="15" hidden="false" customHeight="false" outlineLevel="0" collapsed="false">
      <c r="B35" s="199"/>
      <c r="K35" s="225" t="n">
        <f aca="false">+K36/K34</f>
        <v>0.217059790685343</v>
      </c>
      <c r="O35" s="211" t="n">
        <f aca="false">+Utilidad!O60</f>
        <v>14373.3876687803</v>
      </c>
      <c r="T35" s="202"/>
    </row>
    <row r="36" customFormat="false" ht="15" hidden="false" customHeight="false" outlineLevel="0" collapsed="false">
      <c r="B36" s="199"/>
      <c r="G36" s="206" t="n">
        <f aca="false">+Utilidad!M63</f>
        <v>303662.08092</v>
      </c>
      <c r="K36" s="123" t="n">
        <f aca="false">+M32+P24</f>
        <v>31602.1940223135</v>
      </c>
      <c r="S36" s="206" t="n">
        <f aca="false">+Utilidad!M62</f>
        <v>32379.3855</v>
      </c>
      <c r="T36" s="202"/>
    </row>
    <row r="37" customFormat="false" ht="15" hidden="false" customHeight="false" outlineLevel="0" collapsed="false">
      <c r="B37" s="199"/>
      <c r="G37" s="209" t="n">
        <f aca="false">+Utilidad!N63</f>
        <v>0.609724</v>
      </c>
      <c r="S37" s="209" t="n">
        <f aca="false">+Utilidad!N62</f>
        <v>0.476828</v>
      </c>
      <c r="T37" s="202"/>
    </row>
    <row r="38" customFormat="false" ht="15" hidden="false" customHeight="false" outlineLevel="0" collapsed="false">
      <c r="B38" s="199"/>
      <c r="G38" s="211" t="n">
        <f aca="false">+Utilidad!O63</f>
        <v>185150.058626866</v>
      </c>
      <c r="J38" s="123" t="n">
        <f aca="false">I27+L27-K22</f>
        <v>3.73419607058167E-006</v>
      </c>
      <c r="S38" s="211" t="n">
        <f aca="false">+Utilidad!O62</f>
        <v>15439.397629194</v>
      </c>
      <c r="T38" s="202"/>
    </row>
    <row r="39" customFormat="false" ht="15" hidden="false" customHeight="false" outlineLevel="0" collapsed="false">
      <c r="B39" s="199"/>
      <c r="T39" s="202"/>
    </row>
    <row r="40" customFormat="false" ht="15" hidden="false" customHeight="false" outlineLevel="0" collapsed="false">
      <c r="B40" s="199"/>
      <c r="C40" s="226"/>
      <c r="D40" s="226"/>
      <c r="P40" s="227" t="n">
        <f aca="false">+Utilidad!M61</f>
        <v>-2122.3855</v>
      </c>
      <c r="T40" s="202"/>
    </row>
    <row r="41" customFormat="false" ht="15" hidden="false" customHeight="false" outlineLevel="0" collapsed="false">
      <c r="B41" s="199"/>
      <c r="C41" s="228"/>
      <c r="D41" s="228"/>
      <c r="K41" s="123" t="n">
        <f aca="false">K22-L27-I27</f>
        <v>-3.73419607058167E-006</v>
      </c>
      <c r="P41" s="209" t="n">
        <f aca="false">+P42/P40</f>
        <v>0.50226971507</v>
      </c>
      <c r="T41" s="202"/>
    </row>
    <row r="42" customFormat="false" ht="15" hidden="false" customHeight="false" outlineLevel="0" collapsed="false">
      <c r="B42" s="199"/>
      <c r="C42" s="129"/>
      <c r="D42" s="129"/>
      <c r="P42" s="211" t="n">
        <f aca="false">+Utilidad!O61</f>
        <v>-1066.0099603537</v>
      </c>
      <c r="T42" s="202"/>
    </row>
    <row r="43" customFormat="false" ht="15" hidden="false" customHeight="false" outlineLevel="0" collapsed="false">
      <c r="B43" s="199"/>
      <c r="I43" s="209"/>
      <c r="P43" s="208"/>
      <c r="T43" s="202"/>
    </row>
    <row r="44" customFormat="false" ht="15" hidden="false" customHeight="false" outlineLevel="0" collapsed="false">
      <c r="B44" s="199"/>
      <c r="E44" s="95" t="s">
        <v>121</v>
      </c>
      <c r="F44" s="95" t="n">
        <v>29287</v>
      </c>
      <c r="H44" s="229" t="s">
        <v>124</v>
      </c>
      <c r="I44" s="230" t="n">
        <v>42000</v>
      </c>
      <c r="P44" s="208"/>
      <c r="R44" s="231" t="s">
        <v>125</v>
      </c>
      <c r="S44" s="230" t="n">
        <v>2218</v>
      </c>
      <c r="T44" s="202"/>
    </row>
    <row r="45" customFormat="false" ht="15" hidden="false" customHeight="false" outlineLevel="0" collapsed="false">
      <c r="B45" s="199"/>
      <c r="F45" s="206" t="n">
        <f aca="false">+F44*(1-0.0087)</f>
        <v>29032.2031</v>
      </c>
      <c r="H45" s="229" t="s">
        <v>126</v>
      </c>
      <c r="I45" s="232" t="n">
        <f aca="false">+I44+G27</f>
        <v>28500.618904</v>
      </c>
      <c r="P45" s="208"/>
      <c r="R45" s="231" t="s">
        <v>127</v>
      </c>
      <c r="S45" s="232" t="n">
        <f aca="false">+S44+P40</f>
        <v>95.6145000000001</v>
      </c>
      <c r="T45" s="202"/>
    </row>
    <row r="46" customFormat="false" ht="19.7" hidden="false" customHeight="false" outlineLevel="0" collapsed="false">
      <c r="B46" s="199"/>
      <c r="F46" s="209" t="n">
        <v>0.6074</v>
      </c>
      <c r="P46" s="208"/>
      <c r="T46" s="202"/>
      <c r="AE46" s="233"/>
      <c r="AF46" s="233"/>
      <c r="AG46" s="233"/>
    </row>
    <row r="47" customFormat="false" ht="19.7" hidden="false" customHeight="false" outlineLevel="0" collapsed="false">
      <c r="B47" s="199"/>
      <c r="F47" s="211" t="n">
        <f aca="false">+F45*F46</f>
        <v>17634.16016294</v>
      </c>
      <c r="P47" s="208"/>
      <c r="T47" s="202"/>
      <c r="AE47" s="233"/>
      <c r="AF47" s="233"/>
      <c r="AG47" s="233"/>
    </row>
    <row r="48" customFormat="false" ht="19.7" hidden="false" customHeight="false" outlineLevel="0" collapsed="false">
      <c r="B48" s="199"/>
      <c r="P48" s="208"/>
      <c r="T48" s="202"/>
      <c r="AE48" s="233"/>
      <c r="AF48" s="233"/>
      <c r="AG48" s="233"/>
    </row>
    <row r="49" customFormat="false" ht="19.7" hidden="false" customHeight="false" outlineLevel="0" collapsed="false">
      <c r="B49" s="199"/>
      <c r="M49" s="207"/>
      <c r="O49" s="207"/>
      <c r="P49" s="208"/>
      <c r="S49" s="206"/>
      <c r="T49" s="202"/>
      <c r="AE49" s="233"/>
      <c r="AF49" s="233"/>
      <c r="AG49" s="233"/>
    </row>
    <row r="50" customFormat="false" ht="19.7" hidden="false" customHeight="false" outlineLevel="0" collapsed="false">
      <c r="B50" s="199"/>
      <c r="I50" s="209"/>
      <c r="M50" s="210"/>
      <c r="O50" s="210"/>
      <c r="P50" s="208"/>
      <c r="S50" s="209"/>
      <c r="T50" s="202"/>
      <c r="AE50" s="233"/>
      <c r="AF50" s="234"/>
      <c r="AG50" s="233"/>
    </row>
    <row r="51" customFormat="false" ht="19.7" hidden="false" customHeight="false" outlineLevel="0" collapsed="false">
      <c r="B51" s="199"/>
      <c r="I51" s="211"/>
      <c r="M51" s="211"/>
      <c r="N51" s="208"/>
      <c r="O51" s="211"/>
      <c r="P51" s="208"/>
      <c r="S51" s="211"/>
      <c r="T51" s="202"/>
      <c r="Y51" s="207"/>
      <c r="Z51" s="207"/>
      <c r="AE51" s="233"/>
      <c r="AF51" s="235"/>
      <c r="AG51" s="233"/>
    </row>
    <row r="52" customFormat="false" ht="19.7" hidden="false" customHeight="false" outlineLevel="0" collapsed="false">
      <c r="B52" s="199"/>
      <c r="N52" s="236"/>
      <c r="T52" s="202"/>
      <c r="Y52" s="210"/>
      <c r="Z52" s="210"/>
      <c r="AE52" s="233"/>
      <c r="AF52" s="233"/>
      <c r="AG52" s="233"/>
    </row>
    <row r="53" customFormat="false" ht="19.7" hidden="false" customHeight="false" outlineLevel="0" collapsed="false">
      <c r="B53" s="199"/>
      <c r="N53" s="211"/>
      <c r="P53" s="237" t="s">
        <v>128</v>
      </c>
      <c r="Q53" s="237"/>
      <c r="R53" s="237" t="s">
        <v>129</v>
      </c>
      <c r="S53" s="237"/>
      <c r="T53" s="202"/>
      <c r="Y53" s="212"/>
      <c r="Z53" s="212"/>
      <c r="AE53" s="233"/>
      <c r="AF53" s="233"/>
      <c r="AG53" s="233"/>
    </row>
    <row r="54" customFormat="false" ht="19.7" hidden="false" customHeight="false" outlineLevel="0" collapsed="false">
      <c r="B54" s="199"/>
      <c r="L54" s="206"/>
      <c r="N54" s="123"/>
      <c r="P54" s="238" t="s">
        <v>130</v>
      </c>
      <c r="Q54" s="239" t="n">
        <f aca="false">+I25/K20</f>
        <v>0.737401474588402</v>
      </c>
      <c r="R54" s="238" t="s">
        <v>130</v>
      </c>
      <c r="S54" s="239" t="n">
        <f aca="false">+I42/K20</f>
        <v>0</v>
      </c>
      <c r="T54" s="202"/>
      <c r="AE54" s="233"/>
      <c r="AF54" s="233"/>
      <c r="AG54" s="233"/>
    </row>
    <row r="55" customFormat="false" ht="19.7" hidden="false" customHeight="false" outlineLevel="0" collapsed="false">
      <c r="B55" s="199"/>
      <c r="L55" s="209"/>
      <c r="P55" s="238" t="s">
        <v>131</v>
      </c>
      <c r="Q55" s="239" t="n">
        <f aca="false">+I27/K22</f>
        <v>0.87172703918121</v>
      </c>
      <c r="R55" s="238" t="s">
        <v>131</v>
      </c>
      <c r="S55" s="239" t="n">
        <f aca="false">++I44/K22</f>
        <v>0.197627717993095</v>
      </c>
      <c r="T55" s="202"/>
      <c r="AE55" s="233"/>
      <c r="AF55" s="233"/>
      <c r="AG55" s="233"/>
    </row>
    <row r="56" customFormat="false" ht="19.7" hidden="false" customHeight="false" outlineLevel="0" collapsed="false">
      <c r="B56" s="199"/>
      <c r="L56" s="211"/>
      <c r="P56" s="237" t="s">
        <v>132</v>
      </c>
      <c r="Q56" s="237"/>
      <c r="R56" s="237" t="s">
        <v>132</v>
      </c>
      <c r="S56" s="237"/>
      <c r="T56" s="202"/>
      <c r="AE56" s="233"/>
      <c r="AF56" s="233"/>
    </row>
    <row r="57" customFormat="false" ht="15" hidden="false" customHeight="false" outlineLevel="0" collapsed="false">
      <c r="B57" s="199"/>
      <c r="E57" s="209"/>
      <c r="P57" s="238" t="s">
        <v>130</v>
      </c>
      <c r="Q57" s="239" t="n">
        <f aca="false">+(M49+O33)/(P22+M30+I49)</f>
        <v>0.207820320390705</v>
      </c>
      <c r="R57" s="238" t="s">
        <v>130</v>
      </c>
      <c r="S57" s="239" t="n">
        <f aca="false">+(M49+O33)/(P22+M30+I49)</f>
        <v>0.207820320390705</v>
      </c>
      <c r="T57" s="202"/>
      <c r="AG57" s="123"/>
    </row>
    <row r="58" customFormat="false" ht="15" hidden="false" customHeight="false" outlineLevel="0" collapsed="false">
      <c r="B58" s="199"/>
      <c r="P58" s="238" t="s">
        <v>131</v>
      </c>
      <c r="Q58" s="239" t="n">
        <f aca="false">+(M51+O35)/(P24+M32+I51)</f>
        <v>0.454822461333906</v>
      </c>
      <c r="R58" s="238" t="s">
        <v>131</v>
      </c>
      <c r="S58" s="239" t="n">
        <f aca="false">(M51+O35)/(P24+M32+I51)</f>
        <v>0.454822461333906</v>
      </c>
      <c r="T58" s="202"/>
      <c r="AG58" s="123"/>
    </row>
    <row r="59" customFormat="false" ht="15" hidden="false" customHeight="false" outlineLevel="0" collapsed="false">
      <c r="B59" s="199"/>
      <c r="P59" s="240" t="s">
        <v>133</v>
      </c>
      <c r="Q59" s="240"/>
      <c r="R59" s="240" t="s">
        <v>133</v>
      </c>
      <c r="S59" s="240"/>
      <c r="T59" s="202"/>
    </row>
    <row r="60" customFormat="false" ht="15" hidden="false" customHeight="false" outlineLevel="0" collapsed="false">
      <c r="B60" s="199"/>
      <c r="P60" s="238" t="s">
        <v>130</v>
      </c>
      <c r="Q60" s="239" t="n">
        <f aca="false">+(O33+I25+M49)/(K20+(M30+P22-(L25-M15)+I49))</f>
        <v>0.715569065248756</v>
      </c>
      <c r="R60" s="238" t="s">
        <v>130</v>
      </c>
      <c r="S60" s="239" t="n">
        <f aca="false">+(O33+I42+M49)/(K20+(M30+P22-(L25-M15)+I49))</f>
        <v>0.0641513400184134</v>
      </c>
      <c r="T60" s="202"/>
    </row>
    <row r="61" customFormat="false" ht="15" hidden="false" customHeight="false" outlineLevel="0" collapsed="false">
      <c r="B61" s="199"/>
      <c r="P61" s="238" t="s">
        <v>131</v>
      </c>
      <c r="Q61" s="239" t="n">
        <f aca="false">+(O35+I27+M51)/(K22+(M32+P24-(L27-M17)+I51))</f>
        <v>0.902909685806672</v>
      </c>
      <c r="R61" s="238" t="s">
        <v>131</v>
      </c>
      <c r="S61" s="239" t="n">
        <f aca="false">+(O35+I44+M51)/(K22+(M32+P24-(L27-M17)+I51))</f>
        <v>0.254967601319715</v>
      </c>
      <c r="T61" s="202"/>
    </row>
    <row r="62" customFormat="false" ht="15" hidden="false" customHeight="false" outlineLevel="0" collapsed="false">
      <c r="B62" s="199"/>
      <c r="P62" s="208"/>
      <c r="T62" s="202"/>
    </row>
    <row r="63" customFormat="false" ht="15" hidden="false" customHeight="false" outlineLevel="0" collapsed="false">
      <c r="B63" s="199"/>
      <c r="T63" s="202"/>
    </row>
    <row r="64" customFormat="false" ht="15" hidden="false" customHeight="false" outlineLevel="0" collapsed="false">
      <c r="B64" s="241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242"/>
    </row>
    <row r="65" customFormat="false" ht="15" hidden="false" customHeight="false" outlineLevel="0" collapsed="false">
      <c r="E65" s="243" t="s">
        <v>134</v>
      </c>
    </row>
    <row r="66" customFormat="false" ht="31.5" hidden="false" customHeight="true" outlineLevel="0" collapsed="false">
      <c r="E66" s="244" t="s">
        <v>10</v>
      </c>
      <c r="F66" s="244"/>
      <c r="G66" s="244"/>
      <c r="H66" s="245" t="s">
        <v>135</v>
      </c>
      <c r="I66" s="245"/>
      <c r="J66" s="245"/>
      <c r="K66" s="246" t="s">
        <v>136</v>
      </c>
      <c r="L66" s="246"/>
      <c r="M66" s="246"/>
      <c r="N66" s="246"/>
    </row>
    <row r="67" customFormat="false" ht="15" hidden="false" customHeight="false" outlineLevel="0" collapsed="false">
      <c r="E67" s="229" t="s">
        <v>137</v>
      </c>
      <c r="F67" s="229"/>
      <c r="G67" s="114" t="n">
        <f aca="false">+I6</f>
        <v>443431.8224</v>
      </c>
      <c r="H67" s="247" t="s">
        <v>138</v>
      </c>
      <c r="I67" s="247"/>
      <c r="J67" s="114" t="n">
        <f aca="false">+Utilidad!M43</f>
        <v>-20101.562675</v>
      </c>
      <c r="K67" s="247" t="s">
        <v>139</v>
      </c>
      <c r="L67" s="247"/>
      <c r="M67" s="247"/>
      <c r="N67" s="114" t="n">
        <f aca="false">+C8</f>
        <v>35392.020746</v>
      </c>
    </row>
    <row r="68" customFormat="false" ht="15" hidden="false" customHeight="false" outlineLevel="0" collapsed="false">
      <c r="E68" s="248" t="s">
        <v>140</v>
      </c>
      <c r="F68" s="248"/>
      <c r="G68" s="114" t="n">
        <f aca="false">+I49</f>
        <v>0</v>
      </c>
      <c r="H68" s="247" t="s">
        <v>141</v>
      </c>
      <c r="I68" s="247"/>
      <c r="J68" s="114" t="n">
        <f aca="false">Utilidad!M47</f>
        <v>26777.681263</v>
      </c>
      <c r="K68" s="247" t="s">
        <v>142</v>
      </c>
      <c r="L68" s="247"/>
      <c r="M68" s="247"/>
      <c r="N68" s="114" t="n">
        <f aca="false">+C28</f>
        <v>30820.423275</v>
      </c>
    </row>
    <row r="69" customFormat="false" ht="15" hidden="false" customHeight="false" outlineLevel="0" collapsed="false">
      <c r="E69" s="249"/>
      <c r="F69" s="249"/>
      <c r="G69" s="229"/>
      <c r="H69" s="247" t="s">
        <v>143</v>
      </c>
      <c r="I69" s="247"/>
      <c r="J69" s="114" t="n">
        <f aca="false">+Utilidad!M50</f>
        <v>-42531.584192</v>
      </c>
      <c r="K69" s="247" t="s">
        <v>144</v>
      </c>
      <c r="L69" s="247"/>
      <c r="M69" s="247"/>
      <c r="N69" s="114" t="n">
        <f aca="false">+G36</f>
        <v>303662.08092</v>
      </c>
    </row>
    <row r="70" customFormat="false" ht="15" hidden="false" customHeight="false" outlineLevel="0" collapsed="false">
      <c r="E70" s="250"/>
      <c r="F70" s="251"/>
      <c r="G70" s="229"/>
      <c r="H70" s="247" t="s">
        <v>145</v>
      </c>
      <c r="I70" s="247"/>
      <c r="J70" s="114" t="n">
        <f aca="false">+Utilidad!M56</f>
        <v>-36179.352</v>
      </c>
      <c r="K70" s="247" t="s">
        <v>146</v>
      </c>
      <c r="L70" s="247"/>
      <c r="M70" s="247"/>
      <c r="N70" s="114" t="n">
        <f aca="false">+S36</f>
        <v>32379.3855</v>
      </c>
    </row>
    <row r="71" customFormat="false" ht="15" hidden="false" customHeight="false" outlineLevel="0" collapsed="false">
      <c r="E71" s="250"/>
      <c r="F71" s="251"/>
      <c r="G71" s="229"/>
      <c r="H71" s="247" t="s">
        <v>147</v>
      </c>
      <c r="I71" s="247"/>
      <c r="J71" s="114" t="n">
        <f aca="false">+Utilidad!M61</f>
        <v>-2122.3855</v>
      </c>
      <c r="K71" s="247" t="s">
        <v>148</v>
      </c>
      <c r="L71" s="247"/>
      <c r="M71" s="247"/>
      <c r="N71" s="114" t="n">
        <f aca="false">+S49</f>
        <v>0</v>
      </c>
    </row>
    <row r="72" customFormat="false" ht="15" hidden="false" customHeight="false" outlineLevel="0" collapsed="false">
      <c r="E72" s="249"/>
      <c r="F72" s="249"/>
      <c r="G72" s="229"/>
      <c r="H72" s="247" t="s">
        <v>149</v>
      </c>
      <c r="I72" s="247"/>
      <c r="J72" s="114" t="n">
        <f aca="false">+Utilidad!M67</f>
        <v>0</v>
      </c>
      <c r="K72" s="247" t="s">
        <v>150</v>
      </c>
      <c r="L72" s="247"/>
      <c r="M72" s="247"/>
      <c r="N72" s="114" t="n">
        <f aca="false">+S28</f>
        <v>115335.11507</v>
      </c>
    </row>
    <row r="73" customFormat="false" ht="15" hidden="false" customHeight="false" outlineLevel="0" collapsed="false">
      <c r="E73" s="249"/>
      <c r="F73" s="249"/>
      <c r="G73" s="229"/>
      <c r="H73" s="247"/>
      <c r="I73" s="247"/>
      <c r="J73" s="114"/>
      <c r="K73" s="247" t="s">
        <v>151</v>
      </c>
      <c r="L73" s="247"/>
      <c r="M73" s="247"/>
      <c r="N73" s="114" t="n">
        <f aca="false">+L54</f>
        <v>0</v>
      </c>
    </row>
    <row r="74" customFormat="false" ht="15" hidden="false" customHeight="false" outlineLevel="0" collapsed="false">
      <c r="E74" s="249"/>
      <c r="F74" s="249"/>
      <c r="G74" s="229"/>
      <c r="H74" s="247"/>
      <c r="I74" s="247"/>
      <c r="J74" s="114"/>
      <c r="K74" s="247"/>
      <c r="L74" s="247"/>
      <c r="M74" s="247"/>
      <c r="N74" s="114"/>
    </row>
    <row r="75" customFormat="false" ht="15" hidden="false" customHeight="false" outlineLevel="0" collapsed="false">
      <c r="E75" s="249"/>
      <c r="F75" s="249"/>
      <c r="G75" s="229"/>
      <c r="H75" s="247"/>
      <c r="I75" s="247"/>
      <c r="J75" s="114"/>
      <c r="K75" s="247"/>
      <c r="L75" s="247"/>
      <c r="M75" s="247"/>
      <c r="N75" s="114"/>
    </row>
    <row r="76" customFormat="false" ht="17.35" hidden="false" customHeight="false" outlineLevel="0" collapsed="false">
      <c r="E76" s="113" t="s">
        <v>152</v>
      </c>
      <c r="F76" s="113"/>
      <c r="G76" s="252" t="n">
        <f aca="false">+SUM(G67:G75)</f>
        <v>443431.8224</v>
      </c>
      <c r="H76" s="253" t="s">
        <v>153</v>
      </c>
      <c r="I76" s="253"/>
      <c r="J76" s="254" t="n">
        <f aca="false">+SUM(J67:J75)</f>
        <v>-74157.203104</v>
      </c>
      <c r="K76" s="255" t="s">
        <v>154</v>
      </c>
      <c r="L76" s="255"/>
      <c r="M76" s="255"/>
      <c r="N76" s="252" t="n">
        <f aca="false">+SUM(N67:N75)</f>
        <v>517589.025511</v>
      </c>
    </row>
    <row r="78" customFormat="false" ht="17.35" hidden="false" customHeight="false" outlineLevel="0" collapsed="false">
      <c r="J78" s="256" t="s">
        <v>155</v>
      </c>
      <c r="K78" s="257"/>
      <c r="L78" s="258"/>
      <c r="M78" s="257"/>
      <c r="N78" s="259" t="n">
        <f aca="false">+G76-J76-N76</f>
        <v>-6.99993688613176E-006</v>
      </c>
    </row>
    <row r="81" customFormat="false" ht="15" hidden="false" customHeight="false" outlineLevel="0" collapsed="false">
      <c r="E81" s="243" t="s">
        <v>156</v>
      </c>
    </row>
    <row r="82" customFormat="false" ht="17.35" hidden="false" customHeight="false" outlineLevel="0" collapsed="false">
      <c r="E82" s="244" t="s">
        <v>10</v>
      </c>
      <c r="F82" s="244"/>
      <c r="G82" s="244"/>
      <c r="H82" s="245" t="s">
        <v>135</v>
      </c>
      <c r="I82" s="245"/>
      <c r="J82" s="245"/>
      <c r="K82" s="246" t="s">
        <v>136</v>
      </c>
      <c r="L82" s="246"/>
      <c r="M82" s="246"/>
      <c r="N82" s="246"/>
    </row>
    <row r="83" customFormat="false" ht="15" hidden="false" customHeight="false" outlineLevel="0" collapsed="false">
      <c r="E83" s="229" t="s">
        <v>137</v>
      </c>
      <c r="F83" s="229"/>
      <c r="G83" s="114" t="n">
        <f aca="false">+I8</f>
        <v>226015.869581813</v>
      </c>
      <c r="H83" s="247" t="s">
        <v>138</v>
      </c>
      <c r="I83" s="247"/>
      <c r="J83" s="114" t="n">
        <f aca="false">+Utilidad!O43</f>
        <v>-12300.2902671241</v>
      </c>
      <c r="K83" s="247" t="s">
        <v>139</v>
      </c>
      <c r="L83" s="247"/>
      <c r="M83" s="247"/>
      <c r="N83" s="114" t="n">
        <f aca="false">+C10</f>
        <v>21580.1927463515</v>
      </c>
    </row>
    <row r="84" customFormat="false" ht="15" hidden="false" customHeight="false" outlineLevel="0" collapsed="false">
      <c r="E84" s="248" t="s">
        <v>140</v>
      </c>
      <c r="F84" s="248"/>
      <c r="G84" s="114" t="n">
        <f aca="false">+I51</f>
        <v>0</v>
      </c>
      <c r="H84" s="247" t="s">
        <v>141</v>
      </c>
      <c r="I84" s="247"/>
      <c r="J84" s="114" t="n">
        <f aca="false">+Utilidad!O47</f>
        <v>13495.0732534558</v>
      </c>
      <c r="K84" s="247" t="s">
        <v>142</v>
      </c>
      <c r="L84" s="247"/>
      <c r="M84" s="247"/>
      <c r="N84" s="114" t="n">
        <f aca="false">+C30</f>
        <v>16472.0985010169</v>
      </c>
    </row>
    <row r="85" customFormat="false" ht="15" hidden="false" customHeight="false" outlineLevel="0" collapsed="false">
      <c r="E85" s="249"/>
      <c r="F85" s="249"/>
      <c r="G85" s="229"/>
      <c r="H85" s="247" t="s">
        <v>143</v>
      </c>
      <c r="I85" s="247"/>
      <c r="J85" s="114" t="n">
        <f aca="false">+Utilidad!O50</f>
        <v>-25641.9350647885</v>
      </c>
      <c r="K85" s="247" t="s">
        <v>144</v>
      </c>
      <c r="L85" s="247"/>
      <c r="M85" s="247"/>
      <c r="N85" s="114" t="n">
        <f aca="false">+G38</f>
        <v>185150.058626866</v>
      </c>
    </row>
    <row r="86" customFormat="false" ht="15" hidden="false" customHeight="false" outlineLevel="0" collapsed="false">
      <c r="E86" s="250"/>
      <c r="F86" s="251"/>
      <c r="G86" s="229"/>
      <c r="H86" s="247" t="s">
        <v>145</v>
      </c>
      <c r="I86" s="247"/>
      <c r="J86" s="114" t="n">
        <f aca="false">+Utilidad!O56</f>
        <v>-4341.52224</v>
      </c>
      <c r="K86" s="247" t="s">
        <v>146</v>
      </c>
      <c r="L86" s="247"/>
      <c r="M86" s="247"/>
      <c r="N86" s="114" t="n">
        <f aca="false">+S38</f>
        <v>15439.397629194</v>
      </c>
    </row>
    <row r="87" customFormat="false" ht="15" hidden="false" customHeight="false" outlineLevel="0" collapsed="false">
      <c r="E87" s="250"/>
      <c r="F87" s="251"/>
      <c r="G87" s="229"/>
      <c r="H87" s="247" t="s">
        <v>147</v>
      </c>
      <c r="I87" s="247"/>
      <c r="J87" s="114" t="n">
        <f aca="false">+Utilidad!O61</f>
        <v>-1066.0099603537</v>
      </c>
      <c r="K87" s="247" t="s">
        <v>148</v>
      </c>
      <c r="L87" s="247"/>
      <c r="M87" s="247"/>
      <c r="N87" s="114" t="n">
        <f aca="false">+S51</f>
        <v>0</v>
      </c>
    </row>
    <row r="88" customFormat="false" ht="15" hidden="false" customHeight="false" outlineLevel="0" collapsed="false">
      <c r="E88" s="249"/>
      <c r="F88" s="249"/>
      <c r="G88" s="229"/>
      <c r="H88" s="247" t="s">
        <v>149</v>
      </c>
      <c r="I88" s="247"/>
      <c r="J88" s="114" t="n">
        <f aca="false">+Utilidad!O67</f>
        <v>0</v>
      </c>
      <c r="K88" s="247" t="s">
        <v>150</v>
      </c>
      <c r="L88" s="247"/>
      <c r="M88" s="247"/>
      <c r="N88" s="114" t="n">
        <f aca="false">+S30</f>
        <v>17228.8063532739</v>
      </c>
    </row>
    <row r="89" customFormat="false" ht="15" hidden="false" customHeight="false" outlineLevel="0" collapsed="false">
      <c r="E89" s="249"/>
      <c r="F89" s="249"/>
      <c r="G89" s="229"/>
      <c r="H89" s="247"/>
      <c r="I89" s="247"/>
      <c r="J89" s="114"/>
      <c r="K89" s="247" t="s">
        <v>151</v>
      </c>
      <c r="L89" s="247"/>
      <c r="M89" s="247"/>
      <c r="N89" s="114" t="n">
        <f aca="false">+L56</f>
        <v>0</v>
      </c>
    </row>
    <row r="90" customFormat="false" ht="15" hidden="false" customHeight="false" outlineLevel="0" collapsed="false">
      <c r="E90" s="249"/>
      <c r="F90" s="249"/>
      <c r="G90" s="229"/>
      <c r="H90" s="247"/>
      <c r="I90" s="247"/>
      <c r="J90" s="114"/>
      <c r="K90" s="247"/>
      <c r="L90" s="247"/>
      <c r="M90" s="247"/>
      <c r="N90" s="114"/>
    </row>
    <row r="91" customFormat="false" ht="15" hidden="false" customHeight="false" outlineLevel="0" collapsed="false">
      <c r="E91" s="249"/>
      <c r="F91" s="249"/>
      <c r="G91" s="229"/>
      <c r="H91" s="247"/>
      <c r="I91" s="247"/>
      <c r="J91" s="114"/>
      <c r="K91" s="247"/>
      <c r="L91" s="247"/>
      <c r="M91" s="247"/>
      <c r="N91" s="114"/>
    </row>
    <row r="92" customFormat="false" ht="17.35" hidden="false" customHeight="false" outlineLevel="0" collapsed="false">
      <c r="E92" s="113" t="s">
        <v>152</v>
      </c>
      <c r="F92" s="113"/>
      <c r="G92" s="252" t="n">
        <f aca="false">+SUM(G83:G91)</f>
        <v>226015.869581813</v>
      </c>
      <c r="H92" s="253" t="s">
        <v>153</v>
      </c>
      <c r="I92" s="253"/>
      <c r="J92" s="254" t="n">
        <f aca="false">+SUM(J83:J91)</f>
        <v>-29854.6842788104</v>
      </c>
      <c r="K92" s="255" t="s">
        <v>154</v>
      </c>
      <c r="L92" s="255"/>
      <c r="M92" s="255"/>
      <c r="N92" s="252" t="n">
        <f aca="false">+SUM(N83:N91)</f>
        <v>255870.553856702</v>
      </c>
    </row>
    <row r="94" customFormat="false" ht="17.35" hidden="false" customHeight="false" outlineLevel="0" collapsed="false">
      <c r="J94" s="256" t="s">
        <v>155</v>
      </c>
      <c r="K94" s="257"/>
      <c r="L94" s="258"/>
      <c r="M94" s="257"/>
      <c r="N94" s="259" t="n">
        <f aca="false">+G92-J92-N92-P96</f>
        <v>3.92095535062254E-006</v>
      </c>
    </row>
    <row r="96" customFormat="false" ht="15" hidden="false" customHeight="false" outlineLevel="0" collapsed="false">
      <c r="G96" s="123"/>
      <c r="J96" s="123"/>
      <c r="N96" s="123"/>
    </row>
    <row r="97" customFormat="false" ht="15" hidden="false" customHeight="false" outlineLevel="0" collapsed="false">
      <c r="G97" s="123"/>
    </row>
    <row r="102" customFormat="false" ht="15" hidden="false" customHeight="false" outlineLevel="0" collapsed="false">
      <c r="G102" s="123"/>
      <c r="J102" s="123"/>
      <c r="N102" s="123"/>
    </row>
    <row r="103" customFormat="false" ht="15" hidden="false" customHeight="false" outlineLevel="0" collapsed="false">
      <c r="N103" s="123"/>
    </row>
  </sheetData>
  <mergeCells count="63">
    <mergeCell ref="C40:D40"/>
    <mergeCell ref="P53:Q53"/>
    <mergeCell ref="R53:S53"/>
    <mergeCell ref="E66:G66"/>
    <mergeCell ref="H66:J66"/>
    <mergeCell ref="K66:N66"/>
    <mergeCell ref="H67:I67"/>
    <mergeCell ref="K67:M67"/>
    <mergeCell ref="E68:F68"/>
    <mergeCell ref="H68:I68"/>
    <mergeCell ref="K68:M68"/>
    <mergeCell ref="E69:F69"/>
    <mergeCell ref="H69:I69"/>
    <mergeCell ref="K69:M69"/>
    <mergeCell ref="H70:I70"/>
    <mergeCell ref="K70:M70"/>
    <mergeCell ref="H71:I71"/>
    <mergeCell ref="K71:M71"/>
    <mergeCell ref="E72:F72"/>
    <mergeCell ref="H72:I72"/>
    <mergeCell ref="K72:M72"/>
    <mergeCell ref="E73:F73"/>
    <mergeCell ref="H73:I73"/>
    <mergeCell ref="K73:M73"/>
    <mergeCell ref="E74:F74"/>
    <mergeCell ref="H74:I74"/>
    <mergeCell ref="K74:M74"/>
    <mergeCell ref="E75:F75"/>
    <mergeCell ref="H75:I75"/>
    <mergeCell ref="K75:M75"/>
    <mergeCell ref="E76:F76"/>
    <mergeCell ref="H76:I76"/>
    <mergeCell ref="K76:M76"/>
    <mergeCell ref="E82:G82"/>
    <mergeCell ref="H82:J82"/>
    <mergeCell ref="K82:N82"/>
    <mergeCell ref="H83:I83"/>
    <mergeCell ref="K83:M83"/>
    <mergeCell ref="E84:F84"/>
    <mergeCell ref="H84:I84"/>
    <mergeCell ref="K84:M84"/>
    <mergeCell ref="E85:F85"/>
    <mergeCell ref="H85:I85"/>
    <mergeCell ref="K85:M85"/>
    <mergeCell ref="H86:I86"/>
    <mergeCell ref="K86:M86"/>
    <mergeCell ref="H87:I87"/>
    <mergeCell ref="K87:M87"/>
    <mergeCell ref="E88:F88"/>
    <mergeCell ref="H88:I88"/>
    <mergeCell ref="K88:M88"/>
    <mergeCell ref="E89:F89"/>
    <mergeCell ref="H89:I89"/>
    <mergeCell ref="K89:M89"/>
    <mergeCell ref="E90:F90"/>
    <mergeCell ref="H90:I90"/>
    <mergeCell ref="K90:M90"/>
    <mergeCell ref="E91:F91"/>
    <mergeCell ref="H91:I91"/>
    <mergeCell ref="K91:M91"/>
    <mergeCell ref="E92:F92"/>
    <mergeCell ref="H92:I92"/>
    <mergeCell ref="K92:M92"/>
  </mergeCells>
  <conditionalFormatting sqref="J19 J21">
    <cfRule type="iconSet" priority="2">
      <iconSet iconSet="3Arrows">
        <cfvo type="percent" val="0"/>
        <cfvo type="num" val="0"/>
        <cfvo type="num" val="0"/>
      </iconSet>
    </cfRule>
  </conditionalFormatting>
  <conditionalFormatting sqref="O20 O22">
    <cfRule type="iconSet" priority="3">
      <iconSet iconSet="3Arrows">
        <cfvo type="percent" val="0"/>
        <cfvo type="num" val="0"/>
        <cfvo type="num" val="0"/>
      </iconSet>
    </cfRule>
  </conditionalFormatting>
  <conditionalFormatting sqref="G27 G29">
    <cfRule type="iconSet" priority="4">
      <iconSet iconSet="3Arrows">
        <cfvo type="percent" val="0"/>
        <cfvo type="num" val="0"/>
        <cfvo type="num" val="0"/>
      </iconSet>
    </cfRule>
  </conditionalFormatting>
  <conditionalFormatting sqref="E7 E9:E10">
    <cfRule type="iconSet" priority="5">
      <iconSet iconSet="3Arrows">
        <cfvo type="percent" val="0"/>
        <cfvo type="num" val="0"/>
        <cfvo type="num" val="0"/>
      </iconSet>
    </cfRule>
  </conditionalFormatting>
  <conditionalFormatting sqref="J76">
    <cfRule type="iconSet" priority="6">
      <iconSet iconSet="3Arrows">
        <cfvo type="percent" val="0"/>
        <cfvo type="num" val="0"/>
        <cfvo type="num" val="0"/>
      </iconSet>
    </cfRule>
  </conditionalFormatting>
  <conditionalFormatting sqref="P40 P62 P43:P51">
    <cfRule type="iconSet" priority="7">
      <iconSet iconSet="3Arrows">
        <cfvo type="percent" val="0"/>
        <cfvo type="num" val="0"/>
        <cfvo type="num" val="0"/>
      </iconSet>
    </cfRule>
  </conditionalFormatting>
  <conditionalFormatting sqref="N51">
    <cfRule type="iconSet" priority="8">
      <iconSet iconSet="3Arrows">
        <cfvo type="percent" val="0"/>
        <cfvo type="num" val="0"/>
        <cfvo type="num" val="0"/>
      </iconSet>
    </cfRule>
  </conditionalFormatting>
  <conditionalFormatting sqref="J92">
    <cfRule type="iconSet" priority="9">
      <iconSet iconSet="3Arrows">
        <cfvo type="percent" val="0"/>
        <cfvo type="num" val="0"/>
        <cfvo type="num" val="0"/>
      </iconSet>
    </cfRule>
  </conditionalFormatting>
  <printOptions headings="false" gridLines="false" gridLinesSet="true" horizontalCentered="false" verticalCentered="false"/>
  <pageMargins left="0.236111111111111" right="0" top="1.1416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C3:CL236"/>
  <sheetViews>
    <sheetView showFormulas="false" showGridLines="true" showRowColHeaders="true" showZeros="true" rightToLeft="false" tabSelected="false" showOutlineSymbols="true" defaultGridColor="true" view="normal" topLeftCell="K61" colorId="64" zoomScale="85" zoomScaleNormal="85" zoomScalePageLayoutView="100" workbookViewId="0">
      <selection pane="topLeft" activeCell="N62" activeCellId="0" sqref="N62"/>
    </sheetView>
  </sheetViews>
  <sheetFormatPr defaultColWidth="10.71484375" defaultRowHeight="15" customHeight="true" zeroHeight="false" outlineLevelRow="0" outlineLevelCol="1"/>
  <cols>
    <col collapsed="false" customWidth="true" hidden="false" outlineLevel="1" max="3" min="1" style="95" width="10.85"/>
    <col collapsed="false" customWidth="true" hidden="false" outlineLevel="1" max="4" min="4" style="95" width="15.57"/>
    <col collapsed="false" customWidth="true" hidden="false" outlineLevel="1" max="5" min="5" style="95" width="14.14"/>
    <col collapsed="false" customWidth="true" hidden="false" outlineLevel="1" max="8" min="6" style="95" width="10.85"/>
    <col collapsed="false" customWidth="true" hidden="false" outlineLevel="1" max="9" min="9" style="95" width="5.71"/>
    <col collapsed="false" customWidth="true" hidden="false" outlineLevel="0" max="10" min="10" style="95" width="53.14"/>
    <col collapsed="false" customWidth="true" hidden="false" outlineLevel="1" max="15" min="11" style="95" width="10.85"/>
    <col collapsed="false" customWidth="true" hidden="false" outlineLevel="1" max="16" min="16" style="95" width="10.57"/>
    <col collapsed="false" customWidth="true" hidden="false" outlineLevel="1" max="20" min="17" style="95" width="10.85"/>
    <col collapsed="false" customWidth="true" hidden="false" outlineLevel="1" max="22" min="22" style="95" width="10.85"/>
    <col collapsed="false" customWidth="true" hidden="false" outlineLevel="1" max="23" min="23" style="95" width="10.57"/>
    <col collapsed="false" customWidth="true" hidden="false" outlineLevel="1" max="29" min="24" style="95" width="10.85"/>
    <col collapsed="false" customWidth="true" hidden="false" outlineLevel="1" max="30" min="30" style="95" width="13.71"/>
    <col collapsed="false" customWidth="true" hidden="false" outlineLevel="1" max="31" min="31" style="95" width="17.15"/>
    <col collapsed="false" customWidth="true" hidden="false" outlineLevel="1" max="32" min="32" style="95" width="12.86"/>
    <col collapsed="false" customWidth="true" hidden="false" outlineLevel="1" max="33" min="33" style="95" width="10.85"/>
    <col collapsed="false" customWidth="true" hidden="false" outlineLevel="1" max="34" min="34" style="95" width="18.14"/>
    <col collapsed="false" customWidth="true" hidden="false" outlineLevel="1" max="41" min="35" style="95" width="10.85"/>
    <col collapsed="false" customWidth="true" hidden="false" outlineLevel="1" max="42" min="42" style="95" width="15.14"/>
    <col collapsed="false" customWidth="true" hidden="false" outlineLevel="0" max="91" min="57" style="95" width="10.85"/>
  </cols>
  <sheetData>
    <row r="3" s="127" customFormat="true" ht="51" hidden="false" customHeight="true" outlineLevel="0" collapsed="false">
      <c r="K3" s="260" t="s">
        <v>157</v>
      </c>
      <c r="L3" s="261" t="s">
        <v>158</v>
      </c>
      <c r="M3" s="261" t="s">
        <v>159</v>
      </c>
      <c r="N3" s="262" t="s">
        <v>160</v>
      </c>
      <c r="O3" s="262" t="s">
        <v>161</v>
      </c>
      <c r="P3" s="262" t="s">
        <v>162</v>
      </c>
      <c r="Q3" s="262" t="s">
        <v>163</v>
      </c>
      <c r="R3" s="261" t="s">
        <v>164</v>
      </c>
      <c r="S3" s="261" t="s">
        <v>165</v>
      </c>
      <c r="T3" s="262" t="s">
        <v>166</v>
      </c>
      <c r="U3" s="262" t="s">
        <v>167</v>
      </c>
      <c r="V3" s="263" t="s">
        <v>168</v>
      </c>
      <c r="W3" s="261" t="s">
        <v>169</v>
      </c>
      <c r="X3" s="262" t="s">
        <v>170</v>
      </c>
      <c r="Y3" s="263" t="s">
        <v>171</v>
      </c>
      <c r="Z3" s="263" t="s">
        <v>172</v>
      </c>
      <c r="AA3" s="262" t="s">
        <v>173</v>
      </c>
      <c r="AB3" s="261" t="s">
        <v>174</v>
      </c>
      <c r="AC3" s="261" t="s">
        <v>175</v>
      </c>
      <c r="AD3" s="261" t="s">
        <v>176</v>
      </c>
      <c r="AE3" s="261" t="s">
        <v>177</v>
      </c>
      <c r="AF3" s="262" t="s">
        <v>178</v>
      </c>
      <c r="AG3" s="126"/>
      <c r="AH3" s="126"/>
      <c r="AI3" s="126" t="n">
        <f aca="false" t="array" ref="AI3:CL25">+TRANSPOSE(J3:AF58)</f>
        <v>0</v>
      </c>
      <c r="AJ3" s="126" t="str">
        <v>De Prec Los Colorados Nodo Alim Planta de Pellet</v>
      </c>
      <c r="AK3" s="126" t="str">
        <v>Preconc Los Colorados a Stock Sinter Feed</v>
      </c>
      <c r="AL3" s="127" t="str">
        <v>Prec los Colorados a Stock Prec Planta Pellet</v>
      </c>
      <c r="AM3" s="127" t="str">
        <v>Re-Harneo a Stock Prec Planta Pellet</v>
      </c>
      <c r="AN3" s="127" t="str">
        <v>Delta Stock  Prec Planta Pellet</v>
      </c>
      <c r="AO3" s="127" t="str">
        <v>Alim Silos Molienda</v>
      </c>
      <c r="AP3" s="127" t="str">
        <v>Delta Stock Silos Molienda</v>
      </c>
      <c r="AQ3" s="127" t="str">
        <v>Aliment Molienda Clasificación</v>
      </c>
      <c r="AR3" s="127" t="str">
        <v>De Molienda/clasificación a Stock Derrames</v>
      </c>
      <c r="AS3" s="127" t="str">
        <v>EMISARIO SUBMARINO</v>
      </c>
      <c r="AT3" s="127" t="str">
        <v>Alimentación a TK  Inventarios</v>
      </c>
      <c r="AU3" s="127" t="str">
        <v>Delta TK inventarios</v>
      </c>
      <c r="AV3" s="127" t="str">
        <v>TK Inventario a Stock Derrames</v>
      </c>
      <c r="AW3" s="127" t="str">
        <v>Alimentación Filtrado</v>
      </c>
      <c r="AX3" s="127" t="str">
        <v>Alim Nodo Productos Filtrados  </v>
      </c>
      <c r="AY3" s="127" t="str">
        <v>De filtros a Balling</v>
      </c>
      <c r="AZ3" s="127" t="str">
        <v>Filtrado a Stock Derrames</v>
      </c>
      <c r="BA3" s="127" t="str">
        <v>Alim Pila Intermedia desde (de nodo post filtros)</v>
      </c>
      <c r="BB3" s="127" t="str">
        <v>Delta Stock Pila Intermedia</v>
      </c>
      <c r="BC3" s="127" t="str">
        <v>de Pila Intermedia a Balling</v>
      </c>
      <c r="BD3" s="127" t="str">
        <v>de Pila Intermadia a Stok Pellet Feed</v>
      </c>
      <c r="BE3" s="127" t="str">
        <v>a Stock Pellet Feed (de nodo post filtros)</v>
      </c>
      <c r="BF3" s="127" t="str">
        <v>Delta Stock Pellet Feed</v>
      </c>
      <c r="BG3" s="127" t="str">
        <v>A embarque de Stock Pellet Feed</v>
      </c>
      <c r="BH3" s="127" t="str">
        <v>Aditivo a Balling</v>
      </c>
      <c r="BI3" s="127" t="str">
        <v>Pellet verde a edurecimiento</v>
      </c>
      <c r="BJ3" s="127" t="str">
        <v>Endurecimiento a Stock Derrames</v>
      </c>
      <c r="BK3" s="127" t="str">
        <v>Delta Inventarios de Derrames</v>
      </c>
      <c r="BL3" s="127" t="str">
        <v>Chunk de endurecimiento a Pila Chunk</v>
      </c>
      <c r="BM3" s="127" t="str">
        <v>Delta Stock Pila Chunk</v>
      </c>
      <c r="BN3" s="127" t="str">
        <v>Aporte Oxidación Endurecimiento</v>
      </c>
      <c r="BO3" s="127" t="str">
        <v>Alim endurecido a Pila Emergencia </v>
      </c>
      <c r="BP3" s="127" t="str">
        <v>De endurecimiento a Harnero Producto</v>
      </c>
      <c r="BQ3" s="127" t="str">
        <v>Alim Harnero Producto desde Pila de Emergencia</v>
      </c>
      <c r="BR3" s="127" t="str">
        <v>Delta Stock Pila Emergencia</v>
      </c>
      <c r="BS3" s="127" t="str">
        <v>De harnero Producto a Pila Chip Fresco</v>
      </c>
      <c r="BT3" s="127" t="str">
        <v>Delta Stock Pila Chip Fresco</v>
      </c>
      <c r="BU3" s="127" t="str">
        <v>De Harnero Producto a Stock Pellets Básico</v>
      </c>
      <c r="BV3" s="127" t="str">
        <v>Delta Stock Pellet Básico</v>
      </c>
      <c r="BW3" s="127" t="str">
        <v>A embarque desde Pellet básico</v>
      </c>
      <c r="BX3" s="127" t="str">
        <v>Alimentación Chip Fresco a Re harneo</v>
      </c>
      <c r="BY3" s="127" t="str">
        <v>Alimentación de Stock de Derrames a Planta de Re Harneo</v>
      </c>
      <c r="BZ3" s="127" t="str">
        <v>Alimentación de Pila Chunk a Re Harneo</v>
      </c>
      <c r="CA3" s="127" t="str">
        <v>Intermedio Re harneo de derrames a Stock Pila de Emergencia</v>
      </c>
      <c r="CB3" s="127" t="str">
        <v>Alimentación Total a  Stock Finos Huasco de Embarque </v>
      </c>
      <c r="CC3" s="127" t="str">
        <v>Chip Bajo tamaño de Re Harneo a Stock P Chip de Embarque </v>
      </c>
      <c r="CD3" s="127" t="str">
        <v>Traspaso de F Huasco a S Feed</v>
      </c>
      <c r="CE3" s="127" t="str">
        <v>A embarque desde Stock Finos Huasco</v>
      </c>
      <c r="CF3" s="127" t="str">
        <v>Delta Stock Finos Huasco</v>
      </c>
      <c r="CG3" s="127" t="str">
        <v>A embarque desde Stock Sinter Feed</v>
      </c>
      <c r="CH3" s="127" t="str">
        <v>Delta Stock Sinter Feed</v>
      </c>
      <c r="CI3" s="127" t="str">
        <v>Traspaso de  P Chip a P Básico</v>
      </c>
      <c r="CJ3" s="127" t="str">
        <v>A embarque desde Stock Pellet Chip</v>
      </c>
      <c r="CK3" s="127" t="str">
        <v>Delta Stock Pellet Chip</v>
      </c>
      <c r="CL3" s="127" t="str">
        <v>Total Embarcado</v>
      </c>
    </row>
    <row r="4" s="127" customFormat="true" ht="20.25" hidden="false" customHeight="true" outlineLevel="0" collapsed="false">
      <c r="I4" s="127" t="n">
        <v>1</v>
      </c>
      <c r="J4" s="264" t="s">
        <v>179</v>
      </c>
      <c r="K4" s="127" t="n">
        <v>1</v>
      </c>
      <c r="L4" s="127" t="n">
        <v>0</v>
      </c>
      <c r="M4" s="127" t="n">
        <v>0</v>
      </c>
      <c r="N4" s="127" t="n">
        <v>0</v>
      </c>
      <c r="O4" s="127" t="n">
        <v>0</v>
      </c>
      <c r="P4" s="127" t="n">
        <v>0</v>
      </c>
      <c r="Q4" s="127" t="n">
        <v>0</v>
      </c>
      <c r="R4" s="127" t="n">
        <v>0</v>
      </c>
      <c r="S4" s="127" t="n">
        <v>0</v>
      </c>
      <c r="T4" s="127" t="n">
        <v>0</v>
      </c>
      <c r="U4" s="127" t="n">
        <v>0</v>
      </c>
      <c r="V4" s="127" t="n">
        <v>0</v>
      </c>
      <c r="W4" s="127" t="n">
        <v>0</v>
      </c>
      <c r="X4" s="127" t="n">
        <v>0</v>
      </c>
      <c r="Y4" s="127" t="n">
        <v>0</v>
      </c>
      <c r="Z4" s="127" t="n">
        <v>0</v>
      </c>
      <c r="AA4" s="127" t="n">
        <v>0</v>
      </c>
      <c r="AB4" s="127" t="n">
        <v>0</v>
      </c>
      <c r="AC4" s="127" t="n">
        <v>0</v>
      </c>
      <c r="AD4" s="127" t="n">
        <v>0</v>
      </c>
      <c r="AE4" s="127" t="n">
        <v>0</v>
      </c>
      <c r="AF4" s="127" t="n">
        <v>0</v>
      </c>
      <c r="AG4" s="126"/>
      <c r="AH4" s="126"/>
      <c r="AI4" s="126" t="str">
        <v>Nodo Alim Stock Planta Pellet</v>
      </c>
      <c r="AJ4" s="126" t="n">
        <v>1</v>
      </c>
      <c r="AK4" s="126" t="n">
        <v>-1</v>
      </c>
      <c r="AL4" s="127" t="n">
        <v>-1</v>
      </c>
      <c r="AM4" s="127" t="n">
        <v>0</v>
      </c>
      <c r="AN4" s="127" t="n">
        <v>0</v>
      </c>
      <c r="AO4" s="127" t="n">
        <v>0</v>
      </c>
      <c r="AP4" s="127" t="n">
        <v>0</v>
      </c>
      <c r="AQ4" s="127" t="n">
        <v>0</v>
      </c>
      <c r="AR4" s="127" t="n">
        <v>0</v>
      </c>
      <c r="AS4" s="127" t="n">
        <v>0</v>
      </c>
      <c r="AT4" s="127" t="n">
        <v>0</v>
      </c>
      <c r="AU4" s="127" t="n">
        <v>0</v>
      </c>
      <c r="AV4" s="127" t="n">
        <v>0</v>
      </c>
      <c r="AW4" s="127" t="n">
        <v>0</v>
      </c>
      <c r="AX4" s="127" t="n">
        <v>0</v>
      </c>
      <c r="AY4" s="127" t="n">
        <v>0</v>
      </c>
      <c r="AZ4" s="127" t="n">
        <v>0</v>
      </c>
      <c r="BA4" s="127" t="n">
        <v>0</v>
      </c>
      <c r="BB4" s="127" t="n">
        <v>0</v>
      </c>
      <c r="BC4" s="127" t="n">
        <v>0</v>
      </c>
      <c r="BD4" s="127" t="n">
        <v>0</v>
      </c>
      <c r="BE4" s="127" t="n">
        <v>0</v>
      </c>
      <c r="BF4" s="127" t="n">
        <v>0</v>
      </c>
      <c r="BG4" s="127" t="n">
        <v>0</v>
      </c>
      <c r="BH4" s="127" t="n">
        <v>0</v>
      </c>
      <c r="BI4" s="127" t="n">
        <v>0</v>
      </c>
      <c r="BJ4" s="127" t="n">
        <v>0</v>
      </c>
      <c r="BK4" s="127" t="n">
        <v>0</v>
      </c>
      <c r="BL4" s="127" t="n">
        <v>0</v>
      </c>
      <c r="BM4" s="127" t="n">
        <v>0</v>
      </c>
      <c r="BN4" s="127" t="n">
        <v>0</v>
      </c>
      <c r="BO4" s="127" t="n">
        <v>0</v>
      </c>
      <c r="BP4" s="127" t="n">
        <v>0</v>
      </c>
      <c r="BQ4" s="127" t="n">
        <v>0</v>
      </c>
      <c r="BR4" s="127" t="n">
        <v>0</v>
      </c>
      <c r="BS4" s="127" t="n">
        <v>0</v>
      </c>
      <c r="BT4" s="127" t="n">
        <v>0</v>
      </c>
      <c r="BU4" s="127" t="n">
        <v>0</v>
      </c>
      <c r="BV4" s="127" t="n">
        <v>0</v>
      </c>
      <c r="BW4" s="127" t="n">
        <v>0</v>
      </c>
      <c r="BX4" s="127" t="n">
        <v>0</v>
      </c>
      <c r="BY4" s="127" t="n">
        <v>0</v>
      </c>
      <c r="BZ4" s="127" t="n">
        <v>0</v>
      </c>
      <c r="CA4" s="127" t="n">
        <v>0</v>
      </c>
      <c r="CB4" s="127" t="n">
        <v>0</v>
      </c>
      <c r="CC4" s="127" t="n">
        <v>0</v>
      </c>
      <c r="CD4" s="127" t="n">
        <v>0</v>
      </c>
      <c r="CE4" s="127" t="n">
        <v>0</v>
      </c>
      <c r="CF4" s="127" t="n">
        <v>0</v>
      </c>
      <c r="CG4" s="127" t="n">
        <v>0</v>
      </c>
      <c r="CH4" s="127" t="n">
        <v>0</v>
      </c>
      <c r="CI4" s="127" t="n">
        <v>0</v>
      </c>
      <c r="CJ4" s="127" t="n">
        <v>0</v>
      </c>
      <c r="CK4" s="127" t="n">
        <v>0</v>
      </c>
      <c r="CL4" s="127" t="n">
        <v>0</v>
      </c>
    </row>
    <row r="5" customFormat="false" ht="15" hidden="false" customHeight="false" outlineLevel="0" collapsed="false">
      <c r="I5" s="95" t="n">
        <v>2</v>
      </c>
      <c r="J5" s="265" t="s">
        <v>180</v>
      </c>
      <c r="K5" s="95" t="n">
        <v>-1</v>
      </c>
      <c r="L5" s="95" t="n">
        <v>0</v>
      </c>
      <c r="M5" s="95" t="n">
        <v>0</v>
      </c>
      <c r="N5" s="95" t="n">
        <v>0</v>
      </c>
      <c r="O5" s="95" t="n">
        <v>0</v>
      </c>
      <c r="P5" s="95" t="n">
        <v>0</v>
      </c>
      <c r="Q5" s="95" t="n">
        <v>0</v>
      </c>
      <c r="R5" s="95" t="n">
        <v>0</v>
      </c>
      <c r="S5" s="95" t="n">
        <v>0</v>
      </c>
      <c r="T5" s="95" t="n">
        <v>0</v>
      </c>
      <c r="U5" s="95" t="n">
        <v>0</v>
      </c>
      <c r="V5" s="95" t="n">
        <v>0</v>
      </c>
      <c r="W5" s="95" t="n">
        <v>0</v>
      </c>
      <c r="X5" s="95" t="n">
        <v>0</v>
      </c>
      <c r="Y5" s="95" t="n">
        <v>0</v>
      </c>
      <c r="Z5" s="95" t="n">
        <v>0</v>
      </c>
      <c r="AA5" s="95" t="n">
        <v>0</v>
      </c>
      <c r="AB5" s="95" t="n">
        <v>0</v>
      </c>
      <c r="AC5" s="95" t="n">
        <v>0</v>
      </c>
      <c r="AD5" s="95" t="n">
        <v>0</v>
      </c>
      <c r="AE5" s="95" t="n">
        <v>1</v>
      </c>
      <c r="AF5" s="95" t="n">
        <v>0</v>
      </c>
      <c r="AG5" s="126"/>
      <c r="AI5" s="95" t="str">
        <v>Stock prec Planta de Pellet</v>
      </c>
      <c r="AJ5" s="95" t="n">
        <v>0</v>
      </c>
      <c r="AK5" s="95" t="n">
        <v>0</v>
      </c>
      <c r="AL5" s="95" t="n">
        <v>1</v>
      </c>
      <c r="AM5" s="95" t="n">
        <v>1</v>
      </c>
      <c r="AN5" s="95" t="e">
        <v>#REF!</v>
      </c>
      <c r="AO5" s="95" t="n">
        <v>-1</v>
      </c>
      <c r="AP5" s="95" t="n">
        <v>0</v>
      </c>
      <c r="AQ5" s="95" t="n">
        <v>0</v>
      </c>
      <c r="AR5" s="95" t="n">
        <v>0</v>
      </c>
      <c r="AS5" s="95" t="n">
        <v>0</v>
      </c>
      <c r="AT5" s="95" t="n">
        <v>0</v>
      </c>
      <c r="AU5" s="95" t="n">
        <v>0</v>
      </c>
      <c r="AV5" s="95" t="n">
        <v>0</v>
      </c>
      <c r="AW5" s="95" t="n">
        <v>0</v>
      </c>
      <c r="AX5" s="95" t="n">
        <v>0</v>
      </c>
      <c r="AY5" s="95" t="n">
        <v>0</v>
      </c>
      <c r="AZ5" s="95" t="n">
        <v>0</v>
      </c>
      <c r="BA5" s="95" t="n">
        <v>0</v>
      </c>
      <c r="BB5" s="95" t="n">
        <v>0</v>
      </c>
      <c r="BC5" s="95" t="n">
        <v>0</v>
      </c>
      <c r="BD5" s="95" t="n">
        <v>0</v>
      </c>
      <c r="BE5" s="95" t="n">
        <v>0</v>
      </c>
      <c r="BF5" s="95" t="n">
        <v>0</v>
      </c>
      <c r="BG5" s="95" t="n">
        <v>0</v>
      </c>
      <c r="BH5" s="95" t="n">
        <v>0</v>
      </c>
      <c r="BI5" s="95" t="n">
        <v>0</v>
      </c>
      <c r="BJ5" s="95" t="n">
        <v>0</v>
      </c>
      <c r="BK5" s="95" t="n">
        <v>0</v>
      </c>
      <c r="BL5" s="95" t="n">
        <v>0</v>
      </c>
      <c r="BM5" s="95" t="n">
        <v>0</v>
      </c>
      <c r="BN5" s="95" t="n">
        <v>0</v>
      </c>
      <c r="BO5" s="95" t="n">
        <v>0</v>
      </c>
      <c r="BP5" s="95" t="n">
        <v>0</v>
      </c>
      <c r="BQ5" s="95" t="n">
        <v>0</v>
      </c>
      <c r="BR5" s="95" t="n">
        <v>0</v>
      </c>
      <c r="BS5" s="95" t="n">
        <v>0</v>
      </c>
      <c r="BT5" s="95" t="n">
        <v>0</v>
      </c>
      <c r="BU5" s="95" t="n">
        <v>0</v>
      </c>
      <c r="BV5" s="95" t="n">
        <v>0</v>
      </c>
      <c r="BW5" s="95" t="n">
        <v>0</v>
      </c>
      <c r="BX5" s="95" t="n">
        <v>0</v>
      </c>
      <c r="BY5" s="95" t="n">
        <v>0</v>
      </c>
      <c r="BZ5" s="95" t="n">
        <v>0</v>
      </c>
      <c r="CA5" s="95" t="n">
        <v>0</v>
      </c>
      <c r="CB5" s="95" t="n">
        <v>0</v>
      </c>
      <c r="CC5" s="95" t="n">
        <v>0</v>
      </c>
      <c r="CD5" s="95" t="n">
        <v>0</v>
      </c>
      <c r="CE5" s="95" t="n">
        <v>0</v>
      </c>
      <c r="CF5" s="95" t="n">
        <v>0</v>
      </c>
      <c r="CG5" s="95" t="n">
        <v>0</v>
      </c>
      <c r="CH5" s="95" t="n">
        <v>0</v>
      </c>
      <c r="CI5" s="95" t="n">
        <v>0</v>
      </c>
      <c r="CJ5" s="95" t="n">
        <v>0</v>
      </c>
      <c r="CK5" s="95" t="n">
        <v>0</v>
      </c>
      <c r="CL5" s="95" t="n">
        <v>0</v>
      </c>
    </row>
    <row r="6" customFormat="false" ht="15" hidden="false" customHeight="false" outlineLevel="0" collapsed="false">
      <c r="I6" s="95" t="n">
        <v>3</v>
      </c>
      <c r="J6" s="266" t="s">
        <v>181</v>
      </c>
      <c r="K6" s="95" t="n">
        <v>-1</v>
      </c>
      <c r="L6" s="95" t="n">
        <v>1</v>
      </c>
      <c r="M6" s="95" t="n">
        <v>0</v>
      </c>
      <c r="N6" s="95" t="n">
        <v>0</v>
      </c>
      <c r="O6" s="95" t="n">
        <v>0</v>
      </c>
      <c r="P6" s="95" t="n">
        <v>0</v>
      </c>
      <c r="Q6" s="95" t="n">
        <v>0</v>
      </c>
      <c r="R6" s="95" t="n">
        <v>0</v>
      </c>
      <c r="S6" s="95" t="n">
        <v>0</v>
      </c>
      <c r="T6" s="95" t="n">
        <v>0</v>
      </c>
      <c r="U6" s="95" t="n">
        <v>0</v>
      </c>
      <c r="V6" s="95" t="n">
        <v>0</v>
      </c>
      <c r="W6" s="95" t="n">
        <v>0</v>
      </c>
      <c r="X6" s="95" t="n">
        <v>0</v>
      </c>
      <c r="Y6" s="95" t="n">
        <v>0</v>
      </c>
      <c r="Z6" s="95" t="n">
        <v>0</v>
      </c>
      <c r="AA6" s="95" t="n">
        <v>0</v>
      </c>
      <c r="AB6" s="95" t="n">
        <v>0</v>
      </c>
      <c r="AC6" s="95" t="n">
        <v>0</v>
      </c>
      <c r="AD6" s="95" t="n">
        <v>0</v>
      </c>
      <c r="AE6" s="95" t="n">
        <v>0</v>
      </c>
      <c r="AF6" s="95" t="n">
        <v>0</v>
      </c>
      <c r="AG6" s="126"/>
      <c r="AI6" s="95" t="str">
        <v>Stock Silos de Molienda</v>
      </c>
      <c r="AJ6" s="95" t="n">
        <v>0</v>
      </c>
      <c r="AK6" s="95" t="n">
        <v>0</v>
      </c>
      <c r="AL6" s="95" t="n">
        <v>0</v>
      </c>
      <c r="AM6" s="95" t="n">
        <v>0</v>
      </c>
      <c r="AN6" s="95" t="n">
        <v>0</v>
      </c>
      <c r="AO6" s="95" t="n">
        <v>1</v>
      </c>
      <c r="AP6" s="95" t="e">
        <v>#REF!</v>
      </c>
      <c r="AQ6" s="95" t="n">
        <v>-1</v>
      </c>
      <c r="AR6" s="95" t="n">
        <v>0</v>
      </c>
      <c r="AS6" s="95" t="n">
        <v>0</v>
      </c>
      <c r="AT6" s="95" t="n">
        <v>0</v>
      </c>
      <c r="AU6" s="95" t="n">
        <v>0</v>
      </c>
      <c r="AV6" s="95" t="n">
        <v>0</v>
      </c>
      <c r="AW6" s="95" t="n">
        <v>0</v>
      </c>
      <c r="AX6" s="95" t="n">
        <v>0</v>
      </c>
      <c r="AY6" s="95" t="n">
        <v>0</v>
      </c>
      <c r="AZ6" s="95" t="n">
        <v>0</v>
      </c>
      <c r="BA6" s="95" t="n">
        <v>0</v>
      </c>
      <c r="BB6" s="95" t="n">
        <v>0</v>
      </c>
      <c r="BC6" s="95" t="n">
        <v>0</v>
      </c>
      <c r="BD6" s="95" t="n">
        <v>0</v>
      </c>
      <c r="BE6" s="95" t="n">
        <v>0</v>
      </c>
      <c r="BF6" s="95" t="n">
        <v>0</v>
      </c>
      <c r="BG6" s="95" t="n">
        <v>0</v>
      </c>
      <c r="BH6" s="95" t="n">
        <v>0</v>
      </c>
      <c r="BI6" s="95" t="n">
        <v>0</v>
      </c>
      <c r="BJ6" s="95" t="n">
        <v>0</v>
      </c>
      <c r="BK6" s="95" t="n">
        <v>0</v>
      </c>
      <c r="BL6" s="95" t="n">
        <v>0</v>
      </c>
      <c r="BM6" s="95" t="n">
        <v>0</v>
      </c>
      <c r="BN6" s="95" t="n">
        <v>0</v>
      </c>
      <c r="BO6" s="95" t="n">
        <v>0</v>
      </c>
      <c r="BP6" s="95" t="n">
        <v>0</v>
      </c>
      <c r="BQ6" s="95" t="n">
        <v>0</v>
      </c>
      <c r="BR6" s="95" t="n">
        <v>0</v>
      </c>
      <c r="BS6" s="95" t="n">
        <v>0</v>
      </c>
      <c r="BT6" s="95" t="n">
        <v>0</v>
      </c>
      <c r="BU6" s="95" t="n">
        <v>0</v>
      </c>
      <c r="BV6" s="95" t="n">
        <v>0</v>
      </c>
      <c r="BW6" s="95" t="n">
        <v>0</v>
      </c>
      <c r="BX6" s="95" t="n">
        <v>0</v>
      </c>
      <c r="BY6" s="95" t="n">
        <v>0</v>
      </c>
      <c r="BZ6" s="95" t="n">
        <v>0</v>
      </c>
      <c r="CA6" s="95" t="n">
        <v>0</v>
      </c>
      <c r="CB6" s="95" t="n">
        <v>0</v>
      </c>
      <c r="CC6" s="95" t="n">
        <v>0</v>
      </c>
      <c r="CD6" s="95" t="n">
        <v>0</v>
      </c>
      <c r="CE6" s="95" t="n">
        <v>0</v>
      </c>
      <c r="CF6" s="95" t="n">
        <v>0</v>
      </c>
      <c r="CG6" s="95" t="n">
        <v>0</v>
      </c>
      <c r="CH6" s="95" t="n">
        <v>0</v>
      </c>
      <c r="CI6" s="95" t="n">
        <v>0</v>
      </c>
      <c r="CJ6" s="95" t="n">
        <v>0</v>
      </c>
      <c r="CK6" s="95" t="n">
        <v>0</v>
      </c>
      <c r="CL6" s="95" t="n">
        <v>0</v>
      </c>
    </row>
    <row r="7" customFormat="false" ht="15" hidden="false" customHeight="false" outlineLevel="0" collapsed="false">
      <c r="I7" s="95" t="n">
        <v>4</v>
      </c>
      <c r="J7" s="267" t="s">
        <v>182</v>
      </c>
      <c r="K7" s="95" t="n">
        <v>0</v>
      </c>
      <c r="L7" s="95" t="n">
        <v>1</v>
      </c>
      <c r="M7" s="95" t="n">
        <v>0</v>
      </c>
      <c r="N7" s="95" t="n">
        <v>0</v>
      </c>
      <c r="O7" s="95" t="n">
        <v>0</v>
      </c>
      <c r="P7" s="95" t="n">
        <v>0</v>
      </c>
      <c r="Q7" s="95" t="n">
        <v>0</v>
      </c>
      <c r="R7" s="95" t="n">
        <v>0</v>
      </c>
      <c r="S7" s="95" t="n">
        <v>0</v>
      </c>
      <c r="T7" s="95" t="n">
        <v>0</v>
      </c>
      <c r="U7" s="95" t="n">
        <v>0</v>
      </c>
      <c r="V7" s="95" t="n">
        <v>0</v>
      </c>
      <c r="W7" s="95" t="n">
        <v>0</v>
      </c>
      <c r="X7" s="95" t="n">
        <v>0</v>
      </c>
      <c r="Y7" s="95" t="n">
        <v>0</v>
      </c>
      <c r="Z7" s="95" t="n">
        <v>0</v>
      </c>
      <c r="AA7" s="95" t="n">
        <v>-1</v>
      </c>
      <c r="AB7" s="95" t="n">
        <v>0</v>
      </c>
      <c r="AC7" s="95" t="n">
        <v>0</v>
      </c>
      <c r="AD7" s="95" t="n">
        <v>0</v>
      </c>
      <c r="AE7" s="95" t="n">
        <v>0</v>
      </c>
      <c r="AF7" s="95" t="n">
        <v>0</v>
      </c>
      <c r="AG7" s="126"/>
      <c r="AI7" s="95" t="str">
        <v>Molienda Clasificación</v>
      </c>
      <c r="AJ7" s="95" t="n">
        <v>0</v>
      </c>
      <c r="AK7" s="95" t="n">
        <v>0</v>
      </c>
      <c r="AL7" s="95" t="n">
        <v>0</v>
      </c>
      <c r="AM7" s="95" t="n">
        <v>0</v>
      </c>
      <c r="AN7" s="95" t="n">
        <v>0</v>
      </c>
      <c r="AO7" s="95" t="n">
        <v>0</v>
      </c>
      <c r="AP7" s="95" t="n">
        <v>0</v>
      </c>
      <c r="AQ7" s="95" t="n">
        <v>1</v>
      </c>
      <c r="AR7" s="95" t="n">
        <v>-1</v>
      </c>
      <c r="AS7" s="95" t="n">
        <v>-1</v>
      </c>
      <c r="AT7" s="95" t="n">
        <v>-1</v>
      </c>
      <c r="AU7" s="95" t="n">
        <v>0</v>
      </c>
      <c r="AV7" s="95" t="n">
        <v>0</v>
      </c>
      <c r="AW7" s="95" t="n">
        <v>0</v>
      </c>
      <c r="AX7" s="95" t="n">
        <v>0</v>
      </c>
      <c r="AY7" s="95" t="n">
        <v>0</v>
      </c>
      <c r="AZ7" s="95" t="n">
        <v>0</v>
      </c>
      <c r="BA7" s="95" t="n">
        <v>0</v>
      </c>
      <c r="BB7" s="95" t="n">
        <v>0</v>
      </c>
      <c r="BC7" s="95" t="n">
        <v>0</v>
      </c>
      <c r="BD7" s="95" t="n">
        <v>0</v>
      </c>
      <c r="BE7" s="95" t="n">
        <v>0</v>
      </c>
      <c r="BF7" s="95" t="n">
        <v>0</v>
      </c>
      <c r="BG7" s="95" t="n">
        <v>0</v>
      </c>
      <c r="BH7" s="95" t="n">
        <v>0</v>
      </c>
      <c r="BI7" s="95" t="n">
        <v>0</v>
      </c>
      <c r="BJ7" s="95" t="n">
        <v>0</v>
      </c>
      <c r="BK7" s="95" t="n">
        <v>0</v>
      </c>
      <c r="BL7" s="95" t="n">
        <v>0</v>
      </c>
      <c r="BM7" s="95" t="n">
        <v>0</v>
      </c>
      <c r="BN7" s="95" t="n">
        <v>0</v>
      </c>
      <c r="BO7" s="95" t="n">
        <v>0</v>
      </c>
      <c r="BP7" s="95" t="n">
        <v>0</v>
      </c>
      <c r="BQ7" s="95" t="n">
        <v>0</v>
      </c>
      <c r="BR7" s="95" t="n">
        <v>0</v>
      </c>
      <c r="BS7" s="95" t="n">
        <v>0</v>
      </c>
      <c r="BT7" s="95" t="n">
        <v>0</v>
      </c>
      <c r="BU7" s="95" t="n">
        <v>0</v>
      </c>
      <c r="BV7" s="95" t="n">
        <v>0</v>
      </c>
      <c r="BW7" s="95" t="n">
        <v>0</v>
      </c>
      <c r="BX7" s="95" t="n">
        <v>0</v>
      </c>
      <c r="BY7" s="95" t="n">
        <v>0</v>
      </c>
      <c r="BZ7" s="95" t="n">
        <v>0</v>
      </c>
      <c r="CA7" s="95" t="n">
        <v>0</v>
      </c>
      <c r="CB7" s="95" t="n">
        <v>0</v>
      </c>
      <c r="CC7" s="95" t="n">
        <v>0</v>
      </c>
      <c r="CD7" s="95" t="n">
        <v>0</v>
      </c>
      <c r="CE7" s="95" t="n">
        <v>0</v>
      </c>
      <c r="CF7" s="95" t="n">
        <v>0</v>
      </c>
      <c r="CG7" s="95" t="n">
        <v>0</v>
      </c>
      <c r="CH7" s="95" t="n">
        <v>0</v>
      </c>
      <c r="CI7" s="95" t="n">
        <v>0</v>
      </c>
      <c r="CJ7" s="95" t="n">
        <v>0</v>
      </c>
      <c r="CK7" s="95" t="n">
        <v>0</v>
      </c>
      <c r="CL7" s="95" t="n">
        <v>0</v>
      </c>
    </row>
    <row r="8" customFormat="false" ht="15" hidden="false" customHeight="false" outlineLevel="0" collapsed="false">
      <c r="I8" s="95" t="n">
        <v>5</v>
      </c>
      <c r="J8" s="267" t="s">
        <v>183</v>
      </c>
      <c r="K8" s="95" t="n">
        <v>0</v>
      </c>
      <c r="L8" s="268" t="e">
        <f aca="false">+#REF!</f>
        <v>#REF!</v>
      </c>
      <c r="M8" s="95" t="n">
        <v>0</v>
      </c>
      <c r="N8" s="95" t="n">
        <v>0</v>
      </c>
      <c r="O8" s="95" t="n">
        <v>0</v>
      </c>
      <c r="P8" s="95" t="n">
        <v>0</v>
      </c>
      <c r="Q8" s="95" t="n">
        <v>0</v>
      </c>
      <c r="R8" s="95" t="n">
        <v>0</v>
      </c>
      <c r="S8" s="95" t="n">
        <v>0</v>
      </c>
      <c r="T8" s="95" t="n">
        <v>0</v>
      </c>
      <c r="U8" s="95" t="n">
        <v>0</v>
      </c>
      <c r="V8" s="95" t="n">
        <v>0</v>
      </c>
      <c r="W8" s="95" t="n">
        <v>0</v>
      </c>
      <c r="X8" s="95" t="n">
        <v>0</v>
      </c>
      <c r="Y8" s="95" t="n">
        <v>0</v>
      </c>
      <c r="Z8" s="95" t="n">
        <v>0</v>
      </c>
      <c r="AA8" s="95" t="n">
        <v>0</v>
      </c>
      <c r="AB8" s="95" t="n">
        <v>0</v>
      </c>
      <c r="AC8" s="95" t="n">
        <v>0</v>
      </c>
      <c r="AD8" s="95" t="n">
        <v>0</v>
      </c>
      <c r="AE8" s="95" t="n">
        <v>0</v>
      </c>
      <c r="AF8" s="95" t="n">
        <v>0</v>
      </c>
      <c r="AI8" s="95" t="str">
        <v> TK Inventarios</v>
      </c>
      <c r="AJ8" s="95" t="n">
        <v>0</v>
      </c>
      <c r="AK8" s="95" t="n">
        <v>0</v>
      </c>
      <c r="AL8" s="95" t="n">
        <v>0</v>
      </c>
      <c r="AM8" s="95" t="n">
        <v>0</v>
      </c>
      <c r="AN8" s="95" t="n">
        <v>0</v>
      </c>
      <c r="AO8" s="95" t="n">
        <v>0</v>
      </c>
      <c r="AP8" s="95" t="n">
        <v>0</v>
      </c>
      <c r="AQ8" s="95" t="n">
        <v>0</v>
      </c>
      <c r="AR8" s="95" t="n">
        <v>0</v>
      </c>
      <c r="AS8" s="95" t="n">
        <v>0</v>
      </c>
      <c r="AT8" s="95" t="n">
        <v>1</v>
      </c>
      <c r="AU8" s="95" t="e">
        <v>#REF!</v>
      </c>
      <c r="AV8" s="95" t="n">
        <v>-1</v>
      </c>
      <c r="AW8" s="95" t="n">
        <v>-1</v>
      </c>
      <c r="AX8" s="95" t="n">
        <v>0</v>
      </c>
      <c r="AY8" s="95" t="n">
        <v>0</v>
      </c>
      <c r="AZ8" s="95" t="n">
        <v>0</v>
      </c>
      <c r="BA8" s="95" t="n">
        <v>0</v>
      </c>
      <c r="BB8" s="95" t="n">
        <v>0</v>
      </c>
      <c r="BC8" s="95" t="n">
        <v>0</v>
      </c>
      <c r="BD8" s="95" t="n">
        <v>0</v>
      </c>
      <c r="BE8" s="95" t="n">
        <v>0</v>
      </c>
      <c r="BF8" s="95" t="n">
        <v>0</v>
      </c>
      <c r="BG8" s="95" t="n">
        <v>0</v>
      </c>
      <c r="BH8" s="95" t="n">
        <v>0</v>
      </c>
      <c r="BI8" s="95" t="n">
        <v>0</v>
      </c>
      <c r="BJ8" s="95" t="n">
        <v>0</v>
      </c>
      <c r="BK8" s="95" t="n">
        <v>0</v>
      </c>
      <c r="BL8" s="95" t="n">
        <v>0</v>
      </c>
      <c r="BM8" s="95" t="n">
        <v>0</v>
      </c>
      <c r="BN8" s="95" t="n">
        <v>0</v>
      </c>
      <c r="BO8" s="95" t="n">
        <v>0</v>
      </c>
      <c r="BP8" s="95" t="n">
        <v>0</v>
      </c>
      <c r="BQ8" s="95" t="n">
        <v>0</v>
      </c>
      <c r="BR8" s="95" t="n">
        <v>0</v>
      </c>
      <c r="BS8" s="95" t="n">
        <v>0</v>
      </c>
      <c r="BT8" s="95" t="n">
        <v>0</v>
      </c>
      <c r="BU8" s="95" t="n">
        <v>0</v>
      </c>
      <c r="BV8" s="95" t="n">
        <v>0</v>
      </c>
      <c r="BW8" s="95" t="n">
        <v>0</v>
      </c>
      <c r="BX8" s="95" t="n">
        <v>0</v>
      </c>
      <c r="BY8" s="95" t="n">
        <v>0</v>
      </c>
      <c r="BZ8" s="95" t="n">
        <v>0</v>
      </c>
      <c r="CA8" s="95" t="n">
        <v>0</v>
      </c>
      <c r="CB8" s="95" t="n">
        <v>0</v>
      </c>
      <c r="CC8" s="95" t="n">
        <v>0</v>
      </c>
      <c r="CD8" s="95" t="n">
        <v>0</v>
      </c>
      <c r="CE8" s="95" t="n">
        <v>0</v>
      </c>
      <c r="CF8" s="95" t="n">
        <v>0</v>
      </c>
      <c r="CG8" s="95" t="n">
        <v>0</v>
      </c>
      <c r="CH8" s="95" t="n">
        <v>0</v>
      </c>
      <c r="CI8" s="95" t="n">
        <v>0</v>
      </c>
      <c r="CJ8" s="95" t="n">
        <v>0</v>
      </c>
      <c r="CK8" s="95" t="n">
        <v>0</v>
      </c>
      <c r="CL8" s="95" t="n">
        <v>0</v>
      </c>
    </row>
    <row r="9" customFormat="false" ht="15" hidden="false" customHeight="false" outlineLevel="0" collapsed="false">
      <c r="I9" s="95" t="n">
        <v>6</v>
      </c>
      <c r="J9" s="264" t="s">
        <v>184</v>
      </c>
      <c r="K9" s="95" t="n">
        <v>0</v>
      </c>
      <c r="L9" s="95" t="n">
        <v>-1</v>
      </c>
      <c r="M9" s="95" t="n">
        <v>1</v>
      </c>
      <c r="N9" s="95" t="n">
        <v>0</v>
      </c>
      <c r="O9" s="95" t="n">
        <v>0</v>
      </c>
      <c r="P9" s="95" t="n">
        <v>0</v>
      </c>
      <c r="Q9" s="95" t="n">
        <v>0</v>
      </c>
      <c r="R9" s="95" t="n">
        <v>0</v>
      </c>
      <c r="S9" s="95" t="n">
        <v>0</v>
      </c>
      <c r="T9" s="95" t="n">
        <v>0</v>
      </c>
      <c r="U9" s="95" t="n">
        <v>0</v>
      </c>
      <c r="V9" s="95" t="n">
        <v>0</v>
      </c>
      <c r="W9" s="95" t="n">
        <v>0</v>
      </c>
      <c r="X9" s="95" t="n">
        <v>0</v>
      </c>
      <c r="Y9" s="95" t="n">
        <v>0</v>
      </c>
      <c r="Z9" s="95" t="n">
        <v>0</v>
      </c>
      <c r="AA9" s="95" t="n">
        <v>0</v>
      </c>
      <c r="AB9" s="95" t="n">
        <v>0</v>
      </c>
      <c r="AC9" s="95" t="n">
        <v>0</v>
      </c>
      <c r="AD9" s="95" t="n">
        <v>0</v>
      </c>
      <c r="AE9" s="95" t="n">
        <v>0</v>
      </c>
      <c r="AF9" s="95" t="n">
        <v>0</v>
      </c>
      <c r="AI9" s="95" t="str">
        <v>Filtrado</v>
      </c>
      <c r="AJ9" s="95" t="n">
        <v>0</v>
      </c>
      <c r="AK9" s="95" t="n">
        <v>0</v>
      </c>
      <c r="AL9" s="95" t="n">
        <v>0</v>
      </c>
      <c r="AM9" s="95" t="n">
        <v>0</v>
      </c>
      <c r="AN9" s="95" t="n">
        <v>0</v>
      </c>
      <c r="AO9" s="95" t="n">
        <v>0</v>
      </c>
      <c r="AP9" s="95" t="n">
        <v>0</v>
      </c>
      <c r="AQ9" s="95" t="n">
        <v>0</v>
      </c>
      <c r="AR9" s="95" t="n">
        <v>0</v>
      </c>
      <c r="AS9" s="95" t="n">
        <v>0</v>
      </c>
      <c r="AT9" s="95" t="n">
        <v>0</v>
      </c>
      <c r="AU9" s="95" t="n">
        <v>0</v>
      </c>
      <c r="AV9" s="95" t="n">
        <v>0</v>
      </c>
      <c r="AW9" s="95" t="n">
        <v>1</v>
      </c>
      <c r="AX9" s="95" t="n">
        <v>-1</v>
      </c>
      <c r="AY9" s="95" t="n">
        <v>-1</v>
      </c>
      <c r="AZ9" s="95" t="n">
        <v>-1</v>
      </c>
      <c r="BA9" s="95" t="n">
        <v>0</v>
      </c>
      <c r="BB9" s="95" t="n">
        <v>0</v>
      </c>
      <c r="BC9" s="95" t="n">
        <v>0</v>
      </c>
      <c r="BD9" s="95" t="n">
        <v>0</v>
      </c>
      <c r="BE9" s="95" t="n">
        <v>0</v>
      </c>
      <c r="BF9" s="95" t="n">
        <v>0</v>
      </c>
      <c r="BG9" s="95" t="n">
        <v>0</v>
      </c>
      <c r="BH9" s="95" t="n">
        <v>0</v>
      </c>
      <c r="BI9" s="95" t="n">
        <v>0</v>
      </c>
      <c r="BJ9" s="95" t="n">
        <v>0</v>
      </c>
      <c r="BK9" s="95" t="n">
        <v>0</v>
      </c>
      <c r="BL9" s="95" t="n">
        <v>0</v>
      </c>
      <c r="BM9" s="95" t="n">
        <v>0</v>
      </c>
      <c r="BN9" s="95" t="n">
        <v>0</v>
      </c>
      <c r="BO9" s="95" t="n">
        <v>0</v>
      </c>
      <c r="BP9" s="95" t="n">
        <v>0</v>
      </c>
      <c r="BQ9" s="95" t="n">
        <v>0</v>
      </c>
      <c r="BR9" s="95" t="n">
        <v>0</v>
      </c>
      <c r="BS9" s="95" t="n">
        <v>0</v>
      </c>
      <c r="BT9" s="95" t="n">
        <v>0</v>
      </c>
      <c r="BU9" s="95" t="n">
        <v>0</v>
      </c>
      <c r="BV9" s="95" t="n">
        <v>0</v>
      </c>
      <c r="BW9" s="95" t="n">
        <v>0</v>
      </c>
      <c r="BX9" s="95" t="n">
        <v>0</v>
      </c>
      <c r="BY9" s="95" t="n">
        <v>0</v>
      </c>
      <c r="BZ9" s="95" t="n">
        <v>0</v>
      </c>
      <c r="CA9" s="95" t="n">
        <v>0</v>
      </c>
      <c r="CB9" s="95" t="n">
        <v>0</v>
      </c>
      <c r="CC9" s="95" t="n">
        <v>0</v>
      </c>
      <c r="CD9" s="95" t="n">
        <v>0</v>
      </c>
      <c r="CE9" s="95" t="n">
        <v>0</v>
      </c>
      <c r="CF9" s="95" t="n">
        <v>0</v>
      </c>
      <c r="CG9" s="95" t="n">
        <v>0</v>
      </c>
      <c r="CH9" s="95" t="n">
        <v>0</v>
      </c>
      <c r="CI9" s="95" t="n">
        <v>0</v>
      </c>
      <c r="CJ9" s="95" t="n">
        <v>0</v>
      </c>
      <c r="CK9" s="95" t="n">
        <v>0</v>
      </c>
      <c r="CL9" s="95" t="n">
        <v>0</v>
      </c>
    </row>
    <row r="10" customFormat="false" ht="15" hidden="false" customHeight="false" outlineLevel="0" collapsed="false">
      <c r="I10" s="95" t="n">
        <v>7</v>
      </c>
      <c r="J10" s="266" t="s">
        <v>185</v>
      </c>
      <c r="K10" s="95" t="n">
        <v>0</v>
      </c>
      <c r="L10" s="95" t="n">
        <v>0</v>
      </c>
      <c r="M10" s="268" t="e">
        <f aca="false">+#REF!</f>
        <v>#REF!</v>
      </c>
      <c r="N10" s="95" t="n">
        <v>0</v>
      </c>
      <c r="O10" s="95" t="n">
        <v>0</v>
      </c>
      <c r="P10" s="95" t="n">
        <v>0</v>
      </c>
      <c r="Q10" s="95" t="n">
        <v>0</v>
      </c>
      <c r="R10" s="95" t="n">
        <v>0</v>
      </c>
      <c r="S10" s="95" t="n">
        <v>0</v>
      </c>
      <c r="T10" s="95" t="n">
        <v>0</v>
      </c>
      <c r="U10" s="95" t="n">
        <v>0</v>
      </c>
      <c r="V10" s="95" t="n">
        <v>0</v>
      </c>
      <c r="W10" s="95" t="n">
        <v>0</v>
      </c>
      <c r="X10" s="95" t="n">
        <v>0</v>
      </c>
      <c r="Y10" s="95" t="n">
        <v>0</v>
      </c>
      <c r="Z10" s="95" t="n">
        <v>0</v>
      </c>
      <c r="AA10" s="95" t="n">
        <v>0</v>
      </c>
      <c r="AB10" s="95" t="n">
        <v>0</v>
      </c>
      <c r="AC10" s="95" t="n">
        <v>0</v>
      </c>
      <c r="AD10" s="95" t="n">
        <v>0</v>
      </c>
      <c r="AE10" s="95" t="n">
        <v>0</v>
      </c>
      <c r="AF10" s="95" t="n">
        <v>0</v>
      </c>
      <c r="AI10" s="95" t="str">
        <v>Nodo Producto Filtrado  </v>
      </c>
      <c r="AJ10" s="95" t="n">
        <v>0</v>
      </c>
      <c r="AK10" s="95" t="n">
        <v>0</v>
      </c>
      <c r="AL10" s="95" t="n">
        <v>0</v>
      </c>
      <c r="AM10" s="95" t="n">
        <v>0</v>
      </c>
      <c r="AN10" s="95" t="n">
        <v>0</v>
      </c>
      <c r="AO10" s="95" t="n">
        <v>0</v>
      </c>
      <c r="AP10" s="95" t="n">
        <v>0</v>
      </c>
      <c r="AQ10" s="95" t="n">
        <v>0</v>
      </c>
      <c r="AR10" s="95" t="n">
        <v>0</v>
      </c>
      <c r="AS10" s="95" t="n">
        <v>0</v>
      </c>
      <c r="AT10" s="95" t="n">
        <v>0</v>
      </c>
      <c r="AU10" s="95" t="n">
        <v>0</v>
      </c>
      <c r="AV10" s="95" t="n">
        <v>0</v>
      </c>
      <c r="AW10" s="95" t="n">
        <v>0</v>
      </c>
      <c r="AX10" s="95" t="n">
        <v>1</v>
      </c>
      <c r="AY10" s="95" t="n">
        <v>0</v>
      </c>
      <c r="AZ10" s="95" t="n">
        <v>0</v>
      </c>
      <c r="BA10" s="95" t="n">
        <v>-1</v>
      </c>
      <c r="BB10" s="95" t="n">
        <v>0</v>
      </c>
      <c r="BC10" s="95" t="n">
        <v>0</v>
      </c>
      <c r="BD10" s="95" t="n">
        <v>0</v>
      </c>
      <c r="BE10" s="95" t="n">
        <v>-1</v>
      </c>
      <c r="BF10" s="95" t="n">
        <v>0</v>
      </c>
      <c r="BG10" s="95" t="n">
        <v>0</v>
      </c>
      <c r="BH10" s="95" t="n">
        <v>0</v>
      </c>
      <c r="BI10" s="95" t="n">
        <v>0</v>
      </c>
      <c r="BJ10" s="95" t="n">
        <v>0</v>
      </c>
      <c r="BK10" s="95" t="n">
        <v>0</v>
      </c>
      <c r="BL10" s="95" t="n">
        <v>0</v>
      </c>
      <c r="BM10" s="95" t="n">
        <v>0</v>
      </c>
      <c r="BN10" s="95" t="n">
        <v>0</v>
      </c>
      <c r="BO10" s="95" t="n">
        <v>0</v>
      </c>
      <c r="BP10" s="95" t="n">
        <v>0</v>
      </c>
      <c r="BQ10" s="95" t="n">
        <v>0</v>
      </c>
      <c r="BR10" s="95" t="n">
        <v>0</v>
      </c>
      <c r="BS10" s="95" t="n">
        <v>0</v>
      </c>
      <c r="BT10" s="95" t="n">
        <v>0</v>
      </c>
      <c r="BU10" s="95" t="n">
        <v>0</v>
      </c>
      <c r="BV10" s="95" t="n">
        <v>0</v>
      </c>
      <c r="BW10" s="95" t="n">
        <v>0</v>
      </c>
      <c r="BX10" s="95" t="n">
        <v>0</v>
      </c>
      <c r="BY10" s="95" t="n">
        <v>0</v>
      </c>
      <c r="BZ10" s="95" t="n">
        <v>0</v>
      </c>
      <c r="CA10" s="95" t="n">
        <v>0</v>
      </c>
      <c r="CB10" s="95" t="n">
        <v>0</v>
      </c>
      <c r="CC10" s="95" t="n">
        <v>0</v>
      </c>
      <c r="CD10" s="95" t="n">
        <v>0</v>
      </c>
      <c r="CE10" s="95" t="n">
        <v>0</v>
      </c>
      <c r="CF10" s="95" t="n">
        <v>0</v>
      </c>
      <c r="CG10" s="95" t="n">
        <v>0</v>
      </c>
      <c r="CH10" s="95" t="n">
        <v>0</v>
      </c>
      <c r="CI10" s="95" t="n">
        <v>0</v>
      </c>
      <c r="CJ10" s="95" t="n">
        <v>0</v>
      </c>
      <c r="CK10" s="95" t="n">
        <v>0</v>
      </c>
      <c r="CL10" s="95" t="n">
        <v>0</v>
      </c>
    </row>
    <row r="11" customFormat="false" ht="15" hidden="false" customHeight="false" outlineLevel="0" collapsed="false">
      <c r="I11" s="95" t="n">
        <v>8</v>
      </c>
      <c r="J11" s="267" t="s">
        <v>186</v>
      </c>
      <c r="K11" s="95" t="n">
        <v>0</v>
      </c>
      <c r="L11" s="95" t="n">
        <v>0</v>
      </c>
      <c r="M11" s="95" t="n">
        <v>-1</v>
      </c>
      <c r="N11" s="95" t="n">
        <v>1</v>
      </c>
      <c r="O11" s="95" t="n">
        <v>0</v>
      </c>
      <c r="P11" s="95" t="n">
        <v>0</v>
      </c>
      <c r="Q11" s="95" t="n">
        <v>0</v>
      </c>
      <c r="R11" s="95" t="n">
        <v>0</v>
      </c>
      <c r="S11" s="95" t="n">
        <v>0</v>
      </c>
      <c r="T11" s="95" t="n">
        <v>0</v>
      </c>
      <c r="U11" s="95" t="n">
        <v>0</v>
      </c>
      <c r="V11" s="95" t="n">
        <v>0</v>
      </c>
      <c r="W11" s="95" t="n">
        <v>0</v>
      </c>
      <c r="X11" s="95" t="n">
        <v>0</v>
      </c>
      <c r="Y11" s="95" t="n">
        <v>0</v>
      </c>
      <c r="Z11" s="95" t="n">
        <v>0</v>
      </c>
      <c r="AA11" s="95" t="n">
        <v>0</v>
      </c>
      <c r="AB11" s="95" t="n">
        <v>0</v>
      </c>
      <c r="AC11" s="95" t="n">
        <v>0</v>
      </c>
      <c r="AD11" s="95" t="n">
        <v>0</v>
      </c>
      <c r="AE11" s="95" t="n">
        <v>0</v>
      </c>
      <c r="AF11" s="95" t="n">
        <v>0</v>
      </c>
      <c r="AI11" s="95" t="str">
        <v>Stock Pila Intermedia</v>
      </c>
      <c r="AJ11" s="95" t="n">
        <v>0</v>
      </c>
      <c r="AK11" s="95" t="n">
        <v>0</v>
      </c>
      <c r="AL11" s="95" t="n">
        <v>0</v>
      </c>
      <c r="AM11" s="95" t="n">
        <v>0</v>
      </c>
      <c r="AN11" s="95" t="n">
        <v>0</v>
      </c>
      <c r="AO11" s="95" t="n">
        <v>0</v>
      </c>
      <c r="AP11" s="95" t="n">
        <v>0</v>
      </c>
      <c r="AQ11" s="95" t="n">
        <v>0</v>
      </c>
      <c r="AR11" s="95" t="n">
        <v>0</v>
      </c>
      <c r="AS11" s="95" t="n">
        <v>0</v>
      </c>
      <c r="AT11" s="95" t="n">
        <v>0</v>
      </c>
      <c r="AU11" s="95" t="n">
        <v>0</v>
      </c>
      <c r="AV11" s="95" t="n">
        <v>0</v>
      </c>
      <c r="AW11" s="95" t="n">
        <v>0</v>
      </c>
      <c r="AX11" s="95" t="n">
        <v>0</v>
      </c>
      <c r="AY11" s="95" t="n">
        <v>0</v>
      </c>
      <c r="AZ11" s="95" t="n">
        <v>0</v>
      </c>
      <c r="BA11" s="95" t="n">
        <v>1</v>
      </c>
      <c r="BB11" s="95" t="e">
        <v>#REF!</v>
      </c>
      <c r="BC11" s="95" t="n">
        <v>-1</v>
      </c>
      <c r="BD11" s="95" t="n">
        <v>-1</v>
      </c>
      <c r="BE11" s="95" t="n">
        <v>0</v>
      </c>
      <c r="BF11" s="95" t="n">
        <v>0</v>
      </c>
      <c r="BG11" s="95" t="n">
        <v>0</v>
      </c>
      <c r="BH11" s="95" t="n">
        <v>0</v>
      </c>
      <c r="BI11" s="95" t="n">
        <v>0</v>
      </c>
      <c r="BJ11" s="95" t="n">
        <v>0</v>
      </c>
      <c r="BK11" s="95" t="n">
        <v>0</v>
      </c>
      <c r="BL11" s="95" t="n">
        <v>0</v>
      </c>
      <c r="BM11" s="95" t="n">
        <v>0</v>
      </c>
      <c r="BN11" s="95" t="n">
        <v>0</v>
      </c>
      <c r="BO11" s="95" t="n">
        <v>0</v>
      </c>
      <c r="BP11" s="95" t="n">
        <v>0</v>
      </c>
      <c r="BQ11" s="95" t="n">
        <v>0</v>
      </c>
      <c r="BR11" s="95" t="n">
        <v>0</v>
      </c>
      <c r="BS11" s="95" t="n">
        <v>0</v>
      </c>
      <c r="BT11" s="95" t="n">
        <v>0</v>
      </c>
      <c r="BU11" s="95" t="n">
        <v>0</v>
      </c>
      <c r="BV11" s="95" t="n">
        <v>0</v>
      </c>
      <c r="BW11" s="95" t="n">
        <v>0</v>
      </c>
      <c r="BX11" s="95" t="n">
        <v>0</v>
      </c>
      <c r="BY11" s="95" t="n">
        <v>0</v>
      </c>
      <c r="BZ11" s="95" t="n">
        <v>0</v>
      </c>
      <c r="CA11" s="95" t="n">
        <v>0</v>
      </c>
      <c r="CB11" s="95" t="n">
        <v>0</v>
      </c>
      <c r="CC11" s="95" t="n">
        <v>0</v>
      </c>
      <c r="CD11" s="95" t="n">
        <v>0</v>
      </c>
      <c r="CE11" s="95" t="n">
        <v>0</v>
      </c>
      <c r="CF11" s="95" t="n">
        <v>0</v>
      </c>
      <c r="CG11" s="95" t="n">
        <v>0</v>
      </c>
      <c r="CH11" s="95" t="n">
        <v>0</v>
      </c>
      <c r="CI11" s="95" t="n">
        <v>0</v>
      </c>
      <c r="CJ11" s="95" t="n">
        <v>0</v>
      </c>
      <c r="CK11" s="95" t="n">
        <v>0</v>
      </c>
      <c r="CL11" s="95" t="n">
        <v>0</v>
      </c>
    </row>
    <row r="12" customFormat="false" ht="15" hidden="false" customHeight="false" outlineLevel="0" collapsed="false">
      <c r="I12" s="95" t="n">
        <v>9</v>
      </c>
      <c r="J12" s="269" t="s">
        <v>187</v>
      </c>
      <c r="K12" s="95" t="n">
        <v>0</v>
      </c>
      <c r="L12" s="95" t="n">
        <v>0</v>
      </c>
      <c r="M12" s="95" t="n">
        <v>0</v>
      </c>
      <c r="N12" s="95" t="n">
        <v>-1</v>
      </c>
      <c r="O12" s="95" t="n">
        <v>0</v>
      </c>
      <c r="P12" s="95" t="n">
        <v>0</v>
      </c>
      <c r="Q12" s="95" t="n">
        <v>0</v>
      </c>
      <c r="R12" s="95" t="n">
        <v>0</v>
      </c>
      <c r="S12" s="95" t="n">
        <v>0</v>
      </c>
      <c r="T12" s="95" t="n">
        <v>0</v>
      </c>
      <c r="U12" s="95" t="n">
        <v>0</v>
      </c>
      <c r="V12" s="95" t="n">
        <v>1</v>
      </c>
      <c r="W12" s="95" t="n">
        <v>0</v>
      </c>
      <c r="X12" s="95" t="n">
        <v>0</v>
      </c>
      <c r="Y12" s="95" t="n">
        <v>0</v>
      </c>
      <c r="Z12" s="95" t="n">
        <v>0</v>
      </c>
      <c r="AA12" s="95" t="n">
        <v>0</v>
      </c>
      <c r="AB12" s="95" t="n">
        <v>0</v>
      </c>
      <c r="AC12" s="95" t="n">
        <v>0</v>
      </c>
      <c r="AD12" s="95" t="n">
        <v>0</v>
      </c>
      <c r="AE12" s="95" t="n">
        <v>0</v>
      </c>
      <c r="AF12" s="95" t="n">
        <v>0</v>
      </c>
      <c r="AI12" s="95" t="str">
        <v>Stock Pellet Feed</v>
      </c>
      <c r="AJ12" s="95" t="n">
        <v>0</v>
      </c>
      <c r="AK12" s="95" t="n">
        <v>0</v>
      </c>
      <c r="AL12" s="95" t="n">
        <v>0</v>
      </c>
      <c r="AM12" s="95" t="n">
        <v>0</v>
      </c>
      <c r="AN12" s="95" t="n">
        <v>0</v>
      </c>
      <c r="AO12" s="95" t="n">
        <v>0</v>
      </c>
      <c r="AP12" s="95" t="n">
        <v>0</v>
      </c>
      <c r="AQ12" s="95" t="n">
        <v>0</v>
      </c>
      <c r="AR12" s="95" t="n">
        <v>0</v>
      </c>
      <c r="AS12" s="95" t="n">
        <v>0</v>
      </c>
      <c r="AT12" s="95" t="n">
        <v>0</v>
      </c>
      <c r="AU12" s="95" t="n">
        <v>0</v>
      </c>
      <c r="AV12" s="95" t="n">
        <v>0</v>
      </c>
      <c r="AW12" s="95" t="n">
        <v>0</v>
      </c>
      <c r="AX12" s="95" t="n">
        <v>0</v>
      </c>
      <c r="AY12" s="95" t="n">
        <v>0</v>
      </c>
      <c r="AZ12" s="95" t="n">
        <v>0</v>
      </c>
      <c r="BA12" s="95" t="n">
        <v>0</v>
      </c>
      <c r="BB12" s="95" t="n">
        <v>0</v>
      </c>
      <c r="BC12" s="95" t="n">
        <v>0</v>
      </c>
      <c r="BD12" s="95" t="n">
        <v>1</v>
      </c>
      <c r="BE12" s="95" t="n">
        <v>1</v>
      </c>
      <c r="BF12" s="95" t="e">
        <v>#REF!</v>
      </c>
      <c r="BG12" s="95" t="n">
        <v>-1</v>
      </c>
      <c r="BH12" s="95" t="n">
        <v>0</v>
      </c>
      <c r="BI12" s="95" t="n">
        <v>0</v>
      </c>
      <c r="BJ12" s="95" t="n">
        <v>0</v>
      </c>
      <c r="BK12" s="95" t="n">
        <v>0</v>
      </c>
      <c r="BL12" s="95" t="n">
        <v>0</v>
      </c>
      <c r="BM12" s="95" t="n">
        <v>0</v>
      </c>
      <c r="BN12" s="95" t="n">
        <v>0</v>
      </c>
      <c r="BO12" s="95" t="n">
        <v>0</v>
      </c>
      <c r="BP12" s="95" t="n">
        <v>0</v>
      </c>
      <c r="BQ12" s="95" t="n">
        <v>0</v>
      </c>
      <c r="BR12" s="95" t="n">
        <v>0</v>
      </c>
      <c r="BS12" s="95" t="n">
        <v>0</v>
      </c>
      <c r="BT12" s="95" t="n">
        <v>0</v>
      </c>
      <c r="BU12" s="95" t="n">
        <v>0</v>
      </c>
      <c r="BV12" s="95" t="n">
        <v>0</v>
      </c>
      <c r="BW12" s="95" t="n">
        <v>0</v>
      </c>
      <c r="BX12" s="95" t="n">
        <v>0</v>
      </c>
      <c r="BY12" s="95" t="n">
        <v>0</v>
      </c>
      <c r="BZ12" s="95" t="n">
        <v>0</v>
      </c>
      <c r="CA12" s="95" t="n">
        <v>0</v>
      </c>
      <c r="CB12" s="95" t="n">
        <v>0</v>
      </c>
      <c r="CC12" s="95" t="n">
        <v>0</v>
      </c>
      <c r="CD12" s="95" t="n">
        <v>0</v>
      </c>
      <c r="CE12" s="95" t="n">
        <v>0</v>
      </c>
      <c r="CF12" s="95" t="n">
        <v>0</v>
      </c>
      <c r="CG12" s="95" t="n">
        <v>0</v>
      </c>
      <c r="CH12" s="95" t="n">
        <v>0</v>
      </c>
      <c r="CI12" s="95" t="n">
        <v>0</v>
      </c>
      <c r="CJ12" s="95" t="n">
        <v>0</v>
      </c>
      <c r="CK12" s="95" t="n">
        <v>0</v>
      </c>
      <c r="CL12" s="95" t="n">
        <v>0</v>
      </c>
    </row>
    <row r="13" customFormat="false" ht="15" hidden="false" customHeight="false" outlineLevel="0" collapsed="false">
      <c r="I13" s="95" t="n">
        <v>10</v>
      </c>
      <c r="J13" s="267" t="s">
        <v>188</v>
      </c>
      <c r="K13" s="95" t="n">
        <v>0</v>
      </c>
      <c r="L13" s="95" t="n">
        <v>0</v>
      </c>
      <c r="M13" s="95" t="n">
        <v>0</v>
      </c>
      <c r="N13" s="95" t="n">
        <v>-1</v>
      </c>
      <c r="O13" s="95" t="n">
        <v>0</v>
      </c>
      <c r="P13" s="95" t="n">
        <v>0</v>
      </c>
      <c r="Q13" s="95" t="n">
        <v>0</v>
      </c>
      <c r="R13" s="95" t="n">
        <v>0</v>
      </c>
      <c r="S13" s="95" t="n">
        <v>0</v>
      </c>
      <c r="T13" s="95" t="n">
        <v>0</v>
      </c>
      <c r="U13" s="95" t="n">
        <v>0</v>
      </c>
      <c r="V13" s="95" t="n">
        <v>0</v>
      </c>
      <c r="W13" s="95" t="n">
        <v>0</v>
      </c>
      <c r="X13" s="95" t="n">
        <v>0</v>
      </c>
      <c r="Y13" s="95" t="n">
        <v>0</v>
      </c>
      <c r="Z13" s="95" t="n">
        <v>0</v>
      </c>
      <c r="AA13" s="95" t="n">
        <v>0</v>
      </c>
      <c r="AB13" s="95" t="n">
        <v>0</v>
      </c>
      <c r="AC13" s="95" t="n">
        <v>0</v>
      </c>
      <c r="AD13" s="95" t="n">
        <v>0</v>
      </c>
      <c r="AE13" s="95" t="n">
        <v>0</v>
      </c>
      <c r="AF13" s="95" t="n">
        <v>0</v>
      </c>
      <c r="AI13" s="95" t="str">
        <v>Balling</v>
      </c>
      <c r="AJ13" s="95" t="n">
        <v>0</v>
      </c>
      <c r="AK13" s="95" t="n">
        <v>0</v>
      </c>
      <c r="AL13" s="95" t="n">
        <v>0</v>
      </c>
      <c r="AM13" s="95" t="n">
        <v>0</v>
      </c>
      <c r="AN13" s="95" t="n">
        <v>0</v>
      </c>
      <c r="AO13" s="95" t="n">
        <v>0</v>
      </c>
      <c r="AP13" s="95" t="n">
        <v>0</v>
      </c>
      <c r="AQ13" s="95" t="n">
        <v>0</v>
      </c>
      <c r="AR13" s="95" t="n">
        <v>0</v>
      </c>
      <c r="AS13" s="95" t="n">
        <v>0</v>
      </c>
      <c r="AT13" s="95" t="n">
        <v>0</v>
      </c>
      <c r="AU13" s="95" t="n">
        <v>0</v>
      </c>
      <c r="AV13" s="95" t="n">
        <v>0</v>
      </c>
      <c r="AW13" s="95" t="n">
        <v>0</v>
      </c>
      <c r="AX13" s="95" t="n">
        <v>0</v>
      </c>
      <c r="AY13" s="95" t="n">
        <v>1</v>
      </c>
      <c r="AZ13" s="95" t="n">
        <v>0</v>
      </c>
      <c r="BA13" s="95" t="n">
        <v>0</v>
      </c>
      <c r="BB13" s="95" t="n">
        <v>0</v>
      </c>
      <c r="BC13" s="95" t="n">
        <v>1</v>
      </c>
      <c r="BD13" s="95" t="n">
        <v>0</v>
      </c>
      <c r="BE13" s="95" t="n">
        <v>0</v>
      </c>
      <c r="BF13" s="95" t="n">
        <v>0</v>
      </c>
      <c r="BG13" s="95" t="n">
        <v>0</v>
      </c>
      <c r="BH13" s="95" t="n">
        <v>1</v>
      </c>
      <c r="BI13" s="95" t="n">
        <v>-1</v>
      </c>
      <c r="BJ13" s="95" t="n">
        <v>0</v>
      </c>
      <c r="BK13" s="95" t="n">
        <v>0</v>
      </c>
      <c r="BL13" s="95" t="n">
        <v>0</v>
      </c>
      <c r="BM13" s="95" t="n">
        <v>0</v>
      </c>
      <c r="BN13" s="95" t="n">
        <v>0</v>
      </c>
      <c r="BO13" s="95" t="n">
        <v>0</v>
      </c>
      <c r="BP13" s="95" t="n">
        <v>0</v>
      </c>
      <c r="BQ13" s="95" t="n">
        <v>0</v>
      </c>
      <c r="BR13" s="95" t="n">
        <v>0</v>
      </c>
      <c r="BS13" s="95" t="n">
        <v>0</v>
      </c>
      <c r="BT13" s="95" t="n">
        <v>0</v>
      </c>
      <c r="BU13" s="95" t="n">
        <v>0</v>
      </c>
      <c r="BV13" s="95" t="n">
        <v>0</v>
      </c>
      <c r="BW13" s="95" t="n">
        <v>0</v>
      </c>
      <c r="BX13" s="95" t="n">
        <v>0</v>
      </c>
      <c r="BY13" s="95" t="n">
        <v>0</v>
      </c>
      <c r="BZ13" s="95" t="n">
        <v>0</v>
      </c>
      <c r="CA13" s="95" t="n">
        <v>0</v>
      </c>
      <c r="CB13" s="95" t="n">
        <v>0</v>
      </c>
      <c r="CC13" s="95" t="n">
        <v>0</v>
      </c>
      <c r="CD13" s="95" t="n">
        <v>0</v>
      </c>
      <c r="CE13" s="95" t="n">
        <v>0</v>
      </c>
      <c r="CF13" s="95" t="n">
        <v>0</v>
      </c>
      <c r="CG13" s="95" t="n">
        <v>0</v>
      </c>
      <c r="CH13" s="95" t="n">
        <v>0</v>
      </c>
      <c r="CI13" s="95" t="n">
        <v>0</v>
      </c>
      <c r="CJ13" s="95" t="n">
        <v>0</v>
      </c>
      <c r="CK13" s="95" t="n">
        <v>0</v>
      </c>
      <c r="CL13" s="95" t="n">
        <v>0</v>
      </c>
    </row>
    <row r="14" customFormat="false" ht="15" hidden="false" customHeight="false" outlineLevel="0" collapsed="false">
      <c r="I14" s="95" t="n">
        <v>11</v>
      </c>
      <c r="J14" s="264" t="s">
        <v>189</v>
      </c>
      <c r="K14" s="95" t="n">
        <v>0</v>
      </c>
      <c r="L14" s="95" t="n">
        <v>0</v>
      </c>
      <c r="M14" s="95" t="n">
        <v>0</v>
      </c>
      <c r="N14" s="95" t="n">
        <v>-1</v>
      </c>
      <c r="O14" s="95" t="n">
        <v>1</v>
      </c>
      <c r="P14" s="95" t="n">
        <v>0</v>
      </c>
      <c r="Q14" s="95" t="n">
        <v>0</v>
      </c>
      <c r="R14" s="95" t="n">
        <v>0</v>
      </c>
      <c r="S14" s="95" t="n">
        <v>0</v>
      </c>
      <c r="T14" s="95" t="n">
        <v>0</v>
      </c>
      <c r="U14" s="95" t="n">
        <v>0</v>
      </c>
      <c r="V14" s="95" t="n">
        <v>0</v>
      </c>
      <c r="W14" s="95" t="n">
        <v>0</v>
      </c>
      <c r="X14" s="95" t="n">
        <v>0</v>
      </c>
      <c r="Y14" s="95" t="n">
        <v>0</v>
      </c>
      <c r="Z14" s="95" t="n">
        <v>0</v>
      </c>
      <c r="AA14" s="95" t="n">
        <v>0</v>
      </c>
      <c r="AB14" s="95" t="n">
        <v>0</v>
      </c>
      <c r="AC14" s="95" t="n">
        <v>0</v>
      </c>
      <c r="AD14" s="95" t="n">
        <v>0</v>
      </c>
      <c r="AE14" s="95" t="n">
        <v>0</v>
      </c>
      <c r="AF14" s="95" t="n">
        <v>0</v>
      </c>
      <c r="AI14" s="95" t="str">
        <v>Endurecimiento Térmico</v>
      </c>
      <c r="AJ14" s="95" t="n">
        <v>0</v>
      </c>
      <c r="AK14" s="95" t="n">
        <v>0</v>
      </c>
      <c r="AL14" s="95" t="n">
        <v>0</v>
      </c>
      <c r="AM14" s="95" t="n">
        <v>0</v>
      </c>
      <c r="AN14" s="95" t="n">
        <v>0</v>
      </c>
      <c r="AO14" s="95" t="n">
        <v>0</v>
      </c>
      <c r="AP14" s="95" t="n">
        <v>0</v>
      </c>
      <c r="AQ14" s="95" t="n">
        <v>0</v>
      </c>
      <c r="AR14" s="95" t="n">
        <v>0</v>
      </c>
      <c r="AS14" s="95" t="n">
        <v>0</v>
      </c>
      <c r="AT14" s="95" t="n">
        <v>0</v>
      </c>
      <c r="AU14" s="95" t="n">
        <v>0</v>
      </c>
      <c r="AV14" s="95" t="n">
        <v>0</v>
      </c>
      <c r="AW14" s="95" t="n">
        <v>0</v>
      </c>
      <c r="AX14" s="95" t="n">
        <v>0</v>
      </c>
      <c r="AY14" s="95" t="n">
        <v>0</v>
      </c>
      <c r="AZ14" s="95" t="n">
        <v>0</v>
      </c>
      <c r="BA14" s="95" t="n">
        <v>0</v>
      </c>
      <c r="BB14" s="95" t="n">
        <v>0</v>
      </c>
      <c r="BC14" s="95" t="n">
        <v>0</v>
      </c>
      <c r="BD14" s="95" t="n">
        <v>0</v>
      </c>
      <c r="BE14" s="95" t="n">
        <v>0</v>
      </c>
      <c r="BF14" s="95" t="n">
        <v>0</v>
      </c>
      <c r="BG14" s="95" t="n">
        <v>0</v>
      </c>
      <c r="BH14" s="95" t="n">
        <v>0</v>
      </c>
      <c r="BI14" s="95" t="n">
        <v>1</v>
      </c>
      <c r="BJ14" s="95" t="n">
        <v>-1</v>
      </c>
      <c r="BK14" s="95" t="n">
        <v>0</v>
      </c>
      <c r="BL14" s="95" t="n">
        <v>-1</v>
      </c>
      <c r="BM14" s="95" t="n">
        <v>0</v>
      </c>
      <c r="BN14" s="95" t="n">
        <v>1</v>
      </c>
      <c r="BO14" s="95" t="n">
        <v>-1</v>
      </c>
      <c r="BP14" s="95" t="n">
        <v>-1</v>
      </c>
      <c r="BQ14" s="95" t="n">
        <v>0</v>
      </c>
      <c r="BR14" s="95" t="n">
        <v>0</v>
      </c>
      <c r="BS14" s="95" t="n">
        <v>0</v>
      </c>
      <c r="BT14" s="95" t="n">
        <v>0</v>
      </c>
      <c r="BU14" s="95" t="n">
        <v>0</v>
      </c>
      <c r="BV14" s="95" t="n">
        <v>0</v>
      </c>
      <c r="BW14" s="95" t="n">
        <v>0</v>
      </c>
      <c r="BX14" s="95" t="n">
        <v>0</v>
      </c>
      <c r="BY14" s="95" t="n">
        <v>0</v>
      </c>
      <c r="BZ14" s="95" t="n">
        <v>0</v>
      </c>
      <c r="CA14" s="95" t="n">
        <v>0</v>
      </c>
      <c r="CB14" s="95" t="n">
        <v>0</v>
      </c>
      <c r="CC14" s="95" t="n">
        <v>0</v>
      </c>
      <c r="CD14" s="95" t="n">
        <v>0</v>
      </c>
      <c r="CE14" s="95" t="n">
        <v>0</v>
      </c>
      <c r="CF14" s="95" t="n">
        <v>0</v>
      </c>
      <c r="CG14" s="95" t="n">
        <v>0</v>
      </c>
      <c r="CH14" s="95" t="n">
        <v>0</v>
      </c>
      <c r="CI14" s="95" t="n">
        <v>0</v>
      </c>
      <c r="CJ14" s="95" t="n">
        <v>0</v>
      </c>
      <c r="CK14" s="95" t="n">
        <v>0</v>
      </c>
      <c r="CL14" s="95" t="n">
        <v>0</v>
      </c>
    </row>
    <row r="15" customFormat="false" ht="15" hidden="false" customHeight="false" outlineLevel="0" collapsed="false">
      <c r="I15" s="95" t="n">
        <v>12</v>
      </c>
      <c r="J15" s="265" t="s">
        <v>190</v>
      </c>
      <c r="K15" s="95" t="n">
        <v>0</v>
      </c>
      <c r="L15" s="95" t="n">
        <v>0</v>
      </c>
      <c r="M15" s="95" t="n">
        <v>0</v>
      </c>
      <c r="N15" s="95" t="n">
        <v>0</v>
      </c>
      <c r="O15" s="268" t="e">
        <f aca="false">+#REF!</f>
        <v>#REF!</v>
      </c>
      <c r="P15" s="95" t="n">
        <v>0</v>
      </c>
      <c r="Q15" s="95" t="n">
        <v>0</v>
      </c>
      <c r="R15" s="95" t="n">
        <v>0</v>
      </c>
      <c r="S15" s="95" t="n">
        <v>0</v>
      </c>
      <c r="T15" s="95" t="n">
        <v>0</v>
      </c>
      <c r="U15" s="95" t="n">
        <v>0</v>
      </c>
      <c r="V15" s="95" t="n">
        <v>0</v>
      </c>
      <c r="W15" s="95" t="n">
        <v>0</v>
      </c>
      <c r="X15" s="95" t="n">
        <v>0</v>
      </c>
      <c r="Y15" s="95" t="n">
        <v>0</v>
      </c>
      <c r="Z15" s="95" t="n">
        <v>0</v>
      </c>
      <c r="AA15" s="95" t="n">
        <v>0</v>
      </c>
      <c r="AB15" s="95" t="n">
        <v>0</v>
      </c>
      <c r="AC15" s="95" t="n">
        <v>0</v>
      </c>
      <c r="AD15" s="95" t="n">
        <v>0</v>
      </c>
      <c r="AE15" s="95" t="n">
        <v>0</v>
      </c>
      <c r="AF15" s="95" t="n">
        <v>0</v>
      </c>
      <c r="AI15" s="95" t="str">
        <v>Stock Derrames</v>
      </c>
      <c r="AJ15" s="95" t="n">
        <v>0</v>
      </c>
      <c r="AK15" s="95" t="n">
        <v>0</v>
      </c>
      <c r="AL15" s="95" t="n">
        <v>0</v>
      </c>
      <c r="AM15" s="95" t="n">
        <v>0</v>
      </c>
      <c r="AN15" s="95" t="n">
        <v>0</v>
      </c>
      <c r="AO15" s="95" t="n">
        <v>0</v>
      </c>
      <c r="AP15" s="95" t="n">
        <v>0</v>
      </c>
      <c r="AQ15" s="95" t="n">
        <v>0</v>
      </c>
      <c r="AR15" s="95" t="n">
        <v>1</v>
      </c>
      <c r="AS15" s="95" t="n">
        <v>0</v>
      </c>
      <c r="AT15" s="95" t="n">
        <v>0</v>
      </c>
      <c r="AU15" s="95" t="n">
        <v>0</v>
      </c>
      <c r="AV15" s="95" t="n">
        <v>1</v>
      </c>
      <c r="AW15" s="95" t="n">
        <v>0</v>
      </c>
      <c r="AX15" s="95" t="n">
        <v>0</v>
      </c>
      <c r="AY15" s="95" t="n">
        <v>0</v>
      </c>
      <c r="AZ15" s="95" t="n">
        <v>1</v>
      </c>
      <c r="BA15" s="95" t="n">
        <v>0</v>
      </c>
      <c r="BB15" s="95" t="n">
        <v>0</v>
      </c>
      <c r="BC15" s="95" t="n">
        <v>0</v>
      </c>
      <c r="BD15" s="95" t="n">
        <v>0</v>
      </c>
      <c r="BE15" s="95" t="n">
        <v>0</v>
      </c>
      <c r="BF15" s="95" t="n">
        <v>0</v>
      </c>
      <c r="BG15" s="95" t="n">
        <v>0</v>
      </c>
      <c r="BH15" s="95" t="n">
        <v>0</v>
      </c>
      <c r="BI15" s="95" t="n">
        <v>0</v>
      </c>
      <c r="BJ15" s="95" t="n">
        <v>1</v>
      </c>
      <c r="BK15" s="95" t="e">
        <v>#REF!</v>
      </c>
      <c r="BL15" s="95" t="n">
        <v>0</v>
      </c>
      <c r="BM15" s="95" t="n">
        <v>0</v>
      </c>
      <c r="BN15" s="95" t="n">
        <v>0</v>
      </c>
      <c r="BO15" s="95" t="n">
        <v>0</v>
      </c>
      <c r="BP15" s="95" t="n">
        <v>0</v>
      </c>
      <c r="BQ15" s="95" t="n">
        <v>0</v>
      </c>
      <c r="BR15" s="95" t="n">
        <v>0</v>
      </c>
      <c r="BS15" s="95" t="n">
        <v>0</v>
      </c>
      <c r="BT15" s="95" t="n">
        <v>0</v>
      </c>
      <c r="BU15" s="95" t="n">
        <v>0</v>
      </c>
      <c r="BV15" s="95" t="n">
        <v>0</v>
      </c>
      <c r="BW15" s="95" t="n">
        <v>0</v>
      </c>
      <c r="BX15" s="95" t="n">
        <v>0</v>
      </c>
      <c r="BY15" s="95" t="n">
        <v>-1</v>
      </c>
      <c r="BZ15" s="95" t="n">
        <v>0</v>
      </c>
      <c r="CA15" s="95" t="n">
        <v>0</v>
      </c>
      <c r="CB15" s="95" t="n">
        <v>0</v>
      </c>
      <c r="CC15" s="95" t="n">
        <v>0</v>
      </c>
      <c r="CD15" s="95" t="n">
        <v>0</v>
      </c>
      <c r="CE15" s="95" t="n">
        <v>0</v>
      </c>
      <c r="CF15" s="95" t="n">
        <v>0</v>
      </c>
      <c r="CG15" s="95" t="n">
        <v>0</v>
      </c>
      <c r="CH15" s="95" t="n">
        <v>0</v>
      </c>
      <c r="CI15" s="95" t="n">
        <v>0</v>
      </c>
      <c r="CJ15" s="95" t="n">
        <v>0</v>
      </c>
      <c r="CK15" s="95" t="n">
        <v>0</v>
      </c>
      <c r="CL15" s="95" t="n">
        <v>0</v>
      </c>
    </row>
    <row r="16" customFormat="false" ht="15" hidden="false" customHeight="false" outlineLevel="0" collapsed="false">
      <c r="I16" s="95" t="n">
        <v>13</v>
      </c>
      <c r="J16" s="270" t="s">
        <v>191</v>
      </c>
      <c r="K16" s="95" t="n">
        <v>0</v>
      </c>
      <c r="L16" s="95" t="n">
        <v>0</v>
      </c>
      <c r="M16" s="95" t="n">
        <v>0</v>
      </c>
      <c r="N16" s="95" t="n">
        <v>0</v>
      </c>
      <c r="O16" s="95" t="n">
        <v>-1</v>
      </c>
      <c r="P16" s="95" t="n">
        <v>0</v>
      </c>
      <c r="Q16" s="95" t="n">
        <v>0</v>
      </c>
      <c r="R16" s="95" t="n">
        <v>0</v>
      </c>
      <c r="S16" s="95" t="n">
        <v>0</v>
      </c>
      <c r="T16" s="95" t="n">
        <v>0</v>
      </c>
      <c r="U16" s="95" t="n">
        <v>0</v>
      </c>
      <c r="V16" s="95" t="n">
        <v>1</v>
      </c>
      <c r="W16" s="95" t="n">
        <v>0</v>
      </c>
      <c r="X16" s="95" t="n">
        <v>0</v>
      </c>
      <c r="Y16" s="95" t="n">
        <v>0</v>
      </c>
      <c r="Z16" s="95" t="n">
        <v>0</v>
      </c>
      <c r="AA16" s="95" t="n">
        <v>0</v>
      </c>
      <c r="AB16" s="95" t="n">
        <v>0</v>
      </c>
      <c r="AC16" s="95" t="n">
        <v>0</v>
      </c>
      <c r="AD16" s="95" t="n">
        <v>0</v>
      </c>
      <c r="AE16" s="95" t="n">
        <v>0</v>
      </c>
      <c r="AF16" s="95" t="n">
        <v>0</v>
      </c>
      <c r="AI16" s="95" t="str">
        <v>Pila de Emergencia</v>
      </c>
      <c r="AJ16" s="95" t="n">
        <v>0</v>
      </c>
      <c r="AK16" s="95" t="n">
        <v>0</v>
      </c>
      <c r="AL16" s="95" t="n">
        <v>0</v>
      </c>
      <c r="AM16" s="95" t="n">
        <v>0</v>
      </c>
      <c r="AN16" s="95" t="n">
        <v>0</v>
      </c>
      <c r="AO16" s="95" t="n">
        <v>0</v>
      </c>
      <c r="AP16" s="95" t="n">
        <v>0</v>
      </c>
      <c r="AQ16" s="95" t="n">
        <v>0</v>
      </c>
      <c r="AR16" s="95" t="n">
        <v>0</v>
      </c>
      <c r="AS16" s="95" t="n">
        <v>0</v>
      </c>
      <c r="AT16" s="95" t="n">
        <v>0</v>
      </c>
      <c r="AU16" s="95" t="n">
        <v>0</v>
      </c>
      <c r="AV16" s="95" t="n">
        <v>0</v>
      </c>
      <c r="AW16" s="95" t="n">
        <v>0</v>
      </c>
      <c r="AX16" s="95" t="n">
        <v>0</v>
      </c>
      <c r="AY16" s="95" t="n">
        <v>0</v>
      </c>
      <c r="AZ16" s="95" t="n">
        <v>0</v>
      </c>
      <c r="BA16" s="95" t="n">
        <v>0</v>
      </c>
      <c r="BB16" s="95" t="n">
        <v>0</v>
      </c>
      <c r="BC16" s="95" t="n">
        <v>0</v>
      </c>
      <c r="BD16" s="95" t="n">
        <v>0</v>
      </c>
      <c r="BE16" s="95" t="n">
        <v>0</v>
      </c>
      <c r="BF16" s="95" t="n">
        <v>0</v>
      </c>
      <c r="BG16" s="95" t="n">
        <v>0</v>
      </c>
      <c r="BH16" s="95" t="n">
        <v>0</v>
      </c>
      <c r="BI16" s="95" t="n">
        <v>0</v>
      </c>
      <c r="BJ16" s="95" t="n">
        <v>0</v>
      </c>
      <c r="BK16" s="95" t="n">
        <v>0</v>
      </c>
      <c r="BL16" s="95" t="n">
        <v>0</v>
      </c>
      <c r="BM16" s="95" t="n">
        <v>0</v>
      </c>
      <c r="BN16" s="95" t="n">
        <v>0</v>
      </c>
      <c r="BO16" s="95" t="n">
        <v>1</v>
      </c>
      <c r="BP16" s="95" t="n">
        <v>0</v>
      </c>
      <c r="BQ16" s="95" t="n">
        <v>-1</v>
      </c>
      <c r="BR16" s="95" t="e">
        <v>#REF!</v>
      </c>
      <c r="BS16" s="95" t="n">
        <v>0</v>
      </c>
      <c r="BT16" s="95" t="n">
        <v>0</v>
      </c>
      <c r="BU16" s="95" t="n">
        <v>0</v>
      </c>
      <c r="BV16" s="95" t="n">
        <v>0</v>
      </c>
      <c r="BW16" s="95" t="n">
        <v>0</v>
      </c>
      <c r="BX16" s="95" t="n">
        <v>0</v>
      </c>
      <c r="BY16" s="95" t="n">
        <v>0</v>
      </c>
      <c r="BZ16" s="95" t="n">
        <v>0</v>
      </c>
      <c r="CA16" s="95" t="n">
        <v>1</v>
      </c>
      <c r="CB16" s="95" t="n">
        <v>0</v>
      </c>
      <c r="CC16" s="95" t="n">
        <v>0</v>
      </c>
      <c r="CD16" s="95" t="n">
        <v>0</v>
      </c>
      <c r="CE16" s="95" t="n">
        <v>0</v>
      </c>
      <c r="CF16" s="95" t="n">
        <v>0</v>
      </c>
      <c r="CG16" s="95" t="n">
        <v>0</v>
      </c>
      <c r="CH16" s="95" t="n">
        <v>0</v>
      </c>
      <c r="CI16" s="95" t="n">
        <v>0</v>
      </c>
      <c r="CJ16" s="95" t="n">
        <v>0</v>
      </c>
      <c r="CK16" s="95" t="n">
        <v>0</v>
      </c>
      <c r="CL16" s="95" t="n">
        <v>0</v>
      </c>
    </row>
    <row r="17" customFormat="false" ht="15" hidden="false" customHeight="false" outlineLevel="0" collapsed="false">
      <c r="I17" s="95" t="n">
        <v>14</v>
      </c>
      <c r="J17" s="264" t="s">
        <v>192</v>
      </c>
      <c r="K17" s="95" t="n">
        <v>0</v>
      </c>
      <c r="L17" s="95" t="n">
        <v>0</v>
      </c>
      <c r="M17" s="95" t="n">
        <v>0</v>
      </c>
      <c r="N17" s="95" t="n">
        <v>0</v>
      </c>
      <c r="O17" s="95" t="n">
        <v>-1</v>
      </c>
      <c r="P17" s="95" t="n">
        <v>1</v>
      </c>
      <c r="Q17" s="95" t="n">
        <v>0</v>
      </c>
      <c r="R17" s="95" t="n">
        <v>0</v>
      </c>
      <c r="S17" s="95" t="n">
        <v>0</v>
      </c>
      <c r="T17" s="95" t="n">
        <v>0</v>
      </c>
      <c r="U17" s="95" t="n">
        <v>0</v>
      </c>
      <c r="V17" s="95" t="n">
        <v>0</v>
      </c>
      <c r="W17" s="95" t="n">
        <v>0</v>
      </c>
      <c r="X17" s="95" t="n">
        <v>0</v>
      </c>
      <c r="Y17" s="95" t="n">
        <v>0</v>
      </c>
      <c r="Z17" s="95" t="n">
        <v>0</v>
      </c>
      <c r="AA17" s="95" t="n">
        <v>0</v>
      </c>
      <c r="AB17" s="95" t="n">
        <v>0</v>
      </c>
      <c r="AC17" s="95" t="n">
        <v>0</v>
      </c>
      <c r="AD17" s="95" t="n">
        <v>0</v>
      </c>
      <c r="AE17" s="95" t="n">
        <v>0</v>
      </c>
      <c r="AF17" s="95" t="n">
        <v>0</v>
      </c>
      <c r="AI17" s="95" t="str">
        <v>Harnero Pruducto</v>
      </c>
      <c r="AJ17" s="95" t="n">
        <v>0</v>
      </c>
      <c r="AK17" s="95" t="n">
        <v>0</v>
      </c>
      <c r="AL17" s="95" t="n">
        <v>0</v>
      </c>
      <c r="AM17" s="95" t="n">
        <v>0</v>
      </c>
      <c r="AN17" s="95" t="n">
        <v>0</v>
      </c>
      <c r="AO17" s="95" t="n">
        <v>0</v>
      </c>
      <c r="AP17" s="95" t="n">
        <v>0</v>
      </c>
      <c r="AQ17" s="95" t="n">
        <v>0</v>
      </c>
      <c r="AR17" s="95" t="n">
        <v>0</v>
      </c>
      <c r="AS17" s="95" t="n">
        <v>0</v>
      </c>
      <c r="AT17" s="95" t="n">
        <v>0</v>
      </c>
      <c r="AU17" s="95" t="n">
        <v>0</v>
      </c>
      <c r="AV17" s="95" t="n">
        <v>0</v>
      </c>
      <c r="AW17" s="95" t="n">
        <v>0</v>
      </c>
      <c r="AX17" s="95" t="n">
        <v>0</v>
      </c>
      <c r="AY17" s="95" t="n">
        <v>0</v>
      </c>
      <c r="AZ17" s="95" t="n">
        <v>0</v>
      </c>
      <c r="BA17" s="95" t="n">
        <v>0</v>
      </c>
      <c r="BB17" s="95" t="n">
        <v>0</v>
      </c>
      <c r="BC17" s="95" t="n">
        <v>0</v>
      </c>
      <c r="BD17" s="95" t="n">
        <v>0</v>
      </c>
      <c r="BE17" s="95" t="n">
        <v>0</v>
      </c>
      <c r="BF17" s="95" t="n">
        <v>0</v>
      </c>
      <c r="BG17" s="95" t="n">
        <v>0</v>
      </c>
      <c r="BH17" s="95" t="n">
        <v>0</v>
      </c>
      <c r="BI17" s="95" t="n">
        <v>0</v>
      </c>
      <c r="BJ17" s="95" t="n">
        <v>0</v>
      </c>
      <c r="BK17" s="95" t="n">
        <v>0</v>
      </c>
      <c r="BL17" s="95" t="n">
        <v>0</v>
      </c>
      <c r="BM17" s="95" t="n">
        <v>0</v>
      </c>
      <c r="BN17" s="95" t="n">
        <v>0</v>
      </c>
      <c r="BO17" s="95" t="n">
        <v>0</v>
      </c>
      <c r="BP17" s="95" t="n">
        <v>1</v>
      </c>
      <c r="BQ17" s="95" t="n">
        <v>1</v>
      </c>
      <c r="BR17" s="95" t="n">
        <v>0</v>
      </c>
      <c r="BS17" s="95" t="n">
        <v>-1</v>
      </c>
      <c r="BT17" s="95" t="n">
        <v>0</v>
      </c>
      <c r="BU17" s="95" t="n">
        <v>-1</v>
      </c>
      <c r="BV17" s="95" t="n">
        <v>0</v>
      </c>
      <c r="BW17" s="95" t="n">
        <v>0</v>
      </c>
      <c r="BX17" s="95" t="n">
        <v>0</v>
      </c>
      <c r="BY17" s="95" t="n">
        <v>0</v>
      </c>
      <c r="BZ17" s="95" t="n">
        <v>0</v>
      </c>
      <c r="CA17" s="95" t="n">
        <v>0</v>
      </c>
      <c r="CB17" s="95" t="n">
        <v>0</v>
      </c>
      <c r="CC17" s="95" t="n">
        <v>0</v>
      </c>
      <c r="CD17" s="95" t="n">
        <v>0</v>
      </c>
      <c r="CE17" s="95" t="n">
        <v>0</v>
      </c>
      <c r="CF17" s="95" t="n">
        <v>0</v>
      </c>
      <c r="CG17" s="95" t="n">
        <v>0</v>
      </c>
      <c r="CH17" s="95" t="n">
        <v>0</v>
      </c>
      <c r="CI17" s="95" t="n">
        <v>0</v>
      </c>
      <c r="CJ17" s="95" t="n">
        <v>0</v>
      </c>
      <c r="CK17" s="95" t="n">
        <v>0</v>
      </c>
      <c r="CL17" s="95" t="n">
        <v>0</v>
      </c>
    </row>
    <row r="18" customFormat="false" ht="15" hidden="false" customHeight="false" outlineLevel="0" collapsed="false">
      <c r="I18" s="95" t="n">
        <v>15</v>
      </c>
      <c r="J18" s="265" t="s">
        <v>193</v>
      </c>
      <c r="K18" s="95" t="n">
        <v>0</v>
      </c>
      <c r="L18" s="95" t="n">
        <v>0</v>
      </c>
      <c r="M18" s="95" t="n">
        <v>0</v>
      </c>
      <c r="N18" s="95" t="n">
        <v>0</v>
      </c>
      <c r="O18" s="95" t="n">
        <v>0</v>
      </c>
      <c r="P18" s="95" t="n">
        <v>-1</v>
      </c>
      <c r="Q18" s="95" t="n">
        <v>1</v>
      </c>
      <c r="R18" s="95" t="n">
        <v>0</v>
      </c>
      <c r="S18" s="95" t="n">
        <v>0</v>
      </c>
      <c r="T18" s="95" t="n">
        <v>0</v>
      </c>
      <c r="U18" s="95" t="n">
        <v>0</v>
      </c>
      <c r="V18" s="95" t="n">
        <v>0</v>
      </c>
      <c r="W18" s="95" t="n">
        <v>0</v>
      </c>
      <c r="X18" s="95" t="n">
        <v>0</v>
      </c>
      <c r="Y18" s="95" t="n">
        <v>0</v>
      </c>
      <c r="Z18" s="95" t="n">
        <v>0</v>
      </c>
      <c r="AA18" s="95" t="n">
        <v>0</v>
      </c>
      <c r="AB18" s="95" t="n">
        <v>0</v>
      </c>
      <c r="AC18" s="95" t="n">
        <v>0</v>
      </c>
      <c r="AD18" s="95" t="n">
        <v>0</v>
      </c>
      <c r="AE18" s="95" t="n">
        <v>0</v>
      </c>
      <c r="AF18" s="95" t="n">
        <v>0</v>
      </c>
      <c r="AI18" s="95" t="str">
        <v>Stock Chunk</v>
      </c>
      <c r="AJ18" s="95" t="n">
        <v>0</v>
      </c>
      <c r="AK18" s="95" t="n">
        <v>0</v>
      </c>
      <c r="AL18" s="95" t="n">
        <v>0</v>
      </c>
      <c r="AM18" s="95" t="n">
        <v>0</v>
      </c>
      <c r="AN18" s="95" t="n">
        <v>0</v>
      </c>
      <c r="AO18" s="95" t="n">
        <v>0</v>
      </c>
      <c r="AP18" s="95" t="n">
        <v>0</v>
      </c>
      <c r="AQ18" s="95" t="n">
        <v>0</v>
      </c>
      <c r="AR18" s="95" t="n">
        <v>0</v>
      </c>
      <c r="AS18" s="95" t="n">
        <v>0</v>
      </c>
      <c r="AT18" s="95" t="n">
        <v>0</v>
      </c>
      <c r="AU18" s="95" t="n">
        <v>0</v>
      </c>
      <c r="AV18" s="95" t="n">
        <v>0</v>
      </c>
      <c r="AW18" s="95" t="n">
        <v>0</v>
      </c>
      <c r="AX18" s="95" t="n">
        <v>0</v>
      </c>
      <c r="AY18" s="95" t="n">
        <v>0</v>
      </c>
      <c r="AZ18" s="95" t="n">
        <v>0</v>
      </c>
      <c r="BA18" s="95" t="n">
        <v>0</v>
      </c>
      <c r="BB18" s="95" t="n">
        <v>0</v>
      </c>
      <c r="BC18" s="95" t="n">
        <v>0</v>
      </c>
      <c r="BD18" s="95" t="n">
        <v>0</v>
      </c>
      <c r="BE18" s="95" t="n">
        <v>0</v>
      </c>
      <c r="BF18" s="95" t="n">
        <v>0</v>
      </c>
      <c r="BG18" s="95" t="n">
        <v>0</v>
      </c>
      <c r="BH18" s="95" t="n">
        <v>0</v>
      </c>
      <c r="BI18" s="95" t="n">
        <v>0</v>
      </c>
      <c r="BJ18" s="95" t="n">
        <v>0</v>
      </c>
      <c r="BK18" s="95" t="n">
        <v>0</v>
      </c>
      <c r="BL18" s="95" t="n">
        <v>1</v>
      </c>
      <c r="BM18" s="95" t="e">
        <v>#REF!</v>
      </c>
      <c r="BN18" s="95" t="n">
        <v>0</v>
      </c>
      <c r="BO18" s="95" t="n">
        <v>0</v>
      </c>
      <c r="BP18" s="95" t="n">
        <v>0</v>
      </c>
      <c r="BQ18" s="95" t="n">
        <v>0</v>
      </c>
      <c r="BR18" s="95" t="n">
        <v>0</v>
      </c>
      <c r="BS18" s="95" t="n">
        <v>0</v>
      </c>
      <c r="BT18" s="95" t="n">
        <v>0</v>
      </c>
      <c r="BU18" s="95" t="n">
        <v>0</v>
      </c>
      <c r="BV18" s="95" t="n">
        <v>0</v>
      </c>
      <c r="BW18" s="95" t="n">
        <v>0</v>
      </c>
      <c r="BX18" s="95" t="n">
        <v>0</v>
      </c>
      <c r="BY18" s="95" t="n">
        <v>0</v>
      </c>
      <c r="BZ18" s="95" t="n">
        <v>-1</v>
      </c>
      <c r="CA18" s="95" t="n">
        <v>0</v>
      </c>
      <c r="CB18" s="95" t="n">
        <v>0</v>
      </c>
      <c r="CC18" s="95" t="n">
        <v>0</v>
      </c>
      <c r="CD18" s="95" t="n">
        <v>0</v>
      </c>
      <c r="CE18" s="95" t="n">
        <v>0</v>
      </c>
      <c r="CF18" s="95" t="n">
        <v>0</v>
      </c>
      <c r="CG18" s="95" t="n">
        <v>0</v>
      </c>
      <c r="CH18" s="95" t="n">
        <v>0</v>
      </c>
      <c r="CI18" s="95" t="n">
        <v>0</v>
      </c>
      <c r="CJ18" s="95" t="n">
        <v>0</v>
      </c>
      <c r="CK18" s="95" t="n">
        <v>0</v>
      </c>
      <c r="CL18" s="95" t="n">
        <v>0</v>
      </c>
    </row>
    <row r="19" customFormat="false" ht="15" hidden="false" customHeight="false" outlineLevel="0" collapsed="false">
      <c r="I19" s="95" t="n">
        <v>16</v>
      </c>
      <c r="J19" s="265" t="s">
        <v>194</v>
      </c>
      <c r="K19" s="95" t="n">
        <v>0</v>
      </c>
      <c r="L19" s="95" t="n">
        <v>0</v>
      </c>
      <c r="M19" s="95" t="n">
        <v>0</v>
      </c>
      <c r="N19" s="95" t="n">
        <v>0</v>
      </c>
      <c r="O19" s="95" t="n">
        <v>0</v>
      </c>
      <c r="P19" s="95" t="n">
        <v>-1</v>
      </c>
      <c r="Q19" s="95" t="n">
        <v>0</v>
      </c>
      <c r="R19" s="95" t="n">
        <v>0</v>
      </c>
      <c r="S19" s="95" t="n">
        <v>0</v>
      </c>
      <c r="T19" s="95" t="n">
        <v>1</v>
      </c>
      <c r="U19" s="95" t="n">
        <v>0</v>
      </c>
      <c r="V19" s="95" t="n">
        <v>0</v>
      </c>
      <c r="W19" s="95" t="n">
        <v>0</v>
      </c>
      <c r="X19" s="95" t="n">
        <v>0</v>
      </c>
      <c r="Y19" s="95" t="n">
        <v>0</v>
      </c>
      <c r="Z19" s="95" t="n">
        <v>0</v>
      </c>
      <c r="AA19" s="95" t="n">
        <v>0</v>
      </c>
      <c r="AB19" s="95" t="n">
        <v>0</v>
      </c>
      <c r="AC19" s="95" t="n">
        <v>0</v>
      </c>
      <c r="AD19" s="95" t="n">
        <v>0</v>
      </c>
      <c r="AE19" s="95" t="n">
        <v>0</v>
      </c>
      <c r="AF19" s="95" t="n">
        <v>0</v>
      </c>
      <c r="AI19" s="95" t="str">
        <v>Stock Chip Fresco</v>
      </c>
      <c r="AJ19" s="95" t="n">
        <v>0</v>
      </c>
      <c r="AK19" s="95" t="n">
        <v>0</v>
      </c>
      <c r="AL19" s="95" t="n">
        <v>0</v>
      </c>
      <c r="AM19" s="95" t="n">
        <v>0</v>
      </c>
      <c r="AN19" s="95" t="n">
        <v>0</v>
      </c>
      <c r="AO19" s="95" t="n">
        <v>0</v>
      </c>
      <c r="AP19" s="95" t="n">
        <v>0</v>
      </c>
      <c r="AQ19" s="95" t="n">
        <v>0</v>
      </c>
      <c r="AR19" s="95" t="n">
        <v>0</v>
      </c>
      <c r="AS19" s="95" t="n">
        <v>0</v>
      </c>
      <c r="AT19" s="95" t="n">
        <v>0</v>
      </c>
      <c r="AU19" s="95" t="n">
        <v>0</v>
      </c>
      <c r="AV19" s="95" t="n">
        <v>0</v>
      </c>
      <c r="AW19" s="95" t="n">
        <v>0</v>
      </c>
      <c r="AX19" s="95" t="n">
        <v>0</v>
      </c>
      <c r="AY19" s="95" t="n">
        <v>0</v>
      </c>
      <c r="AZ19" s="95" t="n">
        <v>0</v>
      </c>
      <c r="BA19" s="95" t="n">
        <v>0</v>
      </c>
      <c r="BB19" s="95" t="n">
        <v>0</v>
      </c>
      <c r="BC19" s="95" t="n">
        <v>0</v>
      </c>
      <c r="BD19" s="95" t="n">
        <v>0</v>
      </c>
      <c r="BE19" s="95" t="n">
        <v>0</v>
      </c>
      <c r="BF19" s="95" t="n">
        <v>0</v>
      </c>
      <c r="BG19" s="95" t="n">
        <v>0</v>
      </c>
      <c r="BH19" s="95" t="n">
        <v>0</v>
      </c>
      <c r="BI19" s="95" t="n">
        <v>0</v>
      </c>
      <c r="BJ19" s="95" t="n">
        <v>0</v>
      </c>
      <c r="BK19" s="95" t="n">
        <v>0</v>
      </c>
      <c r="BL19" s="95" t="n">
        <v>0</v>
      </c>
      <c r="BM19" s="95" t="n">
        <v>0</v>
      </c>
      <c r="BN19" s="95" t="n">
        <v>0</v>
      </c>
      <c r="BO19" s="95" t="n">
        <v>0</v>
      </c>
      <c r="BP19" s="95" t="n">
        <v>0</v>
      </c>
      <c r="BQ19" s="95" t="n">
        <v>0</v>
      </c>
      <c r="BR19" s="95" t="n">
        <v>0</v>
      </c>
      <c r="BS19" s="95" t="n">
        <v>1</v>
      </c>
      <c r="BT19" s="95" t="e">
        <v>#REF!</v>
      </c>
      <c r="BU19" s="95" t="n">
        <v>0</v>
      </c>
      <c r="BV19" s="95" t="n">
        <v>0</v>
      </c>
      <c r="BW19" s="95" t="n">
        <v>0</v>
      </c>
      <c r="BX19" s="95" t="n">
        <v>-1</v>
      </c>
      <c r="BY19" s="95" t="n">
        <v>0</v>
      </c>
      <c r="BZ19" s="95" t="n">
        <v>0</v>
      </c>
      <c r="CA19" s="95" t="n">
        <v>0</v>
      </c>
      <c r="CB19" s="95" t="n">
        <v>0</v>
      </c>
      <c r="CC19" s="95" t="n">
        <v>0</v>
      </c>
      <c r="CD19" s="95" t="n">
        <v>0</v>
      </c>
      <c r="CE19" s="95" t="n">
        <v>0</v>
      </c>
      <c r="CF19" s="95" t="n">
        <v>0</v>
      </c>
      <c r="CG19" s="95" t="n">
        <v>0</v>
      </c>
      <c r="CH19" s="95" t="n">
        <v>0</v>
      </c>
      <c r="CI19" s="95" t="n">
        <v>0</v>
      </c>
      <c r="CJ19" s="95" t="n">
        <v>0</v>
      </c>
      <c r="CK19" s="95" t="n">
        <v>0</v>
      </c>
      <c r="CL19" s="95" t="n">
        <v>0</v>
      </c>
    </row>
    <row r="20" customFormat="false" ht="15" hidden="false" customHeight="false" outlineLevel="0" collapsed="false">
      <c r="I20" s="95" t="n">
        <v>17</v>
      </c>
      <c r="J20" s="270" t="s">
        <v>195</v>
      </c>
      <c r="K20" s="95" t="n">
        <v>0</v>
      </c>
      <c r="L20" s="95" t="n">
        <v>0</v>
      </c>
      <c r="M20" s="95" t="n">
        <v>0</v>
      </c>
      <c r="N20" s="95" t="n">
        <v>0</v>
      </c>
      <c r="O20" s="95" t="n">
        <v>0</v>
      </c>
      <c r="P20" s="95" t="n">
        <v>-1</v>
      </c>
      <c r="Q20" s="95" t="n">
        <v>0</v>
      </c>
      <c r="R20" s="95" t="n">
        <v>0</v>
      </c>
      <c r="S20" s="95" t="n">
        <v>0</v>
      </c>
      <c r="T20" s="95" t="n">
        <v>0</v>
      </c>
      <c r="U20" s="95" t="n">
        <v>0</v>
      </c>
      <c r="V20" s="95" t="n">
        <v>1</v>
      </c>
      <c r="W20" s="95" t="n">
        <v>0</v>
      </c>
      <c r="X20" s="95" t="n">
        <v>0</v>
      </c>
      <c r="Y20" s="95" t="n">
        <v>0</v>
      </c>
      <c r="Z20" s="95" t="n">
        <v>0</v>
      </c>
      <c r="AA20" s="95" t="n">
        <v>0</v>
      </c>
      <c r="AB20" s="95" t="n">
        <v>0</v>
      </c>
      <c r="AC20" s="95" t="n">
        <v>0</v>
      </c>
      <c r="AD20" s="95" t="n">
        <v>0</v>
      </c>
      <c r="AE20" s="95" t="n">
        <v>0</v>
      </c>
      <c r="AF20" s="95" t="n">
        <v>0</v>
      </c>
      <c r="AI20" s="95" t="str">
        <v>Planta Re-Harneo</v>
      </c>
      <c r="AJ20" s="95" t="n">
        <v>0</v>
      </c>
      <c r="AK20" s="95" t="n">
        <v>0</v>
      </c>
      <c r="AL20" s="95" t="n">
        <v>0</v>
      </c>
      <c r="AM20" s="95" t="n">
        <v>-1</v>
      </c>
      <c r="AN20" s="95" t="n">
        <v>0</v>
      </c>
      <c r="AO20" s="95" t="n">
        <v>0</v>
      </c>
      <c r="AP20" s="95" t="n">
        <v>0</v>
      </c>
      <c r="AQ20" s="95" t="n">
        <v>0</v>
      </c>
      <c r="AR20" s="95" t="n">
        <v>0</v>
      </c>
      <c r="AS20" s="95" t="n">
        <v>0</v>
      </c>
      <c r="AT20" s="95" t="n">
        <v>0</v>
      </c>
      <c r="AU20" s="95" t="n">
        <v>0</v>
      </c>
      <c r="AV20" s="95" t="n">
        <v>0</v>
      </c>
      <c r="AW20" s="95" t="n">
        <v>0</v>
      </c>
      <c r="AX20" s="95" t="n">
        <v>0</v>
      </c>
      <c r="AY20" s="95" t="n">
        <v>0</v>
      </c>
      <c r="AZ20" s="95" t="n">
        <v>0</v>
      </c>
      <c r="BA20" s="95" t="n">
        <v>0</v>
      </c>
      <c r="BB20" s="95" t="n">
        <v>0</v>
      </c>
      <c r="BC20" s="95" t="n">
        <v>0</v>
      </c>
      <c r="BD20" s="95" t="n">
        <v>0</v>
      </c>
      <c r="BE20" s="95" t="n">
        <v>0</v>
      </c>
      <c r="BF20" s="95" t="n">
        <v>0</v>
      </c>
      <c r="BG20" s="95" t="n">
        <v>0</v>
      </c>
      <c r="BH20" s="95" t="n">
        <v>0</v>
      </c>
      <c r="BI20" s="95" t="n">
        <v>0</v>
      </c>
      <c r="BJ20" s="95" t="n">
        <v>0</v>
      </c>
      <c r="BK20" s="95" t="n">
        <v>0</v>
      </c>
      <c r="BL20" s="95" t="n">
        <v>0</v>
      </c>
      <c r="BM20" s="95" t="n">
        <v>0</v>
      </c>
      <c r="BN20" s="95" t="n">
        <v>0</v>
      </c>
      <c r="BO20" s="95" t="n">
        <v>0</v>
      </c>
      <c r="BP20" s="95" t="n">
        <v>0</v>
      </c>
      <c r="BQ20" s="95" t="n">
        <v>0</v>
      </c>
      <c r="BR20" s="95" t="n">
        <v>0</v>
      </c>
      <c r="BS20" s="95" t="n">
        <v>0</v>
      </c>
      <c r="BT20" s="95" t="n">
        <v>0</v>
      </c>
      <c r="BU20" s="95" t="n">
        <v>0</v>
      </c>
      <c r="BV20" s="95" t="n">
        <v>0</v>
      </c>
      <c r="BW20" s="95" t="n">
        <v>0</v>
      </c>
      <c r="BX20" s="95" t="n">
        <v>1</v>
      </c>
      <c r="BY20" s="95" t="n">
        <v>1</v>
      </c>
      <c r="BZ20" s="95" t="n">
        <v>1</v>
      </c>
      <c r="CA20" s="95" t="n">
        <v>-1</v>
      </c>
      <c r="CB20" s="95" t="n">
        <v>-1</v>
      </c>
      <c r="CC20" s="95" t="n">
        <v>-1</v>
      </c>
      <c r="CD20" s="95" t="n">
        <v>0</v>
      </c>
      <c r="CE20" s="95" t="n">
        <v>0</v>
      </c>
      <c r="CF20" s="95" t="n">
        <v>0</v>
      </c>
      <c r="CG20" s="95" t="n">
        <v>0</v>
      </c>
      <c r="CH20" s="95" t="n">
        <v>0</v>
      </c>
      <c r="CI20" s="95" t="n">
        <v>0</v>
      </c>
      <c r="CJ20" s="95" t="n">
        <v>0</v>
      </c>
      <c r="CK20" s="95" t="n">
        <v>0</v>
      </c>
      <c r="CL20" s="95" t="n">
        <v>0</v>
      </c>
    </row>
    <row r="21" customFormat="false" ht="15" hidden="false" customHeight="false" outlineLevel="0" collapsed="false">
      <c r="I21" s="95" t="n">
        <v>18</v>
      </c>
      <c r="J21" s="267" t="s">
        <v>196</v>
      </c>
      <c r="K21" s="95" t="n">
        <v>0</v>
      </c>
      <c r="L21" s="95" t="n">
        <v>0</v>
      </c>
      <c r="M21" s="95" t="n">
        <v>0</v>
      </c>
      <c r="N21" s="95" t="n">
        <v>0</v>
      </c>
      <c r="O21" s="95" t="n">
        <v>0</v>
      </c>
      <c r="P21" s="95" t="n">
        <v>0</v>
      </c>
      <c r="Q21" s="95" t="n">
        <v>-1</v>
      </c>
      <c r="R21" s="95" t="n">
        <v>1</v>
      </c>
      <c r="S21" s="95" t="n">
        <v>0</v>
      </c>
      <c r="T21" s="95" t="n">
        <v>0</v>
      </c>
      <c r="U21" s="95" t="n">
        <v>0</v>
      </c>
      <c r="V21" s="95" t="n">
        <v>0</v>
      </c>
      <c r="W21" s="95" t="n">
        <v>0</v>
      </c>
      <c r="X21" s="95" t="n">
        <v>0</v>
      </c>
      <c r="Y21" s="95" t="n">
        <v>0</v>
      </c>
      <c r="Z21" s="95" t="n">
        <v>0</v>
      </c>
      <c r="AA21" s="95" t="n">
        <v>0</v>
      </c>
      <c r="AB21" s="95" t="n">
        <v>0</v>
      </c>
      <c r="AC21" s="95" t="n">
        <v>0</v>
      </c>
      <c r="AD21" s="95" t="n">
        <v>0</v>
      </c>
      <c r="AE21" s="95" t="n">
        <v>0</v>
      </c>
      <c r="AF21" s="95" t="n">
        <v>0</v>
      </c>
      <c r="AI21" s="95" t="str">
        <v>Stock Pellet Básico</v>
      </c>
      <c r="AJ21" s="95" t="n">
        <v>0</v>
      </c>
      <c r="AK21" s="95" t="n">
        <v>0</v>
      </c>
      <c r="AL21" s="95" t="n">
        <v>0</v>
      </c>
      <c r="AM21" s="95" t="n">
        <v>0</v>
      </c>
      <c r="AN21" s="95" t="n">
        <v>0</v>
      </c>
      <c r="AO21" s="95" t="n">
        <v>0</v>
      </c>
      <c r="AP21" s="95" t="n">
        <v>0</v>
      </c>
      <c r="AQ21" s="95" t="n">
        <v>0</v>
      </c>
      <c r="AR21" s="95" t="n">
        <v>0</v>
      </c>
      <c r="AS21" s="95" t="n">
        <v>0</v>
      </c>
      <c r="AT21" s="95" t="n">
        <v>0</v>
      </c>
      <c r="AU21" s="95" t="n">
        <v>0</v>
      </c>
      <c r="AV21" s="95" t="n">
        <v>0</v>
      </c>
      <c r="AW21" s="95" t="n">
        <v>0</v>
      </c>
      <c r="AX21" s="95" t="n">
        <v>0</v>
      </c>
      <c r="AY21" s="95" t="n">
        <v>0</v>
      </c>
      <c r="AZ21" s="95" t="n">
        <v>0</v>
      </c>
      <c r="BA21" s="95" t="n">
        <v>0</v>
      </c>
      <c r="BB21" s="95" t="n">
        <v>0</v>
      </c>
      <c r="BC21" s="95" t="n">
        <v>0</v>
      </c>
      <c r="BD21" s="95" t="n">
        <v>0</v>
      </c>
      <c r="BE21" s="95" t="n">
        <v>0</v>
      </c>
      <c r="BF21" s="95" t="n">
        <v>0</v>
      </c>
      <c r="BG21" s="95" t="n">
        <v>0</v>
      </c>
      <c r="BH21" s="95" t="n">
        <v>0</v>
      </c>
      <c r="BI21" s="95" t="n">
        <v>0</v>
      </c>
      <c r="BJ21" s="95" t="n">
        <v>0</v>
      </c>
      <c r="BK21" s="95" t="n">
        <v>0</v>
      </c>
      <c r="BL21" s="95" t="n">
        <v>0</v>
      </c>
      <c r="BM21" s="95" t="n">
        <v>0</v>
      </c>
      <c r="BN21" s="95" t="n">
        <v>0</v>
      </c>
      <c r="BO21" s="95" t="n">
        <v>0</v>
      </c>
      <c r="BP21" s="95" t="n">
        <v>0</v>
      </c>
      <c r="BQ21" s="95" t="n">
        <v>0</v>
      </c>
      <c r="BR21" s="95" t="n">
        <v>0</v>
      </c>
      <c r="BS21" s="95" t="n">
        <v>0</v>
      </c>
      <c r="BT21" s="95" t="n">
        <v>0</v>
      </c>
      <c r="BU21" s="95" t="n">
        <v>1</v>
      </c>
      <c r="BV21" s="95" t="e">
        <v>#REF!</v>
      </c>
      <c r="BW21" s="95" t="n">
        <v>-1</v>
      </c>
      <c r="BX21" s="95" t="n">
        <v>0</v>
      </c>
      <c r="BY21" s="95" t="n">
        <v>0</v>
      </c>
      <c r="BZ21" s="95" t="n">
        <v>0</v>
      </c>
      <c r="CA21" s="95" t="n">
        <v>0</v>
      </c>
      <c r="CB21" s="95" t="n">
        <v>0</v>
      </c>
      <c r="CC21" s="95" t="n">
        <v>0</v>
      </c>
      <c r="CD21" s="95" t="n">
        <v>0</v>
      </c>
      <c r="CE21" s="95" t="n">
        <v>0</v>
      </c>
      <c r="CF21" s="95" t="n">
        <v>0</v>
      </c>
      <c r="CG21" s="95" t="n">
        <v>0</v>
      </c>
      <c r="CH21" s="95" t="n">
        <v>0</v>
      </c>
      <c r="CI21" s="95" t="n">
        <v>1</v>
      </c>
      <c r="CJ21" s="95" t="n">
        <v>0</v>
      </c>
      <c r="CK21" s="95" t="n">
        <v>0</v>
      </c>
      <c r="CL21" s="95" t="n">
        <v>0</v>
      </c>
    </row>
    <row r="22" customFormat="false" ht="15" hidden="false" customHeight="false" outlineLevel="0" collapsed="false">
      <c r="I22" s="95" t="n">
        <v>19</v>
      </c>
      <c r="J22" s="267" t="s">
        <v>197</v>
      </c>
      <c r="K22" s="95" t="n">
        <v>0</v>
      </c>
      <c r="L22" s="95" t="n">
        <v>0</v>
      </c>
      <c r="M22" s="95" t="n">
        <v>0</v>
      </c>
      <c r="N22" s="95" t="n">
        <v>0</v>
      </c>
      <c r="O22" s="95" t="n">
        <v>0</v>
      </c>
      <c r="P22" s="95" t="n">
        <v>0</v>
      </c>
      <c r="Q22" s="95" t="n">
        <v>0</v>
      </c>
      <c r="R22" s="268" t="e">
        <f aca="false">+#REF!</f>
        <v>#REF!</v>
      </c>
      <c r="S22" s="95" t="n">
        <v>0</v>
      </c>
      <c r="T22" s="95" t="n">
        <v>0</v>
      </c>
      <c r="U22" s="95" t="n">
        <v>0</v>
      </c>
      <c r="V22" s="95" t="n">
        <v>0</v>
      </c>
      <c r="W22" s="95" t="n">
        <v>0</v>
      </c>
      <c r="X22" s="95" t="n">
        <v>0</v>
      </c>
      <c r="Y22" s="95" t="n">
        <v>0</v>
      </c>
      <c r="Z22" s="95" t="n">
        <v>0</v>
      </c>
      <c r="AA22" s="95" t="n">
        <v>0</v>
      </c>
      <c r="AB22" s="95" t="n">
        <v>0</v>
      </c>
      <c r="AC22" s="95" t="n">
        <v>0</v>
      </c>
      <c r="AD22" s="95" t="n">
        <v>0</v>
      </c>
      <c r="AE22" s="95" t="n">
        <v>0</v>
      </c>
      <c r="AF22" s="95" t="n">
        <v>0</v>
      </c>
      <c r="AI22" s="95" t="str">
        <v>Stock Finos Huasco</v>
      </c>
      <c r="AJ22" s="95" t="n">
        <v>0</v>
      </c>
      <c r="AK22" s="95" t="n">
        <v>0</v>
      </c>
      <c r="AL22" s="95" t="n">
        <v>0</v>
      </c>
      <c r="AM22" s="95" t="n">
        <v>0</v>
      </c>
      <c r="AN22" s="95" t="n">
        <v>0</v>
      </c>
      <c r="AO22" s="95" t="n">
        <v>0</v>
      </c>
      <c r="AP22" s="95" t="n">
        <v>0</v>
      </c>
      <c r="AQ22" s="95" t="n">
        <v>0</v>
      </c>
      <c r="AR22" s="95" t="n">
        <v>0</v>
      </c>
      <c r="AS22" s="95" t="n">
        <v>0</v>
      </c>
      <c r="AT22" s="95" t="n">
        <v>0</v>
      </c>
      <c r="AU22" s="95" t="n">
        <v>0</v>
      </c>
      <c r="AV22" s="95" t="n">
        <v>0</v>
      </c>
      <c r="AW22" s="95" t="n">
        <v>0</v>
      </c>
      <c r="AX22" s="95" t="n">
        <v>0</v>
      </c>
      <c r="AY22" s="95" t="n">
        <v>0</v>
      </c>
      <c r="AZ22" s="95" t="n">
        <v>0</v>
      </c>
      <c r="BA22" s="95" t="n">
        <v>0</v>
      </c>
      <c r="BB22" s="95" t="n">
        <v>0</v>
      </c>
      <c r="BC22" s="95" t="n">
        <v>0</v>
      </c>
      <c r="BD22" s="95" t="n">
        <v>0</v>
      </c>
      <c r="BE22" s="95" t="n">
        <v>0</v>
      </c>
      <c r="BF22" s="95" t="n">
        <v>0</v>
      </c>
      <c r="BG22" s="95" t="n">
        <v>0</v>
      </c>
      <c r="BH22" s="95" t="n">
        <v>0</v>
      </c>
      <c r="BI22" s="95" t="n">
        <v>0</v>
      </c>
      <c r="BJ22" s="95" t="n">
        <v>0</v>
      </c>
      <c r="BK22" s="95" t="n">
        <v>0</v>
      </c>
      <c r="BL22" s="95" t="n">
        <v>0</v>
      </c>
      <c r="BM22" s="95" t="n">
        <v>0</v>
      </c>
      <c r="BN22" s="95" t="n">
        <v>0</v>
      </c>
      <c r="BO22" s="95" t="n">
        <v>0</v>
      </c>
      <c r="BP22" s="95" t="n">
        <v>0</v>
      </c>
      <c r="BQ22" s="95" t="n">
        <v>0</v>
      </c>
      <c r="BR22" s="95" t="n">
        <v>0</v>
      </c>
      <c r="BS22" s="95" t="n">
        <v>0</v>
      </c>
      <c r="BT22" s="95" t="n">
        <v>0</v>
      </c>
      <c r="BU22" s="95" t="n">
        <v>0</v>
      </c>
      <c r="BV22" s="95" t="n">
        <v>0</v>
      </c>
      <c r="BW22" s="95" t="n">
        <v>0</v>
      </c>
      <c r="BX22" s="95" t="n">
        <v>0</v>
      </c>
      <c r="BY22" s="95" t="n">
        <v>0</v>
      </c>
      <c r="BZ22" s="95" t="n">
        <v>0</v>
      </c>
      <c r="CA22" s="95" t="n">
        <v>0</v>
      </c>
      <c r="CB22" s="95" t="n">
        <v>1</v>
      </c>
      <c r="CC22" s="95" t="n">
        <v>0</v>
      </c>
      <c r="CD22" s="95" t="n">
        <v>-1</v>
      </c>
      <c r="CE22" s="95" t="n">
        <v>-1</v>
      </c>
      <c r="CF22" s="95" t="e">
        <v>#REF!</v>
      </c>
      <c r="CG22" s="95" t="n">
        <v>0</v>
      </c>
      <c r="CH22" s="95" t="n">
        <v>0</v>
      </c>
      <c r="CI22" s="95" t="n">
        <v>0</v>
      </c>
      <c r="CJ22" s="95" t="n">
        <v>0</v>
      </c>
      <c r="CK22" s="95" t="n">
        <v>0</v>
      </c>
      <c r="CL22" s="95" t="n">
        <v>0</v>
      </c>
    </row>
    <row r="23" customFormat="false" ht="15" hidden="false" customHeight="false" outlineLevel="0" collapsed="false">
      <c r="I23" s="95" t="n">
        <v>20</v>
      </c>
      <c r="J23" s="267" t="s">
        <v>198</v>
      </c>
      <c r="K23" s="95" t="n">
        <v>0</v>
      </c>
      <c r="L23" s="95" t="n">
        <v>0</v>
      </c>
      <c r="M23" s="95" t="n">
        <v>0</v>
      </c>
      <c r="N23" s="95" t="n">
        <v>0</v>
      </c>
      <c r="O23" s="95" t="n">
        <v>0</v>
      </c>
      <c r="P23" s="95" t="n">
        <v>0</v>
      </c>
      <c r="Q23" s="95" t="n">
        <v>0</v>
      </c>
      <c r="R23" s="95" t="n">
        <v>-1</v>
      </c>
      <c r="S23" s="95" t="n">
        <v>0</v>
      </c>
      <c r="T23" s="95" t="n">
        <v>1</v>
      </c>
      <c r="U23" s="95" t="n">
        <v>0</v>
      </c>
      <c r="V23" s="95" t="n">
        <v>0</v>
      </c>
      <c r="W23" s="95" t="n">
        <v>0</v>
      </c>
      <c r="X23" s="95" t="n">
        <v>0</v>
      </c>
      <c r="Y23" s="95" t="n">
        <v>0</v>
      </c>
      <c r="Z23" s="95" t="n">
        <v>0</v>
      </c>
      <c r="AA23" s="95" t="n">
        <v>0</v>
      </c>
      <c r="AB23" s="95" t="n">
        <v>0</v>
      </c>
      <c r="AC23" s="95" t="n">
        <v>0</v>
      </c>
      <c r="AD23" s="95" t="n">
        <v>0</v>
      </c>
      <c r="AE23" s="95" t="n">
        <v>0</v>
      </c>
      <c r="AF23" s="95" t="n">
        <v>0</v>
      </c>
      <c r="AI23" s="95" t="str">
        <v>Stock Pellet Chip</v>
      </c>
      <c r="AJ23" s="95" t="n">
        <v>0</v>
      </c>
      <c r="AK23" s="95" t="n">
        <v>0</v>
      </c>
      <c r="AL23" s="95" t="n">
        <v>0</v>
      </c>
      <c r="AM23" s="95" t="n">
        <v>0</v>
      </c>
      <c r="AN23" s="95" t="n">
        <v>0</v>
      </c>
      <c r="AO23" s="95" t="n">
        <v>0</v>
      </c>
      <c r="AP23" s="95" t="n">
        <v>0</v>
      </c>
      <c r="AQ23" s="95" t="n">
        <v>0</v>
      </c>
      <c r="AR23" s="95" t="n">
        <v>0</v>
      </c>
      <c r="AS23" s="95" t="n">
        <v>0</v>
      </c>
      <c r="AT23" s="95" t="n">
        <v>0</v>
      </c>
      <c r="AU23" s="95" t="n">
        <v>0</v>
      </c>
      <c r="AV23" s="95" t="n">
        <v>0</v>
      </c>
      <c r="AW23" s="95" t="n">
        <v>0</v>
      </c>
      <c r="AX23" s="95" t="n">
        <v>0</v>
      </c>
      <c r="AY23" s="95" t="n">
        <v>0</v>
      </c>
      <c r="AZ23" s="95" t="n">
        <v>0</v>
      </c>
      <c r="BA23" s="95" t="n">
        <v>0</v>
      </c>
      <c r="BB23" s="95" t="n">
        <v>0</v>
      </c>
      <c r="BC23" s="95" t="n">
        <v>0</v>
      </c>
      <c r="BD23" s="95" t="n">
        <v>0</v>
      </c>
      <c r="BE23" s="95" t="n">
        <v>0</v>
      </c>
      <c r="BF23" s="95" t="n">
        <v>0</v>
      </c>
      <c r="BG23" s="95" t="n">
        <v>0</v>
      </c>
      <c r="BH23" s="95" t="n">
        <v>0</v>
      </c>
      <c r="BI23" s="95" t="n">
        <v>0</v>
      </c>
      <c r="BJ23" s="95" t="n">
        <v>0</v>
      </c>
      <c r="BK23" s="95" t="n">
        <v>0</v>
      </c>
      <c r="BL23" s="95" t="n">
        <v>0</v>
      </c>
      <c r="BM23" s="95" t="n">
        <v>0</v>
      </c>
      <c r="BN23" s="95" t="n">
        <v>0</v>
      </c>
      <c r="BO23" s="95" t="n">
        <v>0</v>
      </c>
      <c r="BP23" s="95" t="n">
        <v>0</v>
      </c>
      <c r="BQ23" s="95" t="n">
        <v>0</v>
      </c>
      <c r="BR23" s="95" t="n">
        <v>0</v>
      </c>
      <c r="BS23" s="95" t="n">
        <v>0</v>
      </c>
      <c r="BT23" s="95" t="n">
        <v>0</v>
      </c>
      <c r="BU23" s="95" t="n">
        <v>0</v>
      </c>
      <c r="BV23" s="95" t="n">
        <v>0</v>
      </c>
      <c r="BW23" s="95" t="n">
        <v>0</v>
      </c>
      <c r="BX23" s="95" t="n">
        <v>0</v>
      </c>
      <c r="BY23" s="95" t="n">
        <v>0</v>
      </c>
      <c r="BZ23" s="95" t="n">
        <v>0</v>
      </c>
      <c r="CA23" s="95" t="n">
        <v>0</v>
      </c>
      <c r="CB23" s="95" t="n">
        <v>0</v>
      </c>
      <c r="CC23" s="95" t="n">
        <v>1</v>
      </c>
      <c r="CD23" s="95" t="n">
        <v>0</v>
      </c>
      <c r="CE23" s="95" t="n">
        <v>0</v>
      </c>
      <c r="CF23" s="95" t="n">
        <v>0</v>
      </c>
      <c r="CG23" s="95" t="n">
        <v>0</v>
      </c>
      <c r="CH23" s="95" t="n">
        <v>0</v>
      </c>
      <c r="CI23" s="95" t="n">
        <v>-1</v>
      </c>
      <c r="CJ23" s="95" t="n">
        <v>-1</v>
      </c>
      <c r="CK23" s="95" t="e">
        <v>#REF!</v>
      </c>
      <c r="CL23" s="95" t="n">
        <v>0</v>
      </c>
    </row>
    <row r="24" customFormat="false" ht="15" hidden="false" customHeight="false" outlineLevel="0" collapsed="false">
      <c r="I24" s="95" t="n">
        <v>21</v>
      </c>
      <c r="J24" s="267" t="s">
        <v>199</v>
      </c>
      <c r="K24" s="95" t="n">
        <v>0</v>
      </c>
      <c r="L24" s="95" t="n">
        <v>0</v>
      </c>
      <c r="M24" s="95" t="n">
        <v>0</v>
      </c>
      <c r="N24" s="95" t="n">
        <v>0</v>
      </c>
      <c r="O24" s="95" t="n">
        <v>0</v>
      </c>
      <c r="P24" s="95" t="n">
        <v>0</v>
      </c>
      <c r="Q24" s="95" t="n">
        <v>0</v>
      </c>
      <c r="R24" s="95" t="n">
        <v>-1</v>
      </c>
      <c r="S24" s="95" t="n">
        <v>1</v>
      </c>
      <c r="T24" s="95" t="n">
        <v>0</v>
      </c>
      <c r="U24" s="95" t="n">
        <v>0</v>
      </c>
      <c r="V24" s="95" t="n">
        <v>0</v>
      </c>
      <c r="W24" s="95" t="n">
        <v>0</v>
      </c>
      <c r="X24" s="95" t="n">
        <v>0</v>
      </c>
      <c r="Y24" s="95" t="n">
        <v>0</v>
      </c>
      <c r="Z24" s="95" t="n">
        <v>0</v>
      </c>
      <c r="AA24" s="95" t="n">
        <v>0</v>
      </c>
      <c r="AB24" s="95" t="n">
        <v>0</v>
      </c>
      <c r="AC24" s="95" t="n">
        <v>0</v>
      </c>
      <c r="AD24" s="95" t="n">
        <v>0</v>
      </c>
      <c r="AE24" s="95" t="n">
        <v>0</v>
      </c>
      <c r="AF24" s="95" t="n">
        <v>0</v>
      </c>
      <c r="AI24" s="95" t="str">
        <v>Stock Sinter Feed</v>
      </c>
      <c r="AJ24" s="95" t="n">
        <v>0</v>
      </c>
      <c r="AK24" s="95" t="n">
        <v>1</v>
      </c>
      <c r="AL24" s="95" t="n">
        <v>0</v>
      </c>
      <c r="AM24" s="95" t="n">
        <v>0</v>
      </c>
      <c r="AN24" s="95" t="n">
        <v>0</v>
      </c>
      <c r="AO24" s="95" t="n">
        <v>0</v>
      </c>
      <c r="AP24" s="95" t="n">
        <v>0</v>
      </c>
      <c r="AQ24" s="95" t="n">
        <v>0</v>
      </c>
      <c r="AR24" s="95" t="n">
        <v>0</v>
      </c>
      <c r="AS24" s="95" t="n">
        <v>0</v>
      </c>
      <c r="AT24" s="95" t="n">
        <v>0</v>
      </c>
      <c r="AU24" s="95" t="n">
        <v>0</v>
      </c>
      <c r="AV24" s="95" t="n">
        <v>0</v>
      </c>
      <c r="AW24" s="95" t="n">
        <v>0</v>
      </c>
      <c r="AX24" s="95" t="n">
        <v>0</v>
      </c>
      <c r="AY24" s="95" t="n">
        <v>0</v>
      </c>
      <c r="AZ24" s="95" t="n">
        <v>0</v>
      </c>
      <c r="BA24" s="95" t="n">
        <v>0</v>
      </c>
      <c r="BB24" s="95" t="n">
        <v>0</v>
      </c>
      <c r="BC24" s="95" t="n">
        <v>0</v>
      </c>
      <c r="BD24" s="95" t="n">
        <v>0</v>
      </c>
      <c r="BE24" s="95" t="n">
        <v>0</v>
      </c>
      <c r="BF24" s="95" t="n">
        <v>0</v>
      </c>
      <c r="BG24" s="95" t="n">
        <v>0</v>
      </c>
      <c r="BH24" s="95" t="n">
        <v>0</v>
      </c>
      <c r="BI24" s="95" t="n">
        <v>0</v>
      </c>
      <c r="BJ24" s="95" t="n">
        <v>0</v>
      </c>
      <c r="BK24" s="95" t="n">
        <v>0</v>
      </c>
      <c r="BL24" s="95" t="n">
        <v>0</v>
      </c>
      <c r="BM24" s="95" t="n">
        <v>0</v>
      </c>
      <c r="BN24" s="95" t="n">
        <v>0</v>
      </c>
      <c r="BO24" s="95" t="n">
        <v>0</v>
      </c>
      <c r="BP24" s="95" t="n">
        <v>0</v>
      </c>
      <c r="BQ24" s="95" t="n">
        <v>0</v>
      </c>
      <c r="BR24" s="95" t="n">
        <v>0</v>
      </c>
      <c r="BS24" s="95" t="n">
        <v>0</v>
      </c>
      <c r="BT24" s="95" t="n">
        <v>0</v>
      </c>
      <c r="BU24" s="95" t="n">
        <v>0</v>
      </c>
      <c r="BV24" s="95" t="n">
        <v>0</v>
      </c>
      <c r="BW24" s="95" t="n">
        <v>0</v>
      </c>
      <c r="BX24" s="95" t="n">
        <v>0</v>
      </c>
      <c r="BY24" s="95" t="n">
        <v>0</v>
      </c>
      <c r="BZ24" s="95" t="n">
        <v>0</v>
      </c>
      <c r="CA24" s="95" t="n">
        <v>0</v>
      </c>
      <c r="CB24" s="95" t="n">
        <v>0</v>
      </c>
      <c r="CC24" s="95" t="n">
        <v>0</v>
      </c>
      <c r="CD24" s="95" t="n">
        <v>1</v>
      </c>
      <c r="CE24" s="95" t="n">
        <v>0</v>
      </c>
      <c r="CF24" s="95" t="n">
        <v>0</v>
      </c>
      <c r="CG24" s="95" t="n">
        <v>-1</v>
      </c>
      <c r="CH24" s="95" t="e">
        <v>#REF!</v>
      </c>
      <c r="CI24" s="95" t="n">
        <v>0</v>
      </c>
      <c r="CJ24" s="95" t="n">
        <v>0</v>
      </c>
      <c r="CK24" s="95" t="n">
        <v>0</v>
      </c>
      <c r="CL24" s="95" t="n">
        <v>0</v>
      </c>
    </row>
    <row r="25" customFormat="false" ht="15" hidden="false" customHeight="false" outlineLevel="0" collapsed="false">
      <c r="I25" s="95" t="n">
        <v>22</v>
      </c>
      <c r="J25" s="267" t="s">
        <v>200</v>
      </c>
      <c r="K25" s="95" t="n">
        <v>0</v>
      </c>
      <c r="L25" s="95" t="n">
        <v>0</v>
      </c>
      <c r="M25" s="95" t="n">
        <v>0</v>
      </c>
      <c r="N25" s="95" t="n">
        <v>0</v>
      </c>
      <c r="O25" s="95" t="n">
        <v>0</v>
      </c>
      <c r="P25" s="95" t="n">
        <v>0</v>
      </c>
      <c r="Q25" s="95" t="n">
        <v>-1</v>
      </c>
      <c r="R25" s="95" t="n">
        <v>0</v>
      </c>
      <c r="S25" s="95" t="n">
        <v>1</v>
      </c>
      <c r="T25" s="95" t="n">
        <v>0</v>
      </c>
      <c r="U25" s="95" t="n">
        <v>0</v>
      </c>
      <c r="V25" s="95" t="n">
        <v>0</v>
      </c>
      <c r="W25" s="95" t="n">
        <v>0</v>
      </c>
      <c r="X25" s="95" t="n">
        <v>0</v>
      </c>
      <c r="Y25" s="95" t="n">
        <v>0</v>
      </c>
      <c r="Z25" s="95" t="n">
        <v>0</v>
      </c>
      <c r="AA25" s="95" t="n">
        <v>0</v>
      </c>
      <c r="AB25" s="95" t="n">
        <v>0</v>
      </c>
      <c r="AC25" s="95" t="n">
        <v>0</v>
      </c>
      <c r="AD25" s="95" t="n">
        <v>0</v>
      </c>
      <c r="AE25" s="95" t="n">
        <v>0</v>
      </c>
      <c r="AF25" s="95" t="n">
        <v>0</v>
      </c>
      <c r="AI25" s="95" t="str">
        <v>Nodo Alimentaciones Embarque</v>
      </c>
      <c r="AJ25" s="95" t="n">
        <v>0</v>
      </c>
      <c r="AK25" s="95" t="n">
        <v>0</v>
      </c>
      <c r="AL25" s="95" t="n">
        <v>0</v>
      </c>
      <c r="AM25" s="95" t="n">
        <v>0</v>
      </c>
      <c r="AN25" s="95" t="n">
        <v>0</v>
      </c>
      <c r="AO25" s="95" t="n">
        <v>0</v>
      </c>
      <c r="AP25" s="95" t="n">
        <v>0</v>
      </c>
      <c r="AQ25" s="95" t="n">
        <v>0</v>
      </c>
      <c r="AR25" s="95" t="n">
        <v>0</v>
      </c>
      <c r="AS25" s="95" t="n">
        <v>0</v>
      </c>
      <c r="AT25" s="95" t="n">
        <v>0</v>
      </c>
      <c r="AU25" s="95" t="n">
        <v>0</v>
      </c>
      <c r="AV25" s="95" t="n">
        <v>0</v>
      </c>
      <c r="AW25" s="95" t="n">
        <v>0</v>
      </c>
      <c r="AX25" s="95" t="n">
        <v>0</v>
      </c>
      <c r="AY25" s="95" t="n">
        <v>0</v>
      </c>
      <c r="AZ25" s="95" t="n">
        <v>0</v>
      </c>
      <c r="BA25" s="95" t="n">
        <v>0</v>
      </c>
      <c r="BB25" s="95" t="n">
        <v>0</v>
      </c>
      <c r="BC25" s="95" t="n">
        <v>0</v>
      </c>
      <c r="BD25" s="95" t="n">
        <v>0</v>
      </c>
      <c r="BE25" s="95" t="n">
        <v>0</v>
      </c>
      <c r="BF25" s="95" t="n">
        <v>0</v>
      </c>
      <c r="BG25" s="95" t="n">
        <v>1</v>
      </c>
      <c r="BH25" s="95" t="n">
        <v>0</v>
      </c>
      <c r="BI25" s="95" t="n">
        <v>0</v>
      </c>
      <c r="BJ25" s="95" t="n">
        <v>0</v>
      </c>
      <c r="BK25" s="95" t="n">
        <v>0</v>
      </c>
      <c r="BL25" s="95" t="n">
        <v>0</v>
      </c>
      <c r="BM25" s="95" t="n">
        <v>0</v>
      </c>
      <c r="BN25" s="95" t="n">
        <v>0</v>
      </c>
      <c r="BO25" s="95" t="n">
        <v>0</v>
      </c>
      <c r="BP25" s="95" t="n">
        <v>0</v>
      </c>
      <c r="BQ25" s="95" t="n">
        <v>0</v>
      </c>
      <c r="BR25" s="95" t="n">
        <v>0</v>
      </c>
      <c r="BS25" s="95" t="n">
        <v>0</v>
      </c>
      <c r="BT25" s="95" t="n">
        <v>0</v>
      </c>
      <c r="BU25" s="95" t="n">
        <v>0</v>
      </c>
      <c r="BV25" s="95" t="n">
        <v>0</v>
      </c>
      <c r="BW25" s="95" t="n">
        <v>1</v>
      </c>
      <c r="BX25" s="95" t="n">
        <v>0</v>
      </c>
      <c r="BY25" s="95" t="n">
        <v>0</v>
      </c>
      <c r="BZ25" s="95" t="n">
        <v>0</v>
      </c>
      <c r="CA25" s="95" t="n">
        <v>0</v>
      </c>
      <c r="CB25" s="95" t="n">
        <v>0</v>
      </c>
      <c r="CC25" s="95" t="n">
        <v>0</v>
      </c>
      <c r="CD25" s="95" t="n">
        <v>0</v>
      </c>
      <c r="CE25" s="95" t="n">
        <v>1</v>
      </c>
      <c r="CF25" s="95" t="n">
        <v>0</v>
      </c>
      <c r="CG25" s="95" t="n">
        <v>1</v>
      </c>
      <c r="CH25" s="95" t="n">
        <v>0</v>
      </c>
      <c r="CI25" s="95" t="n">
        <v>0</v>
      </c>
      <c r="CJ25" s="95" t="n">
        <v>1</v>
      </c>
      <c r="CK25" s="95" t="n">
        <v>0</v>
      </c>
      <c r="CL25" s="95" t="n">
        <v>-1</v>
      </c>
    </row>
    <row r="26" customFormat="false" ht="15" hidden="false" customHeight="false" outlineLevel="0" collapsed="false">
      <c r="I26" s="95" t="n">
        <v>23</v>
      </c>
      <c r="J26" s="267" t="s">
        <v>201</v>
      </c>
      <c r="K26" s="95" t="n">
        <v>0</v>
      </c>
      <c r="L26" s="95" t="n">
        <v>0</v>
      </c>
      <c r="M26" s="95" t="n">
        <v>0</v>
      </c>
      <c r="N26" s="95" t="n">
        <v>0</v>
      </c>
      <c r="O26" s="95" t="n">
        <v>0</v>
      </c>
      <c r="P26" s="95" t="n">
        <v>0</v>
      </c>
      <c r="Q26" s="95" t="n">
        <v>0</v>
      </c>
      <c r="R26" s="95" t="n">
        <v>0</v>
      </c>
      <c r="S26" s="268" t="e">
        <f aca="false">+#REF!</f>
        <v>#REF!</v>
      </c>
      <c r="T26" s="95" t="n">
        <v>0</v>
      </c>
      <c r="U26" s="95" t="n">
        <v>0</v>
      </c>
      <c r="V26" s="95" t="n">
        <v>0</v>
      </c>
      <c r="W26" s="95" t="n">
        <v>0</v>
      </c>
      <c r="X26" s="95" t="n">
        <v>0</v>
      </c>
      <c r="Y26" s="95" t="n">
        <v>0</v>
      </c>
      <c r="Z26" s="95" t="n">
        <v>0</v>
      </c>
      <c r="AA26" s="95" t="n">
        <v>0</v>
      </c>
      <c r="AB26" s="95" t="n">
        <v>0</v>
      </c>
      <c r="AC26" s="95" t="n">
        <v>0</v>
      </c>
      <c r="AD26" s="95" t="n">
        <v>0</v>
      </c>
      <c r="AE26" s="95" t="n">
        <v>0</v>
      </c>
      <c r="AF26" s="95" t="n">
        <v>0</v>
      </c>
    </row>
    <row r="27" customFormat="false" ht="15" hidden="false" customHeight="false" outlineLevel="0" collapsed="false">
      <c r="I27" s="95" t="n">
        <v>24</v>
      </c>
      <c r="J27" s="267" t="s">
        <v>202</v>
      </c>
      <c r="K27" s="95" t="n">
        <v>0</v>
      </c>
      <c r="L27" s="95" t="n">
        <v>0</v>
      </c>
      <c r="M27" s="95" t="n">
        <v>0</v>
      </c>
      <c r="N27" s="95" t="n">
        <v>0</v>
      </c>
      <c r="O27" s="95" t="n">
        <v>0</v>
      </c>
      <c r="P27" s="95" t="n">
        <v>0</v>
      </c>
      <c r="Q27" s="95" t="n">
        <v>0</v>
      </c>
      <c r="R27" s="95" t="n">
        <v>0</v>
      </c>
      <c r="S27" s="95" t="n">
        <v>-1</v>
      </c>
      <c r="T27" s="95" t="n">
        <v>0</v>
      </c>
      <c r="U27" s="95" t="n">
        <v>0</v>
      </c>
      <c r="V27" s="95" t="n">
        <v>0</v>
      </c>
      <c r="W27" s="95" t="n">
        <v>0</v>
      </c>
      <c r="X27" s="95" t="n">
        <v>0</v>
      </c>
      <c r="Y27" s="95" t="n">
        <v>0</v>
      </c>
      <c r="Z27" s="95" t="n">
        <v>0</v>
      </c>
      <c r="AA27" s="95" t="n">
        <v>0</v>
      </c>
      <c r="AB27" s="95" t="n">
        <v>0</v>
      </c>
      <c r="AC27" s="95" t="n">
        <v>0</v>
      </c>
      <c r="AD27" s="95" t="n">
        <v>0</v>
      </c>
      <c r="AE27" s="95" t="n">
        <v>0</v>
      </c>
      <c r="AF27" s="95" t="n">
        <v>1</v>
      </c>
    </row>
    <row r="28" customFormat="false" ht="15" hidden="false" customHeight="false" outlineLevel="0" collapsed="false">
      <c r="I28" s="95" t="n">
        <v>25</v>
      </c>
      <c r="J28" s="267" t="s">
        <v>203</v>
      </c>
      <c r="K28" s="95" t="n">
        <v>0</v>
      </c>
      <c r="L28" s="95" t="n">
        <v>0</v>
      </c>
      <c r="M28" s="95" t="n">
        <v>0</v>
      </c>
      <c r="N28" s="95" t="n">
        <v>0</v>
      </c>
      <c r="O28" s="95" t="n">
        <v>0</v>
      </c>
      <c r="P28" s="95" t="n">
        <v>0</v>
      </c>
      <c r="Q28" s="95" t="n">
        <v>0</v>
      </c>
      <c r="R28" s="95" t="n">
        <v>0</v>
      </c>
      <c r="S28" s="95" t="n">
        <v>0</v>
      </c>
      <c r="T28" s="95" t="n">
        <v>1</v>
      </c>
      <c r="U28" s="95" t="n">
        <v>0</v>
      </c>
      <c r="V28" s="95" t="n">
        <v>0</v>
      </c>
      <c r="W28" s="95" t="n">
        <v>0</v>
      </c>
      <c r="X28" s="95" t="n">
        <v>0</v>
      </c>
      <c r="Y28" s="95" t="n">
        <v>0</v>
      </c>
      <c r="Z28" s="95" t="n">
        <v>0</v>
      </c>
      <c r="AA28" s="95" t="n">
        <v>0</v>
      </c>
      <c r="AB28" s="95" t="n">
        <v>0</v>
      </c>
      <c r="AC28" s="95" t="n">
        <v>0</v>
      </c>
      <c r="AD28" s="95" t="n">
        <v>0</v>
      </c>
      <c r="AE28" s="95" t="n">
        <v>0</v>
      </c>
      <c r="AF28" s="95" t="n">
        <v>0</v>
      </c>
      <c r="AJ28" s="95" t="s">
        <v>7</v>
      </c>
      <c r="AK28" s="95" t="s">
        <v>9</v>
      </c>
    </row>
    <row r="29" customFormat="false" ht="15" hidden="false" customHeight="false" outlineLevel="0" collapsed="false">
      <c r="I29" s="95" t="n">
        <v>26</v>
      </c>
      <c r="J29" s="264" t="s">
        <v>204</v>
      </c>
      <c r="K29" s="95" t="n">
        <v>0</v>
      </c>
      <c r="L29" s="95" t="n">
        <v>0</v>
      </c>
      <c r="M29" s="95" t="n">
        <v>0</v>
      </c>
      <c r="N29" s="95" t="n">
        <v>0</v>
      </c>
      <c r="O29" s="95" t="n">
        <v>0</v>
      </c>
      <c r="P29" s="95" t="n">
        <v>0</v>
      </c>
      <c r="Q29" s="95" t="n">
        <v>0</v>
      </c>
      <c r="R29" s="95" t="n">
        <v>0</v>
      </c>
      <c r="S29" s="95" t="n">
        <v>0</v>
      </c>
      <c r="T29" s="95" t="n">
        <v>-1</v>
      </c>
      <c r="U29" s="95" t="n">
        <v>1</v>
      </c>
      <c r="V29" s="95" t="n">
        <v>0</v>
      </c>
      <c r="W29" s="95" t="n">
        <v>0</v>
      </c>
      <c r="X29" s="95" t="n">
        <v>0</v>
      </c>
      <c r="Y29" s="95" t="n">
        <v>0</v>
      </c>
      <c r="Z29" s="95" t="n">
        <v>0</v>
      </c>
      <c r="AA29" s="95" t="n">
        <v>0</v>
      </c>
      <c r="AB29" s="95" t="n">
        <v>0</v>
      </c>
      <c r="AC29" s="95" t="n">
        <v>0</v>
      </c>
      <c r="AD29" s="95" t="n">
        <v>0</v>
      </c>
      <c r="AE29" s="95" t="n">
        <v>0</v>
      </c>
      <c r="AF29" s="95" t="n">
        <v>0</v>
      </c>
      <c r="AI29" s="123" t="n">
        <f aca="false">+I62</f>
        <v>1</v>
      </c>
      <c r="AJ29" s="123" t="n">
        <f aca="false">+N62</f>
        <v>345274.754823511</v>
      </c>
      <c r="AK29" s="123" t="n">
        <f aca="false">+P62</f>
        <v>208129.930497905</v>
      </c>
    </row>
    <row r="30" customFormat="false" ht="15" hidden="false" customHeight="false" outlineLevel="0" collapsed="false">
      <c r="I30" s="95" t="n">
        <v>27</v>
      </c>
      <c r="J30" s="271" t="s">
        <v>205</v>
      </c>
      <c r="K30" s="95" t="n">
        <v>0</v>
      </c>
      <c r="L30" s="95" t="n">
        <v>0</v>
      </c>
      <c r="M30" s="95" t="n">
        <v>0</v>
      </c>
      <c r="N30" s="95" t="n">
        <v>0</v>
      </c>
      <c r="O30" s="95" t="n">
        <v>0</v>
      </c>
      <c r="P30" s="95" t="n">
        <v>0</v>
      </c>
      <c r="Q30" s="95" t="n">
        <v>0</v>
      </c>
      <c r="R30" s="95" t="n">
        <v>0</v>
      </c>
      <c r="S30" s="95" t="n">
        <v>0</v>
      </c>
      <c r="T30" s="95" t="n">
        <v>0</v>
      </c>
      <c r="U30" s="95" t="n">
        <v>-1</v>
      </c>
      <c r="V30" s="95" t="n">
        <v>1</v>
      </c>
      <c r="W30" s="95" t="n">
        <v>0</v>
      </c>
      <c r="X30" s="95" t="n">
        <v>0</v>
      </c>
      <c r="Y30" s="95" t="n">
        <v>0</v>
      </c>
      <c r="Z30" s="95" t="n">
        <v>0</v>
      </c>
      <c r="AA30" s="95" t="n">
        <v>0</v>
      </c>
      <c r="AB30" s="95" t="n">
        <v>0</v>
      </c>
      <c r="AC30" s="95" t="n">
        <v>0</v>
      </c>
      <c r="AD30" s="95" t="n">
        <v>0</v>
      </c>
      <c r="AE30" s="95" t="n">
        <v>0</v>
      </c>
      <c r="AF30" s="95" t="n">
        <v>0</v>
      </c>
      <c r="AI30" s="123" t="n">
        <f aca="false">+I63</f>
        <v>2</v>
      </c>
      <c r="AJ30" s="123" t="n">
        <f aca="false">+N63</f>
        <v>85251.4600560636</v>
      </c>
      <c r="AK30" s="123" t="n">
        <f aca="false">+P63</f>
        <v>56558.5517822808</v>
      </c>
    </row>
    <row r="31" customFormat="false" ht="15" hidden="false" customHeight="false" outlineLevel="0" collapsed="false">
      <c r="I31" s="95" t="n">
        <v>28</v>
      </c>
      <c r="J31" s="271" t="s">
        <v>206</v>
      </c>
      <c r="K31" s="95" t="n">
        <v>0</v>
      </c>
      <c r="L31" s="95" t="n">
        <v>0</v>
      </c>
      <c r="M31" s="95" t="n">
        <v>0</v>
      </c>
      <c r="N31" s="95" t="n">
        <v>0</v>
      </c>
      <c r="O31" s="95" t="n">
        <v>0</v>
      </c>
      <c r="P31" s="95" t="n">
        <v>0</v>
      </c>
      <c r="Q31" s="95" t="n">
        <v>0</v>
      </c>
      <c r="R31" s="95" t="n">
        <v>0</v>
      </c>
      <c r="S31" s="95" t="n">
        <v>0</v>
      </c>
      <c r="T31" s="95" t="n">
        <v>0</v>
      </c>
      <c r="U31" s="95" t="n">
        <v>0</v>
      </c>
      <c r="V31" s="268" t="e">
        <f aca="false">+#REF!</f>
        <v>#REF!</v>
      </c>
      <c r="W31" s="95" t="n">
        <v>0</v>
      </c>
      <c r="X31" s="95" t="n">
        <v>0</v>
      </c>
      <c r="Y31" s="95" t="n">
        <v>0</v>
      </c>
      <c r="Z31" s="95" t="n">
        <v>0</v>
      </c>
      <c r="AA31" s="95" t="n">
        <v>0</v>
      </c>
      <c r="AB31" s="95" t="n">
        <v>0</v>
      </c>
      <c r="AC31" s="95" t="n">
        <v>0</v>
      </c>
      <c r="AD31" s="95" t="n">
        <v>0</v>
      </c>
      <c r="AE31" s="95" t="n">
        <v>0</v>
      </c>
      <c r="AF31" s="95" t="n">
        <v>0</v>
      </c>
      <c r="AI31" s="123" t="n">
        <f aca="false">+I64</f>
        <v>3</v>
      </c>
      <c r="AJ31" s="123" t="n">
        <f aca="false">+N64</f>
        <v>260023.294767445</v>
      </c>
      <c r="AK31" s="123" t="n">
        <f aca="false">+P64</f>
        <v>151571.378715626</v>
      </c>
    </row>
    <row r="32" customFormat="false" ht="15" hidden="false" customHeight="false" outlineLevel="0" collapsed="false">
      <c r="I32" s="95" t="n">
        <v>29</v>
      </c>
      <c r="J32" s="271" t="s">
        <v>207</v>
      </c>
      <c r="K32" s="95" t="n">
        <v>0</v>
      </c>
      <c r="L32" s="95" t="n">
        <v>0</v>
      </c>
      <c r="M32" s="95" t="n">
        <v>0</v>
      </c>
      <c r="N32" s="95" t="n">
        <v>0</v>
      </c>
      <c r="O32" s="95" t="n">
        <v>0</v>
      </c>
      <c r="P32" s="95" t="n">
        <v>0</v>
      </c>
      <c r="Q32" s="95" t="n">
        <v>0</v>
      </c>
      <c r="R32" s="95" t="n">
        <v>0</v>
      </c>
      <c r="S32" s="95" t="n">
        <v>0</v>
      </c>
      <c r="T32" s="95" t="n">
        <v>0</v>
      </c>
      <c r="U32" s="95" t="n">
        <v>-1</v>
      </c>
      <c r="V32" s="95" t="n">
        <v>0</v>
      </c>
      <c r="W32" s="95" t="n">
        <v>0</v>
      </c>
      <c r="X32" s="95" t="n">
        <v>0</v>
      </c>
      <c r="Y32" s="95" t="n">
        <v>1</v>
      </c>
      <c r="Z32" s="95" t="n">
        <v>0</v>
      </c>
      <c r="AA32" s="95" t="n">
        <v>0</v>
      </c>
      <c r="AB32" s="95" t="n">
        <v>0</v>
      </c>
      <c r="AC32" s="95" t="n">
        <v>0</v>
      </c>
      <c r="AD32" s="95" t="n">
        <v>0</v>
      </c>
      <c r="AE32" s="95" t="n">
        <v>0</v>
      </c>
      <c r="AF32" s="95" t="n">
        <v>0</v>
      </c>
      <c r="AI32" s="123" t="n">
        <f aca="false">+I65</f>
        <v>4</v>
      </c>
      <c r="AJ32" s="123" t="n">
        <f aca="false">+N65</f>
        <v>0</v>
      </c>
      <c r="AK32" s="123" t="n">
        <f aca="false">+P65</f>
        <v>0</v>
      </c>
    </row>
    <row r="33" customFormat="false" ht="15" hidden="false" customHeight="false" outlineLevel="0" collapsed="false">
      <c r="I33" s="95" t="n">
        <v>30</v>
      </c>
      <c r="J33" s="271" t="s">
        <v>208</v>
      </c>
      <c r="K33" s="95" t="n">
        <v>0</v>
      </c>
      <c r="L33" s="95" t="n">
        <v>0</v>
      </c>
      <c r="M33" s="95" t="n">
        <v>0</v>
      </c>
      <c r="N33" s="95" t="n">
        <v>0</v>
      </c>
      <c r="O33" s="95" t="n">
        <v>0</v>
      </c>
      <c r="P33" s="95" t="n">
        <v>0</v>
      </c>
      <c r="Q33" s="95" t="n">
        <v>0</v>
      </c>
      <c r="R33" s="95" t="n">
        <v>0</v>
      </c>
      <c r="S33" s="95" t="n">
        <v>0</v>
      </c>
      <c r="T33" s="95" t="n">
        <v>0</v>
      </c>
      <c r="U33" s="95" t="n">
        <v>0</v>
      </c>
      <c r="V33" s="95" t="n">
        <v>0</v>
      </c>
      <c r="W33" s="95" t="n">
        <v>0</v>
      </c>
      <c r="X33" s="95" t="n">
        <v>0</v>
      </c>
      <c r="Y33" s="268" t="e">
        <f aca="false">+#REF!</f>
        <v>#REF!</v>
      </c>
      <c r="Z33" s="95" t="n">
        <v>0</v>
      </c>
      <c r="AA33" s="95" t="n">
        <v>0</v>
      </c>
      <c r="AB33" s="95" t="n">
        <v>0</v>
      </c>
      <c r="AC33" s="95" t="n">
        <v>0</v>
      </c>
      <c r="AD33" s="95" t="n">
        <v>0</v>
      </c>
      <c r="AE33" s="95" t="n">
        <v>0</v>
      </c>
      <c r="AF33" s="95" t="n">
        <v>0</v>
      </c>
      <c r="AI33" s="123" t="n">
        <f aca="false">+I66</f>
        <v>5</v>
      </c>
      <c r="AJ33" s="123" t="n">
        <f aca="false">+N66</f>
        <v>15949.7793012643</v>
      </c>
      <c r="AK33" s="123" t="n">
        <f aca="false">+P66</f>
        <v>9650.93527809089</v>
      </c>
    </row>
    <row r="34" customFormat="false" ht="15" hidden="false" customHeight="false" outlineLevel="0" collapsed="false">
      <c r="I34" s="95" t="n">
        <v>31</v>
      </c>
      <c r="J34" s="265" t="s">
        <v>209</v>
      </c>
      <c r="K34" s="95" t="n">
        <v>0</v>
      </c>
      <c r="L34" s="95" t="n">
        <v>0</v>
      </c>
      <c r="M34" s="95" t="n">
        <v>0</v>
      </c>
      <c r="N34" s="95" t="n">
        <v>0</v>
      </c>
      <c r="O34" s="95" t="n">
        <v>0</v>
      </c>
      <c r="P34" s="95" t="n">
        <v>0</v>
      </c>
      <c r="Q34" s="95" t="n">
        <v>0</v>
      </c>
      <c r="R34" s="95" t="n">
        <v>0</v>
      </c>
      <c r="S34" s="95" t="n">
        <v>0</v>
      </c>
      <c r="T34" s="95" t="n">
        <v>0</v>
      </c>
      <c r="U34" s="95" t="n">
        <v>1</v>
      </c>
      <c r="V34" s="95" t="n">
        <v>0</v>
      </c>
      <c r="W34" s="95" t="n">
        <v>0</v>
      </c>
      <c r="X34" s="95" t="n">
        <v>0</v>
      </c>
      <c r="Y34" s="95" t="n">
        <v>0</v>
      </c>
      <c r="Z34" s="95" t="n">
        <v>0</v>
      </c>
      <c r="AA34" s="95" t="n">
        <v>0</v>
      </c>
      <c r="AB34" s="95" t="n">
        <v>0</v>
      </c>
      <c r="AC34" s="95" t="n">
        <v>0</v>
      </c>
      <c r="AD34" s="95" t="n">
        <v>0</v>
      </c>
      <c r="AE34" s="95" t="n">
        <v>0</v>
      </c>
      <c r="AF34" s="95" t="n">
        <v>0</v>
      </c>
      <c r="AI34" s="123" t="n">
        <f aca="false">+I67</f>
        <v>6</v>
      </c>
      <c r="AJ34" s="123" t="n">
        <f aca="false">+N67</f>
        <v>244073.515466184</v>
      </c>
      <c r="AK34" s="123" t="n">
        <f aca="false">+P67</f>
        <v>141920.443437533</v>
      </c>
    </row>
    <row r="35" customFormat="false" ht="15" hidden="false" customHeight="false" outlineLevel="0" collapsed="false">
      <c r="I35" s="95" t="n">
        <v>32</v>
      </c>
      <c r="J35" s="266" t="s">
        <v>210</v>
      </c>
      <c r="K35" s="95" t="n">
        <v>0</v>
      </c>
      <c r="L35" s="95" t="n">
        <v>0</v>
      </c>
      <c r="M35" s="95" t="n">
        <v>0</v>
      </c>
      <c r="N35" s="95" t="n">
        <v>0</v>
      </c>
      <c r="O35" s="95" t="n">
        <v>0</v>
      </c>
      <c r="P35" s="95" t="n">
        <v>0</v>
      </c>
      <c r="Q35" s="95" t="n">
        <v>0</v>
      </c>
      <c r="R35" s="95" t="n">
        <v>0</v>
      </c>
      <c r="S35" s="95" t="n">
        <v>0</v>
      </c>
      <c r="T35" s="95" t="n">
        <v>0</v>
      </c>
      <c r="U35" s="95" t="n">
        <v>-1</v>
      </c>
      <c r="V35" s="95" t="n">
        <v>0</v>
      </c>
      <c r="W35" s="95" t="n">
        <v>1</v>
      </c>
      <c r="X35" s="95" t="n">
        <v>0</v>
      </c>
      <c r="Y35" s="95" t="n">
        <v>0</v>
      </c>
      <c r="Z35" s="95" t="n">
        <v>0</v>
      </c>
      <c r="AA35" s="95" t="n">
        <v>0</v>
      </c>
      <c r="AB35" s="95" t="n">
        <v>0</v>
      </c>
      <c r="AC35" s="95" t="n">
        <v>0</v>
      </c>
      <c r="AD35" s="95" t="n">
        <v>0</v>
      </c>
      <c r="AE35" s="95" t="n">
        <v>0</v>
      </c>
      <c r="AF35" s="95" t="n">
        <v>0</v>
      </c>
      <c r="AI35" s="123" t="n">
        <f aca="false">+I68</f>
        <v>7</v>
      </c>
      <c r="AJ35" s="123" t="n">
        <f aca="false">+N68</f>
        <v>278.092602853148</v>
      </c>
      <c r="AK35" s="123" t="n">
        <f aca="false">+P68</f>
        <v>167.308361937496</v>
      </c>
    </row>
    <row r="36" customFormat="false" ht="15" hidden="false" customHeight="false" outlineLevel="0" collapsed="false">
      <c r="I36" s="95" t="n">
        <v>33</v>
      </c>
      <c r="J36" s="264" t="s">
        <v>211</v>
      </c>
      <c r="K36" s="95" t="n">
        <v>0</v>
      </c>
      <c r="L36" s="95" t="n">
        <v>0</v>
      </c>
      <c r="M36" s="95" t="n">
        <v>0</v>
      </c>
      <c r="N36" s="95" t="n">
        <v>0</v>
      </c>
      <c r="O36" s="95" t="n">
        <v>0</v>
      </c>
      <c r="P36" s="95" t="n">
        <v>0</v>
      </c>
      <c r="Q36" s="95" t="n">
        <v>0</v>
      </c>
      <c r="R36" s="95" t="n">
        <v>0</v>
      </c>
      <c r="S36" s="95" t="n">
        <v>0</v>
      </c>
      <c r="T36" s="95" t="n">
        <v>0</v>
      </c>
      <c r="U36" s="95" t="n">
        <v>-1</v>
      </c>
      <c r="V36" s="95" t="n">
        <v>0</v>
      </c>
      <c r="W36" s="95" t="n">
        <v>0</v>
      </c>
      <c r="X36" s="95" t="n">
        <v>1</v>
      </c>
      <c r="Y36" s="95" t="n">
        <v>0</v>
      </c>
      <c r="Z36" s="95" t="n">
        <v>0</v>
      </c>
      <c r="AA36" s="95" t="n">
        <v>0</v>
      </c>
      <c r="AB36" s="95" t="n">
        <v>0</v>
      </c>
      <c r="AC36" s="95" t="n">
        <v>0</v>
      </c>
      <c r="AD36" s="95" t="n">
        <v>0</v>
      </c>
      <c r="AE36" s="95" t="n">
        <v>0</v>
      </c>
      <c r="AF36" s="95" t="n">
        <v>0</v>
      </c>
      <c r="AI36" s="123" t="n">
        <f aca="false">+I69</f>
        <v>8</v>
      </c>
      <c r="AJ36" s="123" t="n">
        <f aca="false">+N69</f>
        <v>244351.608069037</v>
      </c>
      <c r="AK36" s="123" t="n">
        <f aca="false">+P69</f>
        <v>142087.75179947</v>
      </c>
    </row>
    <row r="37" customFormat="false" ht="15" hidden="false" customHeight="false" outlineLevel="0" collapsed="false">
      <c r="I37" s="95" t="n">
        <v>34</v>
      </c>
      <c r="J37" s="265" t="s">
        <v>212</v>
      </c>
      <c r="K37" s="95" t="n">
        <v>0</v>
      </c>
      <c r="L37" s="95" t="n">
        <v>0</v>
      </c>
      <c r="M37" s="95" t="n">
        <v>0</v>
      </c>
      <c r="N37" s="95" t="n">
        <v>0</v>
      </c>
      <c r="O37" s="95" t="n">
        <v>0</v>
      </c>
      <c r="P37" s="95" t="n">
        <v>0</v>
      </c>
      <c r="Q37" s="95" t="n">
        <v>0</v>
      </c>
      <c r="R37" s="95" t="n">
        <v>0</v>
      </c>
      <c r="S37" s="95" t="n">
        <v>0</v>
      </c>
      <c r="T37" s="95" t="n">
        <v>0</v>
      </c>
      <c r="U37" s="95" t="n">
        <v>0</v>
      </c>
      <c r="V37" s="95" t="n">
        <v>0</v>
      </c>
      <c r="W37" s="95" t="n">
        <v>-1</v>
      </c>
      <c r="X37" s="95" t="n">
        <v>1</v>
      </c>
      <c r="Y37" s="95" t="n">
        <v>0</v>
      </c>
      <c r="Z37" s="95" t="n">
        <v>0</v>
      </c>
      <c r="AA37" s="95" t="n">
        <v>0</v>
      </c>
      <c r="AB37" s="95" t="n">
        <v>0</v>
      </c>
      <c r="AC37" s="95" t="n">
        <v>0</v>
      </c>
      <c r="AD37" s="95" t="n">
        <v>0</v>
      </c>
      <c r="AE37" s="95" t="n">
        <v>0</v>
      </c>
      <c r="AF37" s="95" t="n">
        <v>0</v>
      </c>
      <c r="AI37" s="123" t="n">
        <f aca="false">+I70</f>
        <v>9</v>
      </c>
      <c r="AJ37" s="123" t="n">
        <f aca="false">+N70</f>
        <v>1385.94776388672</v>
      </c>
      <c r="AK37" s="123" t="n">
        <f aca="false">+P70</f>
        <v>816.436482127643</v>
      </c>
    </row>
    <row r="38" customFormat="false" ht="15" hidden="false" customHeight="false" outlineLevel="0" collapsed="false">
      <c r="I38" s="95" t="n">
        <v>35</v>
      </c>
      <c r="J38" s="265" t="s">
        <v>213</v>
      </c>
      <c r="K38" s="95" t="n">
        <v>0</v>
      </c>
      <c r="L38" s="95" t="n">
        <v>0</v>
      </c>
      <c r="M38" s="95" t="n">
        <v>0</v>
      </c>
      <c r="N38" s="95" t="n">
        <v>0</v>
      </c>
      <c r="O38" s="95" t="n">
        <v>0</v>
      </c>
      <c r="P38" s="95" t="n">
        <v>0</v>
      </c>
      <c r="Q38" s="95" t="n">
        <v>0</v>
      </c>
      <c r="R38" s="95" t="n">
        <v>0</v>
      </c>
      <c r="S38" s="95" t="n">
        <v>0</v>
      </c>
      <c r="T38" s="95" t="n">
        <v>0</v>
      </c>
      <c r="U38" s="95" t="n">
        <v>0</v>
      </c>
      <c r="V38" s="95" t="n">
        <v>0</v>
      </c>
      <c r="W38" s="268" t="e">
        <f aca="false">+#REF!</f>
        <v>#REF!</v>
      </c>
      <c r="X38" s="95" t="n">
        <v>0</v>
      </c>
      <c r="Y38" s="95" t="n">
        <v>0</v>
      </c>
      <c r="Z38" s="95" t="n">
        <v>0</v>
      </c>
      <c r="AA38" s="95" t="n">
        <v>0</v>
      </c>
      <c r="AB38" s="95" t="n">
        <v>0</v>
      </c>
      <c r="AC38" s="95" t="n">
        <v>0</v>
      </c>
      <c r="AD38" s="95" t="n">
        <v>0</v>
      </c>
      <c r="AE38" s="95" t="n">
        <v>0</v>
      </c>
      <c r="AF38" s="95" t="n">
        <v>0</v>
      </c>
      <c r="AI38" s="123" t="n">
        <f aca="false">+I71</f>
        <v>10</v>
      </c>
      <c r="AJ38" s="123" t="n">
        <f aca="false">+N71</f>
        <v>42525.9895949039</v>
      </c>
      <c r="AK38" s="123" t="n">
        <f aca="false">+P71</f>
        <v>4150.53658446262</v>
      </c>
    </row>
    <row r="39" customFormat="false" ht="15" hidden="false" customHeight="false" outlineLevel="0" collapsed="false">
      <c r="I39" s="95" t="n">
        <v>36</v>
      </c>
      <c r="J39" s="271" t="s">
        <v>214</v>
      </c>
      <c r="K39" s="95" t="n">
        <v>0</v>
      </c>
      <c r="L39" s="95" t="n">
        <v>0</v>
      </c>
      <c r="M39" s="95" t="n">
        <v>0</v>
      </c>
      <c r="N39" s="95" t="n">
        <v>0</v>
      </c>
      <c r="O39" s="95" t="n">
        <v>0</v>
      </c>
      <c r="P39" s="95" t="n">
        <v>0</v>
      </c>
      <c r="Q39" s="95" t="n">
        <v>0</v>
      </c>
      <c r="R39" s="95" t="n">
        <v>0</v>
      </c>
      <c r="S39" s="95" t="n">
        <v>0</v>
      </c>
      <c r="T39" s="95" t="n">
        <v>0</v>
      </c>
      <c r="U39" s="95" t="n">
        <v>0</v>
      </c>
      <c r="V39" s="95" t="n">
        <v>0</v>
      </c>
      <c r="W39" s="95" t="n">
        <v>0</v>
      </c>
      <c r="X39" s="95" t="n">
        <v>-1</v>
      </c>
      <c r="Y39" s="95" t="n">
        <v>0</v>
      </c>
      <c r="Z39" s="95" t="n">
        <v>1</v>
      </c>
      <c r="AA39" s="95" t="n">
        <v>0</v>
      </c>
      <c r="AB39" s="95" t="n">
        <v>0</v>
      </c>
      <c r="AC39" s="95" t="n">
        <v>0</v>
      </c>
      <c r="AD39" s="95" t="n">
        <v>0</v>
      </c>
      <c r="AE39" s="95" t="n">
        <v>0</v>
      </c>
      <c r="AF39" s="95" t="n">
        <v>0</v>
      </c>
      <c r="AI39" s="123" t="n">
        <f aca="false">+I72</f>
        <v>11</v>
      </c>
      <c r="AJ39" s="123" t="n">
        <f aca="false">+N72</f>
        <v>200439.670710246</v>
      </c>
      <c r="AK39" s="123" t="n">
        <f aca="false">+P72</f>
        <v>137120.778732879</v>
      </c>
    </row>
    <row r="40" customFormat="false" ht="15" hidden="false" customHeight="false" outlineLevel="0" collapsed="false">
      <c r="I40" s="95" t="n">
        <v>37</v>
      </c>
      <c r="J40" s="271" t="s">
        <v>215</v>
      </c>
      <c r="K40" s="95" t="n">
        <v>0</v>
      </c>
      <c r="L40" s="95" t="n">
        <v>0</v>
      </c>
      <c r="M40" s="95" t="n">
        <v>0</v>
      </c>
      <c r="N40" s="95" t="n">
        <v>0</v>
      </c>
      <c r="O40" s="95" t="n">
        <v>0</v>
      </c>
      <c r="P40" s="95" t="n">
        <v>0</v>
      </c>
      <c r="Q40" s="95" t="n">
        <v>0</v>
      </c>
      <c r="R40" s="95" t="n">
        <v>0</v>
      </c>
      <c r="S40" s="95" t="n">
        <v>0</v>
      </c>
      <c r="T40" s="95" t="n">
        <v>0</v>
      </c>
      <c r="U40" s="95" t="n">
        <v>0</v>
      </c>
      <c r="V40" s="95" t="n">
        <v>0</v>
      </c>
      <c r="W40" s="95" t="n">
        <v>0</v>
      </c>
      <c r="X40" s="95" t="n">
        <v>0</v>
      </c>
      <c r="Y40" s="95" t="n">
        <v>0</v>
      </c>
      <c r="Z40" s="268" t="e">
        <f aca="false">+#REF!</f>
        <v>#REF!</v>
      </c>
      <c r="AA40" s="95" t="n">
        <v>0</v>
      </c>
      <c r="AB40" s="95" t="n">
        <v>0</v>
      </c>
      <c r="AC40" s="95" t="n">
        <v>0</v>
      </c>
      <c r="AD40" s="95" t="n">
        <v>0</v>
      </c>
      <c r="AE40" s="95" t="n">
        <v>0</v>
      </c>
      <c r="AF40" s="95" t="n">
        <v>0</v>
      </c>
      <c r="AI40" s="123" t="n">
        <f aca="false">+I73</f>
        <v>12</v>
      </c>
      <c r="AJ40" s="123" t="n">
        <f aca="false">+N73</f>
        <v>2653.34239024597</v>
      </c>
      <c r="AK40" s="123" t="n">
        <f aca="false">+P73</f>
        <v>1814.27766010879</v>
      </c>
    </row>
    <row r="41" customFormat="false" ht="15" hidden="false" customHeight="false" outlineLevel="0" collapsed="false">
      <c r="I41" s="95" t="n">
        <v>38</v>
      </c>
      <c r="J41" s="265" t="s">
        <v>216</v>
      </c>
      <c r="K41" s="95" t="n">
        <v>0</v>
      </c>
      <c r="L41" s="95" t="n">
        <v>0</v>
      </c>
      <c r="M41" s="95" t="n">
        <v>0</v>
      </c>
      <c r="N41" s="95" t="n">
        <v>0</v>
      </c>
      <c r="O41" s="95" t="n">
        <v>0</v>
      </c>
      <c r="P41" s="95" t="n">
        <v>0</v>
      </c>
      <c r="Q41" s="95" t="n">
        <v>0</v>
      </c>
      <c r="R41" s="95" t="n">
        <v>0</v>
      </c>
      <c r="S41" s="95" t="n">
        <v>0</v>
      </c>
      <c r="T41" s="95" t="n">
        <v>0</v>
      </c>
      <c r="U41" s="95" t="n">
        <v>0</v>
      </c>
      <c r="V41" s="95" t="n">
        <v>0</v>
      </c>
      <c r="W41" s="95" t="n">
        <v>0</v>
      </c>
      <c r="X41" s="95" t="n">
        <v>-1</v>
      </c>
      <c r="Y41" s="95" t="n">
        <v>0</v>
      </c>
      <c r="Z41" s="95" t="n">
        <v>0</v>
      </c>
      <c r="AA41" s="95" t="n">
        <v>0</v>
      </c>
      <c r="AB41" s="95" t="n">
        <v>1</v>
      </c>
      <c r="AC41" s="95" t="n">
        <v>0</v>
      </c>
      <c r="AD41" s="95" t="n">
        <v>0</v>
      </c>
      <c r="AE41" s="95" t="n">
        <v>0</v>
      </c>
      <c r="AF41" s="95" t="n">
        <v>0</v>
      </c>
      <c r="AI41" s="123" t="n">
        <f aca="false">+I74</f>
        <v>13</v>
      </c>
      <c r="AJ41" s="123" t="n">
        <f aca="false">+N74</f>
        <v>0</v>
      </c>
      <c r="AK41" s="123" t="n">
        <f aca="false">+P74</f>
        <v>0</v>
      </c>
    </row>
    <row r="42" customFormat="false" ht="15" hidden="false" customHeight="false" outlineLevel="0" collapsed="false">
      <c r="I42" s="95" t="n">
        <v>39</v>
      </c>
      <c r="J42" s="265" t="s">
        <v>217</v>
      </c>
      <c r="K42" s="95" t="n">
        <v>0</v>
      </c>
      <c r="L42" s="95" t="n">
        <v>0</v>
      </c>
      <c r="M42" s="95" t="n">
        <v>0</v>
      </c>
      <c r="N42" s="95" t="n">
        <v>0</v>
      </c>
      <c r="O42" s="95" t="n">
        <v>0</v>
      </c>
      <c r="P42" s="95" t="n">
        <v>0</v>
      </c>
      <c r="Q42" s="95" t="n">
        <v>0</v>
      </c>
      <c r="R42" s="95" t="n">
        <v>0</v>
      </c>
      <c r="S42" s="95" t="n">
        <v>0</v>
      </c>
      <c r="T42" s="95" t="n">
        <v>0</v>
      </c>
      <c r="U42" s="95" t="n">
        <v>0</v>
      </c>
      <c r="V42" s="95" t="n">
        <v>0</v>
      </c>
      <c r="W42" s="95" t="n">
        <v>0</v>
      </c>
      <c r="X42" s="95" t="n">
        <v>0</v>
      </c>
      <c r="Y42" s="95" t="n">
        <v>0</v>
      </c>
      <c r="Z42" s="95" t="n">
        <v>0</v>
      </c>
      <c r="AA42" s="95" t="n">
        <v>0</v>
      </c>
      <c r="AB42" s="268" t="e">
        <f aca="false">+#REF!</f>
        <v>#REF!</v>
      </c>
      <c r="AC42" s="95" t="n">
        <v>0</v>
      </c>
      <c r="AD42" s="95" t="n">
        <v>0</v>
      </c>
      <c r="AE42" s="95" t="n">
        <v>0</v>
      </c>
      <c r="AF42" s="95" t="n">
        <v>0</v>
      </c>
      <c r="AI42" s="123" t="n">
        <f aca="false">+I75</f>
        <v>14</v>
      </c>
      <c r="AJ42" s="123" t="n">
        <f aca="false">+N75</f>
        <v>197786.32832</v>
      </c>
      <c r="AK42" s="123" t="n">
        <f aca="false">+P75</f>
        <v>135306.501072771</v>
      </c>
    </row>
    <row r="43" customFormat="false" ht="15" hidden="false" customHeight="false" outlineLevel="0" collapsed="false">
      <c r="I43" s="95" t="n">
        <v>40</v>
      </c>
      <c r="J43" s="266" t="s">
        <v>218</v>
      </c>
      <c r="K43" s="95" t="n">
        <v>0</v>
      </c>
      <c r="L43" s="95" t="n">
        <v>0</v>
      </c>
      <c r="M43" s="95" t="n">
        <v>0</v>
      </c>
      <c r="N43" s="95" t="n">
        <v>0</v>
      </c>
      <c r="O43" s="95" t="n">
        <v>0</v>
      </c>
      <c r="P43" s="95" t="n">
        <v>0</v>
      </c>
      <c r="Q43" s="95" t="n">
        <v>0</v>
      </c>
      <c r="R43" s="95" t="n">
        <v>0</v>
      </c>
      <c r="S43" s="95" t="n">
        <v>0</v>
      </c>
      <c r="T43" s="95" t="n">
        <v>0</v>
      </c>
      <c r="U43" s="95" t="n">
        <v>0</v>
      </c>
      <c r="V43" s="95" t="n">
        <v>0</v>
      </c>
      <c r="W43" s="95" t="n">
        <v>0</v>
      </c>
      <c r="X43" s="95" t="n">
        <v>0</v>
      </c>
      <c r="Y43" s="95" t="n">
        <v>0</v>
      </c>
      <c r="Z43" s="95" t="n">
        <v>0</v>
      </c>
      <c r="AA43" s="95" t="n">
        <v>0</v>
      </c>
      <c r="AB43" s="95" t="n">
        <v>-1</v>
      </c>
      <c r="AC43" s="95" t="n">
        <v>0</v>
      </c>
      <c r="AD43" s="95" t="n">
        <v>0</v>
      </c>
      <c r="AE43" s="95" t="n">
        <v>0</v>
      </c>
      <c r="AF43" s="95" t="n">
        <v>1</v>
      </c>
      <c r="AI43" s="123" t="n">
        <f aca="false">+I76</f>
        <v>15</v>
      </c>
      <c r="AJ43" s="123" t="n">
        <f aca="false">+N76</f>
        <v>197786.32832</v>
      </c>
      <c r="AK43" s="123" t="n">
        <f aca="false">+P76</f>
        <v>135306.501072771</v>
      </c>
    </row>
    <row r="44" customFormat="false" ht="15" hidden="false" customHeight="false" outlineLevel="0" collapsed="false">
      <c r="I44" s="95" t="n">
        <v>41</v>
      </c>
      <c r="J44" s="271" t="s">
        <v>219</v>
      </c>
      <c r="K44" s="95" t="n">
        <v>0</v>
      </c>
      <c r="L44" s="95" t="n">
        <v>0</v>
      </c>
      <c r="M44" s="95" t="n">
        <v>0</v>
      </c>
      <c r="N44" s="95" t="n">
        <v>0</v>
      </c>
      <c r="O44" s="95" t="n">
        <v>0</v>
      </c>
      <c r="P44" s="95" t="n">
        <v>0</v>
      </c>
      <c r="Q44" s="95" t="n">
        <v>0</v>
      </c>
      <c r="R44" s="95" t="n">
        <v>0</v>
      </c>
      <c r="S44" s="95" t="n">
        <v>0</v>
      </c>
      <c r="T44" s="95" t="n">
        <v>0</v>
      </c>
      <c r="U44" s="95" t="n">
        <v>0</v>
      </c>
      <c r="V44" s="95" t="n">
        <v>0</v>
      </c>
      <c r="W44" s="95" t="n">
        <v>0</v>
      </c>
      <c r="X44" s="95" t="n">
        <v>0</v>
      </c>
      <c r="Y44" s="95" t="n">
        <v>0</v>
      </c>
      <c r="Z44" s="95" t="n">
        <v>-1</v>
      </c>
      <c r="AA44" s="95" t="n">
        <v>1</v>
      </c>
      <c r="AB44" s="95" t="n">
        <v>0</v>
      </c>
      <c r="AC44" s="95" t="n">
        <v>0</v>
      </c>
      <c r="AD44" s="95" t="n">
        <v>0</v>
      </c>
      <c r="AE44" s="95" t="n">
        <v>0</v>
      </c>
      <c r="AF44" s="95" t="n">
        <v>0</v>
      </c>
      <c r="AI44" s="123" t="n">
        <f aca="false">+I77</f>
        <v>16</v>
      </c>
      <c r="AJ44" s="123" t="n">
        <f aca="false">+N77</f>
        <v>0</v>
      </c>
      <c r="AK44" s="123" t="n">
        <f aca="false">+P77</f>
        <v>0</v>
      </c>
    </row>
    <row r="45" customFormat="false" ht="15" hidden="false" customHeight="false" outlineLevel="0" collapsed="false">
      <c r="I45" s="95" t="n">
        <v>42</v>
      </c>
      <c r="J45" s="269" t="s">
        <v>220</v>
      </c>
      <c r="K45" s="95" t="n">
        <v>0</v>
      </c>
      <c r="L45" s="95" t="n">
        <v>0</v>
      </c>
      <c r="M45" s="95" t="n">
        <v>0</v>
      </c>
      <c r="N45" s="95" t="n">
        <v>0</v>
      </c>
      <c r="O45" s="95" t="n">
        <v>0</v>
      </c>
      <c r="P45" s="95" t="n">
        <v>0</v>
      </c>
      <c r="Q45" s="95" t="n">
        <v>0</v>
      </c>
      <c r="R45" s="95" t="n">
        <v>0</v>
      </c>
      <c r="S45" s="95" t="n">
        <v>0</v>
      </c>
      <c r="T45" s="95" t="n">
        <v>0</v>
      </c>
      <c r="U45" s="95" t="n">
        <v>0</v>
      </c>
      <c r="V45" s="95" t="n">
        <v>-1</v>
      </c>
      <c r="W45" s="95" t="n">
        <v>0</v>
      </c>
      <c r="X45" s="95" t="n">
        <v>0</v>
      </c>
      <c r="Y45" s="95" t="n">
        <v>0</v>
      </c>
      <c r="Z45" s="95" t="n">
        <v>0</v>
      </c>
      <c r="AA45" s="95" t="n">
        <v>1</v>
      </c>
      <c r="AB45" s="95" t="n">
        <v>0</v>
      </c>
      <c r="AC45" s="95" t="n">
        <v>0</v>
      </c>
      <c r="AD45" s="95" t="n">
        <v>0</v>
      </c>
      <c r="AE45" s="95" t="n">
        <v>0</v>
      </c>
      <c r="AF45" s="95" t="n">
        <v>0</v>
      </c>
      <c r="AI45" s="123" t="n">
        <f aca="false">+I78</f>
        <v>17</v>
      </c>
      <c r="AJ45" s="123" t="n">
        <f aca="false">+N78</f>
        <v>0</v>
      </c>
      <c r="AK45" s="123" t="n">
        <f aca="false">+P78</f>
        <v>0</v>
      </c>
    </row>
    <row r="46" customFormat="false" ht="15" hidden="false" customHeight="false" outlineLevel="0" collapsed="false">
      <c r="I46" s="95" t="n">
        <v>43</v>
      </c>
      <c r="J46" s="269" t="s">
        <v>221</v>
      </c>
      <c r="K46" s="95" t="n">
        <v>0</v>
      </c>
      <c r="L46" s="95" t="n">
        <v>0</v>
      </c>
      <c r="M46" s="95" t="n">
        <v>0</v>
      </c>
      <c r="N46" s="95" t="n">
        <v>0</v>
      </c>
      <c r="O46" s="95" t="n">
        <v>0</v>
      </c>
      <c r="P46" s="95" t="n">
        <v>0</v>
      </c>
      <c r="Q46" s="95" t="n">
        <v>0</v>
      </c>
      <c r="R46" s="95" t="n">
        <v>0</v>
      </c>
      <c r="S46" s="95" t="n">
        <v>0</v>
      </c>
      <c r="T46" s="95" t="n">
        <v>0</v>
      </c>
      <c r="U46" s="95" t="n">
        <v>0</v>
      </c>
      <c r="V46" s="95" t="n">
        <v>0</v>
      </c>
      <c r="W46" s="95" t="n">
        <v>0</v>
      </c>
      <c r="X46" s="95" t="n">
        <v>0</v>
      </c>
      <c r="Y46" s="95" t="n">
        <v>-1</v>
      </c>
      <c r="Z46" s="95" t="n">
        <v>0</v>
      </c>
      <c r="AA46" s="95" t="n">
        <v>1</v>
      </c>
      <c r="AB46" s="95" t="n">
        <v>0</v>
      </c>
      <c r="AC46" s="95" t="n">
        <v>0</v>
      </c>
      <c r="AD46" s="95" t="n">
        <v>0</v>
      </c>
      <c r="AE46" s="95" t="n">
        <v>0</v>
      </c>
      <c r="AF46" s="95" t="n">
        <v>0</v>
      </c>
      <c r="AI46" s="123" t="n">
        <f aca="false">+I79</f>
        <v>18</v>
      </c>
      <c r="AJ46" s="123" t="n">
        <f aca="false">+N79</f>
        <v>8819.24908340816</v>
      </c>
      <c r="AK46" s="123" t="n">
        <f aca="false">+P79</f>
        <v>6120.12908566706</v>
      </c>
    </row>
    <row r="47" customFormat="false" ht="15" hidden="false" customHeight="false" outlineLevel="0" collapsed="false">
      <c r="I47" s="95" t="n">
        <v>44</v>
      </c>
      <c r="J47" s="269" t="s">
        <v>222</v>
      </c>
      <c r="K47" s="95" t="n">
        <v>0</v>
      </c>
      <c r="L47" s="95" t="n">
        <v>0</v>
      </c>
      <c r="M47" s="95" t="n">
        <v>0</v>
      </c>
      <c r="N47" s="95" t="n">
        <v>0</v>
      </c>
      <c r="O47" s="95" t="n">
        <v>0</v>
      </c>
      <c r="P47" s="95" t="n">
        <v>0</v>
      </c>
      <c r="Q47" s="95" t="n">
        <v>0</v>
      </c>
      <c r="R47" s="95" t="n">
        <v>0</v>
      </c>
      <c r="S47" s="95" t="n">
        <v>0</v>
      </c>
      <c r="T47" s="95" t="n">
        <v>0</v>
      </c>
      <c r="U47" s="95" t="n">
        <v>0</v>
      </c>
      <c r="V47" s="95" t="n">
        <v>0</v>
      </c>
      <c r="W47" s="95" t="n">
        <v>1</v>
      </c>
      <c r="X47" s="95" t="n">
        <v>0</v>
      </c>
      <c r="Y47" s="95" t="n">
        <v>0</v>
      </c>
      <c r="Z47" s="95" t="n">
        <v>0</v>
      </c>
      <c r="AA47" s="95" t="n">
        <v>-1</v>
      </c>
      <c r="AB47" s="95" t="n">
        <v>0</v>
      </c>
      <c r="AC47" s="95" t="n">
        <v>0</v>
      </c>
      <c r="AD47" s="95" t="n">
        <v>0</v>
      </c>
      <c r="AE47" s="95" t="n">
        <v>0</v>
      </c>
      <c r="AF47" s="95" t="n">
        <v>0</v>
      </c>
      <c r="AI47" s="123" t="n">
        <f aca="false">+I80</f>
        <v>19</v>
      </c>
      <c r="AJ47" s="123" t="n">
        <f aca="false">+N80</f>
        <v>0</v>
      </c>
      <c r="AK47" s="123" t="n">
        <f aca="false">+P80</f>
        <v>0</v>
      </c>
    </row>
    <row r="48" customFormat="false" ht="15" hidden="false" customHeight="false" outlineLevel="0" collapsed="false">
      <c r="I48" s="95" t="n">
        <v>45</v>
      </c>
      <c r="J48" s="269" t="s">
        <v>223</v>
      </c>
      <c r="K48" s="95" t="n">
        <v>0</v>
      </c>
      <c r="L48" s="95" t="n">
        <v>0</v>
      </c>
      <c r="M48" s="95" t="n">
        <v>0</v>
      </c>
      <c r="N48" s="95" t="n">
        <v>0</v>
      </c>
      <c r="O48" s="95" t="n">
        <v>0</v>
      </c>
      <c r="P48" s="95" t="n">
        <v>0</v>
      </c>
      <c r="Q48" s="95" t="n">
        <v>0</v>
      </c>
      <c r="R48" s="95" t="n">
        <v>0</v>
      </c>
      <c r="S48" s="95" t="n">
        <v>0</v>
      </c>
      <c r="T48" s="95" t="n">
        <v>0</v>
      </c>
      <c r="U48" s="95" t="n">
        <v>0</v>
      </c>
      <c r="V48" s="95" t="n">
        <v>0</v>
      </c>
      <c r="W48" s="95" t="n">
        <v>0</v>
      </c>
      <c r="X48" s="95" t="n">
        <v>0</v>
      </c>
      <c r="Y48" s="95" t="n">
        <v>0</v>
      </c>
      <c r="Z48" s="95" t="n">
        <v>0</v>
      </c>
      <c r="AA48" s="95" t="n">
        <v>-1</v>
      </c>
      <c r="AB48" s="95" t="n">
        <v>0</v>
      </c>
      <c r="AC48" s="95" t="n">
        <v>1</v>
      </c>
      <c r="AD48" s="95" t="n">
        <v>0</v>
      </c>
      <c r="AE48" s="95" t="n">
        <v>0</v>
      </c>
      <c r="AF48" s="95" t="n">
        <v>0</v>
      </c>
      <c r="AI48" s="123" t="n">
        <f aca="false">+I81</f>
        <v>20</v>
      </c>
      <c r="AJ48" s="123" t="n">
        <f aca="false">+N81</f>
        <v>0</v>
      </c>
      <c r="AK48" s="123" t="n">
        <f aca="false">+P81</f>
        <v>0</v>
      </c>
    </row>
    <row r="49" customFormat="false" ht="15" hidden="false" customHeight="false" outlineLevel="0" collapsed="false">
      <c r="I49" s="95" t="n">
        <v>46</v>
      </c>
      <c r="J49" s="269" t="s">
        <v>224</v>
      </c>
      <c r="K49" s="95" t="n">
        <v>0</v>
      </c>
      <c r="L49" s="95" t="n">
        <v>0</v>
      </c>
      <c r="M49" s="95" t="n">
        <v>0</v>
      </c>
      <c r="N49" s="95" t="n">
        <v>0</v>
      </c>
      <c r="O49" s="95" t="n">
        <v>0</v>
      </c>
      <c r="P49" s="95" t="n">
        <v>0</v>
      </c>
      <c r="Q49" s="95" t="n">
        <v>0</v>
      </c>
      <c r="R49" s="95" t="n">
        <v>0</v>
      </c>
      <c r="S49" s="95" t="n">
        <v>0</v>
      </c>
      <c r="T49" s="95" t="n">
        <v>0</v>
      </c>
      <c r="U49" s="95" t="n">
        <v>0</v>
      </c>
      <c r="V49" s="95" t="n">
        <v>0</v>
      </c>
      <c r="W49" s="95" t="n">
        <v>0</v>
      </c>
      <c r="X49" s="95" t="n">
        <v>0</v>
      </c>
      <c r="Y49" s="95" t="n">
        <v>0</v>
      </c>
      <c r="Z49" s="95" t="n">
        <v>0</v>
      </c>
      <c r="AA49" s="95" t="n">
        <v>-1</v>
      </c>
      <c r="AB49" s="95" t="n">
        <v>0</v>
      </c>
      <c r="AC49" s="95" t="n">
        <v>0</v>
      </c>
      <c r="AD49" s="95" t="n">
        <v>1</v>
      </c>
      <c r="AE49" s="95" t="n">
        <v>0</v>
      </c>
      <c r="AF49" s="95" t="n">
        <v>0</v>
      </c>
      <c r="AI49" s="123" t="n">
        <f aca="false">+I82</f>
        <v>21</v>
      </c>
      <c r="AJ49" s="123" t="n">
        <f aca="false">+N82</f>
        <v>8819.24908340816</v>
      </c>
      <c r="AK49" s="123" t="n">
        <f aca="false">+P82</f>
        <v>6120.12908566706</v>
      </c>
    </row>
    <row r="50" customFormat="false" ht="15" hidden="false" customHeight="false" outlineLevel="0" collapsed="false">
      <c r="I50" s="95" t="n">
        <v>47</v>
      </c>
      <c r="J50" s="269" t="s">
        <v>225</v>
      </c>
      <c r="K50" s="95" t="n">
        <v>0</v>
      </c>
      <c r="L50" s="95" t="n">
        <v>0</v>
      </c>
      <c r="M50" s="95" t="n">
        <v>0</v>
      </c>
      <c r="N50" s="95" t="n">
        <v>0</v>
      </c>
      <c r="O50" s="95" t="n">
        <v>0</v>
      </c>
      <c r="P50" s="95" t="n">
        <v>0</v>
      </c>
      <c r="Q50" s="95" t="n">
        <v>0</v>
      </c>
      <c r="R50" s="95" t="n">
        <v>0</v>
      </c>
      <c r="S50" s="95" t="n">
        <v>0</v>
      </c>
      <c r="T50" s="95" t="n">
        <v>0</v>
      </c>
      <c r="U50" s="95" t="n">
        <v>0</v>
      </c>
      <c r="V50" s="95" t="n">
        <v>0</v>
      </c>
      <c r="W50" s="95" t="n">
        <v>0</v>
      </c>
      <c r="X50" s="95" t="n">
        <v>0</v>
      </c>
      <c r="Y50" s="95" t="n">
        <v>0</v>
      </c>
      <c r="Z50" s="95" t="n">
        <v>0</v>
      </c>
      <c r="AA50" s="95" t="n">
        <v>0</v>
      </c>
      <c r="AB50" s="95" t="n">
        <v>0</v>
      </c>
      <c r="AC50" s="95" t="n">
        <v>-1</v>
      </c>
      <c r="AD50" s="95" t="n">
        <v>0</v>
      </c>
      <c r="AE50" s="95" t="n">
        <v>1</v>
      </c>
      <c r="AF50" s="95" t="n">
        <v>0</v>
      </c>
      <c r="AI50" s="123" t="n">
        <f aca="false">+I83</f>
        <v>22</v>
      </c>
      <c r="AJ50" s="123" t="n">
        <f aca="false">+N83</f>
        <v>188967.079236592</v>
      </c>
      <c r="AK50" s="123" t="n">
        <f aca="false">+P83</f>
        <v>129186.371987104</v>
      </c>
    </row>
    <row r="51" customFormat="false" ht="15" hidden="false" customHeight="false" outlineLevel="0" collapsed="false">
      <c r="I51" s="95" t="n">
        <v>48</v>
      </c>
      <c r="J51" s="267" t="s">
        <v>226</v>
      </c>
      <c r="K51" s="95" t="n">
        <v>0</v>
      </c>
      <c r="L51" s="95" t="n">
        <v>0</v>
      </c>
      <c r="M51" s="95" t="n">
        <v>0</v>
      </c>
      <c r="N51" s="95" t="n">
        <v>0</v>
      </c>
      <c r="O51" s="95" t="n">
        <v>0</v>
      </c>
      <c r="P51" s="95" t="n">
        <v>0</v>
      </c>
      <c r="Q51" s="95" t="n">
        <v>0</v>
      </c>
      <c r="R51" s="95" t="n">
        <v>0</v>
      </c>
      <c r="S51" s="95" t="n">
        <v>0</v>
      </c>
      <c r="T51" s="95" t="n">
        <v>0</v>
      </c>
      <c r="U51" s="95" t="n">
        <v>0</v>
      </c>
      <c r="V51" s="95" t="n">
        <v>0</v>
      </c>
      <c r="W51" s="95" t="n">
        <v>0</v>
      </c>
      <c r="X51" s="95" t="n">
        <v>0</v>
      </c>
      <c r="Y51" s="95" t="n">
        <v>0</v>
      </c>
      <c r="Z51" s="95" t="n">
        <v>0</v>
      </c>
      <c r="AA51" s="95" t="n">
        <v>0</v>
      </c>
      <c r="AB51" s="95" t="n">
        <v>0</v>
      </c>
      <c r="AC51" s="95" t="n">
        <v>-1</v>
      </c>
      <c r="AD51" s="95" t="n">
        <v>0</v>
      </c>
      <c r="AE51" s="95" t="n">
        <v>0</v>
      </c>
      <c r="AF51" s="95" t="n">
        <v>1</v>
      </c>
      <c r="AI51" s="123" t="n">
        <f aca="false">+I84</f>
        <v>23</v>
      </c>
      <c r="AJ51" s="123" t="n">
        <f aca="false">+N84</f>
        <v>105047.23408</v>
      </c>
      <c r="AK51" s="123" t="n">
        <f aca="false">+P84</f>
        <v>72039.637323503</v>
      </c>
    </row>
    <row r="52" customFormat="false" ht="15" hidden="false" customHeight="false" outlineLevel="0" collapsed="false">
      <c r="I52" s="95" t="n">
        <v>49</v>
      </c>
      <c r="J52" s="267" t="s">
        <v>227</v>
      </c>
      <c r="K52" s="95" t="n">
        <v>0</v>
      </c>
      <c r="L52" s="95" t="n">
        <v>0</v>
      </c>
      <c r="M52" s="95" t="n">
        <v>0</v>
      </c>
      <c r="N52" s="95" t="n">
        <v>0</v>
      </c>
      <c r="O52" s="95" t="n">
        <v>0</v>
      </c>
      <c r="P52" s="95" t="n">
        <v>0</v>
      </c>
      <c r="Q52" s="95" t="n">
        <v>0</v>
      </c>
      <c r="R52" s="95" t="n">
        <v>0</v>
      </c>
      <c r="S52" s="95" t="n">
        <v>0</v>
      </c>
      <c r="T52" s="95" t="n">
        <v>0</v>
      </c>
      <c r="U52" s="95" t="n">
        <v>0</v>
      </c>
      <c r="V52" s="95" t="n">
        <v>0</v>
      </c>
      <c r="W52" s="95" t="n">
        <v>0</v>
      </c>
      <c r="X52" s="95" t="n">
        <v>0</v>
      </c>
      <c r="Y52" s="95" t="n">
        <v>0</v>
      </c>
      <c r="Z52" s="95" t="n">
        <v>0</v>
      </c>
      <c r="AA52" s="95" t="n">
        <v>0</v>
      </c>
      <c r="AB52" s="95" t="n">
        <v>0</v>
      </c>
      <c r="AC52" s="268" t="e">
        <f aca="false">+#REF!</f>
        <v>#REF!</v>
      </c>
      <c r="AD52" s="95" t="n">
        <v>0</v>
      </c>
      <c r="AE52" s="95" t="n">
        <v>0</v>
      </c>
      <c r="AF52" s="95" t="n">
        <v>0</v>
      </c>
      <c r="AI52" s="123" t="n">
        <f aca="false">+I85</f>
        <v>24</v>
      </c>
      <c r="AJ52" s="123" t="n">
        <f aca="false">+N85</f>
        <v>302833.5624</v>
      </c>
      <c r="AK52" s="123" t="n">
        <f aca="false">+P85</f>
        <v>207346.138396274</v>
      </c>
    </row>
    <row r="53" customFormat="false" ht="15" hidden="false" customHeight="false" outlineLevel="0" collapsed="false">
      <c r="I53" s="95" t="n">
        <v>50</v>
      </c>
      <c r="J53" s="267" t="s">
        <v>228</v>
      </c>
      <c r="K53" s="95" t="n">
        <v>0</v>
      </c>
      <c r="L53" s="95" t="n">
        <v>0</v>
      </c>
      <c r="M53" s="95" t="n">
        <v>0</v>
      </c>
      <c r="N53" s="95" t="n">
        <v>0</v>
      </c>
      <c r="O53" s="95" t="n">
        <v>0</v>
      </c>
      <c r="P53" s="95" t="n">
        <v>0</v>
      </c>
      <c r="Q53" s="95" t="n">
        <v>0</v>
      </c>
      <c r="R53" s="95" t="n">
        <v>0</v>
      </c>
      <c r="S53" s="95" t="n">
        <v>0</v>
      </c>
      <c r="T53" s="95" t="n">
        <v>0</v>
      </c>
      <c r="U53" s="95" t="n">
        <v>0</v>
      </c>
      <c r="V53" s="95" t="n">
        <v>0</v>
      </c>
      <c r="W53" s="95" t="n">
        <v>0</v>
      </c>
      <c r="X53" s="95" t="n">
        <v>0</v>
      </c>
      <c r="Y53" s="95" t="n">
        <v>0</v>
      </c>
      <c r="Z53" s="95" t="n">
        <v>0</v>
      </c>
      <c r="AA53" s="95" t="n">
        <v>0</v>
      </c>
      <c r="AB53" s="95" t="n">
        <v>0</v>
      </c>
      <c r="AC53" s="95" t="n">
        <v>0</v>
      </c>
      <c r="AD53" s="95" t="n">
        <v>0</v>
      </c>
      <c r="AE53" s="95" t="n">
        <v>-1</v>
      </c>
      <c r="AF53" s="95" t="n">
        <v>1</v>
      </c>
      <c r="AI53" s="123" t="n">
        <f aca="false">+I86</f>
        <v>25</v>
      </c>
      <c r="AJ53" s="123" t="n">
        <f aca="false">+N86</f>
        <v>0</v>
      </c>
      <c r="AK53" s="123" t="n">
        <f aca="false">+P86</f>
        <v>0</v>
      </c>
    </row>
    <row r="54" customFormat="false" ht="15" hidden="false" customHeight="false" outlineLevel="0" collapsed="false">
      <c r="I54" s="95" t="n">
        <v>51</v>
      </c>
      <c r="J54" s="267" t="s">
        <v>229</v>
      </c>
      <c r="K54" s="95" t="n">
        <v>0</v>
      </c>
      <c r="L54" s="95" t="n">
        <v>0</v>
      </c>
      <c r="M54" s="95" t="n">
        <v>0</v>
      </c>
      <c r="N54" s="95" t="n">
        <v>0</v>
      </c>
      <c r="O54" s="95" t="n">
        <v>0</v>
      </c>
      <c r="P54" s="95" t="n">
        <v>0</v>
      </c>
      <c r="Q54" s="95" t="n">
        <v>0</v>
      </c>
      <c r="R54" s="95" t="n">
        <v>0</v>
      </c>
      <c r="S54" s="95" t="n">
        <v>0</v>
      </c>
      <c r="T54" s="95" t="n">
        <v>0</v>
      </c>
      <c r="U54" s="95" t="n">
        <v>0</v>
      </c>
      <c r="V54" s="95" t="n">
        <v>0</v>
      </c>
      <c r="W54" s="95" t="n">
        <v>0</v>
      </c>
      <c r="X54" s="95" t="n">
        <v>0</v>
      </c>
      <c r="Y54" s="95" t="n">
        <v>0</v>
      </c>
      <c r="Z54" s="95" t="n">
        <v>0</v>
      </c>
      <c r="AA54" s="95" t="n">
        <v>0</v>
      </c>
      <c r="AB54" s="95" t="n">
        <v>0</v>
      </c>
      <c r="AC54" s="95" t="n">
        <v>0</v>
      </c>
      <c r="AD54" s="95" t="n">
        <v>0</v>
      </c>
      <c r="AE54" s="268" t="e">
        <f aca="false">+#REF!</f>
        <v>#REF!</v>
      </c>
      <c r="AF54" s="95" t="n">
        <v>0</v>
      </c>
      <c r="AI54" s="123" t="n">
        <f aca="false">+I87</f>
        <v>26</v>
      </c>
      <c r="AJ54" s="123" t="n">
        <f aca="false">+N87</f>
        <v>0</v>
      </c>
      <c r="AK54" s="123" t="n">
        <f aca="false">+P87</f>
        <v>0</v>
      </c>
    </row>
    <row r="55" customFormat="false" ht="15" hidden="false" customHeight="false" outlineLevel="0" collapsed="false">
      <c r="I55" s="95" t="n">
        <v>53</v>
      </c>
      <c r="J55" s="269" t="s">
        <v>230</v>
      </c>
      <c r="K55" s="95" t="n">
        <v>0</v>
      </c>
      <c r="L55" s="95" t="n">
        <v>0</v>
      </c>
      <c r="M55" s="95" t="n">
        <v>0</v>
      </c>
      <c r="N55" s="95" t="n">
        <v>0</v>
      </c>
      <c r="O55" s="95" t="n">
        <v>0</v>
      </c>
      <c r="P55" s="95" t="n">
        <v>0</v>
      </c>
      <c r="Q55" s="95" t="n">
        <v>0</v>
      </c>
      <c r="R55" s="95" t="n">
        <v>0</v>
      </c>
      <c r="S55" s="95" t="n">
        <v>0</v>
      </c>
      <c r="T55" s="95" t="n">
        <v>0</v>
      </c>
      <c r="U55" s="95" t="n">
        <v>0</v>
      </c>
      <c r="V55" s="95" t="n">
        <v>0</v>
      </c>
      <c r="W55" s="95" t="n">
        <v>0</v>
      </c>
      <c r="X55" s="95" t="n">
        <v>0</v>
      </c>
      <c r="Y55" s="95" t="n">
        <v>0</v>
      </c>
      <c r="Z55" s="95" t="n">
        <v>0</v>
      </c>
      <c r="AA55" s="95" t="n">
        <v>0</v>
      </c>
      <c r="AB55" s="95" t="n">
        <v>1</v>
      </c>
      <c r="AC55" s="95" t="n">
        <v>0</v>
      </c>
      <c r="AD55" s="95" t="n">
        <v>-1</v>
      </c>
      <c r="AE55" s="95" t="n">
        <v>0</v>
      </c>
      <c r="AF55" s="95" t="n">
        <v>0</v>
      </c>
      <c r="AI55" s="123" t="n">
        <f aca="false">+I88</f>
        <v>27</v>
      </c>
      <c r="AJ55" s="123" t="n">
        <f aca="false">+N88</f>
        <v>0</v>
      </c>
      <c r="AK55" s="123" t="n">
        <f aca="false">+P88</f>
        <v>0</v>
      </c>
    </row>
    <row r="56" customFormat="false" ht="15" hidden="false" customHeight="false" outlineLevel="0" collapsed="false">
      <c r="I56" s="95" t="n">
        <v>54</v>
      </c>
      <c r="J56" s="267" t="s">
        <v>231</v>
      </c>
      <c r="K56" s="95" t="n">
        <v>0</v>
      </c>
      <c r="L56" s="95" t="n">
        <v>0</v>
      </c>
      <c r="M56" s="95" t="n">
        <v>0</v>
      </c>
      <c r="N56" s="95" t="n">
        <v>0</v>
      </c>
      <c r="O56" s="95" t="n">
        <v>0</v>
      </c>
      <c r="P56" s="95" t="n">
        <v>0</v>
      </c>
      <c r="Q56" s="95" t="n">
        <v>0</v>
      </c>
      <c r="R56" s="95" t="n">
        <v>0</v>
      </c>
      <c r="S56" s="95" t="n">
        <v>0</v>
      </c>
      <c r="T56" s="95" t="n">
        <v>0</v>
      </c>
      <c r="U56" s="95" t="n">
        <v>0</v>
      </c>
      <c r="V56" s="95" t="n">
        <v>0</v>
      </c>
      <c r="W56" s="95" t="n">
        <v>0</v>
      </c>
      <c r="X56" s="95" t="n">
        <v>0</v>
      </c>
      <c r="Y56" s="95" t="n">
        <v>0</v>
      </c>
      <c r="Z56" s="95" t="n">
        <v>0</v>
      </c>
      <c r="AA56" s="95" t="n">
        <v>0</v>
      </c>
      <c r="AB56" s="95" t="n">
        <v>0</v>
      </c>
      <c r="AC56" s="95" t="n">
        <v>0</v>
      </c>
      <c r="AD56" s="95" t="n">
        <v>-1</v>
      </c>
      <c r="AE56" s="95" t="n">
        <v>0</v>
      </c>
      <c r="AF56" s="95" t="n">
        <v>1</v>
      </c>
      <c r="AI56" s="123" t="n">
        <f aca="false">+I89</f>
        <v>28</v>
      </c>
      <c r="AJ56" s="123" t="n">
        <f aca="false">+N89</f>
        <v>5078.80223611328</v>
      </c>
      <c r="AK56" s="123" t="n">
        <f aca="false">+P89</f>
        <v>2725.50365850997</v>
      </c>
    </row>
    <row r="57" customFormat="false" ht="15" hidden="false" customHeight="false" outlineLevel="0" collapsed="false">
      <c r="I57" s="95" t="n">
        <v>55</v>
      </c>
      <c r="J57" s="267" t="s">
        <v>232</v>
      </c>
      <c r="K57" s="95" t="n">
        <v>0</v>
      </c>
      <c r="L57" s="95" t="n">
        <v>0</v>
      </c>
      <c r="M57" s="95" t="n">
        <v>0</v>
      </c>
      <c r="N57" s="95" t="n">
        <v>0</v>
      </c>
      <c r="O57" s="95" t="n">
        <v>0</v>
      </c>
      <c r="P57" s="95" t="n">
        <v>0</v>
      </c>
      <c r="Q57" s="95" t="n">
        <v>0</v>
      </c>
      <c r="R57" s="95" t="n">
        <v>0</v>
      </c>
      <c r="S57" s="95" t="n">
        <v>0</v>
      </c>
      <c r="T57" s="95" t="n">
        <v>0</v>
      </c>
      <c r="U57" s="95" t="n">
        <v>0</v>
      </c>
      <c r="V57" s="95" t="n">
        <v>0</v>
      </c>
      <c r="W57" s="95" t="n">
        <v>0</v>
      </c>
      <c r="X57" s="95" t="n">
        <v>0</v>
      </c>
      <c r="Y57" s="95" t="n">
        <v>0</v>
      </c>
      <c r="Z57" s="95" t="n">
        <v>0</v>
      </c>
      <c r="AA57" s="95" t="n">
        <v>0</v>
      </c>
      <c r="AB57" s="95" t="n">
        <v>0</v>
      </c>
      <c r="AC57" s="95" t="n">
        <v>0</v>
      </c>
      <c r="AD57" s="268" t="e">
        <f aca="false">+#REF!</f>
        <v>#REF!</v>
      </c>
      <c r="AE57" s="95" t="n">
        <v>0</v>
      </c>
      <c r="AF57" s="95" t="n">
        <v>0</v>
      </c>
      <c r="AI57" s="123" t="n">
        <f aca="false">+I90</f>
        <v>29</v>
      </c>
      <c r="AJ57" s="123" t="n">
        <f aca="false">+N90</f>
        <v>0</v>
      </c>
      <c r="AK57" s="123" t="n">
        <f aca="false">+P90</f>
        <v>0</v>
      </c>
    </row>
    <row r="58" customFormat="false" ht="15" hidden="false" customHeight="false" outlineLevel="0" collapsed="false">
      <c r="I58" s="95" t="n">
        <v>56</v>
      </c>
      <c r="J58" s="267" t="s">
        <v>233</v>
      </c>
      <c r="K58" s="95" t="n">
        <v>0</v>
      </c>
      <c r="L58" s="95" t="n">
        <v>0</v>
      </c>
      <c r="M58" s="95" t="n">
        <v>0</v>
      </c>
      <c r="N58" s="95" t="n">
        <v>0</v>
      </c>
      <c r="O58" s="95" t="n">
        <v>0</v>
      </c>
      <c r="P58" s="95" t="n">
        <v>0</v>
      </c>
      <c r="Q58" s="95" t="n">
        <v>0</v>
      </c>
      <c r="R58" s="95" t="n">
        <v>0</v>
      </c>
      <c r="S58" s="95" t="n">
        <v>0</v>
      </c>
      <c r="T58" s="95" t="n">
        <v>0</v>
      </c>
      <c r="U58" s="95" t="n">
        <v>0</v>
      </c>
      <c r="V58" s="95" t="n">
        <v>0</v>
      </c>
      <c r="W58" s="95" t="n">
        <v>0</v>
      </c>
      <c r="X58" s="95" t="n">
        <v>0</v>
      </c>
      <c r="Y58" s="95" t="n">
        <v>0</v>
      </c>
      <c r="Z58" s="95" t="n">
        <v>0</v>
      </c>
      <c r="AA58" s="95" t="n">
        <v>0</v>
      </c>
      <c r="AB58" s="95" t="n">
        <v>0</v>
      </c>
      <c r="AC58" s="95" t="n">
        <v>0</v>
      </c>
      <c r="AD58" s="95" t="n">
        <v>0</v>
      </c>
      <c r="AE58" s="95" t="n">
        <v>0</v>
      </c>
      <c r="AF58" s="95" t="n">
        <v>-1</v>
      </c>
      <c r="AI58" s="123" t="n">
        <f aca="false">+I91</f>
        <v>30</v>
      </c>
      <c r="AJ58" s="123" t="n">
        <f aca="false">+N91</f>
        <v>0</v>
      </c>
      <c r="AK58" s="123" t="n">
        <f aca="false">+P91</f>
        <v>0</v>
      </c>
    </row>
    <row r="59" customFormat="false" ht="15" hidden="false" customHeight="false" outlineLevel="0" collapsed="false">
      <c r="AI59" s="123" t="n">
        <f aca="false">+I92</f>
        <v>31</v>
      </c>
      <c r="AJ59" s="123" t="n">
        <f aca="false">+N92</f>
        <v>0</v>
      </c>
      <c r="AK59" s="123" t="n">
        <f aca="false">+P92</f>
        <v>0</v>
      </c>
    </row>
    <row r="60" customFormat="false" ht="18" hidden="false" customHeight="true" outlineLevel="0" collapsed="false">
      <c r="K60" s="272" t="s">
        <v>234</v>
      </c>
      <c r="L60" s="272"/>
      <c r="N60" s="273" t="s">
        <v>75</v>
      </c>
      <c r="O60" s="273"/>
      <c r="P60" s="273"/>
      <c r="R60" s="274" t="s">
        <v>235</v>
      </c>
      <c r="S60" s="274"/>
      <c r="T60" s="275" t="s">
        <v>85</v>
      </c>
      <c r="V60" s="276" t="s">
        <v>236</v>
      </c>
      <c r="AD60" s="277" t="s">
        <v>237</v>
      </c>
      <c r="AE60" s="277"/>
      <c r="AG60" s="123"/>
      <c r="AH60" s="123"/>
      <c r="AI60" s="123" t="n">
        <f aca="false">+I93</f>
        <v>32</v>
      </c>
      <c r="AJ60" s="123" t="n">
        <f aca="false">+N93</f>
        <v>0</v>
      </c>
      <c r="AK60" s="123" t="n">
        <f aca="false">+P93</f>
        <v>0</v>
      </c>
    </row>
    <row r="61" customFormat="false" ht="15" hidden="false" customHeight="false" outlineLevel="0" collapsed="false">
      <c r="K61" s="278" t="s">
        <v>7</v>
      </c>
      <c r="L61" s="278" t="s">
        <v>76</v>
      </c>
      <c r="N61" s="279" t="s">
        <v>7</v>
      </c>
      <c r="O61" s="280" t="s">
        <v>76</v>
      </c>
      <c r="P61" s="281" t="s">
        <v>77</v>
      </c>
      <c r="R61" s="282" t="s">
        <v>7</v>
      </c>
      <c r="S61" s="282" t="s">
        <v>64</v>
      </c>
      <c r="T61" s="283" t="e">
        <f aca="false">+MAX(T62:T113)</f>
        <v>#REF!</v>
      </c>
      <c r="V61" s="283" t="e">
        <f aca="false">+MAX(V62:V113)</f>
        <v>#REF!</v>
      </c>
      <c r="AC61" s="284" t="s">
        <v>157</v>
      </c>
      <c r="AD61" s="229" t="n">
        <f aca="false" t="array" ref="AD61:AD61">+MMULT(AJ4:CL25,AJ29:AK83)</f>
        <v>2.38651409745216E-009</v>
      </c>
      <c r="AE61" s="229"/>
      <c r="AG61" s="123"/>
      <c r="AH61" s="123"/>
      <c r="AI61" s="123" t="n">
        <f aca="false">+I94</f>
        <v>33</v>
      </c>
      <c r="AJ61" s="123" t="n">
        <f aca="false">+N94</f>
        <v>0</v>
      </c>
      <c r="AK61" s="123" t="n">
        <f aca="false">+P94</f>
        <v>0</v>
      </c>
    </row>
    <row r="62" customFormat="false" ht="15" hidden="false" customHeight="false" outlineLevel="0" collapsed="false">
      <c r="I62" s="95" t="n">
        <f aca="false">+I4</f>
        <v>1</v>
      </c>
      <c r="J62" s="264" t="str">
        <f aca="false">+J4</f>
        <v>De Prec Los Colorados Nodo Alim Planta de Pellet</v>
      </c>
      <c r="K62" s="285" t="n">
        <f aca="false">+Utilidad!M63</f>
        <v>303662.08092</v>
      </c>
      <c r="L62" s="286" t="n">
        <f aca="false">+Utilidad!N63</f>
        <v>0.609724</v>
      </c>
      <c r="N62" s="287" t="n">
        <v>345274.754823511</v>
      </c>
      <c r="O62" s="288" t="n">
        <v>0.602795100395602</v>
      </c>
      <c r="P62" s="114" t="n">
        <f aca="false">+N62*O62</f>
        <v>208129.930497905</v>
      </c>
      <c r="R62" s="289" t="n">
        <f aca="false">+IF(K62&lt;&gt;0,(N62-K62)/K62,0)</f>
        <v>0.137036121788528</v>
      </c>
      <c r="S62" s="289" t="n">
        <f aca="false">+IF(L62&lt;&gt;0,(O62-L62)/L62,0)</f>
        <v>-0.0113639935518333</v>
      </c>
      <c r="T62" s="141" t="n">
        <f aca="false">+IF(R62&lt;&gt;"",ABS(R62),"")</f>
        <v>0.137036121788528</v>
      </c>
      <c r="U62" s="290" t="n">
        <v>0</v>
      </c>
      <c r="V62" s="141" t="n">
        <f aca="false">+IF(S62&lt;&gt;"",ABS(S62),"")</f>
        <v>0.0113639935518333</v>
      </c>
      <c r="W62" s="290" t="n">
        <v>0</v>
      </c>
      <c r="AC62" s="291" t="s">
        <v>158</v>
      </c>
      <c r="AD62" s="229"/>
      <c r="AE62" s="229"/>
      <c r="AG62" s="123"/>
      <c r="AH62" s="123"/>
      <c r="AI62" s="123" t="n">
        <f aca="false">+I95</f>
        <v>34</v>
      </c>
      <c r="AJ62" s="123" t="n">
        <f aca="false">+N95</f>
        <v>3195.75164771667</v>
      </c>
      <c r="AK62" s="123" t="n">
        <f aca="false">+P95</f>
        <v>1237.88976826348</v>
      </c>
    </row>
    <row r="63" customFormat="false" ht="15" hidden="false" customHeight="false" outlineLevel="0" collapsed="false">
      <c r="I63" s="95" t="n">
        <f aca="false">+I5</f>
        <v>2</v>
      </c>
      <c r="J63" s="265" t="str">
        <f aca="false">+J5</f>
        <v>Preconc Los Colorados a Stock Sinter Feed</v>
      </c>
      <c r="K63" s="287" t="e">
        <f aca="false">+#REF!</f>
        <v>#REF!</v>
      </c>
      <c r="L63" s="288" t="e">
        <f aca="false">+#REF!</f>
        <v>#REF!</v>
      </c>
      <c r="M63" s="123" t="e">
        <f aca="false">+K108+D109</f>
        <v>#REF!</v>
      </c>
      <c r="N63" s="114" t="n">
        <v>85251.4600560636</v>
      </c>
      <c r="O63" s="191" t="n">
        <v>0.66343206022614</v>
      </c>
      <c r="P63" s="114" t="n">
        <f aca="false">+N63*O63</f>
        <v>56558.5517822808</v>
      </c>
      <c r="Q63" s="123"/>
      <c r="R63" s="289" t="e">
        <f aca="false">+IF(K63&lt;&gt;0,(N63-K63)/K63,0)</f>
        <v>#REF!</v>
      </c>
      <c r="S63" s="289" t="e">
        <f aca="false">+IF(L63&lt;&gt;0,(O63-L63)/L63,0)</f>
        <v>#REF!</v>
      </c>
      <c r="T63" s="141" t="e">
        <f aca="false">+IF(R63&lt;&gt;"",ABS(R63),"")</f>
        <v>#REF!</v>
      </c>
      <c r="U63" s="290" t="n">
        <v>0</v>
      </c>
      <c r="V63" s="141" t="e">
        <f aca="false">+IF(S63&lt;&gt;"",ABS(S63),"")</f>
        <v>#REF!</v>
      </c>
      <c r="W63" s="290"/>
      <c r="AC63" s="291" t="s">
        <v>159</v>
      </c>
      <c r="AD63" s="229"/>
      <c r="AE63" s="229"/>
      <c r="AG63" s="123"/>
      <c r="AH63" s="123"/>
      <c r="AI63" s="123" t="n">
        <f aca="false">+I96</f>
        <v>35</v>
      </c>
      <c r="AJ63" s="123" t="n">
        <f aca="false">+N96</f>
        <v>3195.75164771667</v>
      </c>
      <c r="AK63" s="123" t="n">
        <f aca="false">+P96</f>
        <v>1237.88976826348</v>
      </c>
    </row>
    <row r="64" customFormat="false" ht="15" hidden="false" customHeight="false" outlineLevel="0" collapsed="false">
      <c r="I64" s="95" t="n">
        <f aca="false">+I6</f>
        <v>3</v>
      </c>
      <c r="J64" s="266" t="str">
        <f aca="false">+J6</f>
        <v>Prec los Colorados a Stock Prec Planta Pellet</v>
      </c>
      <c r="K64" s="287" t="e">
        <f aca="false">+#REF!</f>
        <v>#REF!</v>
      </c>
      <c r="L64" s="288" t="e">
        <f aca="false">+#REF!</f>
        <v>#REF!</v>
      </c>
      <c r="N64" s="114" t="n">
        <v>260023.294767445</v>
      </c>
      <c r="O64" s="191" t="n">
        <v>0.582914614827821</v>
      </c>
      <c r="P64" s="114" t="n">
        <f aca="false">+N64*O64</f>
        <v>151571.378715626</v>
      </c>
      <c r="R64" s="289" t="e">
        <f aca="false">+IF(K64&lt;&gt;0,(N64-K64)/K64,0)</f>
        <v>#REF!</v>
      </c>
      <c r="S64" s="289" t="e">
        <f aca="false">+IF(L64&lt;&gt;0,(O64-L64)/L64,0)</f>
        <v>#REF!</v>
      </c>
      <c r="T64" s="141" t="e">
        <f aca="false">+IF(R64&lt;&gt;"",ABS(R64),"")</f>
        <v>#REF!</v>
      </c>
      <c r="U64" s="290"/>
      <c r="V64" s="141" t="e">
        <f aca="false">+IF(S64&lt;&gt;"",ABS(S64),"")</f>
        <v>#REF!</v>
      </c>
      <c r="W64" s="290"/>
      <c r="AC64" s="291" t="s">
        <v>160</v>
      </c>
      <c r="AD64" s="229"/>
      <c r="AE64" s="229"/>
      <c r="AG64" s="123"/>
      <c r="AH64" s="123"/>
      <c r="AI64" s="123" t="n">
        <f aca="false">+I97</f>
        <v>36</v>
      </c>
      <c r="AJ64" s="123" t="n">
        <f aca="false">+N97</f>
        <v>0</v>
      </c>
      <c r="AK64" s="123" t="n">
        <f aca="false">+P97</f>
        <v>0</v>
      </c>
    </row>
    <row r="65" customFormat="false" ht="15" hidden="false" customHeight="false" outlineLevel="0" collapsed="false">
      <c r="I65" s="95" t="n">
        <f aca="false">+I7</f>
        <v>4</v>
      </c>
      <c r="J65" s="267" t="str">
        <f aca="false">+J7</f>
        <v>Re-Harneo a Stock Prec Planta Pellet</v>
      </c>
      <c r="K65" s="292" t="e">
        <f aca="false">+#REF!</f>
        <v>#REF!</v>
      </c>
      <c r="L65" s="293" t="e">
        <f aca="false">+IF(K65&lt;&gt;0,#REF!,0)</f>
        <v>#REF!</v>
      </c>
      <c r="N65" s="114" t="n">
        <v>0</v>
      </c>
      <c r="O65" s="191" t="n">
        <v>0</v>
      </c>
      <c r="P65" s="114" t="n">
        <f aca="false">+N65*O65</f>
        <v>0</v>
      </c>
      <c r="R65" s="289" t="e">
        <f aca="false">+IF(K65&lt;&gt;0,(N65-K65)/K65,0)</f>
        <v>#REF!</v>
      </c>
      <c r="S65" s="289" t="e">
        <f aca="false">+IF(L65&lt;&gt;0,(O65-L65)/L65,0)</f>
        <v>#REF!</v>
      </c>
      <c r="T65" s="141" t="e">
        <f aca="false">+IF(R65&lt;&gt;"",ABS(R65),"")</f>
        <v>#REF!</v>
      </c>
      <c r="U65" s="290"/>
      <c r="V65" s="141" t="e">
        <f aca="false">+IF(S65&lt;&gt;"",ABS(S65),"")</f>
        <v>#REF!</v>
      </c>
      <c r="W65" s="290"/>
      <c r="AC65" s="291" t="s">
        <v>161</v>
      </c>
      <c r="AD65" s="229"/>
      <c r="AE65" s="229"/>
      <c r="AG65" s="123"/>
      <c r="AH65" s="123"/>
      <c r="AI65" s="123" t="n">
        <f aca="false">+I98</f>
        <v>37</v>
      </c>
      <c r="AJ65" s="123" t="n">
        <f aca="false">+N98</f>
        <v>16413.6267</v>
      </c>
      <c r="AK65" s="123" t="n">
        <f aca="false">+P98</f>
        <v>10918.303862391</v>
      </c>
    </row>
    <row r="66" customFormat="false" ht="15" hidden="false" customHeight="false" outlineLevel="0" collapsed="false">
      <c r="D66" s="123" t="e">
        <f aca="false">+#REF!</f>
        <v>#REF!</v>
      </c>
      <c r="E66" s="123" t="e">
        <f aca="false">+#REF!</f>
        <v>#REF!</v>
      </c>
      <c r="F66" s="142" t="e">
        <f aca="false">+#REF!</f>
        <v>#REF!</v>
      </c>
      <c r="G66" s="95" t="e">
        <f aca="false">+#REF!</f>
        <v>#REF!</v>
      </c>
      <c r="H66" s="95" t="e">
        <f aca="false">+IF(D66&gt;0,1,IF(D66&lt;&gt;0,-1,0))</f>
        <v>#REF!</v>
      </c>
      <c r="I66" s="95" t="n">
        <f aca="false">+I8</f>
        <v>5</v>
      </c>
      <c r="J66" s="294" t="str">
        <f aca="false">+J8</f>
        <v>Delta Stock  Prec Planta Pellet</v>
      </c>
      <c r="K66" s="292" t="e">
        <f aca="false">+E66</f>
        <v>#REF!</v>
      </c>
      <c r="L66" s="293" t="e">
        <f aca="false">+F66</f>
        <v>#REF!</v>
      </c>
      <c r="M66" s="269"/>
      <c r="N66" s="114" t="n">
        <v>15949.7793012643</v>
      </c>
      <c r="O66" s="191" t="n">
        <v>0.605082684581465</v>
      </c>
      <c r="P66" s="114" t="n">
        <f aca="false">+N66*O66</f>
        <v>9650.93527809089</v>
      </c>
      <c r="R66" s="289" t="e">
        <f aca="false">+IF(K66&lt;&gt;0,(N66-K66)/K66,0)</f>
        <v>#REF!</v>
      </c>
      <c r="S66" s="289" t="e">
        <f aca="false">+IF(L66&lt;&gt;0,(O66-L66)/L66,0)</f>
        <v>#REF!</v>
      </c>
      <c r="T66" s="295" t="e">
        <f aca="false">+IF(R66&lt;&gt;"",ABS(R66),"")</f>
        <v>#REF!</v>
      </c>
      <c r="U66" s="290"/>
      <c r="V66" s="141" t="e">
        <f aca="false">+IF(S66&lt;&gt;"",ABS(S66),"")</f>
        <v>#REF!</v>
      </c>
      <c r="W66" s="290"/>
      <c r="AC66" s="291" t="s">
        <v>162</v>
      </c>
      <c r="AD66" s="229"/>
      <c r="AE66" s="229"/>
      <c r="AG66" s="123"/>
      <c r="AH66" s="123"/>
      <c r="AI66" s="123" t="n">
        <f aca="false">+I99</f>
        <v>38</v>
      </c>
      <c r="AJ66" s="123" t="n">
        <f aca="false">+N99</f>
        <v>3195.76074744</v>
      </c>
      <c r="AK66" s="123" t="n">
        <f aca="false">+P99</f>
        <v>1237.89496575144</v>
      </c>
    </row>
    <row r="67" customFormat="false" ht="15" hidden="false" customHeight="false" outlineLevel="0" collapsed="false">
      <c r="I67" s="95" t="n">
        <f aca="false">+I9</f>
        <v>6</v>
      </c>
      <c r="J67" s="264" t="str">
        <f aca="false">+J9</f>
        <v>Alim Silos Molienda</v>
      </c>
      <c r="K67" s="292" t="e">
        <f aca="false">+#REF!</f>
        <v>#REF!</v>
      </c>
      <c r="L67" s="293" t="e">
        <f aca="false">+#REF!</f>
        <v>#REF!</v>
      </c>
      <c r="N67" s="114" t="n">
        <v>244073.515466184</v>
      </c>
      <c r="O67" s="191" t="n">
        <v>0.581465970064234</v>
      </c>
      <c r="P67" s="114" t="n">
        <f aca="false">+N67*O67</f>
        <v>141920.443437533</v>
      </c>
      <c r="R67" s="289" t="e">
        <f aca="false">+IF(K67&lt;&gt;0,(N67-K67)/K67,0)</f>
        <v>#REF!</v>
      </c>
      <c r="S67" s="289" t="e">
        <f aca="false">+IF(L67&lt;&gt;0,(O67-L67)/L67,0)</f>
        <v>#REF!</v>
      </c>
      <c r="T67" s="141" t="e">
        <f aca="false">+IF(R67&lt;&gt;"",ABS(R67),"")</f>
        <v>#REF!</v>
      </c>
      <c r="U67" s="290"/>
      <c r="V67" s="141" t="e">
        <f aca="false">+IF(S67&lt;&gt;"",ABS(S67),"")</f>
        <v>#REF!</v>
      </c>
      <c r="W67" s="290"/>
      <c r="AC67" s="291" t="s">
        <v>163</v>
      </c>
      <c r="AD67" s="229"/>
      <c r="AE67" s="229"/>
      <c r="AG67" s="123"/>
      <c r="AH67" s="123"/>
      <c r="AI67" s="123" t="n">
        <f aca="false">+I100</f>
        <v>39</v>
      </c>
      <c r="AJ67" s="123" t="n">
        <f aca="false">+N100</f>
        <v>20519.3380245601</v>
      </c>
      <c r="AK67" s="123" t="n">
        <f aca="false">+P100</f>
        <v>14240.9495370046</v>
      </c>
    </row>
    <row r="68" customFormat="false" ht="15" hidden="false" customHeight="false" outlineLevel="0" collapsed="false">
      <c r="C68" s="123"/>
      <c r="D68" s="123" t="e">
        <f aca="false">+#REF!</f>
        <v>#REF!</v>
      </c>
      <c r="E68" s="123" t="e">
        <f aca="false">+#REF!</f>
        <v>#REF!</v>
      </c>
      <c r="F68" s="142" t="e">
        <f aca="false">+#REF!</f>
        <v>#REF!</v>
      </c>
      <c r="G68" s="95" t="e">
        <f aca="false">+#REF!</f>
        <v>#REF!</v>
      </c>
      <c r="H68" s="95" t="e">
        <f aca="false">+IF(D68&gt;0,1,IF(D68&lt;&gt;0,-1,0))</f>
        <v>#REF!</v>
      </c>
      <c r="I68" s="95" t="n">
        <f aca="false">+I10</f>
        <v>7</v>
      </c>
      <c r="J68" s="266" t="str">
        <f aca="false">+J10</f>
        <v>Delta Stock Silos Molienda</v>
      </c>
      <c r="K68" s="292" t="e">
        <f aca="false">+E68</f>
        <v>#REF!</v>
      </c>
      <c r="L68" s="293" t="e">
        <f aca="false">+F68</f>
        <v>#REF!</v>
      </c>
      <c r="N68" s="114" t="n">
        <v>278.092602853148</v>
      </c>
      <c r="O68" s="191" t="n">
        <v>0.601628235418568</v>
      </c>
      <c r="P68" s="114" t="n">
        <f aca="false">+N68*O68</f>
        <v>167.308361937496</v>
      </c>
      <c r="R68" s="289" t="e">
        <f aca="false">+IF(K68&lt;&gt;0,(N68-K68)/K68,0)</f>
        <v>#REF!</v>
      </c>
      <c r="S68" s="289" t="e">
        <f aca="false">+IF(L68&lt;&gt;0,(O68-L68)/L68,0)</f>
        <v>#REF!</v>
      </c>
      <c r="T68" s="141" t="e">
        <f aca="false">+IF(R68&lt;&gt;"",ABS(R68),"")</f>
        <v>#REF!</v>
      </c>
      <c r="U68" s="290" t="n">
        <v>0.02</v>
      </c>
      <c r="V68" s="141" t="e">
        <f aca="false">+IF(S68&lt;&gt;"",ABS(S68),"")</f>
        <v>#REF!</v>
      </c>
      <c r="W68" s="290"/>
      <c r="AC68" s="291" t="s">
        <v>164</v>
      </c>
      <c r="AD68" s="229"/>
      <c r="AE68" s="229"/>
      <c r="AG68" s="123"/>
      <c r="AH68" s="123"/>
      <c r="AI68" s="123" t="n">
        <f aca="false">+I101</f>
        <v>40</v>
      </c>
      <c r="AJ68" s="123" t="n">
        <f aca="false">+N101</f>
        <v>23715.098772</v>
      </c>
      <c r="AK68" s="123" t="n">
        <f aca="false">+P101</f>
        <v>15478.8449684844</v>
      </c>
    </row>
    <row r="69" customFormat="false" ht="15" hidden="false" customHeight="false" outlineLevel="0" collapsed="false">
      <c r="D69" s="123"/>
      <c r="E69" s="123"/>
      <c r="F69" s="296"/>
      <c r="G69" s="296"/>
      <c r="H69" s="141"/>
      <c r="I69" s="95" t="n">
        <f aca="false">+I11</f>
        <v>8</v>
      </c>
      <c r="J69" s="267" t="str">
        <f aca="false">+J11</f>
        <v>Aliment Molienda Clasificación</v>
      </c>
      <c r="K69" s="287" t="e">
        <f aca="false">+K67-D68</f>
        <v>#REF!</v>
      </c>
      <c r="L69" s="288" t="e">
        <f aca="false">+IF(K69&lt;&gt;0,(K67*L67-D68*L68)/K69,0)</f>
        <v>#REF!</v>
      </c>
      <c r="N69" s="114" t="n">
        <v>244351.608069037</v>
      </c>
      <c r="O69" s="191" t="n">
        <v>0.581488916411492</v>
      </c>
      <c r="P69" s="114" t="n">
        <f aca="false">+N69*O69</f>
        <v>142087.75179947</v>
      </c>
      <c r="R69" s="289" t="e">
        <f aca="false">+IF(K69&lt;&gt;0,(N69-K69)/K69,0)</f>
        <v>#REF!</v>
      </c>
      <c r="S69" s="289" t="e">
        <f aca="false">+IF(L69&lt;&gt;0,(O69-L69)/L69,0)</f>
        <v>#REF!</v>
      </c>
      <c r="T69" s="141" t="e">
        <f aca="false">+IF(R69&lt;&gt;"",ABS(R69),"")</f>
        <v>#REF!</v>
      </c>
      <c r="U69" s="290"/>
      <c r="V69" s="141" t="e">
        <f aca="false">+IF(S69&lt;&gt;"",ABS(S69),"")</f>
        <v>#REF!</v>
      </c>
      <c r="W69" s="290"/>
      <c r="AC69" s="291" t="s">
        <v>165</v>
      </c>
      <c r="AD69" s="229"/>
      <c r="AE69" s="229"/>
      <c r="AG69" s="123"/>
      <c r="AH69" s="123"/>
      <c r="AI69" s="123" t="n">
        <f aca="false">+I102</f>
        <v>41</v>
      </c>
      <c r="AJ69" s="123" t="n">
        <f aca="false">+N102</f>
        <v>16413.6267</v>
      </c>
      <c r="AK69" s="123" t="n">
        <f aca="false">+P102</f>
        <v>10918.303862391</v>
      </c>
    </row>
    <row r="70" customFormat="false" ht="15" hidden="false" customHeight="false" outlineLevel="0" collapsed="false">
      <c r="I70" s="95" t="n">
        <f aca="false">+I12</f>
        <v>9</v>
      </c>
      <c r="J70" s="267" t="str">
        <f aca="false">+J12</f>
        <v>De Molienda/clasificación a Stock Derrames</v>
      </c>
      <c r="K70" s="292" t="e">
        <f aca="false">+#REF!</f>
        <v>#REF!</v>
      </c>
      <c r="L70" s="293" t="e">
        <f aca="false">+IF(K70&lt;&gt;0,#REF!,0)</f>
        <v>#REF!</v>
      </c>
      <c r="N70" s="297" t="n">
        <v>1385.94776388672</v>
      </c>
      <c r="O70" s="298" t="n">
        <v>0.589081712457941</v>
      </c>
      <c r="P70" s="114" t="n">
        <f aca="false">+N70*O70</f>
        <v>816.436482127643</v>
      </c>
      <c r="R70" s="289" t="e">
        <f aca="false">+IF(K70&lt;&gt;0,(N70-K70)/K70,0)</f>
        <v>#REF!</v>
      </c>
      <c r="S70" s="289" t="e">
        <f aca="false">+IF(L70&lt;&gt;0,(O70-L70)/L70,0)</f>
        <v>#REF!</v>
      </c>
      <c r="T70" s="295" t="e">
        <f aca="false">+IF(R70&lt;&gt;"",ABS(R70),"")</f>
        <v>#REF!</v>
      </c>
      <c r="U70" s="299" t="n">
        <v>0.1</v>
      </c>
      <c r="V70" s="141" t="e">
        <f aca="false">+IF(S70&lt;&gt;"",ABS(S70),"")</f>
        <v>#REF!</v>
      </c>
      <c r="W70" s="290"/>
      <c r="AC70" s="291" t="s">
        <v>166</v>
      </c>
      <c r="AD70" s="229"/>
      <c r="AE70" s="229"/>
      <c r="AG70" s="123"/>
      <c r="AH70" s="123"/>
      <c r="AI70" s="123" t="n">
        <f aca="false">+I103</f>
        <v>42</v>
      </c>
      <c r="AJ70" s="123" t="n">
        <f aca="false">+N103</f>
        <v>6464.75</v>
      </c>
      <c r="AK70" s="123" t="n">
        <f aca="false">+P103</f>
        <v>3541.94014063761</v>
      </c>
    </row>
    <row r="71" customFormat="false" ht="15" hidden="false" customHeight="false" outlineLevel="0" collapsed="false">
      <c r="I71" s="95" t="n">
        <f aca="false">+I13</f>
        <v>10</v>
      </c>
      <c r="J71" s="267" t="str">
        <f aca="false">+J13</f>
        <v>EMISARIO SUBMARINO</v>
      </c>
      <c r="K71" s="300" t="e">
        <f aca="false">+#REF!</f>
        <v>#REF!</v>
      </c>
      <c r="L71" s="301" t="e">
        <f aca="false">+#REF!</f>
        <v>#REF!</v>
      </c>
      <c r="N71" s="114" t="n">
        <v>42525.9895949039</v>
      </c>
      <c r="O71" s="191" t="n">
        <v>0.0976</v>
      </c>
      <c r="P71" s="114" t="n">
        <f aca="false">+N71*O71</f>
        <v>4150.53658446262</v>
      </c>
      <c r="R71" s="289" t="e">
        <f aca="false">+IF(K71&lt;&gt;0,(N71-K71)/K71,0)</f>
        <v>#REF!</v>
      </c>
      <c r="S71" s="289" t="e">
        <f aca="false">+IF(L71&lt;&gt;0,(O71-L71)/L71,0)</f>
        <v>#REF!</v>
      </c>
      <c r="T71" s="141" t="e">
        <f aca="false">+IF(R71&lt;&gt;"",ABS(R71),"")</f>
        <v>#REF!</v>
      </c>
      <c r="U71" s="290" t="n">
        <v>0</v>
      </c>
      <c r="V71" s="141" t="e">
        <f aca="false">+IF(S71&lt;&gt;"",ABS(S71),"")</f>
        <v>#REF!</v>
      </c>
      <c r="W71" s="290" t="n">
        <v>0</v>
      </c>
      <c r="AC71" s="291" t="s">
        <v>167</v>
      </c>
      <c r="AD71" s="229"/>
      <c r="AE71" s="229"/>
      <c r="AG71" s="123"/>
      <c r="AH71" s="123"/>
      <c r="AI71" s="123" t="n">
        <f aca="false">+I104</f>
        <v>43</v>
      </c>
      <c r="AJ71" s="123" t="n">
        <f aca="false">+N104</f>
        <v>0</v>
      </c>
      <c r="AK71" s="123" t="n">
        <f aca="false">+P104</f>
        <v>0</v>
      </c>
    </row>
    <row r="72" customFormat="false" ht="15" hidden="false" customHeight="false" outlineLevel="0" collapsed="false">
      <c r="I72" s="95" t="n">
        <f aca="false">+I14</f>
        <v>11</v>
      </c>
      <c r="J72" s="264" t="str">
        <f aca="false">+J14</f>
        <v>Alimentación a TK  Inventarios</v>
      </c>
      <c r="K72" s="287" t="e">
        <f aca="false">+K69-K71-K70</f>
        <v>#REF!</v>
      </c>
      <c r="L72" s="288" t="e">
        <f aca="false">+IF(K72&lt;&gt;0,(K69*L69-K71*L71-K70*L70)/K72,0)</f>
        <v>#REF!</v>
      </c>
      <c r="N72" s="114" t="n">
        <v>200439.670710246</v>
      </c>
      <c r="O72" s="191" t="n">
        <v>0.6841</v>
      </c>
      <c r="P72" s="114" t="n">
        <f aca="false">+N72*O72</f>
        <v>137120.778732879</v>
      </c>
      <c r="Q72" s="142" t="n">
        <v>0.6841</v>
      </c>
      <c r="R72" s="289" t="e">
        <f aca="false">+IF(K72&lt;&gt;0,(N72-K72)/K72,0)</f>
        <v>#REF!</v>
      </c>
      <c r="S72" s="289" t="e">
        <f aca="false">+IF(L72&lt;&gt;0,(O72-L72)/L72,0)</f>
        <v>#REF!</v>
      </c>
      <c r="T72" s="141" t="e">
        <f aca="false">+IF(R72&lt;&gt;"",ABS(R72),"")</f>
        <v>#REF!</v>
      </c>
      <c r="U72" s="290"/>
      <c r="V72" s="141" t="e">
        <f aca="false">+IF(S72&lt;&gt;"",ABS(S72),"")</f>
        <v>#REF!</v>
      </c>
      <c r="W72" s="290"/>
      <c r="AC72" s="291" t="s">
        <v>168</v>
      </c>
      <c r="AD72" s="229"/>
      <c r="AE72" s="229"/>
      <c r="AG72" s="123"/>
      <c r="AH72" s="123"/>
      <c r="AI72" s="123" t="n">
        <f aca="false">+I105</f>
        <v>44</v>
      </c>
      <c r="AJ72" s="123" t="n">
        <f aca="false">+N105</f>
        <v>0</v>
      </c>
      <c r="AK72" s="123" t="n">
        <f aca="false">+P105</f>
        <v>0</v>
      </c>
    </row>
    <row r="73" customFormat="false" ht="15" hidden="false" customHeight="false" outlineLevel="0" collapsed="false">
      <c r="D73" s="123" t="e">
        <f aca="false">+#REF!</f>
        <v>#REF!</v>
      </c>
      <c r="E73" s="123" t="e">
        <f aca="false">+#REF!</f>
        <v>#REF!</v>
      </c>
      <c r="F73" s="142" t="e">
        <f aca="false">+#REF!</f>
        <v>#REF!</v>
      </c>
      <c r="G73" s="95" t="e">
        <f aca="false">+#REF!</f>
        <v>#REF!</v>
      </c>
      <c r="H73" s="95" t="e">
        <f aca="false">+IF(D73&gt;0,1,IF(D73&lt;&gt;0,-1,0))</f>
        <v>#REF!</v>
      </c>
      <c r="I73" s="95" t="n">
        <f aca="false">+I15</f>
        <v>12</v>
      </c>
      <c r="J73" s="302" t="str">
        <f aca="false">+J15</f>
        <v>Delta TK inventarios</v>
      </c>
      <c r="K73" s="292" t="e">
        <f aca="false">+E73</f>
        <v>#REF!</v>
      </c>
      <c r="L73" s="293" t="e">
        <f aca="false">+F73</f>
        <v>#REF!</v>
      </c>
      <c r="M73" s="269"/>
      <c r="N73" s="114" t="n">
        <v>2653.34239024597</v>
      </c>
      <c r="O73" s="191" t="n">
        <v>0.683770653489091</v>
      </c>
      <c r="P73" s="114" t="n">
        <f aca="false">+N73*O73</f>
        <v>1814.27766010879</v>
      </c>
      <c r="R73" s="289" t="e">
        <f aca="false">+IF(K73&lt;&gt;0,(N73-K73)/K73,0)</f>
        <v>#REF!</v>
      </c>
      <c r="S73" s="289" t="e">
        <f aca="false">+IF(L73&lt;&gt;0,(O73-L73)/L73,0)</f>
        <v>#REF!</v>
      </c>
      <c r="T73" s="141" t="e">
        <f aca="false">+IF(R73&lt;&gt;"",ABS(R73),"")</f>
        <v>#REF!</v>
      </c>
      <c r="U73" s="290" t="n">
        <v>0.05</v>
      </c>
      <c r="V73" s="141" t="e">
        <f aca="false">+IF(S73&lt;&gt;"",ABS(S73),"")</f>
        <v>#REF!</v>
      </c>
      <c r="W73" s="290"/>
      <c r="AC73" s="291" t="s">
        <v>169</v>
      </c>
      <c r="AD73" s="229"/>
      <c r="AE73" s="229"/>
      <c r="AG73" s="123"/>
      <c r="AH73" s="123"/>
      <c r="AI73" s="123" t="n">
        <f aca="false">+I106</f>
        <v>45</v>
      </c>
      <c r="AJ73" s="123" t="n">
        <f aca="false">+N106</f>
        <v>6464.75</v>
      </c>
      <c r="AK73" s="123" t="n">
        <f aca="false">+P106</f>
        <v>3747.06985593858</v>
      </c>
    </row>
    <row r="74" customFormat="false" ht="15" hidden="false" customHeight="false" outlineLevel="0" collapsed="false">
      <c r="I74" s="95" t="n">
        <f aca="false">+I16</f>
        <v>13</v>
      </c>
      <c r="J74" s="266" t="str">
        <f aca="false">+J16</f>
        <v>TK Inventario a Stock Derrames</v>
      </c>
      <c r="K74" s="292" t="e">
        <f aca="false">+#REF!</f>
        <v>#REF!</v>
      </c>
      <c r="L74" s="293" t="e">
        <f aca="false">+IF(K74&lt;&gt;0,#REF!,0)</f>
        <v>#REF!</v>
      </c>
      <c r="N74" s="114" t="n">
        <v>0</v>
      </c>
      <c r="O74" s="191" t="n">
        <v>0</v>
      </c>
      <c r="P74" s="114" t="n">
        <f aca="false">+N74*O74</f>
        <v>0</v>
      </c>
      <c r="R74" s="289" t="e">
        <f aca="false">+IF(K74&lt;&gt;0,(N74-K74)/K74,0)</f>
        <v>#REF!</v>
      </c>
      <c r="S74" s="289" t="e">
        <f aca="false">+IF(L74&lt;&gt;0,(O74-L74)/L74,0)</f>
        <v>#REF!</v>
      </c>
      <c r="T74" s="141" t="e">
        <f aca="false">+IF(R74&lt;&gt;"",ABS(R74),"")</f>
        <v>#REF!</v>
      </c>
      <c r="U74" s="290"/>
      <c r="V74" s="141" t="e">
        <f aca="false">+IF(S74&lt;&gt;"",ABS(S74),"")</f>
        <v>#REF!</v>
      </c>
      <c r="W74" s="290"/>
      <c r="AC74" s="291" t="s">
        <v>170</v>
      </c>
      <c r="AD74" s="229"/>
      <c r="AE74" s="229"/>
      <c r="AG74" s="123"/>
      <c r="AH74" s="123"/>
      <c r="AI74" s="123" t="n">
        <f aca="false">+I107</f>
        <v>46</v>
      </c>
      <c r="AJ74" s="123" t="n">
        <f aca="false">+N107</f>
        <v>16413.6267</v>
      </c>
      <c r="AK74" s="123" t="n">
        <f aca="false">+P107</f>
        <v>10713.17414709</v>
      </c>
    </row>
    <row r="75" customFormat="false" ht="15" hidden="false" customHeight="false" outlineLevel="0" collapsed="false">
      <c r="E75" s="123"/>
      <c r="F75" s="123"/>
      <c r="G75" s="123"/>
      <c r="I75" s="95" t="n">
        <f aca="false">+I17</f>
        <v>14</v>
      </c>
      <c r="J75" s="264" t="str">
        <f aca="false">+J17</f>
        <v>Alimentación Filtrado</v>
      </c>
      <c r="K75" s="303" t="e">
        <f aca="false">+K72-D73-K74</f>
        <v>#REF!</v>
      </c>
      <c r="L75" s="304" t="e">
        <f aca="false">+IF(K75&lt;&gt;0,(K72*L72-D73*L73-K74*L74)/K75,0)</f>
        <v>#REF!</v>
      </c>
      <c r="N75" s="114" t="n">
        <v>197786.32832</v>
      </c>
      <c r="O75" s="191" t="n">
        <v>0.684104418248046</v>
      </c>
      <c r="P75" s="114" t="n">
        <f aca="false">+N75*O75</f>
        <v>135306.501072771</v>
      </c>
      <c r="R75" s="289" t="e">
        <f aca="false">+IF(K75&lt;&gt;0,(N75-K75)/K75,0)</f>
        <v>#REF!</v>
      </c>
      <c r="S75" s="289" t="e">
        <f aca="false">+IF(L75&lt;&gt;0,(O75-L75)/L75,0)</f>
        <v>#REF!</v>
      </c>
      <c r="T75" s="141" t="e">
        <f aca="false">+IF(R75&lt;&gt;"",ABS(R75),"")</f>
        <v>#REF!</v>
      </c>
      <c r="U75" s="290"/>
      <c r="V75" s="141" t="e">
        <f aca="false">+IF(S75&lt;&gt;"",ABS(S75),"")</f>
        <v>#REF!</v>
      </c>
      <c r="W75" s="290"/>
      <c r="AC75" s="291" t="s">
        <v>171</v>
      </c>
      <c r="AD75" s="229"/>
      <c r="AE75" s="229"/>
      <c r="AG75" s="123"/>
      <c r="AH75" s="123"/>
      <c r="AI75" s="123" t="n">
        <f aca="false">+I108</f>
        <v>47</v>
      </c>
      <c r="AJ75" s="123" t="n">
        <f aca="false">+N108</f>
        <v>11958.3245037026</v>
      </c>
      <c r="AK75" s="123" t="n">
        <f aca="false">+P108</f>
        <v>7254.02770711576</v>
      </c>
    </row>
    <row r="76" customFormat="false" ht="15" hidden="false" customHeight="false" outlineLevel="0" collapsed="false">
      <c r="I76" s="95" t="n">
        <f aca="false">+I18</f>
        <v>15</v>
      </c>
      <c r="J76" s="265" t="str">
        <f aca="false">+J18</f>
        <v>Alim Nodo Productos Filtrados</v>
      </c>
      <c r="K76" s="292" t="e">
        <f aca="false">+K83+K79</f>
        <v>#REF!</v>
      </c>
      <c r="L76" s="293" t="e">
        <f aca="false">+L75</f>
        <v>#REF!</v>
      </c>
      <c r="M76" s="123"/>
      <c r="N76" s="114" t="n">
        <v>197786.32832</v>
      </c>
      <c r="O76" s="191" t="n">
        <v>0.684104418248046</v>
      </c>
      <c r="P76" s="114" t="n">
        <f aca="false">+N76*O76</f>
        <v>135306.501072771</v>
      </c>
      <c r="R76" s="289" t="e">
        <f aca="false">+IF(K76&lt;&gt;0,(N76-K76)/K76,0)</f>
        <v>#REF!</v>
      </c>
      <c r="S76" s="289" t="e">
        <f aca="false">+IF(L76&lt;&gt;0,(O76-L76)/L76,0)</f>
        <v>#REF!</v>
      </c>
      <c r="T76" s="141" t="e">
        <f aca="false">+IF(R76&lt;&gt;"",ABS(R76),"")</f>
        <v>#REF!</v>
      </c>
      <c r="U76" s="290" t="n">
        <v>0.02</v>
      </c>
      <c r="V76" s="141" t="e">
        <f aca="false">+IF(S76&lt;&gt;"",ABS(S76),"")</f>
        <v>#REF!</v>
      </c>
      <c r="W76" s="290"/>
      <c r="AC76" s="291" t="s">
        <v>172</v>
      </c>
      <c r="AD76" s="229"/>
      <c r="AE76" s="229"/>
      <c r="AG76" s="123"/>
      <c r="AH76" s="123"/>
      <c r="AI76" s="123" t="n">
        <f aca="false">+I109</f>
        <v>48</v>
      </c>
      <c r="AJ76" s="123" t="n">
        <f aca="false">+N109</f>
        <v>0</v>
      </c>
      <c r="AK76" s="123" t="n">
        <f aca="false">+P109</f>
        <v>0</v>
      </c>
    </row>
    <row r="77" customFormat="false" ht="15" hidden="false" customHeight="false" outlineLevel="0" collapsed="false">
      <c r="D77" s="123"/>
      <c r="I77" s="95" t="n">
        <f aca="false">+I19</f>
        <v>16</v>
      </c>
      <c r="J77" s="265" t="str">
        <f aca="false">+J19</f>
        <v>De filtros a Balling</v>
      </c>
      <c r="K77" s="303" t="e">
        <f aca="false">+K75-K76-K78</f>
        <v>#REF!</v>
      </c>
      <c r="L77" s="304" t="e">
        <f aca="false">+L75</f>
        <v>#REF!</v>
      </c>
      <c r="N77" s="305" t="n">
        <v>0</v>
      </c>
      <c r="O77" s="191" t="n">
        <v>0.704404346434504</v>
      </c>
      <c r="P77" s="114" t="n">
        <f aca="false">+N77*O77</f>
        <v>0</v>
      </c>
      <c r="R77" s="289" t="e">
        <f aca="false">+IF(K77&lt;&gt;0,(N77-K77)/K77,0)</f>
        <v>#REF!</v>
      </c>
      <c r="S77" s="289" t="e">
        <f aca="false">+IF(L77&lt;&gt;0,(O77-L77)/L77,0)</f>
        <v>#REF!</v>
      </c>
      <c r="T77" s="141" t="e">
        <f aca="false">+IF(R77&lt;&gt;"",ABS(R77),"")</f>
        <v>#REF!</v>
      </c>
      <c r="U77" s="290"/>
      <c r="V77" s="141" t="e">
        <f aca="false">+IF(S77&lt;&gt;"",ABS(S77),"")</f>
        <v>#REF!</v>
      </c>
      <c r="W77" s="290"/>
      <c r="AC77" s="291" t="s">
        <v>173</v>
      </c>
      <c r="AD77" s="229"/>
      <c r="AE77" s="229"/>
      <c r="AG77" s="123"/>
      <c r="AH77" s="123"/>
      <c r="AI77" s="123" t="n">
        <f aca="false">+I110</f>
        <v>49</v>
      </c>
      <c r="AJ77" s="123" t="n">
        <f aca="false">+N110</f>
        <v>5493.57450370259</v>
      </c>
      <c r="AK77" s="123" t="n">
        <f aca="false">+P110</f>
        <v>3506.95785117717</v>
      </c>
    </row>
    <row r="78" customFormat="false" ht="15" hidden="false" customHeight="false" outlineLevel="0" collapsed="false">
      <c r="I78" s="95" t="n">
        <f aca="false">+I20</f>
        <v>17</v>
      </c>
      <c r="J78" s="266" t="str">
        <f aca="false">+J20</f>
        <v>Filtrado a Stock Derrames</v>
      </c>
      <c r="K78" s="292" t="e">
        <f aca="false">+#REF!</f>
        <v>#REF!</v>
      </c>
      <c r="L78" s="293" t="e">
        <f aca="false">+IF(K78&lt;&gt;0,#REF!,0)</f>
        <v>#REF!</v>
      </c>
      <c r="N78" s="114" t="n">
        <v>0</v>
      </c>
      <c r="O78" s="191" t="n">
        <v>0</v>
      </c>
      <c r="P78" s="114" t="n">
        <f aca="false">+N78*O78</f>
        <v>0</v>
      </c>
      <c r="R78" s="289" t="e">
        <f aca="false">+IF(K78&lt;&gt;0,(N78-K78)/K78,0)</f>
        <v>#REF!</v>
      </c>
      <c r="S78" s="289" t="e">
        <f aca="false">+IF(L78&lt;&gt;0,(O78-L78)/L78,0)</f>
        <v>#REF!</v>
      </c>
      <c r="T78" s="141" t="e">
        <f aca="false">+IF(R78&lt;&gt;"",ABS(R78),"")</f>
        <v>#REF!</v>
      </c>
      <c r="U78" s="290"/>
      <c r="V78" s="141" t="e">
        <f aca="false">+IF(S78&lt;&gt;"",ABS(S78),"")</f>
        <v>#REF!</v>
      </c>
      <c r="W78" s="290"/>
      <c r="AC78" s="291" t="s">
        <v>174</v>
      </c>
      <c r="AD78" s="229"/>
      <c r="AE78" s="229"/>
      <c r="AG78" s="123"/>
      <c r="AH78" s="123"/>
      <c r="AI78" s="123" t="n">
        <f aca="false">+I111</f>
        <v>50</v>
      </c>
      <c r="AJ78" s="123" t="n">
        <f aca="false">+N111</f>
        <v>20404.0014539133</v>
      </c>
      <c r="AK78" s="123" t="n">
        <f aca="false">+P111</f>
        <v>12926.4043984805</v>
      </c>
    </row>
    <row r="79" customFormat="false" ht="15" hidden="false" customHeight="false" outlineLevel="0" collapsed="false">
      <c r="I79" s="95" t="n">
        <f aca="false">+I21</f>
        <v>18</v>
      </c>
      <c r="J79" s="267" t="str">
        <f aca="false">+J21</f>
        <v>Alim Pila Intermedia desde (de nodo post filtros)</v>
      </c>
      <c r="K79" s="292" t="e">
        <f aca="false">+K82+K81+D80</f>
        <v>#REF!</v>
      </c>
      <c r="L79" s="293" t="e">
        <f aca="false">+L76</f>
        <v>#REF!</v>
      </c>
      <c r="N79" s="114" t="n">
        <v>8819.24908340816</v>
      </c>
      <c r="O79" s="191" t="n">
        <v>0.693951268161933</v>
      </c>
      <c r="P79" s="114" t="n">
        <f aca="false">+N79*O79</f>
        <v>6120.12908566706</v>
      </c>
      <c r="R79" s="289" t="e">
        <f aca="false">+IF(K79&lt;&gt;0,(N79-K79)/K79,0)</f>
        <v>#REF!</v>
      </c>
      <c r="S79" s="289" t="e">
        <f aca="false">+IF(L79&lt;&gt;0,(O79-L79)/L79,0)</f>
        <v>#REF!</v>
      </c>
      <c r="T79" s="141" t="e">
        <f aca="false">+IF(R79&lt;&gt;"",ABS(R79),"")</f>
        <v>#REF!</v>
      </c>
      <c r="U79" s="290"/>
      <c r="V79" s="141" t="e">
        <f aca="false">+IF(S79&lt;&gt;"",ABS(S79),"")</f>
        <v>#REF!</v>
      </c>
      <c r="W79" s="290"/>
      <c r="AC79" s="291" t="s">
        <v>175</v>
      </c>
      <c r="AD79" s="229"/>
      <c r="AE79" s="229"/>
      <c r="AG79" s="123"/>
      <c r="AH79" s="123"/>
      <c r="AI79" s="123" t="n">
        <f aca="false">+I112</f>
        <v>51</v>
      </c>
      <c r="AJ79" s="123" t="n">
        <f aca="false">+N112</f>
        <v>76805.7831058488</v>
      </c>
      <c r="AK79" s="123" t="n">
        <f aca="false">+P112</f>
        <v>50886.1750909161</v>
      </c>
    </row>
    <row r="80" customFormat="false" ht="15" hidden="false" customHeight="false" outlineLevel="0" collapsed="false">
      <c r="D80" s="123" t="e">
        <f aca="false">+#REF!</f>
        <v>#REF!</v>
      </c>
      <c r="E80" s="123" t="e">
        <f aca="false">+#REF!</f>
        <v>#REF!</v>
      </c>
      <c r="F80" s="142" t="e">
        <f aca="false">+#REF!</f>
        <v>#REF!</v>
      </c>
      <c r="G80" s="142" t="e">
        <f aca="false">+#REF!</f>
        <v>#REF!</v>
      </c>
      <c r="H80" s="95" t="e">
        <f aca="false">+IF(D80&gt;0,1,IF(D80&lt;&gt;0,-1,0))</f>
        <v>#REF!</v>
      </c>
      <c r="I80" s="95" t="n">
        <f aca="false">+I22</f>
        <v>19</v>
      </c>
      <c r="J80" s="294" t="str">
        <f aca="false">+J22</f>
        <v>Delta Stock Pila Intermedia</v>
      </c>
      <c r="K80" s="292" t="e">
        <f aca="false">+E80</f>
        <v>#REF!</v>
      </c>
      <c r="L80" s="293" t="e">
        <f aca="false">+F80</f>
        <v>#REF!</v>
      </c>
      <c r="M80" s="269"/>
      <c r="N80" s="114" t="n">
        <v>0</v>
      </c>
      <c r="O80" s="191" t="n">
        <v>0</v>
      </c>
      <c r="P80" s="114" t="n">
        <f aca="false">+N80*O80</f>
        <v>0</v>
      </c>
      <c r="R80" s="289" t="e">
        <f aca="false">+IF(K80&lt;&gt;0,(N80-K80)/K80,0)</f>
        <v>#REF!</v>
      </c>
      <c r="S80" s="289" t="e">
        <f aca="false">+IF(L80&lt;&gt;0,(O80-L80)/L80,0)</f>
        <v>#REF!</v>
      </c>
      <c r="T80" s="141" t="e">
        <f aca="false">+IF(R80&lt;&gt;"",ABS(R80),"")</f>
        <v>#REF!</v>
      </c>
      <c r="U80" s="290" t="n">
        <v>0.03</v>
      </c>
      <c r="V80" s="141" t="e">
        <f aca="false">+IF(S80&lt;&gt;"",ABS(S80),"")</f>
        <v>#REF!</v>
      </c>
      <c r="W80" s="290"/>
      <c r="AC80" s="291" t="s">
        <v>176</v>
      </c>
      <c r="AD80" s="229"/>
      <c r="AE80" s="229"/>
      <c r="AG80" s="123"/>
      <c r="AH80" s="123"/>
      <c r="AI80" s="123" t="n">
        <f aca="false">+I113</f>
        <v>53</v>
      </c>
      <c r="AJ80" s="123" t="n">
        <f aca="false">+N113</f>
        <v>0</v>
      </c>
      <c r="AK80" s="123" t="n">
        <f aca="false">+P113</f>
        <v>0</v>
      </c>
    </row>
    <row r="81" customFormat="false" ht="15" hidden="false" customHeight="false" outlineLevel="0" collapsed="false">
      <c r="I81" s="95" t="n">
        <f aca="false">+I23</f>
        <v>20</v>
      </c>
      <c r="J81" s="267" t="str">
        <f aca="false">+J23</f>
        <v>de Pila Intermedia a Balling</v>
      </c>
      <c r="K81" s="292" t="e">
        <f aca="false">+#REF!</f>
        <v>#REF!</v>
      </c>
      <c r="L81" s="293" t="e">
        <f aca="false">+IF(K81&lt;&gt;0,#REF!,0)</f>
        <v>#REF!</v>
      </c>
      <c r="N81" s="305" t="n">
        <v>0</v>
      </c>
      <c r="O81" s="191" t="n">
        <v>0</v>
      </c>
      <c r="P81" s="114" t="n">
        <f aca="false">+N81*O81</f>
        <v>0</v>
      </c>
      <c r="R81" s="289" t="e">
        <f aca="false">+IF(K81&lt;&gt;0,(N81-K81)/K81,0)</f>
        <v>#REF!</v>
      </c>
      <c r="S81" s="289" t="e">
        <f aca="false">+IF(L81&lt;&gt;0,(O81-L81)/L81,0)</f>
        <v>#REF!</v>
      </c>
      <c r="T81" s="141" t="e">
        <f aca="false">+IF(R81&lt;&gt;"",ABS(R81),"")</f>
        <v>#REF!</v>
      </c>
      <c r="U81" s="290" t="n">
        <v>0</v>
      </c>
      <c r="V81" s="141" t="e">
        <f aca="false">+IF(S81&lt;&gt;"",ABS(S81),"")</f>
        <v>#REF!</v>
      </c>
      <c r="W81" s="290"/>
      <c r="AC81" s="291" t="s">
        <v>177</v>
      </c>
      <c r="AD81" s="229"/>
      <c r="AE81" s="229"/>
      <c r="AG81" s="123"/>
      <c r="AH81" s="123"/>
      <c r="AI81" s="123" t="n">
        <f aca="false">+I114</f>
        <v>54</v>
      </c>
      <c r="AJ81" s="123" t="n">
        <f aca="false">+N114</f>
        <v>0</v>
      </c>
      <c r="AK81" s="123" t="n">
        <f aca="false">+P114</f>
        <v>0</v>
      </c>
    </row>
    <row r="82" customFormat="false" ht="15" hidden="false" customHeight="false" outlineLevel="0" collapsed="false">
      <c r="I82" s="95" t="n">
        <f aca="false">+I24</f>
        <v>21</v>
      </c>
      <c r="J82" s="267" t="str">
        <f aca="false">+J24</f>
        <v>de Pila Intermadia a Stok Pellet Feed</v>
      </c>
      <c r="K82" s="292" t="e">
        <f aca="false">+#REF!</f>
        <v>#REF!</v>
      </c>
      <c r="L82" s="293" t="e">
        <f aca="false">+#REF!</f>
        <v>#REF!</v>
      </c>
      <c r="M82" s="123"/>
      <c r="N82" s="114" t="n">
        <v>8819.24908340816</v>
      </c>
      <c r="O82" s="191" t="n">
        <v>0.693951268161933</v>
      </c>
      <c r="P82" s="114" t="n">
        <f aca="false">+N82*O82</f>
        <v>6120.12908566706</v>
      </c>
      <c r="R82" s="289" t="e">
        <f aca="false">+IF(K82&lt;&gt;0,(N82-K82)/K82,0)</f>
        <v>#REF!</v>
      </c>
      <c r="S82" s="289" t="e">
        <f aca="false">+IF(L82&lt;&gt;0,(O82-L82)/L82,0)</f>
        <v>#REF!</v>
      </c>
      <c r="T82" s="141" t="e">
        <f aca="false">+IF(R82&lt;&gt;"",ABS(R82),"")</f>
        <v>#REF!</v>
      </c>
      <c r="U82" s="290"/>
      <c r="V82" s="141" t="e">
        <f aca="false">+IF(S82&lt;&gt;"",ABS(S82),"")</f>
        <v>#REF!</v>
      </c>
      <c r="W82" s="290"/>
      <c r="AC82" s="291" t="s">
        <v>178</v>
      </c>
      <c r="AD82" s="229"/>
      <c r="AE82" s="229"/>
      <c r="AG82" s="123"/>
      <c r="AH82" s="123"/>
      <c r="AI82" s="123" t="n">
        <f aca="false">+I115</f>
        <v>55</v>
      </c>
      <c r="AJ82" s="123" t="n">
        <f aca="false">+N115</f>
        <v>16413.6267</v>
      </c>
      <c r="AK82" s="123" t="n">
        <f aca="false">+P115</f>
        <v>10713.17414709</v>
      </c>
    </row>
    <row r="83" customFormat="false" ht="15" hidden="false" customHeight="false" outlineLevel="0" collapsed="false">
      <c r="I83" s="95" t="n">
        <f aca="false">+I25</f>
        <v>22</v>
      </c>
      <c r="J83" s="267" t="str">
        <f aca="false">+J25</f>
        <v>a Stock Pellet Feed (de nodo post filtros)</v>
      </c>
      <c r="K83" s="292" t="e">
        <f aca="false">+#REF!</f>
        <v>#REF!</v>
      </c>
      <c r="L83" s="293" t="e">
        <f aca="false">+#REF!</f>
        <v>#REF!</v>
      </c>
      <c r="M83" s="123"/>
      <c r="N83" s="114" t="n">
        <v>188967.079236592</v>
      </c>
      <c r="O83" s="191" t="n">
        <v>0.683644857659882</v>
      </c>
      <c r="P83" s="114" t="n">
        <f aca="false">+N83*O83</f>
        <v>129186.371987104</v>
      </c>
      <c r="R83" s="289" t="e">
        <f aca="false">+IF(K83&lt;&gt;0,(N83-K83)/K83,0)</f>
        <v>#REF!</v>
      </c>
      <c r="S83" s="289" t="e">
        <f aca="false">+IF(L83&lt;&gt;0,(O83-L83)/L83,0)</f>
        <v>#REF!</v>
      </c>
      <c r="T83" s="141" t="e">
        <f aca="false">+IF(R83&lt;&gt;"",ABS(R83),"")</f>
        <v>#REF!</v>
      </c>
      <c r="U83" s="290"/>
      <c r="V83" s="141" t="e">
        <f aca="false">+IF(S83&lt;&gt;"",ABS(S83),"")</f>
        <v>#REF!</v>
      </c>
      <c r="W83" s="290"/>
      <c r="AG83" s="123"/>
      <c r="AH83" s="123"/>
      <c r="AI83" s="123" t="n">
        <f aca="false">+I116</f>
        <v>56</v>
      </c>
      <c r="AJ83" s="123" t="n">
        <f aca="false">+N116</f>
        <v>346952.662625913</v>
      </c>
      <c r="AK83" s="123" t="n">
        <f aca="false">+P116</f>
        <v>235751.387763238</v>
      </c>
    </row>
    <row r="84" customFormat="false" ht="15" hidden="false" customHeight="false" outlineLevel="0" collapsed="false">
      <c r="D84" s="123" t="e">
        <f aca="false">+#REF!</f>
        <v>#REF!</v>
      </c>
      <c r="E84" s="123" t="e">
        <f aca="false">+#REF!</f>
        <v>#REF!</v>
      </c>
      <c r="F84" s="142" t="e">
        <f aca="false">+#REF!</f>
        <v>#REF!</v>
      </c>
      <c r="G84" s="142" t="e">
        <f aca="false">+#REF!</f>
        <v>#REF!</v>
      </c>
      <c r="H84" s="95" t="e">
        <f aca="false">+IF(D84&gt;0,1,IF(D84&lt;&gt;0,-1,0))</f>
        <v>#REF!</v>
      </c>
      <c r="I84" s="95" t="n">
        <f aca="false">+I26</f>
        <v>23</v>
      </c>
      <c r="J84" s="294" t="str">
        <f aca="false">+J26</f>
        <v>Delta Stock Pellet Feed</v>
      </c>
      <c r="K84" s="292" t="e">
        <f aca="false">+E84</f>
        <v>#REF!</v>
      </c>
      <c r="L84" s="293" t="e">
        <f aca="false">+F84</f>
        <v>#REF!</v>
      </c>
      <c r="M84" s="269"/>
      <c r="N84" s="114" t="n">
        <v>105047.23408</v>
      </c>
      <c r="O84" s="191" t="n">
        <v>0.685783285532681</v>
      </c>
      <c r="P84" s="114" t="n">
        <f aca="false">+N84*O84</f>
        <v>72039.637323503</v>
      </c>
      <c r="R84" s="289" t="e">
        <f aca="false">+IF(K84&lt;&gt;0,(N84-K84)/K84,0)</f>
        <v>#REF!</v>
      </c>
      <c r="S84" s="289" t="e">
        <f aca="false">+IF(L84&lt;&gt;0,(O84-L84)/L84,0)</f>
        <v>#REF!</v>
      </c>
      <c r="T84" s="141" t="e">
        <f aca="false">+IF(R84&lt;&gt;"",ABS(R84),"")</f>
        <v>#REF!</v>
      </c>
      <c r="U84" s="290"/>
      <c r="V84" s="141" t="e">
        <f aca="false">+IF(S84&lt;&gt;"",ABS(S84),"")</f>
        <v>#REF!</v>
      </c>
      <c r="W84" s="290"/>
      <c r="AC84" s="291" t="s">
        <v>238</v>
      </c>
      <c r="AD84" s="95" t="e">
        <f aca="false">+SUM(_xlfn.anchorarray(AD61))</f>
        <v>#NAME?</v>
      </c>
      <c r="AG84" s="123"/>
      <c r="AH84" s="123"/>
    </row>
    <row r="85" customFormat="false" ht="15" hidden="false" customHeight="false" outlineLevel="0" collapsed="false">
      <c r="I85" s="95" t="n">
        <f aca="false">+I27</f>
        <v>24</v>
      </c>
      <c r="J85" s="267" t="str">
        <f aca="false">+J27</f>
        <v>A embarque de Stock Pellet Feed</v>
      </c>
      <c r="K85" s="292" t="e">
        <f aca="false">+#REF!</f>
        <v>#REF!</v>
      </c>
      <c r="L85" s="293" t="e">
        <f aca="false">+IF(K85&lt;&gt;0,#REF!,0)</f>
        <v>#REF!</v>
      </c>
      <c r="N85" s="306" t="n">
        <v>302833.5624</v>
      </c>
      <c r="O85" s="307" t="n">
        <v>0.684686785549875</v>
      </c>
      <c r="P85" s="114" t="n">
        <f aca="false">+N85*O85</f>
        <v>207346.138396274</v>
      </c>
      <c r="R85" s="289" t="e">
        <f aca="false">+IF(K85&lt;&gt;0,(N85-K85)/K85,0)</f>
        <v>#REF!</v>
      </c>
      <c r="S85" s="289" t="e">
        <f aca="false">+IF(L85&lt;&gt;0,(O85-L85)/L85,0)</f>
        <v>#REF!</v>
      </c>
      <c r="T85" s="141" t="e">
        <f aca="false">+IF(R85&lt;&gt;"",ABS(R85),"")</f>
        <v>#REF!</v>
      </c>
      <c r="U85" s="290"/>
      <c r="V85" s="141" t="e">
        <f aca="false">+IF(S85&lt;&gt;"",ABS(S85),"")</f>
        <v>#REF!</v>
      </c>
      <c r="W85" s="290"/>
      <c r="AC85" s="291" t="s">
        <v>239</v>
      </c>
      <c r="AD85" s="95" t="e">
        <f aca="false">+SUM(K182:L236)</f>
        <v>#REF!</v>
      </c>
      <c r="AG85" s="123"/>
      <c r="AH85" s="123"/>
    </row>
    <row r="86" customFormat="false" ht="15" hidden="false" customHeight="false" outlineLevel="0" collapsed="false">
      <c r="F86" s="123"/>
      <c r="G86" s="123"/>
      <c r="H86" s="123"/>
      <c r="I86" s="95" t="n">
        <f aca="false">+I28</f>
        <v>25</v>
      </c>
      <c r="J86" s="267" t="str">
        <f aca="false">+J28</f>
        <v>Aditivo a Balling</v>
      </c>
      <c r="K86" s="308" t="e">
        <f aca="false">+#REF!</f>
        <v>#REF!</v>
      </c>
      <c r="L86" s="191" t="n">
        <v>0</v>
      </c>
      <c r="N86" s="114" t="n">
        <v>0</v>
      </c>
      <c r="O86" s="191" t="n">
        <v>0</v>
      </c>
      <c r="P86" s="114" t="n">
        <f aca="false">+N86*O86</f>
        <v>0</v>
      </c>
      <c r="R86" s="289" t="e">
        <f aca="false">+IF(K86&lt;&gt;0,(N86-K86)/K86,0)</f>
        <v>#REF!</v>
      </c>
      <c r="S86" s="289" t="n">
        <f aca="false">+IF(L86&lt;&gt;0,(O86-L86)/L86,0)</f>
        <v>0</v>
      </c>
      <c r="T86" s="141" t="e">
        <f aca="false">+IF(R86&lt;&gt;"",ABS(R86),"")</f>
        <v>#REF!</v>
      </c>
      <c r="U86" s="290" t="n">
        <v>0.001</v>
      </c>
      <c r="V86" s="141" t="n">
        <f aca="false">+IF(S86&lt;&gt;"",ABS(S86),"")</f>
        <v>0</v>
      </c>
      <c r="W86" s="290" t="n">
        <v>0</v>
      </c>
      <c r="AE86" s="123"/>
    </row>
    <row r="87" customFormat="false" ht="15" hidden="false" customHeight="false" outlineLevel="0" collapsed="false">
      <c r="I87" s="95" t="n">
        <f aca="false">+I29</f>
        <v>26</v>
      </c>
      <c r="J87" s="264" t="str">
        <f aca="false">+J29</f>
        <v>Pellet verde a edurecimiento</v>
      </c>
      <c r="K87" s="309" t="e">
        <f aca="false">+K81+K77+K86</f>
        <v>#REF!</v>
      </c>
      <c r="L87" s="304" t="n">
        <v>0</v>
      </c>
      <c r="N87" s="114" t="n">
        <v>0</v>
      </c>
      <c r="O87" s="191" t="n">
        <v>0</v>
      </c>
      <c r="P87" s="114" t="n">
        <f aca="false">+N87*O87</f>
        <v>0</v>
      </c>
      <c r="R87" s="289" t="e">
        <f aca="false">+IF(K87&lt;&gt;0,(N87-K87)/K87,0)</f>
        <v>#REF!</v>
      </c>
      <c r="S87" s="289" t="n">
        <f aca="false">+IF(L87&lt;&gt;0,(O87-L87)/L87,0)</f>
        <v>0</v>
      </c>
      <c r="T87" s="141" t="e">
        <f aca="false">+IF(R87&lt;&gt;"",ABS(R87),"")</f>
        <v>#REF!</v>
      </c>
      <c r="U87" s="290"/>
      <c r="V87" s="141" t="n">
        <f aca="false">+IF(S87&lt;&gt;"",ABS(S87),"")</f>
        <v>0</v>
      </c>
      <c r="W87" s="290"/>
      <c r="AE87" s="123"/>
      <c r="AF87" s="141"/>
    </row>
    <row r="88" customFormat="false" ht="15" hidden="false" customHeight="false" outlineLevel="0" collapsed="false">
      <c r="I88" s="95" t="n">
        <f aca="false">+I30</f>
        <v>27</v>
      </c>
      <c r="J88" s="265" t="str">
        <f aca="false">+J30</f>
        <v>Endurecimiento a Stock Derrames</v>
      </c>
      <c r="K88" s="303" t="e">
        <f aca="false">+(K87+K92)*9%</f>
        <v>#REF!</v>
      </c>
      <c r="L88" s="304" t="e">
        <f aca="false">+IF(K88&lt;&gt;0,(K87*L87+K92*L92)/(K87+K92),0)</f>
        <v>#REF!</v>
      </c>
      <c r="N88" s="114" t="n">
        <v>0</v>
      </c>
      <c r="O88" s="191" t="n">
        <v>0</v>
      </c>
      <c r="P88" s="114" t="n">
        <f aca="false">+N88*O88</f>
        <v>0</v>
      </c>
      <c r="R88" s="289" t="e">
        <f aca="false">+IF(K88&lt;&gt;0,(N88-K88)/K88,0)</f>
        <v>#REF!</v>
      </c>
      <c r="S88" s="289" t="e">
        <f aca="false">+IF(L88&lt;&gt;0,(O88-L88)/L88,0)</f>
        <v>#REF!</v>
      </c>
      <c r="T88" s="141" t="e">
        <f aca="false">+IF(R88&lt;&gt;"",ABS(R88),"")</f>
        <v>#REF!</v>
      </c>
      <c r="U88" s="290"/>
      <c r="V88" s="141" t="e">
        <f aca="false">+IF(S88&lt;&gt;"",ABS(S88),"")</f>
        <v>#REF!</v>
      </c>
      <c r="W88" s="290"/>
      <c r="Y88" s="310" t="e">
        <f aca="false">+N88/N87</f>
        <v>#DIV/0!</v>
      </c>
      <c r="AH88" s="123"/>
      <c r="AI88" s="141"/>
    </row>
    <row r="89" customFormat="false" ht="15" hidden="false" customHeight="false" outlineLevel="0" collapsed="false">
      <c r="D89" s="123" t="e">
        <f aca="false">+#REF!</f>
        <v>#REF!</v>
      </c>
      <c r="E89" s="123" t="e">
        <f aca="false">+#REF!</f>
        <v>#REF!</v>
      </c>
      <c r="F89" s="142" t="e">
        <f aca="false">+#REF!</f>
        <v>#REF!</v>
      </c>
      <c r="G89" s="142" t="e">
        <f aca="false">+#REF!</f>
        <v>#REF!</v>
      </c>
      <c r="H89" s="95" t="e">
        <f aca="false">+IF(D89&gt;0,1,IF(D89&lt;&gt;0,-1,0))</f>
        <v>#REF!</v>
      </c>
      <c r="I89" s="95" t="n">
        <f aca="false">+I31</f>
        <v>28</v>
      </c>
      <c r="J89" s="302" t="str">
        <f aca="false">+J31</f>
        <v>Delta Inventarios de Derrames</v>
      </c>
      <c r="K89" s="292" t="e">
        <f aca="false">+E89</f>
        <v>#REF!</v>
      </c>
      <c r="L89" s="293" t="e">
        <f aca="false">+F89</f>
        <v>#REF!</v>
      </c>
      <c r="M89" s="269"/>
      <c r="N89" s="114" t="n">
        <v>5078.80223611328</v>
      </c>
      <c r="O89" s="191" t="n">
        <v>0.536642998053759</v>
      </c>
      <c r="P89" s="114" t="n">
        <f aca="false">+N89*O89</f>
        <v>2725.50365850997</v>
      </c>
      <c r="R89" s="289" t="e">
        <f aca="false">+IF(K89&lt;&gt;0,(N89-K89)/K89,0)</f>
        <v>#REF!</v>
      </c>
      <c r="S89" s="289" t="e">
        <f aca="false">+IF(L89&lt;&gt;0,(O89-L89)/L89,0)</f>
        <v>#REF!</v>
      </c>
      <c r="T89" s="141" t="e">
        <f aca="false">+IF(R89&lt;&gt;"",ABS(R89),"")</f>
        <v>#REF!</v>
      </c>
      <c r="U89" s="290" t="n">
        <v>0.1</v>
      </c>
      <c r="V89" s="141" t="e">
        <f aca="false">+IF(S89&lt;&gt;"",ABS(S89),"")</f>
        <v>#REF!</v>
      </c>
      <c r="W89" s="290"/>
    </row>
    <row r="90" customFormat="false" ht="15" hidden="false" customHeight="false" outlineLevel="0" collapsed="false">
      <c r="I90" s="95" t="n">
        <f aca="false">+I32</f>
        <v>29</v>
      </c>
      <c r="J90" s="265" t="str">
        <f aca="false">+J32</f>
        <v>Chunk de endurecimiento a Pila Chunk</v>
      </c>
      <c r="K90" s="303" t="e">
        <f aca="false">+(K87)*0.9%</f>
        <v>#REF!</v>
      </c>
      <c r="L90" s="304" t="e">
        <f aca="false">+L88</f>
        <v>#REF!</v>
      </c>
      <c r="M90" s="123"/>
      <c r="N90" s="114" t="n">
        <v>0</v>
      </c>
      <c r="O90" s="191" t="n">
        <v>0</v>
      </c>
      <c r="P90" s="114" t="n">
        <f aca="false">+N90*O90</f>
        <v>0</v>
      </c>
      <c r="R90" s="289" t="e">
        <f aca="false">+IF(K90&lt;&gt;0,(N90-K90)/K90,0)</f>
        <v>#REF!</v>
      </c>
      <c r="S90" s="289" t="e">
        <f aca="false">+IF(L90&lt;&gt;0,(O90-L90)/L90,0)</f>
        <v>#REF!</v>
      </c>
      <c r="T90" s="141" t="e">
        <f aca="false">+IF(R90&lt;&gt;"",ABS(R90),"")</f>
        <v>#REF!</v>
      </c>
      <c r="U90" s="290"/>
      <c r="V90" s="141" t="e">
        <f aca="false">+IF(S90&lt;&gt;"",ABS(S90),"")</f>
        <v>#REF!</v>
      </c>
      <c r="W90" s="290"/>
    </row>
    <row r="91" customFormat="false" ht="15" hidden="false" customHeight="false" outlineLevel="0" collapsed="false">
      <c r="D91" s="123" t="e">
        <f aca="false">+#REF!</f>
        <v>#REF!</v>
      </c>
      <c r="E91" s="123" t="e">
        <f aca="false">+#REF!</f>
        <v>#REF!</v>
      </c>
      <c r="F91" s="142" t="e">
        <f aca="false">+#REF!</f>
        <v>#REF!</v>
      </c>
      <c r="G91" s="95" t="e">
        <f aca="false">+#REF!</f>
        <v>#REF!</v>
      </c>
      <c r="H91" s="95" t="e">
        <f aca="false">+IF(D91&gt;0,1,IF(D91&lt;&gt;0,-1,0))</f>
        <v>#REF!</v>
      </c>
      <c r="I91" s="95" t="n">
        <f aca="false">+I33</f>
        <v>30</v>
      </c>
      <c r="J91" s="265" t="str">
        <f aca="false">+J33</f>
        <v>Delta Stock Pila Chunk</v>
      </c>
      <c r="K91" s="292" t="e">
        <f aca="false">+E91</f>
        <v>#REF!</v>
      </c>
      <c r="L91" s="293" t="e">
        <f aca="false">+F91</f>
        <v>#REF!</v>
      </c>
      <c r="M91" s="123"/>
      <c r="N91" s="114" t="n">
        <v>0</v>
      </c>
      <c r="O91" s="191" t="n">
        <v>0</v>
      </c>
      <c r="P91" s="114" t="n">
        <f aca="false">+N91*O91</f>
        <v>0</v>
      </c>
      <c r="R91" s="289" t="e">
        <f aca="false">+IF(K91&lt;&gt;0,(N91-K91)/K91,0)</f>
        <v>#REF!</v>
      </c>
      <c r="S91" s="289" t="e">
        <f aca="false">+IF(L91&lt;&gt;0,(O91-L91)/L91,0)</f>
        <v>#REF!</v>
      </c>
      <c r="T91" s="141" t="e">
        <f aca="false">+IF(R91&lt;&gt;"",ABS(R91),"")</f>
        <v>#REF!</v>
      </c>
      <c r="U91" s="290"/>
      <c r="V91" s="141" t="e">
        <f aca="false">+IF(S91&lt;&gt;"",ABS(S91),"")</f>
        <v>#REF!</v>
      </c>
      <c r="W91" s="290"/>
    </row>
    <row r="92" customFormat="false" ht="15" hidden="false" customHeight="false" outlineLevel="0" collapsed="false">
      <c r="D92" s="123"/>
      <c r="E92" s="123"/>
      <c r="I92" s="95" t="n">
        <f aca="false">+I34</f>
        <v>31</v>
      </c>
      <c r="J92" s="265" t="str">
        <f aca="false">+J34</f>
        <v>Aporte Oxidación Endurecimiento</v>
      </c>
      <c r="K92" s="311" t="e">
        <f aca="false">+#REF!</f>
        <v>#REF!</v>
      </c>
      <c r="L92" s="293" t="n">
        <v>0</v>
      </c>
      <c r="N92" s="114" t="n">
        <v>0</v>
      </c>
      <c r="O92" s="191" t="n">
        <v>0</v>
      </c>
      <c r="P92" s="114" t="n">
        <f aca="false">+N92*O92</f>
        <v>0</v>
      </c>
      <c r="R92" s="289" t="e">
        <f aca="false">+IF(K92&lt;&gt;0,(N92-K92)/K92,0)</f>
        <v>#REF!</v>
      </c>
      <c r="S92" s="289" t="n">
        <f aca="false">+IF(L92&lt;&gt;0,(O92-L92)/L92,0)</f>
        <v>0</v>
      </c>
      <c r="T92" s="141" t="e">
        <f aca="false">+IF(R92&lt;&gt;"",ABS(R92),"")</f>
        <v>#REF!</v>
      </c>
      <c r="U92" s="290"/>
      <c r="V92" s="141" t="n">
        <f aca="false">+IF(S92&lt;&gt;"",ABS(S92),"")</f>
        <v>0</v>
      </c>
      <c r="W92" s="290" t="n">
        <v>0</v>
      </c>
      <c r="Y92" s="310" t="e">
        <f aca="false">+N90/N87</f>
        <v>#DIV/0!</v>
      </c>
    </row>
    <row r="93" customFormat="false" ht="15" hidden="false" customHeight="false" outlineLevel="0" collapsed="false">
      <c r="I93" s="95" t="n">
        <f aca="false">+I35</f>
        <v>32</v>
      </c>
      <c r="J93" s="266" t="str">
        <f aca="false">+J35</f>
        <v>Alim endurecido a Pila Emergencia</v>
      </c>
      <c r="K93" s="292" t="e">
        <f aca="false">+#REF!</f>
        <v>#REF!</v>
      </c>
      <c r="L93" s="293" t="e">
        <f aca="false">+IF(K93&lt;&gt;0,#REF!,0)</f>
        <v>#REF!</v>
      </c>
      <c r="N93" s="114" t="n">
        <v>0</v>
      </c>
      <c r="O93" s="191" t="n">
        <v>0</v>
      </c>
      <c r="P93" s="114" t="n">
        <f aca="false">+N93*O93</f>
        <v>0</v>
      </c>
      <c r="R93" s="289" t="e">
        <f aca="false">+IF(K93&lt;&gt;0,(N93-K93)/K93,0)</f>
        <v>#REF!</v>
      </c>
      <c r="S93" s="289" t="e">
        <f aca="false">+IF(L93&lt;&gt;0,(O93-L93)/L93,0)</f>
        <v>#REF!</v>
      </c>
      <c r="T93" s="141" t="e">
        <f aca="false">+IF(R93&lt;&gt;"",ABS(R93),"")</f>
        <v>#REF!</v>
      </c>
      <c r="U93" s="290" t="n">
        <v>0.05</v>
      </c>
      <c r="V93" s="141" t="e">
        <f aca="false">+IF(S93&lt;&gt;"",ABS(S93),"")</f>
        <v>#REF!</v>
      </c>
      <c r="W93" s="290"/>
    </row>
    <row r="94" customFormat="false" ht="15" hidden="false" customHeight="false" outlineLevel="0" collapsed="false">
      <c r="I94" s="95" t="n">
        <f aca="false">+I36</f>
        <v>33</v>
      </c>
      <c r="J94" s="264" t="str">
        <f aca="false">+J36</f>
        <v>De endurecimiento a Harnero Producto</v>
      </c>
      <c r="K94" s="303" t="e">
        <f aca="false">+K87+K92-K93-K90-K88</f>
        <v>#REF!</v>
      </c>
      <c r="L94" s="304" t="e">
        <f aca="false">+IF(K94&lt;&gt;0,(K87*L87+K92*L92-K93*L93-K90*L90-K88*L88)/K94,0)</f>
        <v>#REF!</v>
      </c>
      <c r="N94" s="114" t="n">
        <v>0</v>
      </c>
      <c r="O94" s="191" t="n">
        <v>0</v>
      </c>
      <c r="P94" s="114" t="n">
        <f aca="false">+N94*O94</f>
        <v>0</v>
      </c>
      <c r="Q94" s="123"/>
      <c r="R94" s="289" t="e">
        <f aca="false">+IF(K94&lt;&gt;0,(N94-K94)/K94,0)</f>
        <v>#REF!</v>
      </c>
      <c r="S94" s="289" t="e">
        <f aca="false">+IF(L94&lt;&gt;0,(O94-L94)/L94,0)</f>
        <v>#REF!</v>
      </c>
      <c r="T94" s="141" t="e">
        <f aca="false">+IF(R94&lt;&gt;"",ABS(R94),"")</f>
        <v>#REF!</v>
      </c>
      <c r="U94" s="290"/>
      <c r="V94" s="141" t="e">
        <f aca="false">+IF(S94&lt;&gt;"",ABS(S94),"")</f>
        <v>#REF!</v>
      </c>
      <c r="W94" s="290"/>
    </row>
    <row r="95" customFormat="false" ht="15" hidden="false" customHeight="false" outlineLevel="0" collapsed="false">
      <c r="I95" s="95" t="n">
        <f aca="false">+I37</f>
        <v>34</v>
      </c>
      <c r="J95" s="265" t="str">
        <f aca="false">+J37</f>
        <v>Alim Harnero Producto desde Pila de Emergencia</v>
      </c>
      <c r="K95" s="303" t="e">
        <f aca="false">+K93+K105-D96</f>
        <v>#REF!</v>
      </c>
      <c r="L95" s="304" t="e">
        <f aca="false">+IF(K95&lt;&gt;0,(K93*L93+K105*L105-D96*L96)/K95,0)</f>
        <v>#REF!</v>
      </c>
      <c r="N95" s="114" t="n">
        <v>3195.75164771667</v>
      </c>
      <c r="O95" s="191" t="n">
        <v>0.387354808734259</v>
      </c>
      <c r="P95" s="114" t="n">
        <f aca="false">+N95*O95</f>
        <v>1237.88976826348</v>
      </c>
      <c r="Q95" s="123"/>
      <c r="R95" s="289" t="e">
        <f aca="false">+IF(K95&lt;&gt;0,(N95-K95)/K95,0)</f>
        <v>#REF!</v>
      </c>
      <c r="S95" s="289" t="e">
        <f aca="false">+IF(L95&lt;&gt;0,(O95-L95)/L95,0)</f>
        <v>#REF!</v>
      </c>
      <c r="T95" s="141" t="e">
        <f aca="false">+IF(R95&lt;&gt;"",ABS(R95),"")</f>
        <v>#REF!</v>
      </c>
      <c r="U95" s="290"/>
      <c r="V95" s="141" t="e">
        <f aca="false">+IF(S95&lt;&gt;"",ABS(S95),"")</f>
        <v>#REF!</v>
      </c>
      <c r="W95" s="290"/>
    </row>
    <row r="96" customFormat="false" ht="15" hidden="false" customHeight="false" outlineLevel="0" collapsed="false">
      <c r="D96" s="123" t="e">
        <f aca="false">+#REF!</f>
        <v>#REF!</v>
      </c>
      <c r="E96" s="123" t="e">
        <f aca="false">+#REF!</f>
        <v>#REF!</v>
      </c>
      <c r="F96" s="142" t="e">
        <f aca="false">+#REF!</f>
        <v>#REF!</v>
      </c>
      <c r="G96" s="142" t="e">
        <f aca="false">+#REF!</f>
        <v>#REF!</v>
      </c>
      <c r="H96" s="95" t="e">
        <f aca="false">+IF(D96&gt;0,1,IF(D96&lt;&gt;0,-1,0))</f>
        <v>#REF!</v>
      </c>
      <c r="I96" s="95" t="n">
        <f aca="false">+I38</f>
        <v>35</v>
      </c>
      <c r="J96" s="302" t="str">
        <f aca="false">+J38</f>
        <v>Delta Stock Pila Emergencia</v>
      </c>
      <c r="K96" s="292" t="e">
        <f aca="false">+E96</f>
        <v>#REF!</v>
      </c>
      <c r="L96" s="293" t="e">
        <f aca="false">+F96</f>
        <v>#REF!</v>
      </c>
      <c r="M96" s="269"/>
      <c r="N96" s="114" t="n">
        <v>3195.75164771667</v>
      </c>
      <c r="O96" s="191" t="n">
        <v>0.387354808734259</v>
      </c>
      <c r="P96" s="114" t="n">
        <f aca="false">+N96*O96</f>
        <v>1237.88976826348</v>
      </c>
      <c r="Q96" s="123"/>
      <c r="R96" s="289" t="e">
        <f aca="false">+IF(K96&lt;&gt;0,(N96-K96)/K96,0)</f>
        <v>#REF!</v>
      </c>
      <c r="S96" s="289" t="e">
        <f aca="false">+IF(L96&lt;&gt;0,(O96-L96)/L96,0)</f>
        <v>#REF!</v>
      </c>
      <c r="T96" s="141" t="e">
        <f aca="false">+IF(R96&lt;&gt;"",ABS(R96),"")</f>
        <v>#REF!</v>
      </c>
      <c r="U96" s="290"/>
      <c r="V96" s="141" t="e">
        <f aca="false">+IF(S96&lt;&gt;"",ABS(S96),"")</f>
        <v>#REF!</v>
      </c>
      <c r="W96" s="290"/>
    </row>
    <row r="97" customFormat="false" ht="15" hidden="false" customHeight="false" outlineLevel="0" collapsed="false">
      <c r="D97" s="123"/>
      <c r="E97" s="123"/>
      <c r="F97" s="296"/>
      <c r="G97" s="296"/>
      <c r="H97" s="141"/>
      <c r="I97" s="95" t="n">
        <f aca="false">+I39</f>
        <v>36</v>
      </c>
      <c r="J97" s="312" t="str">
        <f aca="false">+J39</f>
        <v>De harnero Producto a Pila Chip Fresco</v>
      </c>
      <c r="K97" s="292" t="e">
        <f aca="false">+#REF!</f>
        <v>#REF!</v>
      </c>
      <c r="L97" s="293" t="e">
        <f aca="false">+IF(K97&lt;&gt;0,#REF!,0)</f>
        <v>#REF!</v>
      </c>
      <c r="N97" s="313" t="n">
        <v>0</v>
      </c>
      <c r="O97" s="191" t="n">
        <v>0</v>
      </c>
      <c r="P97" s="114" t="n">
        <f aca="false">+N97*O97</f>
        <v>0</v>
      </c>
      <c r="R97" s="289" t="e">
        <f aca="false">+IF(K97&lt;&gt;0,(N97-K97)/K97,0)</f>
        <v>#REF!</v>
      </c>
      <c r="S97" s="289" t="e">
        <f aca="false">+IF(L97&lt;&gt;0,(O97-L97)/L97,0)</f>
        <v>#REF!</v>
      </c>
      <c r="T97" s="141" t="e">
        <f aca="false">+IF(R97&lt;&gt;"",ABS(R97),"")</f>
        <v>#REF!</v>
      </c>
      <c r="U97" s="290" t="n">
        <v>0.02</v>
      </c>
      <c r="V97" s="141" t="e">
        <f aca="false">+IF(S97&lt;&gt;"",ABS(S97),"")</f>
        <v>#REF!</v>
      </c>
      <c r="W97" s="290"/>
    </row>
    <row r="98" customFormat="false" ht="15" hidden="false" customHeight="false" outlineLevel="0" collapsed="false">
      <c r="D98" s="123" t="e">
        <f aca="false">+#REF!</f>
        <v>#REF!</v>
      </c>
      <c r="E98" s="123" t="e">
        <f aca="false">+#REF!</f>
        <v>#REF!</v>
      </c>
      <c r="F98" s="142" t="e">
        <f aca="false">+#REF!</f>
        <v>#REF!</v>
      </c>
      <c r="G98" s="142" t="e">
        <f aca="false">+#REF!</f>
        <v>#REF!</v>
      </c>
      <c r="H98" s="95" t="e">
        <f aca="false">+IF(D98&gt;0,1,IF(D98&lt;&gt;0,-1,0))</f>
        <v>#REF!</v>
      </c>
      <c r="I98" s="95" t="n">
        <f aca="false">+I40</f>
        <v>37</v>
      </c>
      <c r="J98" s="265" t="str">
        <f aca="false">+J40</f>
        <v>Delta Stock Pila Chip Fresco</v>
      </c>
      <c r="K98" s="292" t="e">
        <f aca="false">+E98</f>
        <v>#REF!</v>
      </c>
      <c r="L98" s="293" t="e">
        <f aca="false">+F98</f>
        <v>#REF!</v>
      </c>
      <c r="N98" s="306" t="n">
        <v>16413.6267</v>
      </c>
      <c r="O98" s="307" t="n">
        <v>0.665197525321504</v>
      </c>
      <c r="P98" s="114" t="n">
        <f aca="false">+N98*O98</f>
        <v>10918.303862391</v>
      </c>
      <c r="R98" s="289" t="e">
        <f aca="false">+IF(K98&lt;&gt;0,(N98-K98)/K98,0)</f>
        <v>#REF!</v>
      </c>
      <c r="S98" s="289" t="e">
        <f aca="false">+IF(L98&lt;&gt;0,(O98-L98)/L98,0)</f>
        <v>#REF!</v>
      </c>
      <c r="T98" s="141" t="e">
        <f aca="false">+IF(R98&lt;&gt;"",ABS(R98),"")</f>
        <v>#REF!</v>
      </c>
      <c r="U98" s="290"/>
      <c r="V98" s="141" t="e">
        <f aca="false">+IF(S98&lt;&gt;"",ABS(S98),"")</f>
        <v>#REF!</v>
      </c>
      <c r="W98" s="290"/>
    </row>
    <row r="99" customFormat="false" ht="15" hidden="false" customHeight="false" outlineLevel="0" collapsed="false">
      <c r="I99" s="95" t="n">
        <f aca="false">+I41</f>
        <v>38</v>
      </c>
      <c r="J99" s="265" t="str">
        <f aca="false">+J41</f>
        <v>De Harnero Producto a Stock Pellets Básico</v>
      </c>
      <c r="K99" s="303" t="e">
        <f aca="false">+K101+D100-K113</f>
        <v>#REF!</v>
      </c>
      <c r="L99" s="314" t="n">
        <v>0</v>
      </c>
      <c r="N99" s="114" t="n">
        <v>3195.76074744</v>
      </c>
      <c r="O99" s="191" t="n">
        <v>0.387355332135884</v>
      </c>
      <c r="P99" s="114" t="n">
        <f aca="false">+N99*O99</f>
        <v>1237.89496575144</v>
      </c>
      <c r="R99" s="289" t="e">
        <f aca="false">+IF(K99&lt;&gt;0,(N99-K99)/K99,0)</f>
        <v>#REF!</v>
      </c>
      <c r="S99" s="289" t="n">
        <f aca="false">+IF(L99&lt;&gt;0,(O99-L99)/L99,0)</f>
        <v>0</v>
      </c>
      <c r="T99" s="141" t="e">
        <f aca="false">+IF(R99&lt;&gt;"",ABS(R99),"")</f>
        <v>#REF!</v>
      </c>
      <c r="U99" s="290" t="n">
        <v>0.02</v>
      </c>
      <c r="V99" s="141" t="n">
        <f aca="false">+IF(S99&lt;&gt;"",ABS(S99),"")</f>
        <v>0</v>
      </c>
      <c r="W99" s="290"/>
      <c r="Y99" s="315" t="n">
        <v>150000</v>
      </c>
    </row>
    <row r="100" customFormat="false" ht="15" hidden="false" customHeight="false" outlineLevel="0" collapsed="false">
      <c r="D100" s="123" t="e">
        <f aca="false">+#REF!</f>
        <v>#REF!</v>
      </c>
      <c r="E100" s="123" t="e">
        <f aca="false">+#REF!</f>
        <v>#REF!</v>
      </c>
      <c r="F100" s="142" t="e">
        <f aca="false">+#REF!</f>
        <v>#REF!</v>
      </c>
      <c r="G100" s="142" t="e">
        <f aca="false">+#REF!</f>
        <v>#REF!</v>
      </c>
      <c r="H100" s="95" t="e">
        <f aca="false">+IF(D100&gt;0,1,IF(D100&lt;&gt;0,-1,0))</f>
        <v>#REF!</v>
      </c>
      <c r="I100" s="95" t="n">
        <f aca="false">+I42</f>
        <v>39</v>
      </c>
      <c r="J100" s="302" t="str">
        <f aca="false">+J42</f>
        <v>Delta Stock Pellet Básico</v>
      </c>
      <c r="K100" s="292" t="e">
        <f aca="false">+E100</f>
        <v>#REF!</v>
      </c>
      <c r="L100" s="293" t="e">
        <f aca="false">+F100</f>
        <v>#REF!</v>
      </c>
      <c r="M100" s="269"/>
      <c r="N100" s="114" t="n">
        <v>20519.3380245601</v>
      </c>
      <c r="O100" s="191" t="n">
        <v>0.694025778022627</v>
      </c>
      <c r="P100" s="114" t="n">
        <f aca="false">+N100*O100</f>
        <v>14240.9495370046</v>
      </c>
      <c r="R100" s="289" t="e">
        <f aca="false">+IF(K100&lt;&gt;0,(N100-K100)/K100,0)</f>
        <v>#REF!</v>
      </c>
      <c r="S100" s="289" t="e">
        <f aca="false">+IF(L100&lt;&gt;0,(O100-L100)/L100,0)</f>
        <v>#REF!</v>
      </c>
      <c r="T100" s="141" t="e">
        <f aca="false">+IF(R100&lt;&gt;"",ABS(R100),"")</f>
        <v>#REF!</v>
      </c>
      <c r="U100" s="290"/>
      <c r="V100" s="141" t="e">
        <f aca="false">+IF(S100&lt;&gt;"",ABS(S100),"")</f>
        <v>#REF!</v>
      </c>
      <c r="W100" s="290"/>
    </row>
    <row r="101" customFormat="false" ht="15" hidden="false" customHeight="false" outlineLevel="0" collapsed="false">
      <c r="I101" s="95" t="n">
        <f aca="false">+I43</f>
        <v>40</v>
      </c>
      <c r="J101" s="266" t="str">
        <f aca="false">+J43</f>
        <v>A embarque desde Pellet básico</v>
      </c>
      <c r="K101" s="292" t="e">
        <f aca="false">+#REF!</f>
        <v>#REF!</v>
      </c>
      <c r="L101" s="293" t="e">
        <f aca="false">+IF(K101&lt;&gt;0,#REF!,0)</f>
        <v>#REF!</v>
      </c>
      <c r="N101" s="114" t="n">
        <v>23715.098772</v>
      </c>
      <c r="O101" s="191" t="n">
        <v>0.6527</v>
      </c>
      <c r="P101" s="114" t="n">
        <f aca="false">+N101*O101</f>
        <v>15478.8449684844</v>
      </c>
      <c r="R101" s="289" t="e">
        <f aca="false">+IF(K101&lt;&gt;0,(N101-K101)/K101,0)</f>
        <v>#REF!</v>
      </c>
      <c r="S101" s="289" t="e">
        <f aca="false">+IF(L101&lt;&gt;0,(O101-L101)/L101,0)</f>
        <v>#REF!</v>
      </c>
      <c r="T101" s="141" t="e">
        <f aca="false">+IF(R101&lt;&gt;"",ABS(R101),"")</f>
        <v>#REF!</v>
      </c>
      <c r="U101" s="290" t="n">
        <v>0</v>
      </c>
      <c r="V101" s="141" t="e">
        <f aca="false">+IF(S101&lt;&gt;"",ABS(S101),"")</f>
        <v>#REF!</v>
      </c>
      <c r="W101" s="290" t="n">
        <v>0</v>
      </c>
    </row>
    <row r="102" customFormat="false" ht="15" hidden="false" customHeight="false" outlineLevel="0" collapsed="false">
      <c r="I102" s="95" t="n">
        <f aca="false">+I44</f>
        <v>41</v>
      </c>
      <c r="J102" s="265" t="str">
        <f aca="false">+J44</f>
        <v>Alimentación Chip Fresco a Re harneo</v>
      </c>
      <c r="K102" s="303" t="e">
        <f aca="false">+K97-D98</f>
        <v>#REF!</v>
      </c>
      <c r="L102" s="304" t="e">
        <f aca="false">+IF(K102&lt;&gt;0,(K97*L97-D98*L98)/K102,0)</f>
        <v>#REF!</v>
      </c>
      <c r="N102" s="114" t="n">
        <v>16413.6267</v>
      </c>
      <c r="O102" s="191" t="n">
        <v>0.665197525321504</v>
      </c>
      <c r="P102" s="114" t="n">
        <f aca="false">+N102*O102</f>
        <v>10918.303862391</v>
      </c>
      <c r="R102" s="289" t="e">
        <f aca="false">+IF(K102&lt;&gt;0,(N102-K102)/K102,0)</f>
        <v>#REF!</v>
      </c>
      <c r="S102" s="289" t="e">
        <f aca="false">+IF(L102&lt;&gt;0,(O102-L102)/L102,0)</f>
        <v>#REF!</v>
      </c>
      <c r="T102" s="141" t="e">
        <f aca="false">+IF(R102&lt;&gt;"",ABS(R102),"")</f>
        <v>#REF!</v>
      </c>
      <c r="U102" s="290"/>
      <c r="V102" s="141" t="e">
        <f aca="false">+IF(S102&lt;&gt;"",ABS(S102),"")</f>
        <v>#REF!</v>
      </c>
      <c r="W102" s="290"/>
    </row>
    <row r="103" customFormat="false" ht="15" hidden="false" customHeight="false" outlineLevel="0" collapsed="false">
      <c r="I103" s="95" t="n">
        <f aca="false">+I45</f>
        <v>42</v>
      </c>
      <c r="J103" s="267" t="str">
        <f aca="false">+J45</f>
        <v>Alimentación de Stock de Derrames a Planta de Re Harneo</v>
      </c>
      <c r="K103" s="292" t="e">
        <f aca="false">+#REF!</f>
        <v>#REF!</v>
      </c>
      <c r="L103" s="304" t="n">
        <v>0.5</v>
      </c>
      <c r="N103" s="306" t="n">
        <v>6464.75</v>
      </c>
      <c r="O103" s="307" t="n">
        <v>0.547885090782723</v>
      </c>
      <c r="P103" s="114" t="n">
        <f aca="false">+N103*O103</f>
        <v>3541.94014063761</v>
      </c>
      <c r="R103" s="289" t="e">
        <f aca="false">+IF(K103&lt;&gt;0,(N103-K103)/K103,0)</f>
        <v>#REF!</v>
      </c>
      <c r="S103" s="289" t="n">
        <f aca="false">+IF(L103&lt;&gt;0,(O103-L103)/L103,0)</f>
        <v>0.0957701815654459</v>
      </c>
      <c r="T103" s="141" t="e">
        <f aca="false">+IF(R103&lt;&gt;"",ABS(R103),"")</f>
        <v>#REF!</v>
      </c>
      <c r="U103" s="290" t="n">
        <v>0.01</v>
      </c>
      <c r="V103" s="141" t="n">
        <f aca="false">+IF(S103&lt;&gt;"",ABS(S103),"")</f>
        <v>0.0957701815654459</v>
      </c>
      <c r="W103" s="290"/>
    </row>
    <row r="104" customFormat="false" ht="15" hidden="false" customHeight="false" outlineLevel="0" collapsed="false">
      <c r="D104" s="123"/>
      <c r="E104" s="123"/>
      <c r="F104" s="296"/>
      <c r="G104" s="296"/>
      <c r="H104" s="141"/>
      <c r="I104" s="95" t="n">
        <f aca="false">+I46</f>
        <v>43</v>
      </c>
      <c r="J104" s="267" t="str">
        <f aca="false">+J46</f>
        <v>Alimentación de Pila Chunk a Re Harneo</v>
      </c>
      <c r="K104" s="303" t="e">
        <f aca="false">+K90-D91</f>
        <v>#REF!</v>
      </c>
      <c r="L104" s="304" t="e">
        <f aca="false">+IF(K104&lt;&gt;0,(K90*L90-D91*L91)/K104,0)</f>
        <v>#REF!</v>
      </c>
      <c r="N104" s="114" t="n">
        <v>0</v>
      </c>
      <c r="O104" s="191" t="n">
        <v>0</v>
      </c>
      <c r="P104" s="114" t="n">
        <f aca="false">+N104*O104</f>
        <v>0</v>
      </c>
      <c r="R104" s="289" t="e">
        <f aca="false">+IF(K104&lt;&gt;0,(N104-K104)/K104,0)</f>
        <v>#REF!</v>
      </c>
      <c r="S104" s="289" t="e">
        <f aca="false">+IF(L104&lt;&gt;0,(O104-L104)/L104,0)</f>
        <v>#REF!</v>
      </c>
      <c r="T104" s="141" t="e">
        <f aca="false">+IF(R104&lt;&gt;"",ABS(R104),"")</f>
        <v>#REF!</v>
      </c>
      <c r="U104" s="290"/>
      <c r="V104" s="141" t="e">
        <f aca="false">+IF(S104&lt;&gt;"",ABS(S104),"")</f>
        <v>#REF!</v>
      </c>
      <c r="W104" s="290"/>
    </row>
    <row r="105" customFormat="false" ht="15" hidden="false" customHeight="false" outlineLevel="0" collapsed="false">
      <c r="I105" s="95" t="n">
        <f aca="false">+I47</f>
        <v>44</v>
      </c>
      <c r="J105" s="267" t="str">
        <f aca="false">+J47</f>
        <v>Intermedio Re harneo de derrames a Stock Pila de Emergencia</v>
      </c>
      <c r="K105" s="292" t="e">
        <f aca="false">+#REF!</f>
        <v>#REF!</v>
      </c>
      <c r="L105" s="293" t="e">
        <f aca="false">+IF(K105&lt;&gt;0,#REF!,0)</f>
        <v>#REF!</v>
      </c>
      <c r="N105" s="114" t="n">
        <v>0</v>
      </c>
      <c r="O105" s="191" t="n">
        <v>0</v>
      </c>
      <c r="P105" s="114" t="n">
        <f aca="false">+N105*O105</f>
        <v>0</v>
      </c>
      <c r="R105" s="289" t="e">
        <f aca="false">+IF(K105&lt;&gt;0,(N105-K105)/K105,0)</f>
        <v>#REF!</v>
      </c>
      <c r="S105" s="289" t="e">
        <f aca="false">+IF(L105&lt;&gt;0,(O105-L105)/L105,0)</f>
        <v>#REF!</v>
      </c>
      <c r="T105" s="141" t="e">
        <f aca="false">+IF(R105&lt;&gt;"",ABS(R105),"")</f>
        <v>#REF!</v>
      </c>
      <c r="U105" s="290"/>
      <c r="V105" s="141" t="e">
        <f aca="false">+IF(S105&lt;&gt;"",ABS(S105),"")</f>
        <v>#REF!</v>
      </c>
      <c r="W105" s="290"/>
      <c r="Y105" s="123" t="e">
        <f aca="false">+K102+K103+K104</f>
        <v>#REF!</v>
      </c>
    </row>
    <row r="106" customFormat="false" ht="15" hidden="false" customHeight="false" outlineLevel="0" collapsed="false">
      <c r="I106" s="95" t="n">
        <f aca="false">+I48</f>
        <v>45</v>
      </c>
      <c r="J106" s="267" t="str">
        <f aca="false">+J48</f>
        <v>Alimentación Total a  Stock Finos Huasco de Embarque</v>
      </c>
      <c r="K106" s="292" t="e">
        <f aca="false">+#REF!</f>
        <v>#REF!</v>
      </c>
      <c r="L106" s="293" t="e">
        <f aca="false">+IF(K106&lt;&gt;0,#REF!,0)</f>
        <v>#REF!</v>
      </c>
      <c r="N106" s="306" t="n">
        <v>6464.75</v>
      </c>
      <c r="O106" s="307" t="n">
        <v>0.579615585434638</v>
      </c>
      <c r="P106" s="114" t="n">
        <f aca="false">+N106*O106</f>
        <v>3747.06985593858</v>
      </c>
      <c r="R106" s="289" t="e">
        <f aca="false">+IF(K106&lt;&gt;0,(N106-K106)/K106,0)</f>
        <v>#REF!</v>
      </c>
      <c r="S106" s="289" t="e">
        <f aca="false">+IF(L106&lt;&gt;0,(O106-L106)/L106,0)</f>
        <v>#REF!</v>
      </c>
      <c r="T106" s="141" t="e">
        <f aca="false">+IF(R106&lt;&gt;"",ABS(R106),"")</f>
        <v>#REF!</v>
      </c>
      <c r="U106" s="290" t="n">
        <v>0</v>
      </c>
      <c r="V106" s="141" t="e">
        <f aca="false">+IF(S106&lt;&gt;"",ABS(S106),"")</f>
        <v>#REF!</v>
      </c>
      <c r="W106" s="290"/>
      <c r="Y106" s="123" t="e">
        <f aca="false">+K105+K107+K106</f>
        <v>#REF!</v>
      </c>
      <c r="Z106" s="123" t="e">
        <f aca="false">+Y105-Y106</f>
        <v>#REF!</v>
      </c>
    </row>
    <row r="107" customFormat="false" ht="15" hidden="false" customHeight="false" outlineLevel="0" collapsed="false">
      <c r="D107" s="123"/>
      <c r="E107" s="123"/>
      <c r="F107" s="296"/>
      <c r="G107" s="296"/>
      <c r="H107" s="141"/>
      <c r="I107" s="95" t="n">
        <f aca="false">+I49</f>
        <v>46</v>
      </c>
      <c r="J107" s="267" t="str">
        <f aca="false">+J49</f>
        <v>Chip Bajo tamaño de Re Harneo a Stock P Chip de Embarque</v>
      </c>
      <c r="K107" s="303" t="e">
        <f aca="false">+K114+K113+D115</f>
        <v>#REF!</v>
      </c>
      <c r="L107" s="304" t="e">
        <f aca="false">+IF(K107&lt;&gt;0,(K114*L114+K113*L113+D115*L115)/K107,0)</f>
        <v>#REF!</v>
      </c>
      <c r="N107" s="114" t="n">
        <v>16413.6267</v>
      </c>
      <c r="O107" s="191" t="n">
        <v>0.6527</v>
      </c>
      <c r="P107" s="114" t="n">
        <f aca="false">+N107*O107</f>
        <v>10713.17414709</v>
      </c>
      <c r="R107" s="191" t="e">
        <f aca="false">+IF(K107&lt;&gt;0,(N107-K107)/K107,0)</f>
        <v>#REF!</v>
      </c>
      <c r="S107" s="289" t="e">
        <f aca="false">+IF(L107&lt;&gt;0,(O107-L107)/L107,0)</f>
        <v>#REF!</v>
      </c>
      <c r="T107" s="141" t="e">
        <f aca="false">+IF(R107&lt;&gt;"",ABS(R107),"")</f>
        <v>#REF!</v>
      </c>
      <c r="U107" s="290"/>
      <c r="V107" s="141" t="e">
        <f aca="false">+IF(S107&lt;&gt;"",ABS(S107),"")</f>
        <v>#REF!</v>
      </c>
      <c r="W107" s="290"/>
    </row>
    <row r="108" customFormat="false" ht="15" hidden="false" customHeight="false" outlineLevel="0" collapsed="false">
      <c r="I108" s="95" t="n">
        <f aca="false">+I50</f>
        <v>47</v>
      </c>
      <c r="J108" s="267" t="str">
        <f aca="false">+J50</f>
        <v>Traspaso de F Huasco a S Feed</v>
      </c>
      <c r="K108" s="292" t="e">
        <f aca="false">+#REF!</f>
        <v>#REF!</v>
      </c>
      <c r="L108" s="293" t="e">
        <f aca="false">+IF(K108&lt;&gt;0,#REF!,0)</f>
        <v>#REF!</v>
      </c>
      <c r="N108" s="306" t="n">
        <v>11958.3245037026</v>
      </c>
      <c r="O108" s="307" t="n">
        <v>0.606609036648046</v>
      </c>
      <c r="P108" s="114" t="n">
        <f aca="false">+N108*O108</f>
        <v>7254.02770711576</v>
      </c>
      <c r="R108" s="289" t="e">
        <f aca="false">+IF(K108&lt;&gt;0,(N108-K108)/K108,0)</f>
        <v>#REF!</v>
      </c>
      <c r="S108" s="289" t="e">
        <f aca="false">+IF(L108&lt;&gt;0,(O108-L108)/L108,0)</f>
        <v>#REF!</v>
      </c>
      <c r="T108" s="141" t="e">
        <f aca="false">+IF(R108&lt;&gt;"",ABS(R108),"")</f>
        <v>#REF!</v>
      </c>
      <c r="U108" s="290"/>
      <c r="V108" s="141" t="e">
        <f aca="false">+IF(S108&lt;&gt;"",ABS(S108),"")</f>
        <v>#REF!</v>
      </c>
      <c r="W108" s="290"/>
    </row>
    <row r="109" customFormat="false" ht="15" hidden="false" customHeight="false" outlineLevel="0" collapsed="false">
      <c r="D109" s="123"/>
      <c r="E109" s="123"/>
      <c r="F109" s="296"/>
      <c r="G109" s="296"/>
      <c r="H109" s="141"/>
      <c r="I109" s="95" t="n">
        <f aca="false">+I51</f>
        <v>48</v>
      </c>
      <c r="J109" s="267" t="str">
        <f aca="false">+J51</f>
        <v>A embarque desde Stock Finos Huasco</v>
      </c>
      <c r="K109" s="292" t="e">
        <f aca="false">+#REF!</f>
        <v>#REF!</v>
      </c>
      <c r="L109" s="293" t="e">
        <f aca="false">+IF(K109&lt;&gt;0,#REF!,0)</f>
        <v>#REF!</v>
      </c>
      <c r="N109" s="114" t="n">
        <v>0</v>
      </c>
      <c r="O109" s="191" t="n">
        <v>0</v>
      </c>
      <c r="P109" s="114" t="n">
        <f aca="false">+N109*O109</f>
        <v>0</v>
      </c>
      <c r="R109" s="289" t="e">
        <f aca="false">+IF(K109&lt;&gt;0,(N109-K109)/K109,0)</f>
        <v>#REF!</v>
      </c>
      <c r="S109" s="289" t="e">
        <f aca="false">+IF(L109&lt;&gt;0,(O109-L109)/L109,0)</f>
        <v>#REF!</v>
      </c>
      <c r="T109" s="141" t="e">
        <f aca="false">+IF(R109&lt;&gt;"",ABS(R109),"")</f>
        <v>#REF!</v>
      </c>
      <c r="U109" s="290" t="n">
        <v>0</v>
      </c>
      <c r="V109" s="141" t="e">
        <f aca="false">+IF(S109&lt;&gt;"",ABS(S109),"")</f>
        <v>#REF!</v>
      </c>
      <c r="W109" s="290"/>
    </row>
    <row r="110" customFormat="false" ht="15" hidden="false" customHeight="false" outlineLevel="0" collapsed="false">
      <c r="D110" s="123" t="e">
        <f aca="false">+#REF!</f>
        <v>#REF!</v>
      </c>
      <c r="E110" s="123" t="e">
        <f aca="false">+#REF!</f>
        <v>#REF!</v>
      </c>
      <c r="F110" s="142" t="e">
        <f aca="false">+#REF!</f>
        <v>#REF!</v>
      </c>
      <c r="G110" s="142" t="e">
        <f aca="false">+#REF!</f>
        <v>#REF!</v>
      </c>
      <c r="H110" s="95" t="e">
        <f aca="false">+IF(D110&gt;0,1,IF(D110&lt;&gt;0,-1,0))</f>
        <v>#REF!</v>
      </c>
      <c r="I110" s="95" t="n">
        <f aca="false">+I52</f>
        <v>49</v>
      </c>
      <c r="J110" s="294" t="str">
        <f aca="false">+J52</f>
        <v>Delta Stock Finos Huasco</v>
      </c>
      <c r="K110" s="292" t="e">
        <f aca="false">+E110</f>
        <v>#REF!</v>
      </c>
      <c r="L110" s="293" t="e">
        <f aca="false">+F110</f>
        <v>#REF!</v>
      </c>
      <c r="M110" s="269"/>
      <c r="N110" s="114" t="n">
        <v>5493.57450370259</v>
      </c>
      <c r="O110" s="191" t="n">
        <v>0.63837449529692</v>
      </c>
      <c r="P110" s="114" t="n">
        <f aca="false">+N110*O110</f>
        <v>3506.95785117717</v>
      </c>
      <c r="R110" s="289" t="e">
        <f aca="false">+IF(K110&lt;&gt;0,(N110-K110)/K110,0)</f>
        <v>#REF!</v>
      </c>
      <c r="S110" s="289" t="e">
        <f aca="false">+IF(L110&lt;&gt;0,(O110-L110)/L110,0)</f>
        <v>#REF!</v>
      </c>
      <c r="T110" s="141" t="e">
        <f aca="false">+IF(R110&lt;&gt;"",ABS(R110),"")</f>
        <v>#REF!</v>
      </c>
      <c r="U110" s="290"/>
      <c r="V110" s="141" t="e">
        <f aca="false">+IF(S110&lt;&gt;"",ABS(S110),"")</f>
        <v>#REF!</v>
      </c>
      <c r="W110" s="290"/>
    </row>
    <row r="111" customFormat="false" ht="15" hidden="false" customHeight="false" outlineLevel="0" collapsed="false">
      <c r="I111" s="95" t="n">
        <f aca="false">+I53</f>
        <v>50</v>
      </c>
      <c r="J111" s="267" t="str">
        <f aca="false">+J53</f>
        <v>A embarque desde Stock Sinter Feed</v>
      </c>
      <c r="K111" s="292" t="e">
        <f aca="false">+#REF!</f>
        <v>#REF!</v>
      </c>
      <c r="L111" s="293" t="e">
        <f aca="false">+IF(K111&lt;&gt;0,#REF!,0)</f>
        <v>#REF!</v>
      </c>
      <c r="N111" s="306" t="n">
        <v>20404.0014539133</v>
      </c>
      <c r="O111" s="307" t="n">
        <v>0.633523009086109</v>
      </c>
      <c r="P111" s="114" t="n">
        <f aca="false">+N111*O111</f>
        <v>12926.4043984805</v>
      </c>
      <c r="R111" s="289" t="e">
        <f aca="false">+IF(K111&lt;&gt;0,(N111-K111)/K111,0)</f>
        <v>#REF!</v>
      </c>
      <c r="S111" s="289" t="e">
        <f aca="false">+IF(L111&lt;&gt;0,(O111-L111)/L111,0)</f>
        <v>#REF!</v>
      </c>
      <c r="T111" s="141" t="e">
        <f aca="false">+IF(R111&lt;&gt;"",ABS(R111),"")</f>
        <v>#REF!</v>
      </c>
      <c r="U111" s="290" t="n">
        <v>0</v>
      </c>
      <c r="V111" s="141" t="e">
        <f aca="false">+IF(S111&lt;&gt;"",ABS(S111),"")</f>
        <v>#REF!</v>
      </c>
      <c r="W111" s="290" t="n">
        <v>0</v>
      </c>
    </row>
    <row r="112" customFormat="false" ht="15" hidden="false" customHeight="false" outlineLevel="0" collapsed="false">
      <c r="D112" s="123" t="e">
        <f aca="false">+#REF!</f>
        <v>#REF!</v>
      </c>
      <c r="E112" s="123" t="e">
        <f aca="false">+#REF!</f>
        <v>#REF!</v>
      </c>
      <c r="F112" s="142" t="e">
        <f aca="false">+#REF!</f>
        <v>#REF!</v>
      </c>
      <c r="G112" s="142" t="e">
        <f aca="false">+#REF!</f>
        <v>#REF!</v>
      </c>
      <c r="H112" s="95" t="e">
        <f aca="false">+IF(D112&gt;0,1,IF(D112&lt;&gt;0,-1,0))</f>
        <v>#REF!</v>
      </c>
      <c r="I112" s="95" t="n">
        <f aca="false">+I54</f>
        <v>51</v>
      </c>
      <c r="J112" s="294" t="str">
        <f aca="false">+J54</f>
        <v>Delta Stock Sinter Feed</v>
      </c>
      <c r="K112" s="292" t="e">
        <f aca="false">+E112</f>
        <v>#REF!</v>
      </c>
      <c r="L112" s="293" t="e">
        <f aca="false">+F112</f>
        <v>#REF!</v>
      </c>
      <c r="N112" s="114" t="n">
        <v>76805.7831058488</v>
      </c>
      <c r="O112" s="191" t="n">
        <v>0.662530515713745</v>
      </c>
      <c r="P112" s="114" t="n">
        <f aca="false">+N112*O112</f>
        <v>50886.1750909161</v>
      </c>
      <c r="R112" s="289" t="e">
        <f aca="false">+IF(K112&lt;&gt;0,(N112-K112)/K112,0)</f>
        <v>#REF!</v>
      </c>
      <c r="S112" s="289" t="e">
        <f aca="false">+IF(L112&lt;&gt;0,(O112-L112)/L112,0)</f>
        <v>#REF!</v>
      </c>
      <c r="T112" s="141" t="e">
        <f aca="false">+IF(R112&lt;&gt;"",ABS(R112),"")</f>
        <v>#REF!</v>
      </c>
      <c r="U112" s="290"/>
      <c r="V112" s="141" t="e">
        <f aca="false">+IF(S112&lt;&gt;"",ABS(S112),"")</f>
        <v>#REF!</v>
      </c>
      <c r="W112" s="290"/>
    </row>
    <row r="113" customFormat="false" ht="15" hidden="false" customHeight="false" outlineLevel="0" collapsed="false">
      <c r="I113" s="95" t="n">
        <f aca="false">+I55</f>
        <v>53</v>
      </c>
      <c r="J113" s="267" t="str">
        <f aca="false">+J55</f>
        <v>Traspaso de  P Chip a P Básico</v>
      </c>
      <c r="K113" s="292" t="e">
        <f aca="false">+#REF!</f>
        <v>#REF!</v>
      </c>
      <c r="L113" s="293" t="e">
        <f aca="false">+IF(K113&lt;&gt;0,#REF!,0)</f>
        <v>#REF!</v>
      </c>
      <c r="N113" s="306" t="n">
        <v>0</v>
      </c>
      <c r="O113" s="307" t="n">
        <v>0</v>
      </c>
      <c r="P113" s="114" t="n">
        <f aca="false">+N113*O113</f>
        <v>0</v>
      </c>
      <c r="R113" s="289" t="e">
        <f aca="false">+IF(K113&lt;&gt;0,(N113-K113)/K113,0)</f>
        <v>#REF!</v>
      </c>
      <c r="S113" s="289" t="e">
        <f aca="false">+IF(L113&lt;&gt;0,(O113-L113)/L113,0)</f>
        <v>#REF!</v>
      </c>
      <c r="T113" s="141" t="e">
        <f aca="false">+IF(R113&lt;&gt;"",ABS(R113),"")</f>
        <v>#REF!</v>
      </c>
      <c r="U113" s="290"/>
      <c r="V113" s="141" t="e">
        <f aca="false">+IF(S113&lt;&gt;"",ABS(S113),"")</f>
        <v>#REF!</v>
      </c>
      <c r="W113" s="290"/>
    </row>
    <row r="114" customFormat="false" ht="15" hidden="false" customHeight="false" outlineLevel="0" collapsed="false">
      <c r="I114" s="95" t="n">
        <f aca="false">+I56</f>
        <v>54</v>
      </c>
      <c r="J114" s="267" t="str">
        <f aca="false">+J56</f>
        <v>A embarque desde Stock Pellet Chip</v>
      </c>
      <c r="K114" s="292" t="e">
        <f aca="false">+#REF!</f>
        <v>#REF!</v>
      </c>
      <c r="L114" s="293" t="e">
        <f aca="false">+#REF!</f>
        <v>#REF!</v>
      </c>
      <c r="N114" s="306" t="n">
        <v>0</v>
      </c>
      <c r="O114" s="307" t="n">
        <v>0</v>
      </c>
      <c r="P114" s="114" t="n">
        <f aca="false">+N114*O114</f>
        <v>0</v>
      </c>
      <c r="R114" s="289" t="e">
        <f aca="false">+IF(K114&lt;&gt;0,(N114-K114)/K114,0)</f>
        <v>#REF!</v>
      </c>
      <c r="S114" s="289" t="e">
        <f aca="false">+IF(L114&lt;&gt;0,(O114-L114)/L114,0)</f>
        <v>#REF!</v>
      </c>
      <c r="T114" s="141" t="e">
        <f aca="false">+IF(R114&lt;&gt;"",ABS(R114),"")</f>
        <v>#REF!</v>
      </c>
      <c r="U114" s="290" t="n">
        <v>0</v>
      </c>
      <c r="V114" s="141" t="e">
        <f aca="false">+IF(S114&lt;&gt;"",ABS(S114),"")</f>
        <v>#REF!</v>
      </c>
      <c r="W114" s="290"/>
    </row>
    <row r="115" customFormat="false" ht="15" hidden="false" customHeight="false" outlineLevel="0" collapsed="false">
      <c r="D115" s="123" t="e">
        <f aca="false">+#REF!</f>
        <v>#REF!</v>
      </c>
      <c r="E115" s="123" t="e">
        <f aca="false">+#REF!</f>
        <v>#REF!</v>
      </c>
      <c r="F115" s="142" t="e">
        <f aca="false">+#REF!</f>
        <v>#REF!</v>
      </c>
      <c r="G115" s="142" t="e">
        <f aca="false">+#REF!</f>
        <v>#REF!</v>
      </c>
      <c r="H115" s="95" t="e">
        <f aca="false">+IF(D115&gt;0,1,IF(D115&lt;&gt;0,-1,0))</f>
        <v>#REF!</v>
      </c>
      <c r="I115" s="95" t="n">
        <f aca="false">+I57</f>
        <v>55</v>
      </c>
      <c r="J115" s="294" t="str">
        <f aca="false">+J57</f>
        <v>Delta Stock Pellet Chip</v>
      </c>
      <c r="K115" s="292" t="e">
        <f aca="false">+E115</f>
        <v>#REF!</v>
      </c>
      <c r="L115" s="293" t="e">
        <f aca="false">+F115</f>
        <v>#REF!</v>
      </c>
      <c r="M115" s="269"/>
      <c r="N115" s="306" t="n">
        <v>16413.6267</v>
      </c>
      <c r="O115" s="307" t="n">
        <v>0.6527</v>
      </c>
      <c r="P115" s="114" t="n">
        <f aca="false">+N115*O115</f>
        <v>10713.17414709</v>
      </c>
      <c r="R115" s="289" t="e">
        <f aca="false">+IF(K115&lt;&gt;0,(N115-K115)/K115,0)</f>
        <v>#REF!</v>
      </c>
      <c r="S115" s="289" t="e">
        <f aca="false">+IF(L115&lt;&gt;0,(O115-L115)/L115,0)</f>
        <v>#REF!</v>
      </c>
      <c r="T115" s="141" t="e">
        <f aca="false">+IF(R115&lt;&gt;"",ABS(R115),"")</f>
        <v>#REF!</v>
      </c>
      <c r="U115" s="290"/>
      <c r="V115" s="141" t="e">
        <f aca="false">+IF(S115&lt;&gt;"",ABS(S115),"")</f>
        <v>#REF!</v>
      </c>
      <c r="W115" s="290" t="n">
        <v>0</v>
      </c>
    </row>
    <row r="116" customFormat="false" ht="15" hidden="false" customHeight="false" outlineLevel="0" collapsed="false">
      <c r="I116" s="95" t="n">
        <f aca="false">+I58</f>
        <v>56</v>
      </c>
      <c r="J116" s="267" t="str">
        <f aca="false">+J58</f>
        <v>Total Embarcado</v>
      </c>
      <c r="K116" s="303" t="e">
        <f aca="false">+K114+K111+K109+K101+K85</f>
        <v>#REF!</v>
      </c>
      <c r="L116" s="304" t="e">
        <f aca="false">+(K114*L114+K111*L111+K109*L109+K101*L101+K85*L85)/K116</f>
        <v>#REF!</v>
      </c>
      <c r="N116" s="306" t="n">
        <v>346952.662625913</v>
      </c>
      <c r="O116" s="307" t="n">
        <v>0.679491507512733</v>
      </c>
      <c r="P116" s="114" t="n">
        <f aca="false">+N116*O116</f>
        <v>235751.387763238</v>
      </c>
      <c r="R116" s="289" t="e">
        <f aca="false">+IF(K116&lt;&gt;0,(N116-K116)/K116,0)</f>
        <v>#REF!</v>
      </c>
      <c r="S116" s="289" t="e">
        <f aca="false">+IF(L116&lt;&gt;0,(O116-L116)/L116,0)</f>
        <v>#REF!</v>
      </c>
      <c r="T116" s="141" t="e">
        <f aca="false">+IF(R116&lt;&gt;"",ABS(R116),"")</f>
        <v>#REF!</v>
      </c>
      <c r="U116" s="290" t="n">
        <v>0</v>
      </c>
      <c r="V116" s="141" t="e">
        <f aca="false">+IF(S116&lt;&gt;"",ABS(S116),"")</f>
        <v>#REF!</v>
      </c>
      <c r="W116" s="290" t="n">
        <v>0</v>
      </c>
    </row>
    <row r="121" customFormat="false" ht="15" hidden="false" customHeight="false" outlineLevel="0" collapsed="false">
      <c r="K121" s="316" t="s">
        <v>240</v>
      </c>
      <c r="L121" s="316"/>
      <c r="N121" s="316" t="s">
        <v>241</v>
      </c>
      <c r="O121" s="316"/>
      <c r="R121" s="317"/>
    </row>
    <row r="122" customFormat="false" ht="15" hidden="false" customHeight="false" outlineLevel="0" collapsed="false">
      <c r="K122" s="318" t="s">
        <v>88</v>
      </c>
      <c r="L122" s="318" t="s">
        <v>64</v>
      </c>
      <c r="N122" s="316" t="s">
        <v>88</v>
      </c>
      <c r="O122" s="316" t="s">
        <v>64</v>
      </c>
      <c r="R122" s="317"/>
      <c r="S122" s="317"/>
    </row>
    <row r="123" customFormat="false" ht="15" hidden="false" customHeight="false" outlineLevel="0" collapsed="false">
      <c r="J123" s="269" t="str">
        <f aca="false">+J62</f>
        <v>De Prec Los Colorados Nodo Alim Planta de Pellet</v>
      </c>
      <c r="K123" s="319" t="n">
        <v>1</v>
      </c>
      <c r="L123" s="320" t="n">
        <v>10</v>
      </c>
      <c r="N123" s="123" t="n">
        <f aca="false">+K123*K62/100</f>
        <v>3036.6208092</v>
      </c>
      <c r="O123" s="141" t="n">
        <f aca="false">+L123*L62/100</f>
        <v>0.0609724</v>
      </c>
    </row>
    <row r="124" customFormat="false" ht="15" hidden="false" customHeight="false" outlineLevel="0" collapsed="false">
      <c r="J124" s="321" t="str">
        <f aca="false">+J63</f>
        <v>Preconc Los Colorados a Stock Sinter Feed</v>
      </c>
      <c r="K124" s="95" t="n">
        <v>99</v>
      </c>
      <c r="L124" s="95" t="n">
        <v>50</v>
      </c>
      <c r="N124" s="123" t="e">
        <f aca="false">+K124*K63/100</f>
        <v>#REF!</v>
      </c>
      <c r="O124" s="141" t="e">
        <f aca="false">+L124*L63/100</f>
        <v>#REF!</v>
      </c>
    </row>
    <row r="125" customFormat="false" ht="15" hidden="false" customHeight="false" outlineLevel="0" collapsed="false">
      <c r="J125" s="321" t="str">
        <f aca="false">+J64</f>
        <v>Prec los Colorados a Stock Prec Planta Pellet</v>
      </c>
      <c r="K125" s="95" t="n">
        <v>99</v>
      </c>
      <c r="L125" s="95" t="n">
        <v>50</v>
      </c>
      <c r="N125" s="123" t="e">
        <f aca="false">+K125*K64/100</f>
        <v>#REF!</v>
      </c>
      <c r="O125" s="141" t="e">
        <f aca="false">+L125*L64/100</f>
        <v>#REF!</v>
      </c>
    </row>
    <row r="126" customFormat="false" ht="15" hidden="false" customHeight="false" outlineLevel="0" collapsed="false">
      <c r="J126" s="321" t="str">
        <f aca="false">+J65</f>
        <v>Re-Harneo a Stock Prec Planta Pellet</v>
      </c>
      <c r="K126" s="95" t="n">
        <v>99</v>
      </c>
      <c r="L126" s="95" t="n">
        <v>50</v>
      </c>
      <c r="N126" s="123" t="e">
        <f aca="false">+K126*K65/100</f>
        <v>#REF!</v>
      </c>
      <c r="O126" s="141" t="e">
        <f aca="false">+L126*L65/100</f>
        <v>#REF!</v>
      </c>
    </row>
    <row r="127" customFormat="false" ht="15" hidden="false" customHeight="false" outlineLevel="0" collapsed="false">
      <c r="J127" s="321" t="str">
        <f aca="false">+J66</f>
        <v>Delta Stock  Prec Planta Pellet</v>
      </c>
      <c r="K127" s="95" t="n">
        <v>1</v>
      </c>
      <c r="L127" s="95" t="n">
        <v>1</v>
      </c>
      <c r="N127" s="123" t="e">
        <f aca="false">+K127*K66/100</f>
        <v>#REF!</v>
      </c>
      <c r="O127" s="141" t="e">
        <f aca="false">+L127*L66/100</f>
        <v>#REF!</v>
      </c>
    </row>
    <row r="128" customFormat="false" ht="15" hidden="false" customHeight="false" outlineLevel="0" collapsed="false">
      <c r="J128" s="321" t="str">
        <f aca="false">+J67</f>
        <v>Alim Silos Molienda</v>
      </c>
      <c r="K128" s="95" t="n">
        <v>99</v>
      </c>
      <c r="L128" s="95" t="n">
        <v>50</v>
      </c>
      <c r="N128" s="123" t="e">
        <f aca="false">+K128*K67/100</f>
        <v>#REF!</v>
      </c>
      <c r="O128" s="141" t="e">
        <f aca="false">+L128*L67/100</f>
        <v>#REF!</v>
      </c>
    </row>
    <row r="129" customFormat="false" ht="15" hidden="false" customHeight="false" outlineLevel="0" collapsed="false">
      <c r="J129" s="321" t="str">
        <f aca="false">+J68</f>
        <v>Delta Stock Silos Molienda</v>
      </c>
      <c r="K129" s="95" t="n">
        <v>99</v>
      </c>
      <c r="L129" s="95" t="n">
        <v>50</v>
      </c>
      <c r="N129" s="123" t="e">
        <f aca="false">+K129*K68/100</f>
        <v>#REF!</v>
      </c>
      <c r="O129" s="141" t="e">
        <f aca="false">+L129*L68/100</f>
        <v>#REF!</v>
      </c>
    </row>
    <row r="130" customFormat="false" ht="15" hidden="false" customHeight="false" outlineLevel="0" collapsed="false">
      <c r="J130" s="321" t="str">
        <f aca="false">+J69</f>
        <v>Aliment Molienda Clasificación</v>
      </c>
      <c r="K130" s="95" t="n">
        <v>99</v>
      </c>
      <c r="L130" s="95" t="n">
        <v>50</v>
      </c>
      <c r="N130" s="123" t="e">
        <f aca="false">+K130*K69/100</f>
        <v>#REF!</v>
      </c>
      <c r="O130" s="141" t="e">
        <f aca="false">+L130*L69/100</f>
        <v>#REF!</v>
      </c>
    </row>
    <row r="131" customFormat="false" ht="15" hidden="false" customHeight="false" outlineLevel="0" collapsed="false">
      <c r="J131" s="321" t="str">
        <f aca="false">+J70</f>
        <v>De Molienda/clasificación a Stock Derrames</v>
      </c>
      <c r="K131" s="95" t="n">
        <v>99</v>
      </c>
      <c r="L131" s="95" t="n">
        <v>50</v>
      </c>
      <c r="N131" s="123" t="e">
        <f aca="false">+K131*K70/100</f>
        <v>#REF!</v>
      </c>
      <c r="O131" s="141" t="e">
        <f aca="false">+L131*L70/100</f>
        <v>#REF!</v>
      </c>
    </row>
    <row r="132" customFormat="false" ht="15" hidden="false" customHeight="false" outlineLevel="0" collapsed="false">
      <c r="J132" s="269" t="str">
        <f aca="false">+J71</f>
        <v>EMISARIO SUBMARINO</v>
      </c>
      <c r="K132" s="269" t="n">
        <v>99</v>
      </c>
      <c r="L132" s="269" t="n">
        <v>50</v>
      </c>
      <c r="N132" s="123" t="e">
        <f aca="false">+K132*K71/100</f>
        <v>#REF!</v>
      </c>
      <c r="O132" s="141" t="e">
        <f aca="false">+L132*L71/100</f>
        <v>#REF!</v>
      </c>
    </row>
    <row r="133" customFormat="false" ht="15" hidden="false" customHeight="false" outlineLevel="0" collapsed="false">
      <c r="J133" s="321" t="str">
        <f aca="false">+J72</f>
        <v>Alimentación a TK  Inventarios</v>
      </c>
      <c r="K133" s="95" t="n">
        <v>99</v>
      </c>
      <c r="L133" s="95" t="n">
        <v>50</v>
      </c>
      <c r="N133" s="123" t="e">
        <f aca="false">+K133*K72/100</f>
        <v>#REF!</v>
      </c>
      <c r="O133" s="141" t="e">
        <f aca="false">+L133*L72/100</f>
        <v>#REF!</v>
      </c>
    </row>
    <row r="134" customFormat="false" ht="15" hidden="false" customHeight="false" outlineLevel="0" collapsed="false">
      <c r="J134" s="321" t="str">
        <f aca="false">+J73</f>
        <v>Delta TK inventarios</v>
      </c>
      <c r="K134" s="95" t="n">
        <v>99</v>
      </c>
      <c r="L134" s="95" t="n">
        <v>50</v>
      </c>
      <c r="N134" s="123" t="e">
        <f aca="false">+K134*K73/100</f>
        <v>#REF!</v>
      </c>
      <c r="O134" s="141" t="e">
        <f aca="false">+L134*L73/100</f>
        <v>#REF!</v>
      </c>
    </row>
    <row r="135" customFormat="false" ht="15" hidden="false" customHeight="false" outlineLevel="0" collapsed="false">
      <c r="J135" s="321" t="str">
        <f aca="false">+J74</f>
        <v>TK Inventario a Stock Derrames</v>
      </c>
      <c r="K135" s="95" t="n">
        <v>99</v>
      </c>
      <c r="L135" s="95" t="n">
        <v>50</v>
      </c>
      <c r="N135" s="123" t="e">
        <f aca="false">+K135*K74/100</f>
        <v>#REF!</v>
      </c>
      <c r="O135" s="141" t="e">
        <f aca="false">+L135*L74/100</f>
        <v>#REF!</v>
      </c>
    </row>
    <row r="136" customFormat="false" ht="15" hidden="false" customHeight="false" outlineLevel="0" collapsed="false">
      <c r="J136" s="321" t="str">
        <f aca="false">+J75</f>
        <v>Alimentación Filtrado</v>
      </c>
      <c r="K136" s="95" t="n">
        <v>99</v>
      </c>
      <c r="L136" s="95" t="n">
        <v>50</v>
      </c>
      <c r="N136" s="123" t="e">
        <f aca="false">+K136*K75/100</f>
        <v>#REF!</v>
      </c>
      <c r="O136" s="141" t="e">
        <f aca="false">+L136*L75/100</f>
        <v>#REF!</v>
      </c>
    </row>
    <row r="137" customFormat="false" ht="15" hidden="false" customHeight="false" outlineLevel="0" collapsed="false">
      <c r="J137" s="321" t="str">
        <f aca="false">+J76</f>
        <v>Alim Nodo Productos Filtrados</v>
      </c>
      <c r="K137" s="95" t="n">
        <v>99</v>
      </c>
      <c r="L137" s="95" t="n">
        <v>50</v>
      </c>
      <c r="N137" s="123" t="e">
        <f aca="false">+K137*K76/100</f>
        <v>#REF!</v>
      </c>
      <c r="O137" s="141" t="e">
        <f aca="false">+L137*L76/100</f>
        <v>#REF!</v>
      </c>
    </row>
    <row r="138" customFormat="false" ht="15" hidden="false" customHeight="false" outlineLevel="0" collapsed="false">
      <c r="J138" s="321" t="str">
        <f aca="false">+J77</f>
        <v>De filtros a Balling</v>
      </c>
      <c r="K138" s="95" t="n">
        <v>99</v>
      </c>
      <c r="L138" s="95" t="n">
        <v>50</v>
      </c>
      <c r="N138" s="123" t="e">
        <f aca="false">+K138*K77/100</f>
        <v>#REF!</v>
      </c>
      <c r="O138" s="141" t="e">
        <f aca="false">+L138*L77/100</f>
        <v>#REF!</v>
      </c>
    </row>
    <row r="139" customFormat="false" ht="15" hidden="false" customHeight="false" outlineLevel="0" collapsed="false">
      <c r="J139" s="321" t="str">
        <f aca="false">+J78</f>
        <v>Filtrado a Stock Derrames</v>
      </c>
      <c r="K139" s="95" t="n">
        <v>99</v>
      </c>
      <c r="L139" s="95" t="n">
        <v>50</v>
      </c>
      <c r="N139" s="123" t="e">
        <f aca="false">+K139*K78/100</f>
        <v>#REF!</v>
      </c>
      <c r="O139" s="141" t="e">
        <f aca="false">+L139*L78/100</f>
        <v>#REF!</v>
      </c>
    </row>
    <row r="140" customFormat="false" ht="15" hidden="false" customHeight="false" outlineLevel="0" collapsed="false">
      <c r="J140" s="321" t="str">
        <f aca="false">+J79</f>
        <v>Alim Pila Intermedia desde (de nodo post filtros)</v>
      </c>
      <c r="K140" s="95" t="n">
        <v>99</v>
      </c>
      <c r="L140" s="95" t="n">
        <v>50</v>
      </c>
      <c r="N140" s="123" t="e">
        <f aca="false">+K140*K79/100</f>
        <v>#REF!</v>
      </c>
      <c r="O140" s="141" t="e">
        <f aca="false">+L140*L79/100</f>
        <v>#REF!</v>
      </c>
    </row>
    <row r="141" customFormat="false" ht="15" hidden="false" customHeight="false" outlineLevel="0" collapsed="false">
      <c r="J141" s="321" t="str">
        <f aca="false">+J80</f>
        <v>Delta Stock Pila Intermedia</v>
      </c>
      <c r="K141" s="95" t="n">
        <v>99</v>
      </c>
      <c r="L141" s="95" t="n">
        <v>50</v>
      </c>
      <c r="N141" s="123" t="e">
        <f aca="false">+K141*K80/100</f>
        <v>#REF!</v>
      </c>
      <c r="O141" s="141" t="e">
        <f aca="false">+L141*L80/100</f>
        <v>#REF!</v>
      </c>
    </row>
    <row r="142" customFormat="false" ht="15" hidden="false" customHeight="false" outlineLevel="0" collapsed="false">
      <c r="J142" s="321" t="str">
        <f aca="false">+J81</f>
        <v>de Pila Intermedia a Balling</v>
      </c>
      <c r="K142" s="95" t="n">
        <v>99</v>
      </c>
      <c r="L142" s="95" t="n">
        <v>50</v>
      </c>
      <c r="N142" s="123" t="e">
        <f aca="false">+K142*K81/100</f>
        <v>#REF!</v>
      </c>
      <c r="O142" s="141" t="e">
        <f aca="false">+L142*L81/100</f>
        <v>#REF!</v>
      </c>
    </row>
    <row r="143" customFormat="false" ht="15" hidden="false" customHeight="false" outlineLevel="0" collapsed="false">
      <c r="J143" s="321" t="str">
        <f aca="false">+J82</f>
        <v>de Pila Intermadia a Stok Pellet Feed</v>
      </c>
      <c r="K143" s="95" t="n">
        <v>99</v>
      </c>
      <c r="L143" s="95" t="n">
        <v>50</v>
      </c>
      <c r="N143" s="123" t="e">
        <f aca="false">+K143*K82/100</f>
        <v>#REF!</v>
      </c>
      <c r="O143" s="141" t="e">
        <f aca="false">+L143*L82/100</f>
        <v>#REF!</v>
      </c>
    </row>
    <row r="144" customFormat="false" ht="15" hidden="false" customHeight="false" outlineLevel="0" collapsed="false">
      <c r="J144" s="321" t="str">
        <f aca="false">+J83</f>
        <v>a Stock Pellet Feed (de nodo post filtros)</v>
      </c>
      <c r="K144" s="95" t="n">
        <v>99</v>
      </c>
      <c r="L144" s="95" t="n">
        <v>50</v>
      </c>
      <c r="N144" s="123" t="e">
        <f aca="false">+K144*K83/100</f>
        <v>#REF!</v>
      </c>
      <c r="O144" s="141" t="e">
        <f aca="false">+L144*L83/100</f>
        <v>#REF!</v>
      </c>
    </row>
    <row r="145" customFormat="false" ht="15" hidden="false" customHeight="false" outlineLevel="0" collapsed="false">
      <c r="J145" s="321" t="str">
        <f aca="false">+J84</f>
        <v>Delta Stock Pellet Feed</v>
      </c>
      <c r="K145" s="95" t="n">
        <v>99</v>
      </c>
      <c r="L145" s="95" t="n">
        <v>50</v>
      </c>
      <c r="N145" s="123" t="e">
        <f aca="false">+K145*K84/100</f>
        <v>#REF!</v>
      </c>
      <c r="O145" s="141" t="e">
        <f aca="false">+L145*L84/100</f>
        <v>#REF!</v>
      </c>
    </row>
    <row r="146" customFormat="false" ht="15" hidden="false" customHeight="false" outlineLevel="0" collapsed="false">
      <c r="J146" s="269" t="str">
        <f aca="false">+J85</f>
        <v>A embarque de Stock Pellet Feed</v>
      </c>
      <c r="K146" s="269" t="n">
        <v>1</v>
      </c>
      <c r="L146" s="269" t="n">
        <v>1</v>
      </c>
      <c r="N146" s="123" t="e">
        <f aca="false">+K146*K85/100</f>
        <v>#REF!</v>
      </c>
      <c r="O146" s="141" t="e">
        <f aca="false">+L146*L85/100</f>
        <v>#REF!</v>
      </c>
    </row>
    <row r="147" customFormat="false" ht="15" hidden="false" customHeight="false" outlineLevel="0" collapsed="false">
      <c r="J147" s="321" t="str">
        <f aca="false">+J86</f>
        <v>Aditivo a Balling</v>
      </c>
      <c r="K147" s="95" t="n">
        <v>99</v>
      </c>
      <c r="L147" s="95" t="n">
        <v>50</v>
      </c>
      <c r="N147" s="123" t="e">
        <f aca="false">+K147*K86/100</f>
        <v>#REF!</v>
      </c>
      <c r="O147" s="141" t="n">
        <f aca="false">+L147*L86/100</f>
        <v>0</v>
      </c>
    </row>
    <row r="148" customFormat="false" ht="15" hidden="false" customHeight="false" outlineLevel="0" collapsed="false">
      <c r="J148" s="321" t="str">
        <f aca="false">+J87</f>
        <v>Pellet verde a edurecimiento</v>
      </c>
      <c r="K148" s="95" t="n">
        <v>99</v>
      </c>
      <c r="L148" s="95" t="n">
        <v>50</v>
      </c>
      <c r="N148" s="123" t="e">
        <f aca="false">+K148*K87/100</f>
        <v>#REF!</v>
      </c>
      <c r="O148" s="141" t="n">
        <f aca="false">+L148*L87/100</f>
        <v>0</v>
      </c>
    </row>
    <row r="149" customFormat="false" ht="15" hidden="false" customHeight="false" outlineLevel="0" collapsed="false">
      <c r="J149" s="321" t="str">
        <f aca="false">+J88</f>
        <v>Endurecimiento a Stock Derrames</v>
      </c>
      <c r="K149" s="95" t="n">
        <v>99</v>
      </c>
      <c r="L149" s="95" t="n">
        <v>50</v>
      </c>
      <c r="N149" s="123" t="e">
        <f aca="false">+K149*K88/100</f>
        <v>#REF!</v>
      </c>
      <c r="O149" s="141" t="e">
        <f aca="false">+L149*L88/100</f>
        <v>#REF!</v>
      </c>
    </row>
    <row r="150" customFormat="false" ht="15" hidden="false" customHeight="false" outlineLevel="0" collapsed="false">
      <c r="J150" s="321" t="str">
        <f aca="false">+J89</f>
        <v>Delta Inventarios de Derrames</v>
      </c>
      <c r="K150" s="95" t="n">
        <v>99</v>
      </c>
      <c r="L150" s="95" t="n">
        <v>50</v>
      </c>
      <c r="N150" s="123" t="e">
        <f aca="false">+K150*K89/100</f>
        <v>#REF!</v>
      </c>
      <c r="O150" s="141" t="e">
        <f aca="false">+L150*L89/100</f>
        <v>#REF!</v>
      </c>
    </row>
    <row r="151" customFormat="false" ht="15" hidden="false" customHeight="false" outlineLevel="0" collapsed="false">
      <c r="J151" s="321" t="str">
        <f aca="false">+J90</f>
        <v>Chunk de endurecimiento a Pila Chunk</v>
      </c>
      <c r="K151" s="95" t="n">
        <v>99</v>
      </c>
      <c r="L151" s="95" t="n">
        <v>50</v>
      </c>
      <c r="N151" s="123" t="e">
        <f aca="false">+K151*K90/100</f>
        <v>#REF!</v>
      </c>
      <c r="O151" s="141" t="e">
        <f aca="false">+L151*L90/100</f>
        <v>#REF!</v>
      </c>
    </row>
    <row r="152" customFormat="false" ht="15" hidden="false" customHeight="false" outlineLevel="0" collapsed="false">
      <c r="J152" s="321" t="str">
        <f aca="false">+J91</f>
        <v>Delta Stock Pila Chunk</v>
      </c>
      <c r="K152" s="95" t="n">
        <v>99</v>
      </c>
      <c r="L152" s="95" t="n">
        <v>50</v>
      </c>
      <c r="N152" s="123" t="e">
        <f aca="false">+K152*K91/100</f>
        <v>#REF!</v>
      </c>
      <c r="O152" s="141" t="e">
        <f aca="false">+L152*L91/100</f>
        <v>#REF!</v>
      </c>
    </row>
    <row r="153" customFormat="false" ht="15" hidden="false" customHeight="false" outlineLevel="0" collapsed="false">
      <c r="J153" s="321" t="str">
        <f aca="false">+J92</f>
        <v>Aporte Oxidación Endurecimiento</v>
      </c>
      <c r="K153" s="95" t="n">
        <v>99</v>
      </c>
      <c r="L153" s="95" t="n">
        <v>50</v>
      </c>
      <c r="N153" s="123" t="e">
        <f aca="false">+K153*K92/100</f>
        <v>#REF!</v>
      </c>
      <c r="O153" s="141" t="n">
        <f aca="false">+L153*L92/100</f>
        <v>0</v>
      </c>
    </row>
    <row r="154" customFormat="false" ht="15" hidden="false" customHeight="false" outlineLevel="0" collapsed="false">
      <c r="J154" s="321" t="str">
        <f aca="false">+J93</f>
        <v>Alim endurecido a Pila Emergencia</v>
      </c>
      <c r="K154" s="95" t="n">
        <v>99</v>
      </c>
      <c r="L154" s="95" t="n">
        <v>50</v>
      </c>
      <c r="N154" s="123" t="e">
        <f aca="false">+K154*K93/100</f>
        <v>#REF!</v>
      </c>
      <c r="O154" s="141" t="e">
        <f aca="false">+L154*L93/100</f>
        <v>#REF!</v>
      </c>
    </row>
    <row r="155" customFormat="false" ht="15" hidden="false" customHeight="false" outlineLevel="0" collapsed="false">
      <c r="J155" s="321" t="str">
        <f aca="false">+J94</f>
        <v>De endurecimiento a Harnero Producto</v>
      </c>
      <c r="K155" s="95" t="n">
        <v>99</v>
      </c>
      <c r="L155" s="95" t="n">
        <v>50</v>
      </c>
      <c r="N155" s="123" t="e">
        <f aca="false">+K155*K94/100</f>
        <v>#REF!</v>
      </c>
      <c r="O155" s="141" t="e">
        <f aca="false">+L155*L94/100</f>
        <v>#REF!</v>
      </c>
    </row>
    <row r="156" customFormat="false" ht="15" hidden="false" customHeight="false" outlineLevel="0" collapsed="false">
      <c r="J156" s="321" t="str">
        <f aca="false">+J95</f>
        <v>Alim Harnero Producto desde Pila de Emergencia</v>
      </c>
      <c r="K156" s="95" t="n">
        <v>99</v>
      </c>
      <c r="L156" s="95" t="n">
        <v>50</v>
      </c>
      <c r="N156" s="123" t="e">
        <f aca="false">+K156*K95/100</f>
        <v>#REF!</v>
      </c>
      <c r="O156" s="141" t="e">
        <f aca="false">+L156*L95/100</f>
        <v>#REF!</v>
      </c>
    </row>
    <row r="157" customFormat="false" ht="15" hidden="false" customHeight="false" outlineLevel="0" collapsed="false">
      <c r="J157" s="321" t="str">
        <f aca="false">+J96</f>
        <v>Delta Stock Pila Emergencia</v>
      </c>
      <c r="K157" s="95" t="n">
        <v>99</v>
      </c>
      <c r="L157" s="95" t="n">
        <v>50</v>
      </c>
      <c r="N157" s="123" t="e">
        <f aca="false">+K157*K96/100</f>
        <v>#REF!</v>
      </c>
      <c r="O157" s="141" t="e">
        <f aca="false">+L157*L96/100</f>
        <v>#REF!</v>
      </c>
    </row>
    <row r="158" customFormat="false" ht="15" hidden="false" customHeight="false" outlineLevel="0" collapsed="false">
      <c r="J158" s="321" t="str">
        <f aca="false">+J97</f>
        <v>De harnero Producto a Pila Chip Fresco</v>
      </c>
      <c r="K158" s="95" t="n">
        <v>99</v>
      </c>
      <c r="L158" s="95" t="n">
        <v>50</v>
      </c>
      <c r="N158" s="123" t="e">
        <f aca="false">+K158*K97/100</f>
        <v>#REF!</v>
      </c>
      <c r="O158" s="141" t="e">
        <f aca="false">+L158*L97/100</f>
        <v>#REF!</v>
      </c>
    </row>
    <row r="159" customFormat="false" ht="15" hidden="false" customHeight="false" outlineLevel="0" collapsed="false">
      <c r="J159" s="321" t="str">
        <f aca="false">+J98</f>
        <v>Delta Stock Pila Chip Fresco</v>
      </c>
      <c r="K159" s="95" t="n">
        <v>99</v>
      </c>
      <c r="L159" s="95" t="n">
        <v>50</v>
      </c>
      <c r="N159" s="123" t="e">
        <f aca="false">+K159*K98/100</f>
        <v>#REF!</v>
      </c>
      <c r="O159" s="141" t="e">
        <f aca="false">+L159*L98/100</f>
        <v>#REF!</v>
      </c>
    </row>
    <row r="160" customFormat="false" ht="15" hidden="false" customHeight="false" outlineLevel="0" collapsed="false">
      <c r="J160" s="321" t="str">
        <f aca="false">+J99</f>
        <v>De Harnero Producto a Stock Pellets Básico</v>
      </c>
      <c r="K160" s="95" t="n">
        <v>99</v>
      </c>
      <c r="L160" s="95" t="n">
        <v>50</v>
      </c>
      <c r="N160" s="123" t="e">
        <f aca="false">+K160*K99/100</f>
        <v>#REF!</v>
      </c>
      <c r="O160" s="141" t="n">
        <f aca="false">+L160*L99/100</f>
        <v>0</v>
      </c>
    </row>
    <row r="161" customFormat="false" ht="15" hidden="false" customHeight="false" outlineLevel="0" collapsed="false">
      <c r="J161" s="321" t="str">
        <f aca="false">+J100</f>
        <v>Delta Stock Pellet Básico</v>
      </c>
      <c r="K161" s="95" t="n">
        <v>99</v>
      </c>
      <c r="L161" s="95" t="n">
        <v>50</v>
      </c>
      <c r="N161" s="123" t="e">
        <f aca="false">+K161*K100/100</f>
        <v>#REF!</v>
      </c>
      <c r="O161" s="141" t="e">
        <f aca="false">+L161*L100/100</f>
        <v>#REF!</v>
      </c>
    </row>
    <row r="162" customFormat="false" ht="15" hidden="false" customHeight="false" outlineLevel="0" collapsed="false">
      <c r="J162" s="269" t="str">
        <f aca="false">+J101</f>
        <v>A embarque desde Pellet básico</v>
      </c>
      <c r="K162" s="269" t="n">
        <v>1</v>
      </c>
      <c r="L162" s="269" t="n">
        <v>1</v>
      </c>
      <c r="N162" s="123" t="e">
        <f aca="false">+K162*K101/100</f>
        <v>#REF!</v>
      </c>
      <c r="O162" s="141" t="e">
        <f aca="false">+L162*L101/100</f>
        <v>#REF!</v>
      </c>
    </row>
    <row r="163" customFormat="false" ht="15" hidden="false" customHeight="false" outlineLevel="0" collapsed="false">
      <c r="J163" s="321" t="str">
        <f aca="false">+J102</f>
        <v>Alimentación Chip Fresco a Re harneo</v>
      </c>
      <c r="K163" s="95" t="n">
        <v>99</v>
      </c>
      <c r="L163" s="95" t="n">
        <v>50</v>
      </c>
      <c r="N163" s="123" t="e">
        <f aca="false">+K163*K102/100</f>
        <v>#REF!</v>
      </c>
      <c r="O163" s="141" t="e">
        <f aca="false">+L163*L102/100</f>
        <v>#REF!</v>
      </c>
    </row>
    <row r="164" customFormat="false" ht="15" hidden="false" customHeight="false" outlineLevel="0" collapsed="false">
      <c r="J164" s="321" t="str">
        <f aca="false">+J103</f>
        <v>Alimentación de Stock de Derrames a Planta de Re Harneo</v>
      </c>
      <c r="K164" s="95" t="n">
        <v>99</v>
      </c>
      <c r="L164" s="95" t="n">
        <v>50</v>
      </c>
      <c r="N164" s="123" t="e">
        <f aca="false">+K164*K103/100</f>
        <v>#REF!</v>
      </c>
      <c r="O164" s="141" t="n">
        <f aca="false">+L164*L103/100</f>
        <v>0.25</v>
      </c>
    </row>
    <row r="165" customFormat="false" ht="15" hidden="false" customHeight="false" outlineLevel="0" collapsed="false">
      <c r="J165" s="321" t="str">
        <f aca="false">+J104</f>
        <v>Alimentación de Pila Chunk a Re Harneo</v>
      </c>
      <c r="K165" s="95" t="n">
        <v>99</v>
      </c>
      <c r="L165" s="95" t="n">
        <v>50</v>
      </c>
      <c r="N165" s="123" t="e">
        <f aca="false">+K165*K104/100</f>
        <v>#REF!</v>
      </c>
      <c r="O165" s="141" t="e">
        <f aca="false">+L165*L104/100</f>
        <v>#REF!</v>
      </c>
    </row>
    <row r="166" customFormat="false" ht="15" hidden="false" customHeight="false" outlineLevel="0" collapsed="false">
      <c r="J166" s="321" t="str">
        <f aca="false">+J105</f>
        <v>Intermedio Re harneo de derrames a Stock Pila de Emergencia</v>
      </c>
      <c r="K166" s="95" t="n">
        <v>99</v>
      </c>
      <c r="L166" s="95" t="n">
        <v>50</v>
      </c>
      <c r="N166" s="123" t="e">
        <f aca="false">+K166*K105/100</f>
        <v>#REF!</v>
      </c>
      <c r="O166" s="141" t="e">
        <f aca="false">+L166*L105/100</f>
        <v>#REF!</v>
      </c>
    </row>
    <row r="167" customFormat="false" ht="15" hidden="false" customHeight="false" outlineLevel="0" collapsed="false">
      <c r="J167" s="321" t="str">
        <f aca="false">+J106</f>
        <v>Alimentación Total a  Stock Finos Huasco de Embarque</v>
      </c>
      <c r="K167" s="95" t="n">
        <v>99</v>
      </c>
      <c r="L167" s="95" t="n">
        <v>50</v>
      </c>
      <c r="N167" s="123" t="e">
        <f aca="false">+K167*K106/100</f>
        <v>#REF!</v>
      </c>
      <c r="O167" s="141" t="e">
        <f aca="false">+L167*L106/100</f>
        <v>#REF!</v>
      </c>
    </row>
    <row r="168" customFormat="false" ht="15" hidden="false" customHeight="false" outlineLevel="0" collapsed="false">
      <c r="J168" s="321" t="str">
        <f aca="false">+J107</f>
        <v>Chip Bajo tamaño de Re Harneo a Stock P Chip de Embarque</v>
      </c>
      <c r="K168" s="95" t="n">
        <v>99</v>
      </c>
      <c r="L168" s="95" t="n">
        <v>50</v>
      </c>
      <c r="N168" s="123" t="e">
        <f aca="false">+K168*K107/100</f>
        <v>#REF!</v>
      </c>
      <c r="O168" s="141" t="e">
        <f aca="false">+L168*L107/100</f>
        <v>#REF!</v>
      </c>
    </row>
    <row r="169" customFormat="false" ht="15" hidden="false" customHeight="false" outlineLevel="0" collapsed="false">
      <c r="J169" s="321" t="str">
        <f aca="false">+J108</f>
        <v>Traspaso de F Huasco a S Feed</v>
      </c>
      <c r="K169" s="95" t="n">
        <v>99</v>
      </c>
      <c r="L169" s="95" t="n">
        <v>50</v>
      </c>
      <c r="N169" s="123" t="e">
        <f aca="false">+K169*K108/100</f>
        <v>#REF!</v>
      </c>
      <c r="O169" s="141" t="e">
        <f aca="false">+L169*L108/100</f>
        <v>#REF!</v>
      </c>
    </row>
    <row r="170" customFormat="false" ht="15" hidden="false" customHeight="false" outlineLevel="0" collapsed="false">
      <c r="J170" s="269" t="str">
        <f aca="false">+J109</f>
        <v>A embarque desde Stock Finos Huasco</v>
      </c>
      <c r="K170" s="269" t="n">
        <v>1</v>
      </c>
      <c r="L170" s="269" t="n">
        <v>1</v>
      </c>
      <c r="N170" s="123" t="e">
        <f aca="false">+K170*K109/100</f>
        <v>#REF!</v>
      </c>
      <c r="O170" s="141" t="e">
        <f aca="false">+L170*L109/100</f>
        <v>#REF!</v>
      </c>
    </row>
    <row r="171" customFormat="false" ht="15" hidden="false" customHeight="false" outlineLevel="0" collapsed="false">
      <c r="J171" s="321" t="str">
        <f aca="false">+J110</f>
        <v>Delta Stock Finos Huasco</v>
      </c>
      <c r="K171" s="95" t="n">
        <v>99</v>
      </c>
      <c r="L171" s="95" t="n">
        <v>50</v>
      </c>
      <c r="N171" s="123" t="e">
        <f aca="false">+K171*K110/100</f>
        <v>#REF!</v>
      </c>
      <c r="O171" s="141" t="e">
        <f aca="false">+L171*L110/100</f>
        <v>#REF!</v>
      </c>
    </row>
    <row r="172" customFormat="false" ht="15" hidden="false" customHeight="false" outlineLevel="0" collapsed="false">
      <c r="J172" s="269" t="str">
        <f aca="false">+J111</f>
        <v>A embarque desde Stock Sinter Feed</v>
      </c>
      <c r="K172" s="269" t="n">
        <v>1</v>
      </c>
      <c r="L172" s="269" t="n">
        <v>1</v>
      </c>
      <c r="N172" s="123" t="e">
        <f aca="false">+K172*K111/100</f>
        <v>#REF!</v>
      </c>
      <c r="O172" s="141" t="e">
        <f aca="false">+L172*L111/100</f>
        <v>#REF!</v>
      </c>
    </row>
    <row r="173" customFormat="false" ht="15" hidden="false" customHeight="false" outlineLevel="0" collapsed="false">
      <c r="J173" s="321" t="str">
        <f aca="false">+J112</f>
        <v>Delta Stock Sinter Feed</v>
      </c>
      <c r="K173" s="95" t="n">
        <v>99</v>
      </c>
      <c r="L173" s="95" t="n">
        <v>50</v>
      </c>
      <c r="N173" s="123" t="e">
        <f aca="false">+K173*K112/100</f>
        <v>#REF!</v>
      </c>
      <c r="O173" s="141" t="e">
        <f aca="false">+L173*L112/100</f>
        <v>#REF!</v>
      </c>
    </row>
    <row r="174" customFormat="false" ht="15" hidden="false" customHeight="false" outlineLevel="0" collapsed="false">
      <c r="J174" s="321" t="str">
        <f aca="false">+J113</f>
        <v>Traspaso de  P Chip a P Básico</v>
      </c>
      <c r="K174" s="95" t="n">
        <v>99</v>
      </c>
      <c r="L174" s="95" t="n">
        <v>50</v>
      </c>
      <c r="N174" s="123" t="e">
        <f aca="false">+K174*K113/100</f>
        <v>#REF!</v>
      </c>
      <c r="O174" s="141" t="e">
        <f aca="false">+L174*L113/100</f>
        <v>#REF!</v>
      </c>
    </row>
    <row r="175" customFormat="false" ht="15" hidden="false" customHeight="false" outlineLevel="0" collapsed="false">
      <c r="J175" s="269" t="str">
        <f aca="false">+J114</f>
        <v>A embarque desde Stock Pellet Chip</v>
      </c>
      <c r="K175" s="269" t="n">
        <v>1</v>
      </c>
      <c r="L175" s="269" t="n">
        <v>1</v>
      </c>
      <c r="N175" s="123" t="e">
        <f aca="false">+K175*K114/100</f>
        <v>#REF!</v>
      </c>
      <c r="O175" s="141" t="e">
        <f aca="false">+L175*L114/100</f>
        <v>#REF!</v>
      </c>
    </row>
    <row r="176" customFormat="false" ht="15" hidden="false" customHeight="false" outlineLevel="0" collapsed="false">
      <c r="J176" s="321" t="str">
        <f aca="false">+J115</f>
        <v>Delta Stock Pellet Chip</v>
      </c>
      <c r="K176" s="95" t="n">
        <v>99</v>
      </c>
      <c r="L176" s="95" t="n">
        <v>50</v>
      </c>
      <c r="N176" s="123" t="e">
        <f aca="false">+K176*K115/100</f>
        <v>#REF!</v>
      </c>
      <c r="O176" s="141" t="e">
        <f aca="false">+L176*L115/100</f>
        <v>#REF!</v>
      </c>
    </row>
    <row r="177" customFormat="false" ht="15" hidden="false" customHeight="false" outlineLevel="0" collapsed="false">
      <c r="J177" s="269" t="str">
        <f aca="false">+J116</f>
        <v>Total Embarcado</v>
      </c>
      <c r="K177" s="269" t="n">
        <v>1</v>
      </c>
      <c r="L177" s="269" t="n">
        <v>1</v>
      </c>
      <c r="N177" s="123" t="e">
        <f aca="false">+K177*K116/100</f>
        <v>#REF!</v>
      </c>
      <c r="O177" s="141" t="e">
        <f aca="false">+L177*L116/100</f>
        <v>#REF!</v>
      </c>
    </row>
    <row r="180" customFormat="false" ht="15" hidden="false" customHeight="false" outlineLevel="0" collapsed="false">
      <c r="K180" s="316" t="s">
        <v>242</v>
      </c>
      <c r="L180" s="316"/>
    </row>
    <row r="181" customFormat="false" ht="15" hidden="false" customHeight="false" outlineLevel="0" collapsed="false">
      <c r="K181" s="318" t="s">
        <v>88</v>
      </c>
      <c r="L181" s="318" t="s">
        <v>64</v>
      </c>
    </row>
    <row r="182" customFormat="false" ht="15" hidden="false" customHeight="false" outlineLevel="0" collapsed="false">
      <c r="J182" s="321" t="str">
        <f aca="false">+J123</f>
        <v>De Prec Los Colorados Nodo Alim Planta de Pellet</v>
      </c>
      <c r="K182" s="322" t="n">
        <f aca="false">+IF(N123&lt;&gt;0,((N62-K62)^2)/N123^2,"")</f>
        <v>187.788986748403</v>
      </c>
      <c r="L182" s="322" t="n">
        <f aca="false">+IF(O123&lt;&gt;0,((O62-L62)^2)/O123^2,"")</f>
        <v>0.0129140349446109</v>
      </c>
    </row>
    <row r="183" customFormat="false" ht="15" hidden="false" customHeight="false" outlineLevel="0" collapsed="false">
      <c r="J183" s="321" t="str">
        <f aca="false">+J124</f>
        <v>Preconc Los Colorados a Stock Sinter Feed</v>
      </c>
      <c r="K183" s="322" t="e">
        <f aca="false">+IF(N124&lt;&gt;0,((N63-K63)^2)/N124^2,"")</f>
        <v>#REF!</v>
      </c>
      <c r="L183" s="322" t="e">
        <f aca="false">+IF(O124&lt;&gt;0,((O63-L63)^2)/O124^2,"")</f>
        <v>#REF!</v>
      </c>
    </row>
    <row r="184" customFormat="false" ht="15" hidden="false" customHeight="false" outlineLevel="0" collapsed="false">
      <c r="J184" s="321" t="str">
        <f aca="false">+J125</f>
        <v>Prec los Colorados a Stock Prec Planta Pellet</v>
      </c>
      <c r="K184" s="322" t="e">
        <f aca="false">+IF(N125&lt;&gt;0,((N64-K64)^2)/N125^2,"")</f>
        <v>#REF!</v>
      </c>
      <c r="L184" s="322" t="e">
        <f aca="false">+IF(O125&lt;&gt;0,((O64-L64)^2)/O125^2,"")</f>
        <v>#REF!</v>
      </c>
    </row>
    <row r="185" customFormat="false" ht="15" hidden="false" customHeight="false" outlineLevel="0" collapsed="false">
      <c r="J185" s="321" t="str">
        <f aca="false">+J126</f>
        <v>Re-Harneo a Stock Prec Planta Pellet</v>
      </c>
      <c r="K185" s="322" t="e">
        <f aca="false">+IF(N126&lt;&gt;0,((N65-K65)^2)/N126^2,"")</f>
        <v>#REF!</v>
      </c>
      <c r="L185" s="322" t="e">
        <f aca="false">+IF(O126&lt;&gt;0,((O65-L65)^2)/O126^2,"")</f>
        <v>#REF!</v>
      </c>
    </row>
    <row r="186" customFormat="false" ht="15" hidden="false" customHeight="false" outlineLevel="0" collapsed="false">
      <c r="J186" s="321" t="str">
        <f aca="false">+J127</f>
        <v>Delta Stock  Prec Planta Pellet</v>
      </c>
      <c r="K186" s="322" t="e">
        <f aca="false">+IF(N127&lt;&gt;0,((N66-K66)^2)/N127^2,"")</f>
        <v>#REF!</v>
      </c>
      <c r="L186" s="322" t="e">
        <f aca="false">+IF(O127&lt;&gt;0,((O66-L66)^2)/O127^2,"")</f>
        <v>#REF!</v>
      </c>
    </row>
    <row r="187" customFormat="false" ht="15" hidden="false" customHeight="false" outlineLevel="0" collapsed="false">
      <c r="J187" s="321" t="str">
        <f aca="false">+J128</f>
        <v>Alim Silos Molienda</v>
      </c>
      <c r="K187" s="322" t="e">
        <f aca="false">+IF(N128&lt;&gt;0,((N67-K67)^2)/N128^2,"")</f>
        <v>#REF!</v>
      </c>
      <c r="L187" s="322" t="e">
        <f aca="false">+IF(O128&lt;&gt;0,((O67-L67)^2)/O128^2,"")</f>
        <v>#REF!</v>
      </c>
    </row>
    <row r="188" customFormat="false" ht="15" hidden="false" customHeight="false" outlineLevel="0" collapsed="false">
      <c r="J188" s="321" t="str">
        <f aca="false">+J129</f>
        <v>Delta Stock Silos Molienda</v>
      </c>
      <c r="K188" s="322" t="e">
        <f aca="false">+IF(N129&lt;&gt;0,((N68-K68)^2)/N129^2,"")</f>
        <v>#REF!</v>
      </c>
      <c r="L188" s="322" t="e">
        <f aca="false">+IF(O129&lt;&gt;0,((O68-L68)^2)/O129^2,"")</f>
        <v>#REF!</v>
      </c>
    </row>
    <row r="189" customFormat="false" ht="15" hidden="false" customHeight="false" outlineLevel="0" collapsed="false">
      <c r="J189" s="321" t="str">
        <f aca="false">+J130</f>
        <v>Aliment Molienda Clasificación</v>
      </c>
      <c r="K189" s="322" t="e">
        <f aca="false">+IF(N130&lt;&gt;0,((N69-K69)^2)/N130^2,"")</f>
        <v>#REF!</v>
      </c>
      <c r="L189" s="322" t="e">
        <f aca="false">+IF(O130&lt;&gt;0,((O69-L69)^2)/O130^2,"")</f>
        <v>#REF!</v>
      </c>
    </row>
    <row r="190" customFormat="false" ht="15" hidden="false" customHeight="false" outlineLevel="0" collapsed="false">
      <c r="J190" s="321" t="str">
        <f aca="false">+J131</f>
        <v>De Molienda/clasificación a Stock Derrames</v>
      </c>
      <c r="K190" s="322" t="e">
        <f aca="false">+IF(N131&lt;&gt;0,((N70-K70)^2)/N131^2,"")</f>
        <v>#REF!</v>
      </c>
      <c r="L190" s="322" t="e">
        <f aca="false">+IF(O131&lt;&gt;0,((O70-L70)^2)/O131^2,"")</f>
        <v>#REF!</v>
      </c>
    </row>
    <row r="191" customFormat="false" ht="15" hidden="false" customHeight="false" outlineLevel="0" collapsed="false">
      <c r="J191" s="321" t="str">
        <f aca="false">+J132</f>
        <v>EMISARIO SUBMARINO</v>
      </c>
      <c r="K191" s="322" t="e">
        <f aca="false">+IF(N132&lt;&gt;0,((N71-K71)^2)/N132^2,"")</f>
        <v>#REF!</v>
      </c>
      <c r="L191" s="322" t="e">
        <f aca="false">+IF(O132&lt;&gt;0,((O71-L71)^2)/O132^2,"")</f>
        <v>#REF!</v>
      </c>
    </row>
    <row r="192" customFormat="false" ht="15" hidden="false" customHeight="false" outlineLevel="0" collapsed="false">
      <c r="J192" s="321" t="str">
        <f aca="false">+J133</f>
        <v>Alimentación a TK  Inventarios</v>
      </c>
      <c r="K192" s="322" t="e">
        <f aca="false">+IF(N133&lt;&gt;0,((N72-K72)^2)/N133^2,"")</f>
        <v>#REF!</v>
      </c>
      <c r="L192" s="322" t="e">
        <f aca="false">+IF(O133&lt;&gt;0,((O72-L72)^2)/O133^2,"")</f>
        <v>#REF!</v>
      </c>
    </row>
    <row r="193" customFormat="false" ht="15" hidden="false" customHeight="false" outlineLevel="0" collapsed="false">
      <c r="J193" s="321" t="str">
        <f aca="false">+J134</f>
        <v>Delta TK inventarios</v>
      </c>
      <c r="K193" s="322" t="e">
        <f aca="false">+IF(N134&lt;&gt;0,((N73-K73)^2)/N134^2,"")</f>
        <v>#REF!</v>
      </c>
      <c r="L193" s="322" t="e">
        <f aca="false">+IF(O134&lt;&gt;0,((O73-L73)^2)/O134^2,"")</f>
        <v>#REF!</v>
      </c>
    </row>
    <row r="194" customFormat="false" ht="15" hidden="false" customHeight="false" outlineLevel="0" collapsed="false">
      <c r="J194" s="321" t="str">
        <f aca="false">+J135</f>
        <v>TK Inventario a Stock Derrames</v>
      </c>
      <c r="K194" s="322" t="e">
        <f aca="false">+IF(N135&lt;&gt;0,((N74-K74)^2)/N135^2,"")</f>
        <v>#REF!</v>
      </c>
      <c r="L194" s="322" t="e">
        <f aca="false">+IF(O135&lt;&gt;0,((O74-L74)^2)/O135^2,"")</f>
        <v>#REF!</v>
      </c>
    </row>
    <row r="195" customFormat="false" ht="15" hidden="false" customHeight="false" outlineLevel="0" collapsed="false">
      <c r="J195" s="321" t="str">
        <f aca="false">+J136</f>
        <v>Alimentación Filtrado</v>
      </c>
      <c r="K195" s="322" t="e">
        <f aca="false">+IF(N136&lt;&gt;0,((N75-K75)^2)/N136^2,"")</f>
        <v>#REF!</v>
      </c>
      <c r="L195" s="322" t="e">
        <f aca="false">+IF(O136&lt;&gt;0,((O75-L75)^2)/O136^2,"")</f>
        <v>#REF!</v>
      </c>
    </row>
    <row r="196" customFormat="false" ht="15" hidden="false" customHeight="false" outlineLevel="0" collapsed="false">
      <c r="J196" s="321" t="str">
        <f aca="false">+J137</f>
        <v>Alim Nodo Productos Filtrados</v>
      </c>
      <c r="K196" s="322" t="e">
        <f aca="false">+IF(N137&lt;&gt;0,((N76-K76)^2)/N137^2,"")</f>
        <v>#REF!</v>
      </c>
      <c r="L196" s="322" t="e">
        <f aca="false">+IF(O137&lt;&gt;0,((O76-L76)^2)/O137^2,"")</f>
        <v>#REF!</v>
      </c>
    </row>
    <row r="197" customFormat="false" ht="15" hidden="false" customHeight="false" outlineLevel="0" collapsed="false">
      <c r="J197" s="321" t="str">
        <f aca="false">+J138</f>
        <v>De filtros a Balling</v>
      </c>
      <c r="K197" s="322" t="e">
        <f aca="false">+IF(N138&lt;&gt;0,((N77-K77)^2)/N138^2,"")</f>
        <v>#REF!</v>
      </c>
      <c r="L197" s="322" t="e">
        <f aca="false">+IF(O138&lt;&gt;0,((O77-L77)^2)/O138^2,"")</f>
        <v>#REF!</v>
      </c>
    </row>
    <row r="198" customFormat="false" ht="15" hidden="false" customHeight="false" outlineLevel="0" collapsed="false">
      <c r="J198" s="321" t="str">
        <f aca="false">+J139</f>
        <v>Filtrado a Stock Derrames</v>
      </c>
      <c r="K198" s="322" t="e">
        <f aca="false">+IF(N139&lt;&gt;0,((N78-K78)^2)/N139^2,"")</f>
        <v>#REF!</v>
      </c>
      <c r="L198" s="322" t="e">
        <f aca="false">+IF(O139&lt;&gt;0,((O78-L78)^2)/O139^2,"")</f>
        <v>#REF!</v>
      </c>
    </row>
    <row r="199" customFormat="false" ht="15" hidden="false" customHeight="false" outlineLevel="0" collapsed="false">
      <c r="J199" s="321" t="str">
        <f aca="false">+J140</f>
        <v>Alim Pila Intermedia desde (de nodo post filtros)</v>
      </c>
      <c r="K199" s="322" t="e">
        <f aca="false">+IF(N140&lt;&gt;0,((N79-K79)^2)/N140^2,"")</f>
        <v>#REF!</v>
      </c>
      <c r="L199" s="322" t="e">
        <f aca="false">+IF(O140&lt;&gt;0,((O79-L79)^2)/O140^2,"")</f>
        <v>#REF!</v>
      </c>
    </row>
    <row r="200" customFormat="false" ht="15" hidden="false" customHeight="false" outlineLevel="0" collapsed="false">
      <c r="J200" s="321" t="str">
        <f aca="false">+J141</f>
        <v>Delta Stock Pila Intermedia</v>
      </c>
      <c r="K200" s="322" t="e">
        <f aca="false">+IF(N141&lt;&gt;0,((N80-K80)^2)/N141^2,"")</f>
        <v>#REF!</v>
      </c>
      <c r="L200" s="322" t="e">
        <f aca="false">+IF(O141&lt;&gt;0,((O80-L80)^2)/O141^2,"")</f>
        <v>#REF!</v>
      </c>
    </row>
    <row r="201" customFormat="false" ht="15" hidden="false" customHeight="false" outlineLevel="0" collapsed="false">
      <c r="J201" s="321" t="str">
        <f aca="false">+J142</f>
        <v>de Pila Intermedia a Balling</v>
      </c>
      <c r="K201" s="322" t="e">
        <f aca="false">+IF(N142&lt;&gt;0,((N81-K81)^2)/N142^2,"")</f>
        <v>#REF!</v>
      </c>
      <c r="L201" s="322" t="e">
        <f aca="false">+IF(O142&lt;&gt;0,((O81-L81)^2)/O142^2,"")</f>
        <v>#REF!</v>
      </c>
    </row>
    <row r="202" customFormat="false" ht="15" hidden="false" customHeight="false" outlineLevel="0" collapsed="false">
      <c r="J202" s="321" t="str">
        <f aca="false">+J143</f>
        <v>de Pila Intermadia a Stok Pellet Feed</v>
      </c>
      <c r="K202" s="322" t="e">
        <f aca="false">+IF(N143&lt;&gt;0,((N82-K82)^2)/N143^2,"")</f>
        <v>#REF!</v>
      </c>
      <c r="L202" s="322" t="e">
        <f aca="false">+IF(O143&lt;&gt;0,((O82-L82)^2)/O143^2,"")</f>
        <v>#REF!</v>
      </c>
    </row>
    <row r="203" customFormat="false" ht="15" hidden="false" customHeight="false" outlineLevel="0" collapsed="false">
      <c r="J203" s="321" t="str">
        <f aca="false">+J144</f>
        <v>a Stock Pellet Feed (de nodo post filtros)</v>
      </c>
      <c r="K203" s="322" t="e">
        <f aca="false">+IF(N144&lt;&gt;0,((N83-K83)^2)/N144^2,"")</f>
        <v>#REF!</v>
      </c>
      <c r="L203" s="322" t="e">
        <f aca="false">+IF(O144&lt;&gt;0,((O83-L83)^2)/O144^2,"")</f>
        <v>#REF!</v>
      </c>
    </row>
    <row r="204" customFormat="false" ht="15" hidden="false" customHeight="false" outlineLevel="0" collapsed="false">
      <c r="J204" s="321" t="str">
        <f aca="false">+J145</f>
        <v>Delta Stock Pellet Feed</v>
      </c>
      <c r="K204" s="322" t="e">
        <f aca="false">+IF(N145&lt;&gt;0,((N84-K84)^2)/N145^2,"")</f>
        <v>#REF!</v>
      </c>
      <c r="L204" s="322" t="e">
        <f aca="false">+IF(O145&lt;&gt;0,((O84-L84)^2)/O145^2,"")</f>
        <v>#REF!</v>
      </c>
    </row>
    <row r="205" customFormat="false" ht="15" hidden="false" customHeight="false" outlineLevel="0" collapsed="false">
      <c r="J205" s="321" t="str">
        <f aca="false">+J146</f>
        <v>A embarque de Stock Pellet Feed</v>
      </c>
      <c r="K205" s="322" t="e">
        <f aca="false">+IF(N146&lt;&gt;0,((N85-K85)^2)/N146^2,"")</f>
        <v>#REF!</v>
      </c>
      <c r="L205" s="322" t="e">
        <f aca="false">+IF(O146&lt;&gt;0,((O85-L85)^2)/O146^2,"")</f>
        <v>#REF!</v>
      </c>
    </row>
    <row r="206" customFormat="false" ht="15" hidden="false" customHeight="false" outlineLevel="0" collapsed="false">
      <c r="J206" s="321" t="str">
        <f aca="false">+J147</f>
        <v>Aditivo a Balling</v>
      </c>
      <c r="K206" s="322" t="e">
        <f aca="false">+IF(N147&lt;&gt;0,((N86-K86)^2)/N147^2,"")</f>
        <v>#REF!</v>
      </c>
      <c r="L206" s="322" t="str">
        <f aca="false">+IF(O147&lt;&gt;0,((O86-L86)^2)/O147^2,"")</f>
        <v/>
      </c>
    </row>
    <row r="207" customFormat="false" ht="15" hidden="false" customHeight="false" outlineLevel="0" collapsed="false">
      <c r="J207" s="321" t="str">
        <f aca="false">+J148</f>
        <v>Pellet verde a edurecimiento</v>
      </c>
      <c r="K207" s="322" t="e">
        <f aca="false">+IF(N148&lt;&gt;0,((N87-K87)^2)/N148^2,"")</f>
        <v>#REF!</v>
      </c>
      <c r="L207" s="322" t="str">
        <f aca="false">+IF(O148&lt;&gt;0,((O87-L87)^2)/O148^2,"")</f>
        <v/>
      </c>
    </row>
    <row r="208" customFormat="false" ht="15" hidden="false" customHeight="false" outlineLevel="0" collapsed="false">
      <c r="J208" s="321" t="str">
        <f aca="false">+J149</f>
        <v>Endurecimiento a Stock Derrames</v>
      </c>
      <c r="K208" s="322" t="e">
        <f aca="false">+IF(N149&lt;&gt;0,((N88-K88)^2)/N149^2,"")</f>
        <v>#REF!</v>
      </c>
      <c r="L208" s="322" t="e">
        <f aca="false">+IF(O149&lt;&gt;0,((O88-L88)^2)/O149^2,"")</f>
        <v>#REF!</v>
      </c>
    </row>
    <row r="209" customFormat="false" ht="15" hidden="false" customHeight="false" outlineLevel="0" collapsed="false">
      <c r="J209" s="321" t="str">
        <f aca="false">+J150</f>
        <v>Delta Inventarios de Derrames</v>
      </c>
      <c r="K209" s="322" t="e">
        <f aca="false">+IF(N150&lt;&gt;0,((N89-K89)^2)/N150^2,"")</f>
        <v>#REF!</v>
      </c>
      <c r="L209" s="322" t="e">
        <f aca="false">+IF(O150&lt;&gt;0,((O89-L89)^2)/O150^2,"")</f>
        <v>#REF!</v>
      </c>
    </row>
    <row r="210" customFormat="false" ht="15" hidden="false" customHeight="false" outlineLevel="0" collapsed="false">
      <c r="J210" s="321" t="str">
        <f aca="false">+J151</f>
        <v>Chunk de endurecimiento a Pila Chunk</v>
      </c>
      <c r="K210" s="322" t="e">
        <f aca="false">+IF(N151&lt;&gt;0,((N90-K90)^2)/N151^2,"")</f>
        <v>#REF!</v>
      </c>
      <c r="L210" s="322" t="e">
        <f aca="false">+IF(O151&lt;&gt;0,((O90-L90)^2)/O151^2,"")</f>
        <v>#REF!</v>
      </c>
    </row>
    <row r="211" customFormat="false" ht="15" hidden="false" customHeight="false" outlineLevel="0" collapsed="false">
      <c r="J211" s="321" t="str">
        <f aca="false">+J152</f>
        <v>Delta Stock Pila Chunk</v>
      </c>
      <c r="K211" s="322" t="e">
        <f aca="false">+IF(N152&lt;&gt;0,((N91-K91)^2)/N152^2,"")</f>
        <v>#REF!</v>
      </c>
      <c r="L211" s="322" t="e">
        <f aca="false">+IF(O152&lt;&gt;0,((O91-L91)^2)/O152^2,"")</f>
        <v>#REF!</v>
      </c>
    </row>
    <row r="212" customFormat="false" ht="15" hidden="false" customHeight="false" outlineLevel="0" collapsed="false">
      <c r="J212" s="321" t="str">
        <f aca="false">+J153</f>
        <v>Aporte Oxidación Endurecimiento</v>
      </c>
      <c r="K212" s="322" t="e">
        <f aca="false">+IF(N153&lt;&gt;0,((N92-K92)^2)/N153^2,"")</f>
        <v>#REF!</v>
      </c>
      <c r="L212" s="322" t="str">
        <f aca="false">+IF(O153&lt;&gt;0,((O92-L92)^2)/O153^2,"")</f>
        <v/>
      </c>
    </row>
    <row r="213" customFormat="false" ht="15" hidden="false" customHeight="false" outlineLevel="0" collapsed="false">
      <c r="J213" s="321" t="str">
        <f aca="false">+J154</f>
        <v>Alim endurecido a Pila Emergencia</v>
      </c>
      <c r="K213" s="322" t="e">
        <f aca="false">+IF(N154&lt;&gt;0,((N93-K93)^2)/N154^2,"")</f>
        <v>#REF!</v>
      </c>
      <c r="L213" s="322" t="e">
        <f aca="false">+IF(O154&lt;&gt;0,((O93-L93)^2)/O154^2,"")</f>
        <v>#REF!</v>
      </c>
    </row>
    <row r="214" customFormat="false" ht="15" hidden="false" customHeight="false" outlineLevel="0" collapsed="false">
      <c r="J214" s="321" t="str">
        <f aca="false">+J155</f>
        <v>De endurecimiento a Harnero Producto</v>
      </c>
      <c r="K214" s="322" t="e">
        <f aca="false">+IF(N155&lt;&gt;0,((N94-K94)^2)/N155^2,"")</f>
        <v>#REF!</v>
      </c>
      <c r="L214" s="322" t="e">
        <f aca="false">+IF(O155&lt;&gt;0,((O94-L94)^2)/O155^2,"")</f>
        <v>#REF!</v>
      </c>
    </row>
    <row r="215" customFormat="false" ht="15" hidden="false" customHeight="false" outlineLevel="0" collapsed="false">
      <c r="J215" s="321" t="str">
        <f aca="false">+J156</f>
        <v>Alim Harnero Producto desde Pila de Emergencia</v>
      </c>
      <c r="K215" s="322" t="e">
        <f aca="false">+IF(N156&lt;&gt;0,((N95-K95)^2)/N156^2,"")</f>
        <v>#REF!</v>
      </c>
      <c r="L215" s="322" t="e">
        <f aca="false">+IF(O156&lt;&gt;0,((O95-L95)^2)/O156^2,"")</f>
        <v>#REF!</v>
      </c>
    </row>
    <row r="216" customFormat="false" ht="15" hidden="false" customHeight="false" outlineLevel="0" collapsed="false">
      <c r="J216" s="321" t="str">
        <f aca="false">+J157</f>
        <v>Delta Stock Pila Emergencia</v>
      </c>
      <c r="K216" s="322" t="e">
        <f aca="false">+IF(N157&lt;&gt;0,((N96-K96)^2)/N157^2,"")</f>
        <v>#REF!</v>
      </c>
      <c r="L216" s="322" t="e">
        <f aca="false">+IF(O157&lt;&gt;0,((O96-L96)^2)/O157^2,"")</f>
        <v>#REF!</v>
      </c>
    </row>
    <row r="217" customFormat="false" ht="15" hidden="false" customHeight="false" outlineLevel="0" collapsed="false">
      <c r="J217" s="321" t="str">
        <f aca="false">+J158</f>
        <v>De harnero Producto a Pila Chip Fresco</v>
      </c>
      <c r="K217" s="322" t="e">
        <f aca="false">+IF(N158&lt;&gt;0,((N97-K97)^2)/N158^2,"")</f>
        <v>#REF!</v>
      </c>
      <c r="L217" s="322" t="e">
        <f aca="false">+IF(O158&lt;&gt;0,((O97-L97)^2)/O158^2,"")</f>
        <v>#REF!</v>
      </c>
    </row>
    <row r="218" customFormat="false" ht="15" hidden="false" customHeight="false" outlineLevel="0" collapsed="false">
      <c r="J218" s="321" t="str">
        <f aca="false">+J159</f>
        <v>Delta Stock Pila Chip Fresco</v>
      </c>
      <c r="K218" s="322" t="e">
        <f aca="false">+IF(N159&lt;&gt;0,((N98-K98)^2)/N159^2,"")</f>
        <v>#REF!</v>
      </c>
      <c r="L218" s="322" t="e">
        <f aca="false">+IF(O159&lt;&gt;0,((O98-L98)^2)/O159^2,"")</f>
        <v>#REF!</v>
      </c>
    </row>
    <row r="219" customFormat="false" ht="15" hidden="false" customHeight="false" outlineLevel="0" collapsed="false">
      <c r="J219" s="321" t="str">
        <f aca="false">+J160</f>
        <v>De Harnero Producto a Stock Pellets Básico</v>
      </c>
      <c r="K219" s="322" t="e">
        <f aca="false">+IF(N160&lt;&gt;0,((N99-K99)^2)/N160^2,"")</f>
        <v>#REF!</v>
      </c>
      <c r="L219" s="322" t="str">
        <f aca="false">+IF(O160&lt;&gt;0,((O99-L99)^2)/O160^2,"")</f>
        <v/>
      </c>
    </row>
    <row r="220" customFormat="false" ht="15" hidden="false" customHeight="false" outlineLevel="0" collapsed="false">
      <c r="J220" s="321" t="str">
        <f aca="false">+J161</f>
        <v>Delta Stock Pellet Básico</v>
      </c>
      <c r="K220" s="322" t="e">
        <f aca="false">+IF(N161&lt;&gt;0,((N100-K100)^2)/N161^2,"")</f>
        <v>#REF!</v>
      </c>
      <c r="L220" s="322" t="e">
        <f aca="false">+IF(O161&lt;&gt;0,((O100-L100)^2)/O161^2,"")</f>
        <v>#REF!</v>
      </c>
    </row>
    <row r="221" customFormat="false" ht="15" hidden="false" customHeight="false" outlineLevel="0" collapsed="false">
      <c r="J221" s="321" t="str">
        <f aca="false">+J162</f>
        <v>A embarque desde Pellet básico</v>
      </c>
      <c r="K221" s="322" t="e">
        <f aca="false">+IF(N162&lt;&gt;0,((N101-K101)^2)/N162^2,"")</f>
        <v>#REF!</v>
      </c>
      <c r="L221" s="322" t="e">
        <f aca="false">+IF(O162&lt;&gt;0,((O101-L101)^2)/O162^2,"")</f>
        <v>#REF!</v>
      </c>
    </row>
    <row r="222" customFormat="false" ht="15" hidden="false" customHeight="false" outlineLevel="0" collapsed="false">
      <c r="J222" s="321" t="str">
        <f aca="false">+J163</f>
        <v>Alimentación Chip Fresco a Re harneo</v>
      </c>
      <c r="K222" s="322" t="e">
        <f aca="false">+IF(N163&lt;&gt;0,((N102-K102)^2)/N163^2,"")</f>
        <v>#REF!</v>
      </c>
      <c r="L222" s="322" t="e">
        <f aca="false">+IF(O163&lt;&gt;0,((O102-L102)^2)/O163^2,"")</f>
        <v>#REF!</v>
      </c>
    </row>
    <row r="223" customFormat="false" ht="15" hidden="false" customHeight="false" outlineLevel="0" collapsed="false">
      <c r="J223" s="321" t="str">
        <f aca="false">+J164</f>
        <v>Alimentación de Stock de Derrames a Planta de Re Harneo</v>
      </c>
      <c r="K223" s="322" t="e">
        <f aca="false">+IF(N164&lt;&gt;0,((N103-K103)^2)/N164^2,"")</f>
        <v>#REF!</v>
      </c>
      <c r="L223" s="322" t="n">
        <f aca="false">+IF(O164&lt;&gt;0,((O103-L103)^2)/O164^2,"")</f>
        <v>0.0366877107083139</v>
      </c>
    </row>
    <row r="224" customFormat="false" ht="15" hidden="false" customHeight="false" outlineLevel="0" collapsed="false">
      <c r="J224" s="321" t="str">
        <f aca="false">+J165</f>
        <v>Alimentación de Pila Chunk a Re Harneo</v>
      </c>
      <c r="K224" s="322" t="e">
        <f aca="false">+IF(N165&lt;&gt;0,((N104-K104)^2)/N165^2,"")</f>
        <v>#REF!</v>
      </c>
      <c r="L224" s="322" t="e">
        <f aca="false">+IF(O165&lt;&gt;0,((O104-L104)^2)/O165^2,"")</f>
        <v>#REF!</v>
      </c>
    </row>
    <row r="225" customFormat="false" ht="15" hidden="false" customHeight="false" outlineLevel="0" collapsed="false">
      <c r="J225" s="321" t="str">
        <f aca="false">+J166</f>
        <v>Intermedio Re harneo de derrames a Stock Pila de Emergencia</v>
      </c>
      <c r="K225" s="322" t="e">
        <f aca="false">+IF(N166&lt;&gt;0,((N105-K105)^2)/N166^2,"")</f>
        <v>#REF!</v>
      </c>
      <c r="L225" s="322" t="e">
        <f aca="false">+IF(O166&lt;&gt;0,((O105-L105)^2)/O166^2,"")</f>
        <v>#REF!</v>
      </c>
    </row>
    <row r="226" customFormat="false" ht="15" hidden="false" customHeight="false" outlineLevel="0" collapsed="false">
      <c r="J226" s="321" t="str">
        <f aca="false">+J167</f>
        <v>Alimentación Total a  Stock Finos Huasco de Embarque</v>
      </c>
      <c r="K226" s="322" t="e">
        <f aca="false">+IF(N167&lt;&gt;0,((N106-K106)^2)/N167^2,"")</f>
        <v>#REF!</v>
      </c>
      <c r="L226" s="322" t="e">
        <f aca="false">+IF(O167&lt;&gt;0,((O106-L106)^2)/O167^2,"")</f>
        <v>#REF!</v>
      </c>
    </row>
    <row r="227" customFormat="false" ht="15" hidden="false" customHeight="false" outlineLevel="0" collapsed="false">
      <c r="J227" s="321" t="str">
        <f aca="false">+J168</f>
        <v>Chip Bajo tamaño de Re Harneo a Stock P Chip de Embarque</v>
      </c>
      <c r="K227" s="322" t="e">
        <f aca="false">+IF(N168&lt;&gt;0,((N107-K107)^2)/N168^2,"")</f>
        <v>#REF!</v>
      </c>
      <c r="L227" s="322" t="e">
        <f aca="false">+IF(O168&lt;&gt;0,((O107-L107)^2)/O168^2,"")</f>
        <v>#REF!</v>
      </c>
    </row>
    <row r="228" customFormat="false" ht="15" hidden="false" customHeight="false" outlineLevel="0" collapsed="false">
      <c r="J228" s="321" t="str">
        <f aca="false">+J169</f>
        <v>Traspaso de F Huasco a S Feed</v>
      </c>
      <c r="K228" s="322" t="e">
        <f aca="false">+IF(N169&lt;&gt;0,((N108-K108)^2)/N169^2,"")</f>
        <v>#REF!</v>
      </c>
      <c r="L228" s="322" t="e">
        <f aca="false">+IF(O169&lt;&gt;0,((O108-L108)^2)/O169^2,"")</f>
        <v>#REF!</v>
      </c>
    </row>
    <row r="229" customFormat="false" ht="15" hidden="false" customHeight="false" outlineLevel="0" collapsed="false">
      <c r="J229" s="321" t="str">
        <f aca="false">+J170</f>
        <v>A embarque desde Stock Finos Huasco</v>
      </c>
      <c r="K229" s="322" t="e">
        <f aca="false">+IF(N170&lt;&gt;0,((N109-K109)^2)/N170^2,"")</f>
        <v>#REF!</v>
      </c>
      <c r="L229" s="322" t="e">
        <f aca="false">+IF(O170&lt;&gt;0,((O109-L109)^2)/O170^2,"")</f>
        <v>#REF!</v>
      </c>
    </row>
    <row r="230" customFormat="false" ht="15" hidden="false" customHeight="false" outlineLevel="0" collapsed="false">
      <c r="J230" s="321" t="str">
        <f aca="false">+J171</f>
        <v>Delta Stock Finos Huasco</v>
      </c>
      <c r="K230" s="322" t="e">
        <f aca="false">+IF(N171&lt;&gt;0,((N110-K110)^2)/N171^2,"")</f>
        <v>#REF!</v>
      </c>
      <c r="L230" s="322" t="e">
        <f aca="false">+IF(O171&lt;&gt;0,((O110-L110)^2)/O171^2,"")</f>
        <v>#REF!</v>
      </c>
    </row>
    <row r="231" customFormat="false" ht="15" hidden="false" customHeight="false" outlineLevel="0" collapsed="false">
      <c r="J231" s="321" t="str">
        <f aca="false">+J172</f>
        <v>A embarque desde Stock Sinter Feed</v>
      </c>
      <c r="K231" s="322" t="e">
        <f aca="false">+IF(N172&lt;&gt;0,((N111-K111)^2)/N172^2,"")</f>
        <v>#REF!</v>
      </c>
      <c r="L231" s="322" t="e">
        <f aca="false">+IF(O172&lt;&gt;0,((O111-L111)^2)/O172^2,"")</f>
        <v>#REF!</v>
      </c>
    </row>
    <row r="232" customFormat="false" ht="15" hidden="false" customHeight="false" outlineLevel="0" collapsed="false">
      <c r="J232" s="321" t="str">
        <f aca="false">+J173</f>
        <v>Delta Stock Sinter Feed</v>
      </c>
      <c r="K232" s="322" t="e">
        <f aca="false">+IF(N173&lt;&gt;0,((N112-K112)^2)/N173^2,"")</f>
        <v>#REF!</v>
      </c>
      <c r="L232" s="322" t="e">
        <f aca="false">+IF(O173&lt;&gt;0,((O112-L112)^2)/O173^2,"")</f>
        <v>#REF!</v>
      </c>
    </row>
    <row r="233" customFormat="false" ht="15" hidden="false" customHeight="false" outlineLevel="0" collapsed="false">
      <c r="J233" s="321" t="str">
        <f aca="false">+J174</f>
        <v>Traspaso de  P Chip a P Básico</v>
      </c>
      <c r="K233" s="322" t="e">
        <f aca="false">+IF(N174&lt;&gt;0,((N113-K113)^2)/N174^2,"")</f>
        <v>#REF!</v>
      </c>
      <c r="L233" s="322" t="e">
        <f aca="false">+IF(O174&lt;&gt;0,((O113-L113)^2)/O174^2,"")</f>
        <v>#REF!</v>
      </c>
    </row>
    <row r="234" customFormat="false" ht="15" hidden="false" customHeight="false" outlineLevel="0" collapsed="false">
      <c r="J234" s="321" t="str">
        <f aca="false">+J175</f>
        <v>A embarque desde Stock Pellet Chip</v>
      </c>
      <c r="K234" s="322" t="e">
        <f aca="false">+IF(N175&lt;&gt;0,((N114-K114)^2)/N175^2,"")</f>
        <v>#REF!</v>
      </c>
      <c r="L234" s="322" t="e">
        <f aca="false">+IF(O175&lt;&gt;0,((O114-L114)^2)/O175^2,"")</f>
        <v>#REF!</v>
      </c>
    </row>
    <row r="235" customFormat="false" ht="15" hidden="false" customHeight="false" outlineLevel="0" collapsed="false">
      <c r="J235" s="321" t="str">
        <f aca="false">+J176</f>
        <v>Delta Stock Pellet Chip</v>
      </c>
      <c r="K235" s="322" t="e">
        <f aca="false">+IF(N176&lt;&gt;0,((N115-K115)^2)/N176^2,"")</f>
        <v>#REF!</v>
      </c>
      <c r="L235" s="322" t="e">
        <f aca="false">+IF(O176&lt;&gt;0,((O115-L115)^2)/O176^2,"")</f>
        <v>#REF!</v>
      </c>
    </row>
    <row r="236" customFormat="false" ht="15" hidden="false" customHeight="false" outlineLevel="0" collapsed="false">
      <c r="J236" s="321" t="str">
        <f aca="false">+J177</f>
        <v>Total Embarcado</v>
      </c>
      <c r="K236" s="322" t="e">
        <f aca="false">+IF(N177&lt;&gt;0,((N116-K116)^2)/N177^2,"")</f>
        <v>#REF!</v>
      </c>
      <c r="L236" s="322" t="e">
        <f aca="false">+IF(O177&lt;&gt;0,((O116-L116)^2)/O177^2,"")</f>
        <v>#REF!</v>
      </c>
    </row>
  </sheetData>
  <mergeCells count="5">
    <mergeCell ref="K60:L60"/>
    <mergeCell ref="N60:P60"/>
    <mergeCell ref="R60:S60"/>
    <mergeCell ref="AD60:AE60"/>
    <mergeCell ref="K121:L121"/>
  </mergeCells>
  <conditionalFormatting sqref="K22:Q22 AL59 S22:Y22 U59:AG59 K41:AF45 K23:Y26 Z4:AF26 K47:AF54 K56:AF58 K27:AF38 K4:Y21 K53:K54 R22 K40:AF40 K39:AF39 K55:AF55 K46:AF46">
    <cfRule type="expression" priority="2" aboveAverage="0" equalAverage="0" bottom="0" percent="0" rank="0" text="" dxfId="6">
      <formula>K4&lt;&gt;0</formula>
    </cfRule>
  </conditionalFormatting>
  <conditionalFormatting sqref="R62:S116">
    <cfRule type="expression" priority="3" aboveAverage="0" equalAverage="0" bottom="0" percent="0" rank="0" text="" dxfId="7">
      <formula>ABS(R62)&gt;=10%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6D1C8DA7105F4CB87B4385458BEB46" ma:contentTypeVersion="16" ma:contentTypeDescription="Crear nuevo documento." ma:contentTypeScope="" ma:versionID="a0626f8531816a25077209892f27ec98">
  <xsd:schema xmlns:xsd="http://www.w3.org/2001/XMLSchema" xmlns:xs="http://www.w3.org/2001/XMLSchema" xmlns:p="http://schemas.microsoft.com/office/2006/metadata/properties" xmlns:ns2="190a67bf-4793-449f-a9eb-d5296f44b3b4" xmlns:ns3="428c3ae0-30fa-4419-8107-8524dfe65e99" targetNamespace="http://schemas.microsoft.com/office/2006/metadata/properties" ma:root="true" ma:fieldsID="fa8fbfe6e864915f6d8c58b0669116dc" ns2:_="" ns3:_="">
    <xsd:import namespace="190a67bf-4793-449f-a9eb-d5296f44b3b4"/>
    <xsd:import namespace="428c3ae0-30fa-4419-8107-8524dfe65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a67bf-4793-449f-a9eb-d5296f44b3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73516ef-4520-404e-ac3f-ac1cf3bdf1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c3ae0-30fa-4419-8107-8524dfe65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8bbe907-eb43-4f95-8cfc-9ab54aa6d5f6}" ma:internalName="TaxCatchAll" ma:showField="CatchAllData" ma:web="428c3ae0-30fa-4419-8107-8524dfe65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8c3ae0-30fa-4419-8107-8524dfe65e99" xsi:nil="true"/>
    <lcf76f155ced4ddcb4097134ff3c332f xmlns="190a67bf-4793-449f-a9eb-d5296f44b3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220587-ECCB-4DF1-ACBE-570C398FED7A}"/>
</file>

<file path=customXml/itemProps2.xml><?xml version="1.0" encoding="utf-8"?>
<ds:datastoreItem xmlns:ds="http://schemas.openxmlformats.org/officeDocument/2006/customXml" ds:itemID="{9D77EA6B-6279-425E-BA23-BFB1AC1E693D}"/>
</file>

<file path=customXml/itemProps3.xml><?xml version="1.0" encoding="utf-8"?>
<ds:datastoreItem xmlns:ds="http://schemas.openxmlformats.org/officeDocument/2006/customXml" ds:itemID="{E9226EA6-EA4E-4B92-9EE8-F245A53DF79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2021-07-26T15:39:49Z</dcterms:created>
  <dc:creator>Marco Arru</dc:creator>
  <dc:description/>
  <dc:language>es-CL</dc:language>
  <cp:lastModifiedBy/>
  <cp:lastPrinted>2022-04-20T15:44:38Z</cp:lastPrinted>
  <dcterms:modified xsi:type="dcterms:W3CDTF">2026-03-01T18:31:52Z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0x010100096D1C8DA7105F4CB87B4385458BEB46</vt:lpwstr>
  </property>
  <property fmtid="{D5CDD505-2E9C-101B-9397-08002B2CF9AE}" pid="3" name="MediaServiceImageTags">
    <vt:lpwstr/>
  </property>
</Properties>
</file>