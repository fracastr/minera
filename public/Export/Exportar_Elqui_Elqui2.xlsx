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wmf" ContentType="image/x-wmf"/>
  <Override PartName="/xl/sharedStrings.xml" ContentType="application/vnd.openxmlformats-officedocument.spreadsheetml.sharedString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3.xml" ContentType="application/vnd.openxmlformats-officedocument.customXml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Utilidad" sheetId="1" state="visible" r:id="rId3"/>
    <sheet name="Datos Extra" sheetId="2" state="visible" r:id="rId4"/>
    <sheet name="Flujos" sheetId="3" state="visible" r:id="rId5"/>
    <sheet name="Mapa de Procesos" sheetId="4" state="visible" r:id="rId6"/>
    <sheet name="Report" sheetId="5" state="visible" r:id="rId7"/>
  </sheets>
  <definedNames>
    <definedName function="false" hidden="false" name="vector1" vbProcedure="false">Utilidad!$AK$102:$AK$106</definedName>
    <definedName function="false" hidden="true" localSheetId="0" name="solver_adj" vbProcedure="false">Utilidad!$J$62:$K$116</definedName>
    <definedName function="false" hidden="true" localSheetId="0" name="solver_cvg" vbProcedure="false">0.0001</definedName>
    <definedName function="false" hidden="true" localSheetId="0" name="solver_drv" vbProcedure="false">1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lhs1" vbProcedure="false">Utilidad!$P$100</definedName>
    <definedName function="false" hidden="true" localSheetId="0" name="solver_lhs10" vbProcedure="false">Utilidad!$P$80</definedName>
    <definedName function="false" hidden="true" localSheetId="0" name="solver_lhs11" vbProcedure="false">Utilidad!$P$82</definedName>
    <definedName function="false" hidden="true" localSheetId="0" name="solver_lhs12" vbProcedure="false">Utilidad!$P$87</definedName>
    <definedName function="false" hidden="true" localSheetId="0" name="solver_lhs13" vbProcedure="false">Utilidad!$P$89</definedName>
    <definedName function="false" hidden="true" localSheetId="0" name="solver_lhs14" vbProcedure="false">Utilidad!$P$90</definedName>
    <definedName function="false" hidden="true" localSheetId="0" name="solver_lhs15" vbProcedure="false">Utilidad!$P$93</definedName>
    <definedName function="false" hidden="true" localSheetId="0" name="solver_lhs16" vbProcedure="false">Utilidad!$P$95</definedName>
    <definedName function="false" hidden="true" localSheetId="0" name="solver_lhs17" vbProcedure="false">Utilidad!$P$96</definedName>
    <definedName function="false" hidden="true" localSheetId="0" name="solver_lhs18" vbProcedure="false">Utilidad!$P$97</definedName>
    <definedName function="false" hidden="true" localSheetId="0" name="solver_lhs19" vbProcedure="false">Utilidad!$P$98</definedName>
    <definedName function="false" hidden="true" localSheetId="0" name="solver_lhs2" vbProcedure="false">Utilidad!$P$101</definedName>
    <definedName function="false" hidden="true" localSheetId="0" name="solver_lhs20" vbProcedure="false">Utilidad!$R$100</definedName>
    <definedName function="false" hidden="true" localSheetId="0" name="solver_lhs21" vbProcedure="false">Utilidad!$R$115</definedName>
    <definedName function="false" hidden="true" localSheetId="0" name="solver_lhs22" vbProcedure="false">Utilidad!$R$116</definedName>
    <definedName function="false" hidden="true" localSheetId="0" name="solver_lhs23" vbProcedure="false">Utilidad!$R$62</definedName>
    <definedName function="false" hidden="true" localSheetId="0" name="solver_lhs24" vbProcedure="false">Utilidad!$R$68</definedName>
    <definedName function="false" hidden="true" localSheetId="0" name="solver_lhs25" vbProcedure="false">Utilidad!$R$70</definedName>
    <definedName function="false" hidden="true" localSheetId="0" name="solver_lhs26" vbProcedure="false">Utilidad!$R$72</definedName>
    <definedName function="false" hidden="true" localSheetId="0" name="solver_lhs27" vbProcedure="false">Utilidad!$R$73</definedName>
    <definedName function="false" hidden="true" localSheetId="0" name="solver_lhs28" vbProcedure="false">Utilidad!$R$74</definedName>
    <definedName function="false" hidden="true" localSheetId="0" name="solver_lhs29" vbProcedure="false">Utilidad!$R$76</definedName>
    <definedName function="false" hidden="true" localSheetId="0" name="solver_lhs3" vbProcedure="false">Utilidad!$P$115</definedName>
    <definedName function="false" hidden="true" localSheetId="0" name="solver_lhs30" vbProcedure="false">Utilidad!$R$81</definedName>
    <definedName function="false" hidden="true" localSheetId="0" name="solver_lhs31" vbProcedure="false">Utilidad!$R$84</definedName>
    <definedName function="false" hidden="true" localSheetId="0" name="solver_lhs32" vbProcedure="false">Utilidad!$R$86</definedName>
    <definedName function="false" hidden="true" localSheetId="0" name="solver_lhs33" vbProcedure="false">Utilidad!$R$87</definedName>
    <definedName function="false" hidden="true" localSheetId="0" name="solver_lhs34" vbProcedure="false">Utilidad!$R$93</definedName>
    <definedName function="false" hidden="true" localSheetId="0" name="solver_lhs35" vbProcedure="false">Utilidad!$R$95</definedName>
    <definedName function="false" hidden="true" localSheetId="0" name="solver_lhs36" vbProcedure="false">Utilidad!$R$96</definedName>
    <definedName function="false" hidden="true" localSheetId="0" name="solver_lhs37" vbProcedure="false">Utilidad!$R$97</definedName>
    <definedName function="false" hidden="true" localSheetId="0" name="solver_lhs38" vbProcedure="false">Utilidad!$R$98</definedName>
    <definedName function="false" hidden="true" localSheetId="0" name="solver_lhs39" vbProcedure="false">Utilidad!$V$61:$V$78</definedName>
    <definedName function="false" hidden="true" localSheetId="0" name="solver_lhs4" vbProcedure="false">Utilidad!$P$116</definedName>
    <definedName function="false" hidden="true" localSheetId="0" name="solver_lhs40" vbProcedure="false">Utilidad!$W$61:$W$78</definedName>
    <definedName function="false" hidden="true" localSheetId="0" name="solver_lhs41" vbProcedure="false">Utilidad!$W$62</definedName>
    <definedName function="false" hidden="true" localSheetId="0" name="solver_lhs42" vbProcedure="false">Utilidad!$W$65</definedName>
    <definedName function="false" hidden="true" localSheetId="0" name="solver_lhs43" vbProcedure="false">Utilidad!$W$63</definedName>
    <definedName function="false" hidden="true" localSheetId="0" name="solver_lhs44" vbProcedure="false">Utilidad!$W$66</definedName>
    <definedName function="false" hidden="true" localSheetId="0" name="solver_lhs45" vbProcedure="false">Utilidad!$W$67</definedName>
    <definedName function="false" hidden="true" localSheetId="0" name="solver_lhs46" vbProcedure="false">Utilidad!$R$75</definedName>
    <definedName function="false" hidden="true" localSheetId="0" name="solver_lhs47" vbProcedure="false">Utilidad!$W$76</definedName>
    <definedName function="false" hidden="true" localSheetId="0" name="solver_lhs48" vbProcedure="false">Utilidad!$W$77</definedName>
    <definedName function="false" hidden="true" localSheetId="0" name="solver_lhs49" vbProcedure="false">Utilidad!$W$74</definedName>
    <definedName function="false" hidden="true" localSheetId="0" name="solver_lhs5" vbProcedure="false">Utilidad!$P$63</definedName>
    <definedName function="false" hidden="true" localSheetId="0" name="solver_lhs50" vbProcedure="false">Utilidad!$W$75</definedName>
    <definedName function="false" hidden="true" localSheetId="0" name="solver_lhs51" vbProcedure="false">Utilidad!$W$78</definedName>
    <definedName function="false" hidden="true" localSheetId="0" name="solver_lhs52" vbProcedure="false">Utilidad!$W$68</definedName>
    <definedName function="false" hidden="true" localSheetId="0" name="solver_lhs53" vbProcedure="false">Utilidad!$R$71</definedName>
    <definedName function="false" hidden="true" localSheetId="0" name="solver_lhs54" vbProcedure="false">Utilidad!$R$77</definedName>
    <definedName function="false" hidden="true" localSheetId="0" name="solver_lhs55" vbProcedure="false">Utilidad!$W$70</definedName>
    <definedName function="false" hidden="true" localSheetId="0" name="solver_lhs56" vbProcedure="false">Utilidad!$W$72</definedName>
    <definedName function="false" hidden="true" localSheetId="0" name="solver_lhs57" vbProcedure="false">Utilidad!$W$71</definedName>
    <definedName function="false" hidden="true" localSheetId="0" name="solver_lhs58" vbProcedure="false">Utilidad!$W$73</definedName>
    <definedName function="false" hidden="true" localSheetId="0" name="solver_lhs59" vbProcedure="false">Utilidad!$W$69</definedName>
    <definedName function="false" hidden="true" localSheetId="0" name="solver_lhs6" vbProcedure="false">Utilidad!$P$66</definedName>
    <definedName function="false" hidden="true" localSheetId="0" name="solver_lhs60" vbProcedure="false">Utilidad!$P$116</definedName>
    <definedName function="false" hidden="true" localSheetId="0" name="solver_lhs61" vbProcedure="false">Utilidad!$N$69</definedName>
    <definedName function="false" hidden="true" localSheetId="0" name="solver_lhs62" vbProcedure="false">Utilidad!$P$70</definedName>
    <definedName function="false" hidden="true" localSheetId="0" name="solver_lhs63" vbProcedure="false">Utilidad!$P$71</definedName>
    <definedName function="false" hidden="true" localSheetId="0" name="solver_lhs64" vbProcedure="false">Utilidad!$P$72</definedName>
    <definedName function="false" hidden="true" localSheetId="0" name="solver_lhs65" vbProcedure="false">Utilidad!$P$64</definedName>
    <definedName function="false" hidden="true" localSheetId="0" name="solver_lhs66" vbProcedure="false">Utilidad!$R$115</definedName>
    <definedName function="false" hidden="true" localSheetId="0" name="solver_lhs67" vbProcedure="false">Utilidad!$R$66</definedName>
    <definedName function="false" hidden="true" localSheetId="0" name="solver_lhs68" vbProcedure="false">Utilidad!$R$67</definedName>
    <definedName function="false" hidden="true" localSheetId="0" name="solver_lhs69" vbProcedure="false">Utilidad!$P$98</definedName>
    <definedName function="false" hidden="true" localSheetId="0" name="solver_lhs7" vbProcedure="false">Utilidad!$P$72</definedName>
    <definedName function="false" hidden="true" localSheetId="0" name="solver_lhs70" vbProcedure="false">Utilidad!$R$73</definedName>
    <definedName function="false" hidden="true" localSheetId="0" name="solver_lhs71" vbProcedure="false">Utilidad!$P$89</definedName>
    <definedName function="false" hidden="true" localSheetId="0" name="solver_lhs72" vbProcedure="false">Utilidad!$R$69</definedName>
    <definedName function="false" hidden="true" localSheetId="0" name="solver_lhs73" vbProcedure="false">Utilidad!$P$95</definedName>
    <definedName function="false" hidden="true" localSheetId="0" name="solver_lhs74" vbProcedure="false">Utilidad!$P$77</definedName>
    <definedName function="false" hidden="true" localSheetId="0" name="solver_lhs75" vbProcedure="false">Utilidad!$P$86</definedName>
    <definedName function="false" hidden="true" localSheetId="0" name="solver_lhs76" vbProcedure="false">Utilidad!$P$91</definedName>
    <definedName function="false" hidden="true" localSheetId="0" name="solver_lhs77" vbProcedure="false">Utilidad!$P$87</definedName>
    <definedName function="false" hidden="true" localSheetId="0" name="solver_lhs78" vbProcedure="false">Utilidad!$P$93</definedName>
    <definedName function="false" hidden="true" localSheetId="0" name="solver_lhs79" vbProcedure="false">Utilidad!$P$84</definedName>
    <definedName function="false" hidden="true" localSheetId="0" name="solver_lhs8" vbProcedure="false">Utilidad!$P$73</definedName>
    <definedName function="false" hidden="true" localSheetId="0" name="solver_lhs80" vbProcedure="false">Utilidad!$P$75</definedName>
    <definedName function="false" hidden="true" localSheetId="0" name="solver_lhs81" vbProcedure="false">Utilidad!$P$80</definedName>
    <definedName function="false" hidden="true" localSheetId="0" name="solver_lhs82" vbProcedure="false">Utilidad!$P$83</definedName>
    <definedName function="false" hidden="true" localSheetId="0" name="solver_lhs83" vbProcedure="false">Utilidad!$P$74</definedName>
    <definedName function="false" hidden="true" localSheetId="0" name="solver_lhs84" vbProcedure="false">Utilidad!$P$67</definedName>
    <definedName function="false" hidden="true" localSheetId="0" name="solver_lhs85" vbProcedure="false">Utilidad!$P$66</definedName>
    <definedName function="false" hidden="true" localSheetId="0" name="solver_lhs86" vbProcedure="false">Utilidad!$P$68</definedName>
    <definedName function="false" hidden="true" localSheetId="0" name="solver_lhs87" vbProcedure="false">Utilidad!$P$101</definedName>
    <definedName function="false" hidden="true" localSheetId="0" name="solver_lhs88" vbProcedure="false">Utilidad!$P$72</definedName>
    <definedName function="false" hidden="true" localSheetId="0" name="solver_lhs89" vbProcedure="false">Utilidad!$P$115</definedName>
    <definedName function="false" hidden="true" localSheetId="0" name="solver_lhs9" vbProcedure="false">Utilidad!$P$77</definedName>
    <definedName function="false" hidden="true" localSheetId="0" name="solver_lhs90" vbProcedure="false">Utilidad!$P$100</definedName>
    <definedName function="false" hidden="true" localSheetId="0" name="solver_lhs91" vbProcedure="false">Utilidad!$P$63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40</definedName>
    <definedName function="false" hidden="true" localSheetId="0" name="solver_nwt" vbProcedure="false">1</definedName>
    <definedName function="false" hidden="true" localSheetId="0" name="solver_opt" vbProcedure="false">Utilidad!$V$81</definedName>
    <definedName function="false" hidden="true" localSheetId="0" name="solver_pre" vbProcedure="false">0.000001</definedName>
    <definedName function="false" hidden="true" localSheetId="0" name="solver_rbv" vbProcedure="false">1</definedName>
    <definedName function="false" hidden="true" localSheetId="0" name="solver_rel1" vbProcedure="false">1</definedName>
    <definedName function="false" hidden="true" localSheetId="0" name="solver_rel10" vbProcedure="false">1</definedName>
    <definedName function="false" hidden="true" localSheetId="0" name="solver_rel11" vbProcedure="false">1</definedName>
    <definedName function="false" hidden="true" localSheetId="0" name="solver_rel12" vbProcedure="false">1</definedName>
    <definedName function="false" hidden="true" localSheetId="0" name="solver_rel13" vbProcedure="false">1</definedName>
    <definedName function="false" hidden="true" localSheetId="0" name="solver_rel14" vbProcedure="false">1</definedName>
    <definedName function="false" hidden="true" localSheetId="0" name="solver_rel15" vbProcedure="false">1</definedName>
    <definedName function="false" hidden="true" localSheetId="0" name="solver_rel16" vbProcedure="false">1</definedName>
    <definedName function="false" hidden="true" localSheetId="0" name="solver_rel17" vbProcedure="false">1</definedName>
    <definedName function="false" hidden="true" localSheetId="0" name="solver_rel18" vbProcedure="false">1</definedName>
    <definedName function="false" hidden="true" localSheetId="0" name="solver_rel19" vbProcedure="false">1</definedName>
    <definedName function="false" hidden="true" localSheetId="0" name="solver_rel2" vbProcedure="false">1</definedName>
    <definedName function="false" hidden="true" localSheetId="0" name="solver_rel20" vbProcedure="false">1</definedName>
    <definedName function="false" hidden="true" localSheetId="0" name="solver_rel21" vbProcedure="false">1</definedName>
    <definedName function="false" hidden="true" localSheetId="0" name="solver_rel22" vbProcedure="false">1</definedName>
    <definedName function="false" hidden="true" localSheetId="0" name="solver_rel23" vbProcedure="false">1</definedName>
    <definedName function="false" hidden="true" localSheetId="0" name="solver_rel24" vbProcedure="false">1</definedName>
    <definedName function="false" hidden="true" localSheetId="0" name="solver_rel25" vbProcedure="false">1</definedName>
    <definedName function="false" hidden="true" localSheetId="0" name="solver_rel26" vbProcedure="false">1</definedName>
    <definedName function="false" hidden="true" localSheetId="0" name="solver_rel27" vbProcedure="false">1</definedName>
    <definedName function="false" hidden="true" localSheetId="0" name="solver_rel28" vbProcedure="false">1</definedName>
    <definedName function="false" hidden="true" localSheetId="0" name="solver_rel29" vbProcedure="false">1</definedName>
    <definedName function="false" hidden="true" localSheetId="0" name="solver_rel3" vbProcedure="false">1</definedName>
    <definedName function="false" hidden="true" localSheetId="0" name="solver_rel30" vbProcedure="false">1</definedName>
    <definedName function="false" hidden="true" localSheetId="0" name="solver_rel31" vbProcedure="false">1</definedName>
    <definedName function="false" hidden="true" localSheetId="0" name="solver_rel32" vbProcedure="false">1</definedName>
    <definedName function="false" hidden="true" localSheetId="0" name="solver_rel33" vbProcedure="false">1</definedName>
    <definedName function="false" hidden="true" localSheetId="0" name="solver_rel34" vbProcedure="false">1</definedName>
    <definedName function="false" hidden="true" localSheetId="0" name="solver_rel35" vbProcedure="false">1</definedName>
    <definedName function="false" hidden="true" localSheetId="0" name="solver_rel36" vbProcedure="false">1</definedName>
    <definedName function="false" hidden="true" localSheetId="0" name="solver_rel37" vbProcedure="false">1</definedName>
    <definedName function="false" hidden="true" localSheetId="0" name="solver_rel38" vbProcedure="false">1</definedName>
    <definedName function="false" hidden="true" localSheetId="0" name="solver_rel39" vbProcedure="false">2</definedName>
    <definedName function="false" hidden="true" localSheetId="0" name="solver_rel4" vbProcedure="false">1</definedName>
    <definedName function="false" hidden="true" localSheetId="0" name="solver_rel40" vbProcedure="false">2</definedName>
    <definedName function="false" hidden="true" localSheetId="0" name="solver_rel41" vbProcedure="false">2</definedName>
    <definedName function="false" hidden="true" localSheetId="0" name="solver_rel42" vbProcedure="false">2</definedName>
    <definedName function="false" hidden="true" localSheetId="0" name="solver_rel43" vbProcedure="false">2</definedName>
    <definedName function="false" hidden="true" localSheetId="0" name="solver_rel44" vbProcedure="false">2</definedName>
    <definedName function="false" hidden="true" localSheetId="0" name="solver_rel45" vbProcedure="false">2</definedName>
    <definedName function="false" hidden="true" localSheetId="0" name="solver_rel46" vbProcedure="false">1</definedName>
    <definedName function="false" hidden="true" localSheetId="0" name="solver_rel47" vbProcedure="false">2</definedName>
    <definedName function="false" hidden="true" localSheetId="0" name="solver_rel48" vbProcedure="false">2</definedName>
    <definedName function="false" hidden="true" localSheetId="0" name="solver_rel49" vbProcedure="false">2</definedName>
    <definedName function="false" hidden="true" localSheetId="0" name="solver_rel5" vbProcedure="false">1</definedName>
    <definedName function="false" hidden="true" localSheetId="0" name="solver_rel50" vbProcedure="false">2</definedName>
    <definedName function="false" hidden="true" localSheetId="0" name="solver_rel51" vbProcedure="false">2</definedName>
    <definedName function="false" hidden="true" localSheetId="0" name="solver_rel52" vbProcedure="false">2</definedName>
    <definedName function="false" hidden="true" localSheetId="0" name="solver_rel53" vbProcedure="false">1</definedName>
    <definedName function="false" hidden="true" localSheetId="0" name="solver_rel54" vbProcedure="false">1</definedName>
    <definedName function="false" hidden="true" localSheetId="0" name="solver_rel55" vbProcedure="false">2</definedName>
    <definedName function="false" hidden="true" localSheetId="0" name="solver_rel56" vbProcedure="false">2</definedName>
    <definedName function="false" hidden="true" localSheetId="0" name="solver_rel57" vbProcedure="false">2</definedName>
    <definedName function="false" hidden="true" localSheetId="0" name="solver_rel58" vbProcedure="false">2</definedName>
    <definedName function="false" hidden="true" localSheetId="0" name="solver_rel59" vbProcedure="false">2</definedName>
    <definedName function="false" hidden="true" localSheetId="0" name="solver_rel6" vbProcedure="false">1</definedName>
    <definedName function="false" hidden="true" localSheetId="0" name="solver_rel60" vbProcedure="false">1</definedName>
    <definedName function="false" hidden="true" localSheetId="0" name="solver_rel61" vbProcedure="false">2</definedName>
    <definedName function="false" hidden="true" localSheetId="0" name="solver_rel62" vbProcedure="false">1</definedName>
    <definedName function="false" hidden="true" localSheetId="0" name="solver_rel63" vbProcedure="false">1</definedName>
    <definedName function="false" hidden="true" localSheetId="0" name="solver_rel64" vbProcedure="false">1</definedName>
    <definedName function="false" hidden="true" localSheetId="0" name="solver_rel65" vbProcedure="false">1</definedName>
    <definedName function="false" hidden="true" localSheetId="0" name="solver_rel66" vbProcedure="false">1</definedName>
    <definedName function="false" hidden="true" localSheetId="0" name="solver_rel67" vbProcedure="false">1</definedName>
    <definedName function="false" hidden="true" localSheetId="0" name="solver_rel68" vbProcedure="false">1</definedName>
    <definedName function="false" hidden="true" localSheetId="0" name="solver_rel69" vbProcedure="false">1</definedName>
    <definedName function="false" hidden="true" localSheetId="0" name="solver_rel7" vbProcedure="false">1</definedName>
    <definedName function="false" hidden="true" localSheetId="0" name="solver_rel70" vbProcedure="false">1</definedName>
    <definedName function="false" hidden="true" localSheetId="0" name="solver_rel71" vbProcedure="false">1</definedName>
    <definedName function="false" hidden="true" localSheetId="0" name="solver_rel72" vbProcedure="false">1</definedName>
    <definedName function="false" hidden="true" localSheetId="0" name="solver_rel73" vbProcedure="false">1</definedName>
    <definedName function="false" hidden="true" localSheetId="0" name="solver_rel74" vbProcedure="false">1</definedName>
    <definedName function="false" hidden="true" localSheetId="0" name="solver_rel75" vbProcedure="false">1</definedName>
    <definedName function="false" hidden="true" localSheetId="0" name="solver_rel76" vbProcedure="false">1</definedName>
    <definedName function="false" hidden="true" localSheetId="0" name="solver_rel77" vbProcedure="false">1</definedName>
    <definedName function="false" hidden="true" localSheetId="0" name="solver_rel78" vbProcedure="false">1</definedName>
    <definedName function="false" hidden="true" localSheetId="0" name="solver_rel79" vbProcedure="false">1</definedName>
    <definedName function="false" hidden="true" localSheetId="0" name="solver_rel8" vbProcedure="false">1</definedName>
    <definedName function="false" hidden="true" localSheetId="0" name="solver_rel80" vbProcedure="false">1</definedName>
    <definedName function="false" hidden="true" localSheetId="0" name="solver_rel81" vbProcedure="false">1</definedName>
    <definedName function="false" hidden="true" localSheetId="0" name="solver_rel82" vbProcedure="false">1</definedName>
    <definedName function="false" hidden="true" localSheetId="0" name="solver_rel83" vbProcedure="false">1</definedName>
    <definedName function="false" hidden="true" localSheetId="0" name="solver_rel84" vbProcedure="false">1</definedName>
    <definedName function="false" hidden="true" localSheetId="0" name="solver_rel85" vbProcedure="false">1</definedName>
    <definedName function="false" hidden="true" localSheetId="0" name="solver_rel86" vbProcedure="false">1</definedName>
    <definedName function="false" hidden="true" localSheetId="0" name="solver_rel87" vbProcedure="false">1</definedName>
    <definedName function="false" hidden="true" localSheetId="0" name="solver_rel88" vbProcedure="false">1</definedName>
    <definedName function="false" hidden="true" localSheetId="0" name="solver_rel89" vbProcedure="false">1</definedName>
    <definedName function="false" hidden="true" localSheetId="0" name="solver_rel9" vbProcedure="false">1</definedName>
    <definedName function="false" hidden="true" localSheetId="0" name="solver_rel90" vbProcedure="false">1</definedName>
    <definedName function="false" hidden="true" localSheetId="0" name="solver_rel91" vbProcedure="false">1</definedName>
    <definedName function="false" hidden="true" localSheetId="0" name="solver_rhs1" vbProcedure="false">Utilidad!$Q$100</definedName>
    <definedName function="false" hidden="true" localSheetId="0" name="solver_rhs10" vbProcedure="false">Utilidad!$Q$80</definedName>
    <definedName function="false" hidden="true" localSheetId="0" name="solver_rhs11" vbProcedure="false">Utilidad!$Q$82</definedName>
    <definedName function="false" hidden="true" localSheetId="0" name="solver_rhs12" vbProcedure="false">Utilidad!$Q$87</definedName>
    <definedName function="false" hidden="true" localSheetId="0" name="solver_rhs13" vbProcedure="false">Utilidad!$Q$89</definedName>
    <definedName function="false" hidden="true" localSheetId="0" name="solver_rhs14" vbProcedure="false">Utilidad!$Q$90</definedName>
    <definedName function="false" hidden="true" localSheetId="0" name="solver_rhs15" vbProcedure="false">Utilidad!$Q$93</definedName>
    <definedName function="false" hidden="true" localSheetId="0" name="solver_rhs16" vbProcedure="false">Utilidad!$Q$95</definedName>
    <definedName function="false" hidden="true" localSheetId="0" name="solver_rhs17" vbProcedure="false">Utilidad!$Q$96</definedName>
    <definedName function="false" hidden="true" localSheetId="0" name="solver_rhs18" vbProcedure="false">Utilidad!$Q$97</definedName>
    <definedName function="false" hidden="true" localSheetId="0" name="solver_rhs19" vbProcedure="false">Utilidad!$Q$98</definedName>
    <definedName function="false" hidden="true" localSheetId="0" name="solver_rhs2" vbProcedure="false">Utilidad!$Q$101</definedName>
    <definedName function="false" hidden="true" localSheetId="0" name="solver_rhs20" vbProcedure="false">Utilidad!$S$100</definedName>
    <definedName function="false" hidden="true" localSheetId="0" name="solver_rhs21" vbProcedure="false">Utilidad!$S$115</definedName>
    <definedName function="false" hidden="true" localSheetId="0" name="solver_rhs22" vbProcedure="false">Utilidad!$S$116</definedName>
    <definedName function="false" hidden="true" localSheetId="0" name="solver_rhs23" vbProcedure="false">Utilidad!$S$62</definedName>
    <definedName function="false" hidden="true" localSheetId="0" name="solver_rhs24" vbProcedure="false">Utilidad!$S$68</definedName>
    <definedName function="false" hidden="true" localSheetId="0" name="solver_rhs25" vbProcedure="false">Utilidad!$S$70</definedName>
    <definedName function="false" hidden="true" localSheetId="0" name="solver_rhs26" vbProcedure="false">Utilidad!$S$72</definedName>
    <definedName function="false" hidden="true" localSheetId="0" name="solver_rhs27" vbProcedure="false">Utilidad!$S$73</definedName>
    <definedName function="false" hidden="true" localSheetId="0" name="solver_rhs28" vbProcedure="false">Utilidad!$S$74</definedName>
    <definedName function="false" hidden="true" localSheetId="0" name="solver_rhs29" vbProcedure="false">Utilidad!$S$76</definedName>
    <definedName function="false" hidden="true" localSheetId="0" name="solver_rhs3" vbProcedure="false">Utilidad!$Q$115</definedName>
    <definedName function="false" hidden="true" localSheetId="0" name="solver_rhs30" vbProcedure="false">Utilidad!$S$81</definedName>
    <definedName function="false" hidden="true" localSheetId="0" name="solver_rhs31" vbProcedure="false">Utilidad!$S$84</definedName>
    <definedName function="false" hidden="true" localSheetId="0" name="solver_rhs32" vbProcedure="false">Utilidad!$S$86</definedName>
    <definedName function="false" hidden="true" localSheetId="0" name="solver_rhs33" vbProcedure="false">Utilidad!$S$87</definedName>
    <definedName function="false" hidden="true" localSheetId="0" name="solver_rhs34" vbProcedure="false">Utilidad!$S$93</definedName>
    <definedName function="false" hidden="true" localSheetId="0" name="solver_rhs35" vbProcedure="false">Utilidad!$S$95</definedName>
    <definedName function="false" hidden="true" localSheetId="0" name="solver_rhs36" vbProcedure="false">Utilidad!$S$96</definedName>
    <definedName function="false" hidden="true" localSheetId="0" name="solver_rhs37" vbProcedure="false">Utilidad!$S$97</definedName>
    <definedName function="false" hidden="true" localSheetId="0" name="solver_rhs38" vbProcedure="false">Utilidad!$S$98</definedName>
    <definedName function="false" hidden="true" localSheetId="0" name="solver_rhs39" vbProcedure="false">Utilidad!$X$61:$X$78</definedName>
    <definedName function="false" hidden="true" localSheetId="0" name="solver_rhs4" vbProcedure="false">Utilidad!$Q$116</definedName>
    <definedName function="false" hidden="true" localSheetId="0" name="solver_rhs40" vbProcedure="false">Utilidad!$X$61:$X$78</definedName>
    <definedName function="false" hidden="true" localSheetId="0" name="solver_rhs41" vbProcedure="false">0</definedName>
    <definedName function="false" hidden="true" localSheetId="0" name="solver_rhs42" vbProcedure="false">0</definedName>
    <definedName function="false" hidden="true" localSheetId="0" name="solver_rhs43" vbProcedure="false">0</definedName>
    <definedName function="false" hidden="true" localSheetId="0" name="solver_rhs44" vbProcedure="false">0</definedName>
    <definedName function="false" hidden="true" localSheetId="0" name="solver_rhs45" vbProcedure="false">0</definedName>
    <definedName function="false" hidden="true" localSheetId="0" name="solver_rhs46" vbProcedure="false">Utilidad!$S$75</definedName>
    <definedName function="false" hidden="true" localSheetId="0" name="solver_rhs47" vbProcedure="false">0</definedName>
    <definedName function="false" hidden="true" localSheetId="0" name="solver_rhs48" vbProcedure="false">0</definedName>
    <definedName function="false" hidden="true" localSheetId="0" name="solver_rhs49" vbProcedure="false">0</definedName>
    <definedName function="false" hidden="true" localSheetId="0" name="solver_rhs5" vbProcedure="false">Utilidad!$Q$63</definedName>
    <definedName function="false" hidden="true" localSheetId="0" name="solver_rhs50" vbProcedure="false">0</definedName>
    <definedName function="false" hidden="true" localSheetId="0" name="solver_rhs51" vbProcedure="false">0</definedName>
    <definedName function="false" hidden="true" localSheetId="0" name="solver_rhs52" vbProcedure="false">0</definedName>
    <definedName function="false" hidden="true" localSheetId="0" name="solver_rhs53" vbProcedure="false">Utilidad!$S$71</definedName>
    <definedName function="false" hidden="true" localSheetId="0" name="solver_rhs54" vbProcedure="false">Utilidad!$S$77</definedName>
    <definedName function="false" hidden="true" localSheetId="0" name="solver_rhs55" vbProcedure="false">0</definedName>
    <definedName function="false" hidden="true" localSheetId="0" name="solver_rhs56" vbProcedure="false">0</definedName>
    <definedName function="false" hidden="true" localSheetId="0" name="solver_rhs57" vbProcedure="false">0</definedName>
    <definedName function="false" hidden="true" localSheetId="0" name="solver_rhs58" vbProcedure="false">0</definedName>
    <definedName function="false" hidden="true" localSheetId="0" name="solver_rhs59" vbProcedure="false">0</definedName>
    <definedName function="false" hidden="true" localSheetId="0" name="solver_rhs6" vbProcedure="false">Utilidad!$Q$66</definedName>
    <definedName function="false" hidden="true" localSheetId="0" name="solver_rhs60" vbProcedure="false">Utilidad!$Q$116</definedName>
    <definedName function="false" hidden="true" localSheetId="0" name="solver_rhs61" vbProcedure="false">Utilidad!$K$69</definedName>
    <definedName function="false" hidden="true" localSheetId="0" name="solver_rhs62" vbProcedure="false">Utilidad!$Q$70</definedName>
    <definedName function="false" hidden="true" localSheetId="0" name="solver_rhs63" vbProcedure="false">Utilidad!$Q$71</definedName>
    <definedName function="false" hidden="true" localSheetId="0" name="solver_rhs64" vbProcedure="false">Utilidad!$Q$72</definedName>
    <definedName function="false" hidden="true" localSheetId="0" name="solver_rhs65" vbProcedure="false">Utilidad!$Q$64</definedName>
    <definedName function="false" hidden="true" localSheetId="0" name="solver_rhs66" vbProcedure="false">Utilidad!$S$115</definedName>
    <definedName function="false" hidden="true" localSheetId="0" name="solver_rhs67" vbProcedure="false">Utilidad!$S$66</definedName>
    <definedName function="false" hidden="true" localSheetId="0" name="solver_rhs68" vbProcedure="false">Utilidad!$S$67</definedName>
    <definedName function="false" hidden="true" localSheetId="0" name="solver_rhs69" vbProcedure="false">Utilidad!$Q$98</definedName>
    <definedName function="false" hidden="true" localSheetId="0" name="solver_rhs7" vbProcedure="false">Utilidad!$Q$72</definedName>
    <definedName function="false" hidden="true" localSheetId="0" name="solver_rhs70" vbProcedure="false">Utilidad!$S$73</definedName>
    <definedName function="false" hidden="true" localSheetId="0" name="solver_rhs71" vbProcedure="false">Utilidad!$Q$89</definedName>
    <definedName function="false" hidden="true" localSheetId="0" name="solver_rhs72" vbProcedure="false">Utilidad!$S$69</definedName>
    <definedName function="false" hidden="true" localSheetId="0" name="solver_rhs73" vbProcedure="false">Utilidad!$Q$95</definedName>
    <definedName function="false" hidden="true" localSheetId="0" name="solver_rhs74" vbProcedure="false">Utilidad!$Q$77</definedName>
    <definedName function="false" hidden="true" localSheetId="0" name="solver_rhs75" vbProcedure="false">Utilidad!$Q$86</definedName>
    <definedName function="false" hidden="true" localSheetId="0" name="solver_rhs76" vbProcedure="false">Utilidad!$Q$91</definedName>
    <definedName function="false" hidden="true" localSheetId="0" name="solver_rhs77" vbProcedure="false">Utilidad!$Q$87</definedName>
    <definedName function="false" hidden="true" localSheetId="0" name="solver_rhs78" vbProcedure="false">Utilidad!$Q$93</definedName>
    <definedName function="false" hidden="true" localSheetId="0" name="solver_rhs79" vbProcedure="false">Utilidad!$Q$84</definedName>
    <definedName function="false" hidden="true" localSheetId="0" name="solver_rhs8" vbProcedure="false">Utilidad!$Q$73</definedName>
    <definedName function="false" hidden="true" localSheetId="0" name="solver_rhs80" vbProcedure="false">Utilidad!$Q$75</definedName>
    <definedName function="false" hidden="true" localSheetId="0" name="solver_rhs81" vbProcedure="false">Utilidad!$Q$80</definedName>
    <definedName function="false" hidden="true" localSheetId="0" name="solver_rhs82" vbProcedure="false">Utilidad!$Q$83</definedName>
    <definedName function="false" hidden="true" localSheetId="0" name="solver_rhs83" vbProcedure="false">Utilidad!$Q$74</definedName>
    <definedName function="false" hidden="true" localSheetId="0" name="solver_rhs84" vbProcedure="false">Utilidad!$Q$67</definedName>
    <definedName function="false" hidden="true" localSheetId="0" name="solver_rhs85" vbProcedure="false">Utilidad!$Q$66</definedName>
    <definedName function="false" hidden="true" localSheetId="0" name="solver_rhs86" vbProcedure="false">Utilidad!$Q$68</definedName>
    <definedName function="false" hidden="true" localSheetId="0" name="solver_rhs87" vbProcedure="false">Utilidad!$Q$101</definedName>
    <definedName function="false" hidden="true" localSheetId="0" name="solver_rhs88" vbProcedure="false">Utilidad!$Q$72</definedName>
    <definedName function="false" hidden="true" localSheetId="0" name="solver_rhs89" vbProcedure="false">Utilidad!$Q$115</definedName>
    <definedName function="false" hidden="true" localSheetId="0" name="solver_rhs9" vbProcedure="false">Utilidad!$Q$77</definedName>
    <definedName function="false" hidden="true" localSheetId="0" name="solver_rhs90" vbProcedure="false">Utilidad!$Q$100</definedName>
    <definedName function="false" hidden="true" localSheetId="0" name="solver_rhs91" vbProcedure="false">Utilidad!$Q$63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1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<sst xmlns="http://schemas.openxmlformats.org/spreadsheetml/2006/main" count="433" uniqueCount="206">
  <si>
    <t xml:space="preserve">Cola Concentradora (canoa)</t>
  </si>
  <si>
    <t xml:space="preserve">Concentradora a Stock Preconcentrado</t>
  </si>
  <si>
    <t xml:space="preserve">SF a molienda</t>
  </si>
  <si>
    <t xml:space="preserve">Repulpeo</t>
  </si>
  <si>
    <t xml:space="preserve">Delta Stock Preconcentrado</t>
  </si>
  <si>
    <t xml:space="preserve">Alimentación Preconcentrado a Molienda</t>
  </si>
  <si>
    <t xml:space="preserve">Cola de Molienda</t>
  </si>
  <si>
    <t xml:space="preserve">Concentrado a Almacenamiento</t>
  </si>
  <si>
    <t xml:space="preserve">Delta Almacenamiento de Concentrado</t>
  </si>
  <si>
    <t xml:space="preserve">Concentrado a Stock Pellet Feed ROM</t>
  </si>
  <si>
    <t xml:space="preserve">Delta Stock Pellet Feed ROM</t>
  </si>
  <si>
    <t xml:space="preserve">Transporte Pellet Feed en camiones a Guayacan</t>
  </si>
  <si>
    <t xml:space="preserve">Transporte Pellet Feed en Trenes a Guayacan</t>
  </si>
  <si>
    <t xml:space="preserve">Pérdidas Pellet Feed por Transporte</t>
  </si>
  <si>
    <t xml:space="preserve">Recepción total en Stock Pellet Feed Guayacan</t>
  </si>
  <si>
    <t xml:space="preserve">Delta Stock Pellet Feed Guayacan</t>
  </si>
  <si>
    <t xml:space="preserve">Embarque Pellet Feed Guayacan</t>
  </si>
  <si>
    <t xml:space="preserve">Transporte Camiones PF Guayacan</t>
  </si>
  <si>
    <t xml:space="preserve">Recepción SFMLC</t>
  </si>
  <si>
    <t xml:space="preserve">Recepción P55 desde MLC</t>
  </si>
  <si>
    <t xml:space="preserve">Delta Stock SF Patio Tolva ROM</t>
  </si>
  <si>
    <t xml:space="preserve">Transporte SF desde Tolva ROM a Guayacan</t>
  </si>
  <si>
    <t xml:space="preserve">Embarque SF</t>
  </si>
  <si>
    <t xml:space="preserve">Delta Stock Finos Guayacan</t>
  </si>
  <si>
    <t xml:space="preserve">Recepción SF directo desde MLC</t>
  </si>
  <si>
    <t xml:space="preserve">Recepción Finos Pleito</t>
  </si>
  <si>
    <t xml:space="preserve">Recepción Granzas Pleito </t>
  </si>
  <si>
    <t xml:space="preserve">Recepción Planta los Cristales</t>
  </si>
  <si>
    <t xml:space="preserve">Delta Stock Granzas Guayacan</t>
  </si>
  <si>
    <t xml:space="preserve">Embarque Granzas </t>
  </si>
  <si>
    <t xml:space="preserve">ML Pleito</t>
  </si>
  <si>
    <t xml:space="preserve">Delta Stock ML Pleito</t>
  </si>
  <si>
    <t xml:space="preserve">Finos Pleito A S Emergencia 1</t>
  </si>
  <si>
    <t xml:space="preserve">Delta Stock Emergencia 1</t>
  </si>
  <si>
    <t xml:space="preserve">Alim Finos Pleito a Preconcentrado</t>
  </si>
  <si>
    <t xml:space="preserve">P55 a S Emergencia 2</t>
  </si>
  <si>
    <t xml:space="preserve">Delta Stock Emergencia 2</t>
  </si>
  <si>
    <t xml:space="preserve">P55 a de S Emergencia 2 a Preconcentrado</t>
  </si>
  <si>
    <t xml:space="preserve">P40 a S Emergencia 3</t>
  </si>
  <si>
    <t xml:space="preserve">Delta Stock Emergencia 3</t>
  </si>
  <si>
    <t xml:space="preserve">P40  de S Emergencia 3 a Preconcentrado</t>
  </si>
  <si>
    <t xml:space="preserve">Sinter MLC aS Emergencia 4</t>
  </si>
  <si>
    <t xml:space="preserve">Delta Stock Emergencia 4</t>
  </si>
  <si>
    <t xml:space="preserve">Sinter MLC dese S Emergencia 4 a Preconcentrado</t>
  </si>
  <si>
    <t xml:space="preserve">Otro Materiales a Preconcentrado</t>
  </si>
  <si>
    <t xml:space="preserve">De  nodo Alim Otros Materiales  + Emergencia a S Preconcentrado</t>
  </si>
  <si>
    <t xml:space="preserve">Flujos</t>
  </si>
  <si>
    <t xml:space="preserve">Masas</t>
  </si>
  <si>
    <t xml:space="preserve">Leyes</t>
  </si>
  <si>
    <t xml:space="preserve">Humedad</t>
  </si>
  <si>
    <t xml:space="preserve">Stock Intermedio</t>
  </si>
  <si>
    <t xml:space="preserve">Stock Preconcentrado</t>
  </si>
  <si>
    <t xml:space="preserve">Stock Pellet Feed</t>
  </si>
  <si>
    <t xml:space="preserve">Stock Sinter Feed Patio Tolva</t>
  </si>
  <si>
    <t xml:space="preserve">Stock Pellet Feed Guayacan</t>
  </si>
  <si>
    <t xml:space="preserve">Stock Sinter Guayacan</t>
  </si>
  <si>
    <t xml:space="preserve">Stock Granza Guayacan</t>
  </si>
  <si>
    <t xml:space="preserve">Pellet Feed Acopiado Trenes</t>
  </si>
  <si>
    <t xml:space="preserve">Pellet Feed Produccion Primaria</t>
  </si>
  <si>
    <t xml:space="preserve">Sinter Feed MLC camiones</t>
  </si>
  <si>
    <t xml:space="preserve">Sinter Feed Pleito camiones</t>
  </si>
  <si>
    <t xml:space="preserve">Sinter Feed Infiernillo camiones</t>
  </si>
  <si>
    <t xml:space="preserve">Granzas Pleito</t>
  </si>
  <si>
    <t xml:space="preserve">Granzas Cristales</t>
  </si>
  <si>
    <t xml:space="preserve">Alimentacion Chancado Mina</t>
  </si>
  <si>
    <t xml:space="preserve">Pellet Feed</t>
  </si>
  <si>
    <t xml:space="preserve">Recepcion Mediana Ley Pleito</t>
  </si>
  <si>
    <t xml:space="preserve">Materiales a Stock Intermedio</t>
  </si>
  <si>
    <t xml:space="preserve">Materiales a Stock Preconcentrado</t>
  </si>
  <si>
    <t xml:space="preserve">Sinter Feed a Patio Tolva</t>
  </si>
  <si>
    <t xml:space="preserve">Embarque Pellet Feed</t>
  </si>
  <si>
    <t xml:space="preserve">Embarque Sinter</t>
  </si>
  <si>
    <t xml:space="preserve">Embarque Granzas</t>
  </si>
  <si>
    <t xml:space="preserve">Pellet Feed camiones locales</t>
  </si>
  <si>
    <t xml:space="preserve">Pellet Feed Acopiado (Trenes)</t>
  </si>
  <si>
    <t xml:space="preserve">Sinter Feed Acopiado (trenes)</t>
  </si>
  <si>
    <t xml:space="preserve">Sinter Feed MLC (camiones)</t>
  </si>
  <si>
    <t xml:space="preserve">Sinter Feed Pleito (camiones)</t>
  </si>
  <si>
    <t xml:space="preserve">Sinter Feed Infiernillo (camiones)</t>
  </si>
  <si>
    <t xml:space="preserve">Rechazos a botadero Pta. Chancado</t>
  </si>
  <si>
    <t xml:space="preserve">Rechazos a botadero Pta. Concentradora</t>
  </si>
  <si>
    <t xml:space="preserve">Colas Pta. Concentradora</t>
  </si>
  <si>
    <t xml:space="preserve">Colas Pta. Molienda</t>
  </si>
  <si>
    <t xml:space="preserve">Sinter Feed APC</t>
  </si>
  <si>
    <t xml:space="preserve">Sinter Feed Caro</t>
  </si>
  <si>
    <t xml:space="preserve">Preconcentrado ventas</t>
  </si>
  <si>
    <t xml:space="preserve">SF SERCOOP</t>
  </si>
  <si>
    <t xml:space="preserve">SF Santa Fe</t>
  </si>
  <si>
    <t xml:space="preserve">Resguardo</t>
  </si>
  <si>
    <t xml:space="preserve">Mediciones</t>
  </si>
  <si>
    <t xml:space="preserve">Balance</t>
  </si>
  <si>
    <t xml:space="preserve">% Cambio relativo</t>
  </si>
  <si>
    <t xml:space="preserve">Max Var Ton</t>
  </si>
  <si>
    <t xml:space="preserve">Max Var  FeT</t>
  </si>
  <si>
    <t xml:space="preserve">TMS</t>
  </si>
  <si>
    <t xml:space="preserve">%FeT</t>
  </si>
  <si>
    <t xml:space="preserve">TMSD</t>
  </si>
  <si>
    <t xml:space="preserve">%Fe T</t>
  </si>
  <si>
    <t xml:space="preserve">Alim Mina</t>
  </si>
  <si>
    <t xml:space="preserve">Alim ML Pleito a CH-CM</t>
  </si>
  <si>
    <t xml:space="preserve">Rechazos</t>
  </si>
  <si>
    <t xml:space="preserve">Producción CH a Stock Intermedio</t>
  </si>
  <si>
    <t xml:space="preserve">Otros Materiales desde Pleito a Stock Intermedio</t>
  </si>
  <si>
    <t xml:space="preserve">Delta Stock Intermedio</t>
  </si>
  <si>
    <t xml:space="preserve">Alimentación a Concentradora</t>
  </si>
  <si>
    <t xml:space="preserve">By Pass Stock Intermedio a Stock Preconcentrado</t>
  </si>
  <si>
    <t xml:space="preserve">Rechazo a Botadero</t>
  </si>
  <si>
    <t xml:space="preserve">SF APC</t>
  </si>
  <si>
    <t xml:space="preserve">Recepción Infiernillo</t>
  </si>
  <si>
    <t xml:space="preserve">Ventas locales</t>
  </si>
  <si>
    <t xml:space="preserve">SF CRISTALES</t>
  </si>
  <si>
    <t xml:space="preserve">SF CARO</t>
  </si>
  <si>
    <t xml:space="preserve">SF ALGARROBO</t>
  </si>
  <si>
    <t xml:space="preserve">GR ALGARROBO</t>
  </si>
  <si>
    <t xml:space="preserve">GR CRISTALES</t>
  </si>
  <si>
    <t xml:space="preserve">GR PLEITO</t>
  </si>
  <si>
    <t xml:space="preserve">Preconcentrado Ventas</t>
  </si>
  <si>
    <t xml:space="preserve">Embarque Preconcentrado ventas</t>
  </si>
  <si>
    <t xml:space="preserve">Delta Preconcentrado Ventas</t>
  </si>
  <si>
    <t xml:space="preserve">Cristales</t>
  </si>
  <si>
    <t xml:space="preserve">Caro</t>
  </si>
  <si>
    <t xml:space="preserve">Algarrobo</t>
  </si>
  <si>
    <t xml:space="preserve">BALANCE GLOBAL MASA</t>
  </si>
  <si>
    <t xml:space="preserve">ENTRADAS</t>
  </si>
  <si>
    <t xml:space="preserve">VARIACIONES DE INVENTARIOS</t>
  </si>
  <si>
    <t xml:space="preserve">SALIDAS</t>
  </si>
  <si>
    <t xml:space="preserve">Alim Chancado</t>
  </si>
  <si>
    <t xml:space="preserve">RECHAZOS CH -CM</t>
  </si>
  <si>
    <t xml:space="preserve">Recep ML Pleito</t>
  </si>
  <si>
    <t xml:space="preserve">Otros Mat a Stock Intermedio desde Pleito</t>
  </si>
  <si>
    <t xml:space="preserve">Almac Concentrado</t>
  </si>
  <si>
    <t xml:space="preserve">Finos Pleito a S Emergencia 1</t>
  </si>
  <si>
    <t xml:space="preserve">Stock Pellet Feed ROM</t>
  </si>
  <si>
    <t xml:space="preserve">Cola Molienda</t>
  </si>
  <si>
    <t xml:space="preserve">S Sinter Feed Patio Tolva</t>
  </si>
  <si>
    <t xml:space="preserve">Pérdidas Transporte</t>
  </si>
  <si>
    <t xml:space="preserve">S  Emergencia 1</t>
  </si>
  <si>
    <t xml:space="preserve">Sinter MLC a S Emergencia 4</t>
  </si>
  <si>
    <t xml:space="preserve">S  Emergencia 2</t>
  </si>
  <si>
    <t xml:space="preserve">Transp Pellet Feed Camiones</t>
  </si>
  <si>
    <t xml:space="preserve">Otros Mat a Preconcentrado</t>
  </si>
  <si>
    <t xml:space="preserve">S  Emergencia 3</t>
  </si>
  <si>
    <t xml:space="preserve">Embarque SF MLC</t>
  </si>
  <si>
    <t xml:space="preserve">Recep SFMLC</t>
  </si>
  <si>
    <t xml:space="preserve">S  Emergencia 4</t>
  </si>
  <si>
    <t xml:space="preserve">Recep P55 desde MLC</t>
  </si>
  <si>
    <t xml:space="preserve">Stock ML Pleito</t>
  </si>
  <si>
    <t xml:space="preserve">Recep SF desde MLC</t>
  </si>
  <si>
    <t xml:space="preserve">S Pellet Feed Guayacan</t>
  </si>
  <si>
    <t xml:space="preserve">Embarque Prec Ventas</t>
  </si>
  <si>
    <t xml:space="preserve">Recep Finos Pleito</t>
  </si>
  <si>
    <t xml:space="preserve">Stock Finos Guayacan</t>
  </si>
  <si>
    <t xml:space="preserve">Repep PlantaCristales</t>
  </si>
  <si>
    <t xml:space="preserve">Stock Granzas</t>
  </si>
  <si>
    <t xml:space="preserve">Recep Granzas</t>
  </si>
  <si>
    <t xml:space="preserve">Stcck Prec Ventas</t>
  </si>
  <si>
    <t xml:space="preserve">Recep APC</t>
  </si>
  <si>
    <t xml:space="preserve">Recep SF CRISTALES</t>
  </si>
  <si>
    <t xml:space="preserve">Recep SF CARO</t>
  </si>
  <si>
    <t xml:space="preserve">Recep SF ALGARROBO</t>
  </si>
  <si>
    <t xml:space="preserve">Recep Prec Ventas</t>
  </si>
  <si>
    <t xml:space="preserve">Rec EL Dorado</t>
  </si>
  <si>
    <t xml:space="preserve">Rec Santa Fe</t>
  </si>
  <si>
    <t xml:space="preserve">Rec Rsguardo</t>
  </si>
  <si>
    <t xml:space="preserve">TOTAL ENTRADAS</t>
  </si>
  <si>
    <t xml:space="preserve">VAR NETA </t>
  </si>
  <si>
    <t xml:space="preserve">TOTAL SALIDAS</t>
  </si>
  <si>
    <t xml:space="preserve">ENTRADAS - VAR INVENTARIO - SALIDAS</t>
  </si>
  <si>
    <t xml:space="preserve">BALANCE GLOBAL FINOS</t>
  </si>
  <si>
    <t xml:space="preserve">Recep CRISTALES</t>
  </si>
  <si>
    <t xml:space="preserve">Recep CARO</t>
  </si>
  <si>
    <t xml:space="preserve">Recep ALGARROBO</t>
  </si>
  <si>
    <t xml:space="preserve">BALANCE METALÚRGICO - VALLE ELQUI</t>
  </si>
  <si>
    <t xml:space="preserve">REPORTE MINAS EL ROMERAL</t>
  </si>
  <si>
    <t xml:space="preserve">FECHA DE BALANCE</t>
  </si>
  <si>
    <t xml:space="preserve">TONELAJE</t>
  </si>
  <si>
    <t xml:space="preserve">LEY</t>
  </si>
  <si>
    <t xml:space="preserve">FINO</t>
  </si>
  <si>
    <t xml:space="preserve">TMH</t>
  </si>
  <si>
    <t xml:space="preserve">% FeT</t>
  </si>
  <si>
    <t xml:space="preserve">TMF</t>
  </si>
  <si>
    <t xml:space="preserve">PRODUCCIÓN PRIMARIA</t>
  </si>
  <si>
    <t xml:space="preserve">FL_218_501_01</t>
  </si>
  <si>
    <t xml:space="preserve">Alimentación Chancado Mina</t>
  </si>
  <si>
    <t xml:space="preserve">Pellet Feed Producción Primaria</t>
  </si>
  <si>
    <t xml:space="preserve">Recepción Mediana Ley Pleito</t>
  </si>
  <si>
    <t xml:space="preserve">PÉRDIDAS </t>
  </si>
  <si>
    <t xml:space="preserve">FL_000_501_03</t>
  </si>
  <si>
    <t xml:space="preserve">TOTAL</t>
  </si>
  <si>
    <t xml:space="preserve">EMBARQUES - VENTAS LOCALES</t>
  </si>
  <si>
    <t xml:space="preserve">PRODUCCIÓN PUESTA EN PUERTO</t>
  </si>
  <si>
    <t xml:space="preserve">Sinter </t>
  </si>
  <si>
    <t xml:space="preserve">Granzas</t>
  </si>
  <si>
    <t xml:space="preserve">Sinter Feed APC  (camiones)</t>
  </si>
  <si>
    <t xml:space="preserve">Sinter Feed Caro (camiones)</t>
  </si>
  <si>
    <t xml:space="preserve">Sinter SERCOOP (camiones)</t>
  </si>
  <si>
    <t xml:space="preserve">Sinter Santa Fe (camiones)</t>
  </si>
  <si>
    <t xml:space="preserve">INVENTARIOS</t>
  </si>
  <si>
    <t xml:space="preserve">Delta inventario TMS</t>
  </si>
  <si>
    <t xml:space="preserve">Delta inventario TMF</t>
  </si>
  <si>
    <t xml:space="preserve">DELTA INVENTARIO</t>
  </si>
  <si>
    <t xml:space="preserve">BALANCE</t>
  </si>
  <si>
    <t xml:space="preserve">Stock Pellet Feed Guayacán</t>
  </si>
  <si>
    <t xml:space="preserve">Stock Sinter Guayacán</t>
  </si>
  <si>
    <t xml:space="preserve">Stock Granza Guayacán</t>
  </si>
  <si>
    <t xml:space="preserve">Stock Preconcentrado Ventas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</si>
</sst>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-* #,##0.00_-;\-* #,##0.00_-;_-* \-??_-;_-@_-"/>
    <numFmt numFmtId="166" formatCode="0\ %"/>
    <numFmt numFmtId="167" formatCode="0.00\ %"/>
    <numFmt numFmtId="168" formatCode="#,##0"/>
    <numFmt numFmtId="169" formatCode="0.0%"/>
    <numFmt numFmtId="170" formatCode="0"/>
    <numFmt numFmtId="171" formatCode="@"/>
    <numFmt numFmtId="172" formatCode="dd/mm/yyyy"/>
    <numFmt numFmtId="173" formatCode="#,##0_ ;\-#,##0\ "/>
    <numFmt numFmtId="174" formatCode="#,##0.00_ ;\-#,##0.00\ "/>
    <numFmt numFmtId="175" formatCode="#,##0.0_ ;\-#,##0.0\ "/>
    <numFmt numFmtId="176" formatCode="#,##0.000_ ;\-#,##0.000\ "/>
    <numFmt numFmtId="177" formatCode="#,##0.0000000_ ;\-#,##0.0000000\ 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0"/>
      <name val="Calibri"/>
      <family val="2"/>
      <charset val="1"/>
    </font>
    <font>
      <sz val="11"/>
      <color theme="0"/>
      <name val="Calibri (Body)"/>
      <family val="0"/>
      <charset val="1"/>
    </font>
    <font>
      <sz val="11"/>
      <color theme="2"/>
      <name val="Calibri"/>
      <family val="2"/>
      <charset val="1"/>
    </font>
    <font>
      <b val="true"/>
      <sz val="14"/>
      <color theme="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rgb="FF0070C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theme="0"/>
      <name val="Calibri (Body)"/>
      <family val="0"/>
      <charset val="1"/>
    </font>
    <font>
      <b val="true"/>
      <sz val="18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C00000"/>
      <name val="Calibri"/>
      <family val="2"/>
      <charset val="1"/>
    </font>
    <font>
      <b val="true"/>
      <sz val="10"/>
      <color theme="8" tint="-0.25"/>
      <name val="Calibri"/>
      <family val="2"/>
      <charset val="1"/>
    </font>
    <font>
      <sz val="12"/>
      <color theme="1"/>
      <name val="Calibri"/>
      <family val="2"/>
      <charset val="1"/>
    </font>
    <font>
      <sz val="10"/>
      <color theme="1"/>
      <name val="Calibri"/>
      <family val="0"/>
    </font>
    <font>
      <sz val="10"/>
      <color theme="3"/>
      <name val="Calibri"/>
      <family val="2"/>
      <charset val="1"/>
    </font>
    <font>
      <sz val="11"/>
      <color theme="3"/>
      <name val="Calibri"/>
      <family val="2"/>
      <charset val="1"/>
    </font>
    <font>
      <b val="true"/>
      <sz val="12"/>
      <color theme="3"/>
      <name val="Calibri"/>
      <family val="2"/>
      <charset val="1"/>
    </font>
    <font>
      <sz val="8"/>
      <color theme="3"/>
      <name val="Calibri"/>
      <family val="2"/>
      <charset val="1"/>
    </font>
    <font>
      <b val="true"/>
      <sz val="8"/>
      <color theme="3"/>
      <name val="Calibri"/>
      <family val="2"/>
      <charset val="1"/>
    </font>
    <font>
      <b val="true"/>
      <sz val="8"/>
      <color theme="0"/>
      <name val="Calibri"/>
      <family val="2"/>
      <charset val="1"/>
    </font>
    <font>
      <sz val="8"/>
      <color theme="8" tint="-0.5"/>
      <name val="Calibri"/>
      <family val="2"/>
      <charset val="1"/>
    </font>
    <font>
      <sz val="8"/>
      <color theme="0"/>
      <name val="Calibri"/>
      <family val="2"/>
      <charset val="1"/>
    </font>
    <font>
      <sz val="10"/>
      <color theme="0"/>
      <name val="Calibri"/>
      <family val="2"/>
      <charset val="1"/>
    </font>
    <font>
      <sz val="10"/>
      <color rgb="FFFF0000"/>
      <name val="Calibri"/>
      <family val="2"/>
      <charset val="1"/>
    </font>
    <font>
      <sz val="10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ACB8CA"/>
        <bgColor rgb="FFADB9CA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5E0B4"/>
      </patternFill>
    </fill>
    <fill>
      <patternFill patternType="solid">
        <fgColor theme="9" tint="0.5999"/>
        <bgColor rgb="FFBDD7EE"/>
      </patternFill>
    </fill>
    <fill>
      <patternFill patternType="solid">
        <fgColor theme="7" tint="0.7999"/>
        <bgColor rgb="FFFBE5D6"/>
      </patternFill>
    </fill>
    <fill>
      <patternFill patternType="solid">
        <fgColor theme="3" tint="0.5999"/>
        <bgColor rgb="FFACB8CA"/>
      </patternFill>
    </fill>
    <fill>
      <patternFill patternType="solid">
        <fgColor rgb="FFFF0000"/>
        <bgColor rgb="FFC00000"/>
      </patternFill>
    </fill>
    <fill>
      <patternFill patternType="solid">
        <fgColor theme="0"/>
        <bgColor rgb="FFF2F2F2"/>
      </patternFill>
    </fill>
    <fill>
      <patternFill patternType="solid">
        <fgColor rgb="FF66FF99"/>
        <bgColor rgb="FFC5E0B4"/>
      </patternFill>
    </fill>
    <fill>
      <patternFill patternType="solid">
        <fgColor rgb="FF0070C0"/>
        <bgColor rgb="FF008080"/>
      </patternFill>
    </fill>
    <fill>
      <patternFill patternType="solid">
        <fgColor theme="9" tint="0.7999"/>
        <bgColor rgb="FFE7E6E6"/>
      </patternFill>
    </fill>
    <fill>
      <patternFill patternType="solid">
        <fgColor theme="5" tint="0.7999"/>
        <bgColor rgb="FFFFF2CC"/>
      </patternFill>
    </fill>
    <fill>
      <patternFill patternType="solid">
        <fgColor theme="0" tint="-0.05"/>
        <bgColor rgb="FFE8E6E6"/>
      </patternFill>
    </fill>
    <fill>
      <patternFill patternType="solid">
        <fgColor theme="3"/>
        <bgColor rgb="FF1F4E79"/>
      </patternFill>
    </fill>
    <fill>
      <patternFill patternType="solid">
        <fgColor theme="2"/>
        <bgColor rgb="FFE8E6E6"/>
      </patternFill>
    </fill>
    <fill>
      <patternFill patternType="solid">
        <fgColor rgb="FFE8E6E6"/>
        <bgColor rgb="FFE7E6E6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4" fillId="0" borderId="1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1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1" xfId="2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4" fillId="0" borderId="1" xfId="2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0" borderId="1" xfId="2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1" xfId="2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1" xfId="2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1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bottom" textRotation="0" wrapText="false" indent="4" shrinkToFit="false"/>
      <protection locked="true" hidden="false"/>
    </xf>
    <xf numFmtId="168" fontId="20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2" xfId="0" applyFont="fals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1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12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9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4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9" borderId="6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14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5" fillId="1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5" fillId="14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3" fillId="9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19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1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4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16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17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2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2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6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6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6" fillId="9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16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6" fillId="17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9" fillId="16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6" fillId="16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6" fillId="16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6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2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6" fillId="16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16" borderId="2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9" fillId="16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16" borderId="1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27" fillId="16" borderId="2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7" fillId="16" borderId="2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3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3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15" borderId="2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3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0" borderId="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6" fillId="0" borderId="2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3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16" borderId="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6" fillId="16" borderId="2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16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6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6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0" borderId="2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6" fillId="17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6" fillId="17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7" fillId="16" borderId="2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22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3" fontId="27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7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5" borderId="2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3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9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6" fillId="0" borderId="1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6" fillId="0" borderId="1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3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6" fillId="0" borderId="27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0" borderId="1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6" fillId="0" borderId="2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0" borderId="3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1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1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6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6" fillId="0" borderId="29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0" borderId="17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8" fillId="0" borderId="9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6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  <cellStyle name="Normal 2" xfId="21"/>
    <cellStyle name="Normal 2 2" xfId="22"/>
    <cellStyle name="Percent 2" xfId="23"/>
    <cellStyle name="Porcentaje 2 2" xfId="24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FF0000"/>
      </font>
    </dxf>
    <dxf>
      <font>
        <b val="1"/>
        <i val="0"/>
        <color rgb="FFC55A11"/>
      </font>
    </dxf>
    <dxf>
      <font>
        <b val="1"/>
        <i val="0"/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2CC"/>
      <rgbColor rgb="FFF2F2F2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E7E6E6"/>
      <rgbColor rgb="FFE2F0D9"/>
      <rgbColor rgb="FFFBE5D6"/>
      <rgbColor rgb="FFACB8CA"/>
      <rgbColor rgb="FFE8E6E6"/>
      <rgbColor rgb="FFC5E0B4"/>
      <rgbColor rgb="FFFFC7CE"/>
      <rgbColor rgb="FF2E75B6"/>
      <rgbColor rgb="FF66FF99"/>
      <rgbColor rgb="FF99CC00"/>
      <rgbColor rgb="FFFFCC00"/>
      <rgbColor rgb="FFFF9900"/>
      <rgbColor rgb="FFC55A11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customXml" Target="../customXml/item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622800</xdr:colOff>
      <xdr:row>7</xdr:row>
      <xdr:rowOff>150120</xdr:rowOff>
    </xdr:from>
    <xdr:to>
      <xdr:col>7</xdr:col>
      <xdr:colOff>225360</xdr:colOff>
      <xdr:row>9</xdr:row>
      <xdr:rowOff>184680</xdr:rowOff>
    </xdr:to>
    <xdr:sp>
      <xdr:nvSpPr>
        <xdr:cNvPr id="1" name="Rectángulo 2"/>
        <xdr:cNvSpPr/>
      </xdr:nvSpPr>
      <xdr:spPr>
        <a:xfrm>
          <a:off x="4077720" y="1483560"/>
          <a:ext cx="1058760" cy="415800"/>
        </a:xfrm>
        <a:prstGeom prst="rect">
          <a:avLst/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CH- CM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147960</xdr:colOff>
      <xdr:row>10</xdr:row>
      <xdr:rowOff>188640</xdr:rowOff>
    </xdr:from>
    <xdr:to>
      <xdr:col>9</xdr:col>
      <xdr:colOff>649440</xdr:colOff>
      <xdr:row>13</xdr:row>
      <xdr:rowOff>25560</xdr:rowOff>
    </xdr:to>
    <xdr:sp>
      <xdr:nvSpPr>
        <xdr:cNvPr id="2" name="Triángulo isósceles 3"/>
        <xdr:cNvSpPr/>
      </xdr:nvSpPr>
      <xdr:spPr>
        <a:xfrm>
          <a:off x="7031880" y="2093760"/>
          <a:ext cx="501480" cy="40824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8</xdr:col>
      <xdr:colOff>343440</xdr:colOff>
      <xdr:row>9</xdr:row>
      <xdr:rowOff>65160</xdr:rowOff>
    </xdr:from>
    <xdr:to>
      <xdr:col>9</xdr:col>
      <xdr:colOff>380880</xdr:colOff>
      <xdr:row>11</xdr:row>
      <xdr:rowOff>165600</xdr:rowOff>
    </xdr:to>
    <xdr:sp>
      <xdr:nvSpPr>
        <xdr:cNvPr id="3" name="Rectángulo 4"/>
        <xdr:cNvSpPr/>
      </xdr:nvSpPr>
      <xdr:spPr>
        <a:xfrm>
          <a:off x="6323400" y="1779840"/>
          <a:ext cx="941400" cy="4813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Stock Intermedio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12</xdr:col>
      <xdr:colOff>609480</xdr:colOff>
      <xdr:row>17</xdr:row>
      <xdr:rowOff>109440</xdr:rowOff>
    </xdr:from>
    <xdr:to>
      <xdr:col>14</xdr:col>
      <xdr:colOff>96840</xdr:colOff>
      <xdr:row>19</xdr:row>
      <xdr:rowOff>76680</xdr:rowOff>
    </xdr:to>
    <xdr:sp>
      <xdr:nvSpPr>
        <xdr:cNvPr id="4" name="Rectángulo 5"/>
        <xdr:cNvSpPr/>
      </xdr:nvSpPr>
      <xdr:spPr>
        <a:xfrm>
          <a:off x="10137600" y="3348000"/>
          <a:ext cx="1202400" cy="3481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Stock Pre concentrado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640800</xdr:colOff>
      <xdr:row>35</xdr:row>
      <xdr:rowOff>72360</xdr:rowOff>
    </xdr:from>
    <xdr:to>
      <xdr:col>10</xdr:col>
      <xdr:colOff>411120</xdr:colOff>
      <xdr:row>38</xdr:row>
      <xdr:rowOff>39960</xdr:rowOff>
    </xdr:to>
    <xdr:sp>
      <xdr:nvSpPr>
        <xdr:cNvPr id="5" name="Triángulo isósceles 8"/>
        <xdr:cNvSpPr/>
      </xdr:nvSpPr>
      <xdr:spPr>
        <a:xfrm>
          <a:off x="7524720" y="6739920"/>
          <a:ext cx="651960" cy="53892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8</xdr:col>
      <xdr:colOff>550440</xdr:colOff>
      <xdr:row>44</xdr:row>
      <xdr:rowOff>116280</xdr:rowOff>
    </xdr:from>
    <xdr:to>
      <xdr:col>10</xdr:col>
      <xdr:colOff>78120</xdr:colOff>
      <xdr:row>47</xdr:row>
      <xdr:rowOff>83160</xdr:rowOff>
    </xdr:to>
    <xdr:sp>
      <xdr:nvSpPr>
        <xdr:cNvPr id="6" name="Rectángulo 9"/>
        <xdr:cNvSpPr/>
      </xdr:nvSpPr>
      <xdr:spPr>
        <a:xfrm>
          <a:off x="6530400" y="8498160"/>
          <a:ext cx="1313280" cy="5385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Stock Pellet Feed ROM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355320</xdr:colOff>
      <xdr:row>55</xdr:row>
      <xdr:rowOff>65520</xdr:rowOff>
    </xdr:from>
    <xdr:to>
      <xdr:col>10</xdr:col>
      <xdr:colOff>719640</xdr:colOff>
      <xdr:row>57</xdr:row>
      <xdr:rowOff>100080</xdr:rowOff>
    </xdr:to>
    <xdr:sp>
      <xdr:nvSpPr>
        <xdr:cNvPr id="7" name="Rectángulo 10"/>
        <xdr:cNvSpPr/>
      </xdr:nvSpPr>
      <xdr:spPr>
        <a:xfrm>
          <a:off x="7239240" y="10542960"/>
          <a:ext cx="1245960" cy="415800"/>
        </a:xfrm>
        <a:prstGeom prst="rect">
          <a:avLst/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Nodo Transporte Pellet Feed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12</xdr:col>
      <xdr:colOff>48960</xdr:colOff>
      <xdr:row>63</xdr:row>
      <xdr:rowOff>142200</xdr:rowOff>
    </xdr:from>
    <xdr:to>
      <xdr:col>12</xdr:col>
      <xdr:colOff>627120</xdr:colOff>
      <xdr:row>66</xdr:row>
      <xdr:rowOff>109440</xdr:rowOff>
    </xdr:to>
    <xdr:sp>
      <xdr:nvSpPr>
        <xdr:cNvPr id="8" name="Triángulo isósceles 11"/>
        <xdr:cNvSpPr/>
      </xdr:nvSpPr>
      <xdr:spPr>
        <a:xfrm>
          <a:off x="9577080" y="12143880"/>
          <a:ext cx="578160" cy="53856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12</xdr:col>
      <xdr:colOff>410760</xdr:colOff>
      <xdr:row>64</xdr:row>
      <xdr:rowOff>51120</xdr:rowOff>
    </xdr:from>
    <xdr:to>
      <xdr:col>13</xdr:col>
      <xdr:colOff>700560</xdr:colOff>
      <xdr:row>66</xdr:row>
      <xdr:rowOff>55800</xdr:rowOff>
    </xdr:to>
    <xdr:sp>
      <xdr:nvSpPr>
        <xdr:cNvPr id="9" name="Rectángulo 12"/>
        <xdr:cNvSpPr/>
      </xdr:nvSpPr>
      <xdr:spPr>
        <a:xfrm>
          <a:off x="9938880" y="12243240"/>
          <a:ext cx="1053000" cy="3855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Stock P. Feed Guayacan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12</xdr:col>
      <xdr:colOff>78840</xdr:colOff>
      <xdr:row>71</xdr:row>
      <xdr:rowOff>40320</xdr:rowOff>
    </xdr:from>
    <xdr:to>
      <xdr:col>12</xdr:col>
      <xdr:colOff>657000</xdr:colOff>
      <xdr:row>74</xdr:row>
      <xdr:rowOff>4320</xdr:rowOff>
    </xdr:to>
    <xdr:sp>
      <xdr:nvSpPr>
        <xdr:cNvPr id="10" name="Triángulo isósceles 13"/>
        <xdr:cNvSpPr/>
      </xdr:nvSpPr>
      <xdr:spPr>
        <a:xfrm>
          <a:off x="9606960" y="13565880"/>
          <a:ext cx="578160" cy="53532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12</xdr:col>
      <xdr:colOff>173520</xdr:colOff>
      <xdr:row>69</xdr:row>
      <xdr:rowOff>46440</xdr:rowOff>
    </xdr:from>
    <xdr:to>
      <xdr:col>13</xdr:col>
      <xdr:colOff>463320</xdr:colOff>
      <xdr:row>72</xdr:row>
      <xdr:rowOff>10080</xdr:rowOff>
    </xdr:to>
    <xdr:sp>
      <xdr:nvSpPr>
        <xdr:cNvPr id="11" name="Rectángulo 14"/>
        <xdr:cNvSpPr/>
      </xdr:nvSpPr>
      <xdr:spPr>
        <a:xfrm>
          <a:off x="9701640" y="13191120"/>
          <a:ext cx="1053000" cy="5349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Stock Finos Guayacan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15</xdr:col>
      <xdr:colOff>46080</xdr:colOff>
      <xdr:row>63</xdr:row>
      <xdr:rowOff>112320</xdr:rowOff>
    </xdr:from>
    <xdr:to>
      <xdr:col>17</xdr:col>
      <xdr:colOff>492840</xdr:colOff>
      <xdr:row>66</xdr:row>
      <xdr:rowOff>79560</xdr:rowOff>
    </xdr:to>
    <xdr:sp>
      <xdr:nvSpPr>
        <xdr:cNvPr id="12" name="Rectángulo 15"/>
        <xdr:cNvSpPr/>
      </xdr:nvSpPr>
      <xdr:spPr>
        <a:xfrm>
          <a:off x="12100320" y="12114000"/>
          <a:ext cx="2514240" cy="5385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Embarque Pellet Feed Guayacan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15</xdr:col>
      <xdr:colOff>98280</xdr:colOff>
      <xdr:row>67</xdr:row>
      <xdr:rowOff>122040</xdr:rowOff>
    </xdr:from>
    <xdr:to>
      <xdr:col>18</xdr:col>
      <xdr:colOff>112680</xdr:colOff>
      <xdr:row>70</xdr:row>
      <xdr:rowOff>88920</xdr:rowOff>
    </xdr:to>
    <xdr:sp>
      <xdr:nvSpPr>
        <xdr:cNvPr id="13" name="Rectángulo 16"/>
        <xdr:cNvSpPr/>
      </xdr:nvSpPr>
      <xdr:spPr>
        <a:xfrm>
          <a:off x="12152520" y="12885480"/>
          <a:ext cx="2892960" cy="5385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Transporte Camiones P Feed Guayacan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15</xdr:col>
      <xdr:colOff>46080</xdr:colOff>
      <xdr:row>71</xdr:row>
      <xdr:rowOff>118800</xdr:rowOff>
    </xdr:from>
    <xdr:to>
      <xdr:col>17</xdr:col>
      <xdr:colOff>492840</xdr:colOff>
      <xdr:row>74</xdr:row>
      <xdr:rowOff>86400</xdr:rowOff>
    </xdr:to>
    <xdr:sp>
      <xdr:nvSpPr>
        <xdr:cNvPr id="14" name="Rectángulo 17"/>
        <xdr:cNvSpPr/>
      </xdr:nvSpPr>
      <xdr:spPr>
        <a:xfrm>
          <a:off x="12100320" y="13644360"/>
          <a:ext cx="2514240" cy="5389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Embarque SF MLC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12</xdr:col>
      <xdr:colOff>191880</xdr:colOff>
      <xdr:row>83</xdr:row>
      <xdr:rowOff>187920</xdr:rowOff>
    </xdr:from>
    <xdr:to>
      <xdr:col>13</xdr:col>
      <xdr:colOff>7920</xdr:colOff>
      <xdr:row>86</xdr:row>
      <xdr:rowOff>155520</xdr:rowOff>
    </xdr:to>
    <xdr:sp>
      <xdr:nvSpPr>
        <xdr:cNvPr id="15" name="Triángulo isósceles 18"/>
        <xdr:cNvSpPr/>
      </xdr:nvSpPr>
      <xdr:spPr>
        <a:xfrm>
          <a:off x="9720000" y="15999480"/>
          <a:ext cx="579240" cy="53892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12</xdr:col>
      <xdr:colOff>543600</xdr:colOff>
      <xdr:row>84</xdr:row>
      <xdr:rowOff>64800</xdr:rowOff>
    </xdr:from>
    <xdr:to>
      <xdr:col>13</xdr:col>
      <xdr:colOff>731520</xdr:colOff>
      <xdr:row>87</xdr:row>
      <xdr:rowOff>32040</xdr:rowOff>
    </xdr:to>
    <xdr:sp>
      <xdr:nvSpPr>
        <xdr:cNvPr id="16" name="Rectángulo 19"/>
        <xdr:cNvSpPr/>
      </xdr:nvSpPr>
      <xdr:spPr>
        <a:xfrm>
          <a:off x="10071720" y="16066800"/>
          <a:ext cx="951120" cy="5389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Stock Finos Granzas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15</xdr:col>
      <xdr:colOff>158760</xdr:colOff>
      <xdr:row>84</xdr:row>
      <xdr:rowOff>105120</xdr:rowOff>
    </xdr:from>
    <xdr:to>
      <xdr:col>17</xdr:col>
      <xdr:colOff>605520</xdr:colOff>
      <xdr:row>87</xdr:row>
      <xdr:rowOff>72360</xdr:rowOff>
    </xdr:to>
    <xdr:sp>
      <xdr:nvSpPr>
        <xdr:cNvPr id="17" name="Rectángulo 20"/>
        <xdr:cNvSpPr/>
      </xdr:nvSpPr>
      <xdr:spPr>
        <a:xfrm>
          <a:off x="12213000" y="16107120"/>
          <a:ext cx="2514240" cy="5389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Embarque Granzas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7</xdr:col>
      <xdr:colOff>357480</xdr:colOff>
      <xdr:row>22</xdr:row>
      <xdr:rowOff>126720</xdr:rowOff>
    </xdr:from>
    <xdr:to>
      <xdr:col>7</xdr:col>
      <xdr:colOff>579600</xdr:colOff>
      <xdr:row>23</xdr:row>
      <xdr:rowOff>139320</xdr:rowOff>
    </xdr:to>
    <xdr:sp>
      <xdr:nvSpPr>
        <xdr:cNvPr id="18" name="Elipse 22"/>
        <xdr:cNvSpPr/>
      </xdr:nvSpPr>
      <xdr:spPr>
        <a:xfrm>
          <a:off x="5268600" y="4317840"/>
          <a:ext cx="222120" cy="203040"/>
        </a:xfrm>
        <a:prstGeom prst="ellipse">
          <a:avLst/>
        </a:prstGeom>
        <a:solidFill>
          <a:srgbClr val="203864"/>
        </a:solidFill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12</xdr:col>
      <xdr:colOff>338040</xdr:colOff>
      <xdr:row>63</xdr:row>
      <xdr:rowOff>142200</xdr:rowOff>
    </xdr:from>
    <xdr:to>
      <xdr:col>15</xdr:col>
      <xdr:colOff>45720</xdr:colOff>
      <xdr:row>64</xdr:row>
      <xdr:rowOff>189360</xdr:rowOff>
    </xdr:to>
    <xdr:cxnSp>
      <xdr:nvCxnSpPr>
        <xdr:cNvPr id="19" name="Conector: angular 23"/>
        <xdr:cNvCxnSpPr/>
      </xdr:nvCxnSpPr>
      <xdr:spPr>
        <a:xfrm>
          <a:off x="9866160" y="12143880"/>
          <a:ext cx="2234160" cy="237960"/>
        </a:xfrm>
        <a:prstGeom prst="bentConnector3">
          <a:avLst>
            <a:gd name="adj1" fmla="val 50008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91800</xdr:colOff>
      <xdr:row>61</xdr:row>
      <xdr:rowOff>65520</xdr:rowOff>
    </xdr:from>
    <xdr:to>
      <xdr:col>5</xdr:col>
      <xdr:colOff>645120</xdr:colOff>
      <xdr:row>63</xdr:row>
      <xdr:rowOff>111960</xdr:rowOff>
    </xdr:to>
    <xdr:sp>
      <xdr:nvSpPr>
        <xdr:cNvPr id="20" name="Rectángulo 24"/>
        <xdr:cNvSpPr/>
      </xdr:nvSpPr>
      <xdr:spPr>
        <a:xfrm>
          <a:off x="2736000" y="11685960"/>
          <a:ext cx="1364040" cy="42768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Otros Materiales a Preconcentradio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</xdr:col>
      <xdr:colOff>3240</xdr:colOff>
      <xdr:row>3</xdr:row>
      <xdr:rowOff>114120</xdr:rowOff>
    </xdr:from>
    <xdr:to>
      <xdr:col>6</xdr:col>
      <xdr:colOff>14760</xdr:colOff>
      <xdr:row>4</xdr:row>
      <xdr:rowOff>173520</xdr:rowOff>
    </xdr:to>
    <xdr:sp>
      <xdr:nvSpPr>
        <xdr:cNvPr id="21" name="Rectángulo 25"/>
        <xdr:cNvSpPr/>
      </xdr:nvSpPr>
      <xdr:spPr>
        <a:xfrm>
          <a:off x="2647440" y="685800"/>
          <a:ext cx="1515240" cy="2498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Alimentación Chancado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5</xdr:col>
      <xdr:colOff>9000</xdr:colOff>
      <xdr:row>4</xdr:row>
      <xdr:rowOff>173520</xdr:rowOff>
    </xdr:from>
    <xdr:to>
      <xdr:col>6</xdr:col>
      <xdr:colOff>424080</xdr:colOff>
      <xdr:row>7</xdr:row>
      <xdr:rowOff>149760</xdr:rowOff>
    </xdr:to>
    <xdr:cxnSp>
      <xdr:nvCxnSpPr>
        <xdr:cNvPr id="22" name="Conector: angular 26"/>
        <xdr:cNvCxnSpPr/>
      </xdr:nvCxnSpPr>
      <xdr:spPr>
        <a:xfrm>
          <a:off x="3463920" y="935640"/>
          <a:ext cx="1108440" cy="54792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106920</xdr:colOff>
      <xdr:row>12</xdr:row>
      <xdr:rowOff>77400</xdr:rowOff>
    </xdr:from>
    <xdr:to>
      <xdr:col>4</xdr:col>
      <xdr:colOff>685080</xdr:colOff>
      <xdr:row>15</xdr:row>
      <xdr:rowOff>44640</xdr:rowOff>
    </xdr:to>
    <xdr:sp>
      <xdr:nvSpPr>
        <xdr:cNvPr id="23" name="Triángulo isósceles 27"/>
        <xdr:cNvSpPr/>
      </xdr:nvSpPr>
      <xdr:spPr>
        <a:xfrm>
          <a:off x="2751120" y="2363400"/>
          <a:ext cx="578160" cy="53892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3</xdr:col>
      <xdr:colOff>190440</xdr:colOff>
      <xdr:row>14</xdr:row>
      <xdr:rowOff>85320</xdr:rowOff>
    </xdr:from>
    <xdr:to>
      <xdr:col>4</xdr:col>
      <xdr:colOff>164160</xdr:colOff>
      <xdr:row>16</xdr:row>
      <xdr:rowOff>31680</xdr:rowOff>
    </xdr:to>
    <xdr:sp>
      <xdr:nvSpPr>
        <xdr:cNvPr id="24" name="Rectángulo 28"/>
        <xdr:cNvSpPr/>
      </xdr:nvSpPr>
      <xdr:spPr>
        <a:xfrm>
          <a:off x="2023560" y="2752200"/>
          <a:ext cx="784800" cy="3276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Stock ML Pleito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111960</xdr:colOff>
      <xdr:row>11</xdr:row>
      <xdr:rowOff>156960</xdr:rowOff>
    </xdr:from>
    <xdr:to>
      <xdr:col>1</xdr:col>
      <xdr:colOff>671760</xdr:colOff>
      <xdr:row>13</xdr:row>
      <xdr:rowOff>102240</xdr:rowOff>
    </xdr:to>
    <xdr:sp>
      <xdr:nvSpPr>
        <xdr:cNvPr id="25" name="Rectángulo 29"/>
        <xdr:cNvSpPr/>
      </xdr:nvSpPr>
      <xdr:spPr>
        <a:xfrm>
          <a:off x="323280" y="2252520"/>
          <a:ext cx="559800" cy="3261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ML Pleito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426240</xdr:colOff>
      <xdr:row>13</xdr:row>
      <xdr:rowOff>152280</xdr:rowOff>
    </xdr:from>
    <xdr:to>
      <xdr:col>4</xdr:col>
      <xdr:colOff>251640</xdr:colOff>
      <xdr:row>14</xdr:row>
      <xdr:rowOff>145440</xdr:rowOff>
    </xdr:to>
    <xdr:cxnSp>
      <xdr:nvCxnSpPr>
        <xdr:cNvPr id="26" name="Conector: angular 30"/>
        <xdr:cNvCxnSpPr/>
      </xdr:nvCxnSpPr>
      <xdr:spPr>
        <a:xfrm flipV="1">
          <a:off x="637560" y="2628720"/>
          <a:ext cx="2258640" cy="183960"/>
        </a:xfrm>
        <a:prstGeom prst="bentConnector3">
          <a:avLst>
            <a:gd name="adj1" fmla="val 50007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540720</xdr:colOff>
      <xdr:row>8</xdr:row>
      <xdr:rowOff>167400</xdr:rowOff>
    </xdr:from>
    <xdr:to>
      <xdr:col>5</xdr:col>
      <xdr:colOff>622440</xdr:colOff>
      <xdr:row>13</xdr:row>
      <xdr:rowOff>154800</xdr:rowOff>
    </xdr:to>
    <xdr:cxnSp>
      <xdr:nvCxnSpPr>
        <xdr:cNvPr id="27" name="Conector: angular 31"/>
        <xdr:cNvCxnSpPr/>
      </xdr:nvCxnSpPr>
      <xdr:spPr>
        <a:xfrm flipH="1" flipV="1" rot="5400000">
          <a:off x="3160800" y="1715040"/>
          <a:ext cx="940320" cy="892800"/>
        </a:xfrm>
        <a:prstGeom prst="bentConnector3">
          <a:avLst>
            <a:gd name="adj1" fmla="val 4998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2</xdr:col>
      <xdr:colOff>179280</xdr:colOff>
      <xdr:row>19</xdr:row>
      <xdr:rowOff>172080</xdr:rowOff>
    </xdr:from>
    <xdr:to>
      <xdr:col>4</xdr:col>
      <xdr:colOff>124200</xdr:colOff>
      <xdr:row>21</xdr:row>
      <xdr:rowOff>104040</xdr:rowOff>
    </xdr:to>
    <xdr:sp>
      <xdr:nvSpPr>
        <xdr:cNvPr id="28" name="Rectángulo 32"/>
        <xdr:cNvSpPr/>
      </xdr:nvSpPr>
      <xdr:spPr>
        <a:xfrm>
          <a:off x="1201680" y="3791520"/>
          <a:ext cx="1566720" cy="3132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Otros Materiales a Stock Intermedio desde Pleito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</xdr:col>
      <xdr:colOff>124200</xdr:colOff>
      <xdr:row>12</xdr:row>
      <xdr:rowOff>13680</xdr:rowOff>
    </xdr:from>
    <xdr:to>
      <xdr:col>9</xdr:col>
      <xdr:colOff>273240</xdr:colOff>
      <xdr:row>20</xdr:row>
      <xdr:rowOff>138240</xdr:rowOff>
    </xdr:to>
    <xdr:cxnSp>
      <xdr:nvCxnSpPr>
        <xdr:cNvPr id="29" name="Conector: angular 33"/>
        <xdr:cNvCxnSpPr/>
      </xdr:nvCxnSpPr>
      <xdr:spPr>
        <a:xfrm flipV="1">
          <a:off x="2768400" y="2299680"/>
          <a:ext cx="4389120" cy="1648800"/>
        </a:xfrm>
        <a:prstGeom prst="bentConnector3">
          <a:avLst>
            <a:gd name="adj1" fmla="val 50004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7</xdr:col>
      <xdr:colOff>225360</xdr:colOff>
      <xdr:row>8</xdr:row>
      <xdr:rowOff>167400</xdr:rowOff>
    </xdr:from>
    <xdr:to>
      <xdr:col>9</xdr:col>
      <xdr:colOff>398880</xdr:colOff>
      <xdr:row>10</xdr:row>
      <xdr:rowOff>188640</xdr:rowOff>
    </xdr:to>
    <xdr:cxnSp>
      <xdr:nvCxnSpPr>
        <xdr:cNvPr id="30" name="Conector: angular 34"/>
        <xdr:cNvCxnSpPr/>
      </xdr:nvCxnSpPr>
      <xdr:spPr>
        <a:xfrm>
          <a:off x="5136480" y="1691280"/>
          <a:ext cx="2146680" cy="40284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6</xdr:col>
      <xdr:colOff>410760</xdr:colOff>
      <xdr:row>9</xdr:row>
      <xdr:rowOff>184680</xdr:rowOff>
    </xdr:from>
    <xdr:to>
      <xdr:col>6</xdr:col>
      <xdr:colOff>424080</xdr:colOff>
      <xdr:row>13</xdr:row>
      <xdr:rowOff>24480</xdr:rowOff>
    </xdr:to>
    <xdr:cxnSp>
      <xdr:nvCxnSpPr>
        <xdr:cNvPr id="31" name="Conector recto de flecha 35"/>
        <xdr:cNvCxnSpPr/>
      </xdr:nvCxnSpPr>
      <xdr:spPr>
        <a:xfrm flipH="1">
          <a:off x="4558680" y="1899360"/>
          <a:ext cx="13680" cy="6019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5</xdr:col>
      <xdr:colOff>598680</xdr:colOff>
      <xdr:row>13</xdr:row>
      <xdr:rowOff>18720</xdr:rowOff>
    </xdr:from>
    <xdr:to>
      <xdr:col>6</xdr:col>
      <xdr:colOff>714960</xdr:colOff>
      <xdr:row>14</xdr:row>
      <xdr:rowOff>46800</xdr:rowOff>
    </xdr:to>
    <xdr:sp>
      <xdr:nvSpPr>
        <xdr:cNvPr id="32" name="Rectángulo 36"/>
        <xdr:cNvSpPr/>
      </xdr:nvSpPr>
      <xdr:spPr>
        <a:xfrm>
          <a:off x="4053600" y="2495160"/>
          <a:ext cx="809280" cy="2185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RECHAZOS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524160</xdr:colOff>
      <xdr:row>8</xdr:row>
      <xdr:rowOff>68760</xdr:rowOff>
    </xdr:from>
    <xdr:to>
      <xdr:col>13</xdr:col>
      <xdr:colOff>735840</xdr:colOff>
      <xdr:row>12</xdr:row>
      <xdr:rowOff>13680</xdr:rowOff>
    </xdr:to>
    <xdr:cxnSp>
      <xdr:nvCxnSpPr>
        <xdr:cNvPr id="33" name="Conector: angular 37"/>
        <xdr:cNvCxnSpPr/>
      </xdr:nvCxnSpPr>
      <xdr:spPr>
        <a:xfrm flipV="1">
          <a:off x="7408080" y="1592640"/>
          <a:ext cx="3619440" cy="707400"/>
        </a:xfrm>
        <a:prstGeom prst="bentConnector3">
          <a:avLst>
            <a:gd name="adj1" fmla="val 50004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424800</xdr:colOff>
      <xdr:row>24</xdr:row>
      <xdr:rowOff>123840</xdr:rowOff>
    </xdr:from>
    <xdr:to>
      <xdr:col>5</xdr:col>
      <xdr:colOff>240840</xdr:colOff>
      <xdr:row>27</xdr:row>
      <xdr:rowOff>91080</xdr:rowOff>
    </xdr:to>
    <xdr:sp>
      <xdr:nvSpPr>
        <xdr:cNvPr id="34" name="Triángulo isósceles 38"/>
        <xdr:cNvSpPr/>
      </xdr:nvSpPr>
      <xdr:spPr>
        <a:xfrm>
          <a:off x="3069000" y="4695840"/>
          <a:ext cx="626760" cy="53892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3</xdr:col>
      <xdr:colOff>538920</xdr:colOff>
      <xdr:row>26</xdr:row>
      <xdr:rowOff>158760</xdr:rowOff>
    </xdr:from>
    <xdr:to>
      <xdr:col>4</xdr:col>
      <xdr:colOff>716760</xdr:colOff>
      <xdr:row>28</xdr:row>
      <xdr:rowOff>106200</xdr:rowOff>
    </xdr:to>
    <xdr:sp>
      <xdr:nvSpPr>
        <xdr:cNvPr id="35" name="Rectángulo 39"/>
        <xdr:cNvSpPr/>
      </xdr:nvSpPr>
      <xdr:spPr>
        <a:xfrm>
          <a:off x="2372040" y="5111640"/>
          <a:ext cx="988920" cy="32868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Stock Emergencia 1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</xdr:col>
      <xdr:colOff>138600</xdr:colOff>
      <xdr:row>24</xdr:row>
      <xdr:rowOff>91800</xdr:rowOff>
    </xdr:from>
    <xdr:to>
      <xdr:col>4</xdr:col>
      <xdr:colOff>216720</xdr:colOff>
      <xdr:row>26</xdr:row>
      <xdr:rowOff>37080</xdr:rowOff>
    </xdr:to>
    <xdr:sp>
      <xdr:nvSpPr>
        <xdr:cNvPr id="36" name="Rectángulo 40"/>
        <xdr:cNvSpPr/>
      </xdr:nvSpPr>
      <xdr:spPr>
        <a:xfrm>
          <a:off x="1971720" y="4663800"/>
          <a:ext cx="889200" cy="3261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Finos Pleito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</xdr:col>
      <xdr:colOff>111960</xdr:colOff>
      <xdr:row>25</xdr:row>
      <xdr:rowOff>141480</xdr:rowOff>
    </xdr:from>
    <xdr:to>
      <xdr:col>4</xdr:col>
      <xdr:colOff>569160</xdr:colOff>
      <xdr:row>25</xdr:row>
      <xdr:rowOff>144000</xdr:rowOff>
    </xdr:to>
    <xdr:cxnSp>
      <xdr:nvCxnSpPr>
        <xdr:cNvPr id="37" name="Conector: angular 41"/>
        <xdr:cNvCxnSpPr/>
      </xdr:nvCxnSpPr>
      <xdr:spPr>
        <a:xfrm flipV="1">
          <a:off x="1945080" y="4903920"/>
          <a:ext cx="1268640" cy="2880"/>
        </a:xfrm>
        <a:prstGeom prst="bentConnector3">
          <a:avLst>
            <a:gd name="adj1" fmla="val 50014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5</xdr:col>
      <xdr:colOff>96480</xdr:colOff>
      <xdr:row>23</xdr:row>
      <xdr:rowOff>139320</xdr:rowOff>
    </xdr:from>
    <xdr:to>
      <xdr:col>7</xdr:col>
      <xdr:colOff>468360</xdr:colOff>
      <xdr:row>26</xdr:row>
      <xdr:rowOff>14760</xdr:rowOff>
    </xdr:to>
    <xdr:cxnSp>
      <xdr:nvCxnSpPr>
        <xdr:cNvPr id="38" name="Conector: angular 42"/>
        <xdr:cNvCxnSpPr/>
      </xdr:nvCxnSpPr>
      <xdr:spPr>
        <a:xfrm flipV="1">
          <a:off x="3551400" y="4520880"/>
          <a:ext cx="1828440" cy="44712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5</xdr:col>
      <xdr:colOff>66600</xdr:colOff>
      <xdr:row>24</xdr:row>
      <xdr:rowOff>36720</xdr:rowOff>
    </xdr:from>
    <xdr:to>
      <xdr:col>6</xdr:col>
      <xdr:colOff>144720</xdr:colOff>
      <xdr:row>25</xdr:row>
      <xdr:rowOff>168480</xdr:rowOff>
    </xdr:to>
    <xdr:sp>
      <xdr:nvSpPr>
        <xdr:cNvPr id="39" name="Rectángulo 43"/>
        <xdr:cNvSpPr/>
      </xdr:nvSpPr>
      <xdr:spPr>
        <a:xfrm>
          <a:off x="3521520" y="4608720"/>
          <a:ext cx="771120" cy="3222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Alim Finos Pleito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</xdr:col>
      <xdr:colOff>442440</xdr:colOff>
      <xdr:row>33</xdr:row>
      <xdr:rowOff>169200</xdr:rowOff>
    </xdr:from>
    <xdr:to>
      <xdr:col>5</xdr:col>
      <xdr:colOff>258480</xdr:colOff>
      <xdr:row>36</xdr:row>
      <xdr:rowOff>136440</xdr:rowOff>
    </xdr:to>
    <xdr:sp>
      <xdr:nvSpPr>
        <xdr:cNvPr id="40" name="Triángulo isósceles 44"/>
        <xdr:cNvSpPr/>
      </xdr:nvSpPr>
      <xdr:spPr>
        <a:xfrm>
          <a:off x="3086640" y="6455880"/>
          <a:ext cx="626760" cy="53856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3</xdr:col>
      <xdr:colOff>496800</xdr:colOff>
      <xdr:row>36</xdr:row>
      <xdr:rowOff>121680</xdr:rowOff>
    </xdr:from>
    <xdr:to>
      <xdr:col>4</xdr:col>
      <xdr:colOff>671760</xdr:colOff>
      <xdr:row>38</xdr:row>
      <xdr:rowOff>181440</xdr:rowOff>
    </xdr:to>
    <xdr:sp>
      <xdr:nvSpPr>
        <xdr:cNvPr id="41" name="Rectángulo 45"/>
        <xdr:cNvSpPr/>
      </xdr:nvSpPr>
      <xdr:spPr>
        <a:xfrm>
          <a:off x="2329920" y="6979680"/>
          <a:ext cx="986040" cy="4406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Stock Emergencia 2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</xdr:col>
      <xdr:colOff>111960</xdr:colOff>
      <xdr:row>35</xdr:row>
      <xdr:rowOff>59400</xdr:rowOff>
    </xdr:from>
    <xdr:to>
      <xdr:col>4</xdr:col>
      <xdr:colOff>586800</xdr:colOff>
      <xdr:row>35</xdr:row>
      <xdr:rowOff>61560</xdr:rowOff>
    </xdr:to>
    <xdr:cxnSp>
      <xdr:nvCxnSpPr>
        <xdr:cNvPr id="42" name="Conector: angular 46"/>
        <xdr:cNvCxnSpPr/>
      </xdr:nvCxnSpPr>
      <xdr:spPr>
        <a:xfrm flipV="1">
          <a:off x="1945080" y="6726960"/>
          <a:ext cx="1286280" cy="252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5</xdr:col>
      <xdr:colOff>114120</xdr:colOff>
      <xdr:row>23</xdr:row>
      <xdr:rowOff>139320</xdr:rowOff>
    </xdr:from>
    <xdr:to>
      <xdr:col>7</xdr:col>
      <xdr:colOff>468360</xdr:colOff>
      <xdr:row>35</xdr:row>
      <xdr:rowOff>59400</xdr:rowOff>
    </xdr:to>
    <xdr:cxnSp>
      <xdr:nvCxnSpPr>
        <xdr:cNvPr id="43" name="Conector: angular 47"/>
        <xdr:cNvCxnSpPr/>
      </xdr:nvCxnSpPr>
      <xdr:spPr>
        <a:xfrm flipH="1" flipV="1" rot="5400000">
          <a:off x="3371040" y="4718880"/>
          <a:ext cx="2206440" cy="181080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719280</xdr:colOff>
      <xdr:row>32</xdr:row>
      <xdr:rowOff>94320</xdr:rowOff>
    </xdr:from>
    <xdr:to>
      <xdr:col>6</xdr:col>
      <xdr:colOff>365760</xdr:colOff>
      <xdr:row>34</xdr:row>
      <xdr:rowOff>173160</xdr:rowOff>
    </xdr:to>
    <xdr:sp>
      <xdr:nvSpPr>
        <xdr:cNvPr id="44" name="Rectángulo 48"/>
        <xdr:cNvSpPr/>
      </xdr:nvSpPr>
      <xdr:spPr>
        <a:xfrm>
          <a:off x="3363480" y="6190200"/>
          <a:ext cx="1150200" cy="46008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P55  de Emergencia 2 a Pre-concentrado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</xdr:col>
      <xdr:colOff>272520</xdr:colOff>
      <xdr:row>33</xdr:row>
      <xdr:rowOff>169560</xdr:rowOff>
    </xdr:from>
    <xdr:to>
      <xdr:col>4</xdr:col>
      <xdr:colOff>12240</xdr:colOff>
      <xdr:row>35</xdr:row>
      <xdr:rowOff>18000</xdr:rowOff>
    </xdr:to>
    <xdr:sp>
      <xdr:nvSpPr>
        <xdr:cNvPr id="45" name="Rectángulo 49"/>
        <xdr:cNvSpPr/>
      </xdr:nvSpPr>
      <xdr:spPr>
        <a:xfrm>
          <a:off x="2105640" y="6456240"/>
          <a:ext cx="550800" cy="2293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P55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7</xdr:col>
      <xdr:colOff>468360</xdr:colOff>
      <xdr:row>17</xdr:row>
      <xdr:rowOff>186480</xdr:rowOff>
    </xdr:from>
    <xdr:to>
      <xdr:col>12</xdr:col>
      <xdr:colOff>295560</xdr:colOff>
      <xdr:row>22</xdr:row>
      <xdr:rowOff>126360</xdr:rowOff>
    </xdr:to>
    <xdr:cxnSp>
      <xdr:nvCxnSpPr>
        <xdr:cNvPr id="46" name="Conector: angular 50"/>
        <xdr:cNvCxnSpPr/>
      </xdr:nvCxnSpPr>
      <xdr:spPr>
        <a:xfrm flipV="1">
          <a:off x="5379480" y="3425040"/>
          <a:ext cx="4444560" cy="892800"/>
        </a:xfrm>
        <a:prstGeom prst="bentConnector3">
          <a:avLst>
            <a:gd name="adj1" fmla="val 50004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450360</xdr:colOff>
      <xdr:row>43</xdr:row>
      <xdr:rowOff>106200</xdr:rowOff>
    </xdr:from>
    <xdr:to>
      <xdr:col>5</xdr:col>
      <xdr:colOff>266400</xdr:colOff>
      <xdr:row>46</xdr:row>
      <xdr:rowOff>73080</xdr:rowOff>
    </xdr:to>
    <xdr:sp>
      <xdr:nvSpPr>
        <xdr:cNvPr id="47" name="Triángulo isósceles 51"/>
        <xdr:cNvSpPr/>
      </xdr:nvSpPr>
      <xdr:spPr>
        <a:xfrm>
          <a:off x="3094560" y="8297640"/>
          <a:ext cx="626760" cy="53856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3</xdr:col>
      <xdr:colOff>467640</xdr:colOff>
      <xdr:row>46</xdr:row>
      <xdr:rowOff>88200</xdr:rowOff>
    </xdr:from>
    <xdr:to>
      <xdr:col>4</xdr:col>
      <xdr:colOff>746640</xdr:colOff>
      <xdr:row>48</xdr:row>
      <xdr:rowOff>24120</xdr:rowOff>
    </xdr:to>
    <xdr:sp>
      <xdr:nvSpPr>
        <xdr:cNvPr id="48" name="Rectángulo 52"/>
        <xdr:cNvSpPr/>
      </xdr:nvSpPr>
      <xdr:spPr>
        <a:xfrm>
          <a:off x="2300760" y="8851320"/>
          <a:ext cx="1090080" cy="3168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Stock Emergencia 3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</xdr:col>
      <xdr:colOff>209160</xdr:colOff>
      <xdr:row>44</xdr:row>
      <xdr:rowOff>181440</xdr:rowOff>
    </xdr:from>
    <xdr:to>
      <xdr:col>4</xdr:col>
      <xdr:colOff>595080</xdr:colOff>
      <xdr:row>44</xdr:row>
      <xdr:rowOff>183240</xdr:rowOff>
    </xdr:to>
    <xdr:cxnSp>
      <xdr:nvCxnSpPr>
        <xdr:cNvPr id="49" name="Conector: angular 53"/>
        <xdr:cNvCxnSpPr/>
      </xdr:nvCxnSpPr>
      <xdr:spPr>
        <a:xfrm>
          <a:off x="2042280" y="8563320"/>
          <a:ext cx="1197360" cy="2160"/>
        </a:xfrm>
        <a:prstGeom prst="bentConnector3">
          <a:avLst>
            <a:gd name="adj1" fmla="val 50015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734760</xdr:colOff>
      <xdr:row>42</xdr:row>
      <xdr:rowOff>16920</xdr:rowOff>
    </xdr:from>
    <xdr:to>
      <xdr:col>6</xdr:col>
      <xdr:colOff>291240</xdr:colOff>
      <xdr:row>44</xdr:row>
      <xdr:rowOff>115920</xdr:rowOff>
    </xdr:to>
    <xdr:sp>
      <xdr:nvSpPr>
        <xdr:cNvPr id="50" name="Rectángulo 54"/>
        <xdr:cNvSpPr/>
      </xdr:nvSpPr>
      <xdr:spPr>
        <a:xfrm>
          <a:off x="3378960" y="8017920"/>
          <a:ext cx="1060200" cy="47988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P40  de Emergencia 3 a Pre-concentrado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</xdr:col>
      <xdr:colOff>280800</xdr:colOff>
      <xdr:row>42</xdr:row>
      <xdr:rowOff>151200</xdr:rowOff>
    </xdr:from>
    <xdr:to>
      <xdr:col>4</xdr:col>
      <xdr:colOff>20520</xdr:colOff>
      <xdr:row>44</xdr:row>
      <xdr:rowOff>121680</xdr:rowOff>
    </xdr:to>
    <xdr:sp>
      <xdr:nvSpPr>
        <xdr:cNvPr id="51" name="Rectángulo 55"/>
        <xdr:cNvSpPr/>
      </xdr:nvSpPr>
      <xdr:spPr>
        <a:xfrm>
          <a:off x="2113920" y="8152200"/>
          <a:ext cx="550800" cy="3513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P40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5</xdr:col>
      <xdr:colOff>122040</xdr:colOff>
      <xdr:row>23</xdr:row>
      <xdr:rowOff>139320</xdr:rowOff>
    </xdr:from>
    <xdr:to>
      <xdr:col>7</xdr:col>
      <xdr:colOff>468360</xdr:colOff>
      <xdr:row>44</xdr:row>
      <xdr:rowOff>183240</xdr:rowOff>
    </xdr:to>
    <xdr:cxnSp>
      <xdr:nvCxnSpPr>
        <xdr:cNvPr id="52" name="Conector: angular 56"/>
        <xdr:cNvCxnSpPr/>
      </xdr:nvCxnSpPr>
      <xdr:spPr>
        <a:xfrm flipH="1" flipV="1" rot="5400000">
          <a:off x="2455920" y="5641920"/>
          <a:ext cx="4044600" cy="1802880"/>
        </a:xfrm>
        <a:prstGeom prst="bentConnector3">
          <a:avLst>
            <a:gd name="adj1" fmla="val 49991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399240</xdr:colOff>
      <xdr:row>54</xdr:row>
      <xdr:rowOff>34200</xdr:rowOff>
    </xdr:from>
    <xdr:to>
      <xdr:col>5</xdr:col>
      <xdr:colOff>215280</xdr:colOff>
      <xdr:row>56</xdr:row>
      <xdr:rowOff>188640</xdr:rowOff>
    </xdr:to>
    <xdr:sp>
      <xdr:nvSpPr>
        <xdr:cNvPr id="53" name="Triángulo isósceles 57"/>
        <xdr:cNvSpPr/>
      </xdr:nvSpPr>
      <xdr:spPr>
        <a:xfrm>
          <a:off x="3043440" y="10321200"/>
          <a:ext cx="626760" cy="53532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4</xdr:col>
      <xdr:colOff>28080</xdr:colOff>
      <xdr:row>57</xdr:row>
      <xdr:rowOff>53640</xdr:rowOff>
    </xdr:from>
    <xdr:to>
      <xdr:col>5</xdr:col>
      <xdr:colOff>658440</xdr:colOff>
      <xdr:row>58</xdr:row>
      <xdr:rowOff>66240</xdr:rowOff>
    </xdr:to>
    <xdr:sp>
      <xdr:nvSpPr>
        <xdr:cNvPr id="54" name="Rectángulo 58"/>
        <xdr:cNvSpPr/>
      </xdr:nvSpPr>
      <xdr:spPr>
        <a:xfrm>
          <a:off x="2672280" y="10912320"/>
          <a:ext cx="1441080" cy="2030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Stock Emergencia 4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</xdr:col>
      <xdr:colOff>373320</xdr:colOff>
      <xdr:row>55</xdr:row>
      <xdr:rowOff>111600</xdr:rowOff>
    </xdr:from>
    <xdr:to>
      <xdr:col>4</xdr:col>
      <xdr:colOff>543600</xdr:colOff>
      <xdr:row>55</xdr:row>
      <xdr:rowOff>114120</xdr:rowOff>
    </xdr:to>
    <xdr:cxnSp>
      <xdr:nvCxnSpPr>
        <xdr:cNvPr id="55" name="Conector: angular 59"/>
        <xdr:cNvCxnSpPr/>
      </xdr:nvCxnSpPr>
      <xdr:spPr>
        <a:xfrm flipV="1">
          <a:off x="2206440" y="10589040"/>
          <a:ext cx="981720" cy="288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5</xdr:col>
      <xdr:colOff>41040</xdr:colOff>
      <xdr:row>52</xdr:row>
      <xdr:rowOff>91440</xdr:rowOff>
    </xdr:from>
    <xdr:to>
      <xdr:col>6</xdr:col>
      <xdr:colOff>417960</xdr:colOff>
      <xdr:row>55</xdr:row>
      <xdr:rowOff>111600</xdr:rowOff>
    </xdr:to>
    <xdr:sp>
      <xdr:nvSpPr>
        <xdr:cNvPr id="56" name="Rectángulo 60"/>
        <xdr:cNvSpPr/>
      </xdr:nvSpPr>
      <xdr:spPr>
        <a:xfrm>
          <a:off x="3495960" y="9997560"/>
          <a:ext cx="1069920" cy="59148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Sinter MLC Emergencia 4 a Pre-concentrado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</xdr:col>
      <xdr:colOff>95040</xdr:colOff>
      <xdr:row>52</xdr:row>
      <xdr:rowOff>183960</xdr:rowOff>
    </xdr:from>
    <xdr:to>
      <xdr:col>4</xdr:col>
      <xdr:colOff>120600</xdr:colOff>
      <xdr:row>54</xdr:row>
      <xdr:rowOff>32400</xdr:rowOff>
    </xdr:to>
    <xdr:sp>
      <xdr:nvSpPr>
        <xdr:cNvPr id="57" name="Rectángulo 61"/>
        <xdr:cNvSpPr/>
      </xdr:nvSpPr>
      <xdr:spPr>
        <a:xfrm>
          <a:off x="1928160" y="10090080"/>
          <a:ext cx="836640" cy="2293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Sinter MLC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5</xdr:col>
      <xdr:colOff>70920</xdr:colOff>
      <xdr:row>23</xdr:row>
      <xdr:rowOff>139320</xdr:rowOff>
    </xdr:from>
    <xdr:to>
      <xdr:col>7</xdr:col>
      <xdr:colOff>468360</xdr:colOff>
      <xdr:row>55</xdr:row>
      <xdr:rowOff>111600</xdr:rowOff>
    </xdr:to>
    <xdr:cxnSp>
      <xdr:nvCxnSpPr>
        <xdr:cNvPr id="58" name="Conector: angular 62"/>
        <xdr:cNvCxnSpPr/>
      </xdr:nvCxnSpPr>
      <xdr:spPr>
        <a:xfrm flipH="1" flipV="1" rot="5400000">
          <a:off x="1418400" y="6628320"/>
          <a:ext cx="6068520" cy="1854000"/>
        </a:xfrm>
        <a:prstGeom prst="bentConnector3">
          <a:avLst>
            <a:gd name="adj1" fmla="val 49994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5</xdr:col>
      <xdr:colOff>645480</xdr:colOff>
      <xdr:row>23</xdr:row>
      <xdr:rowOff>139320</xdr:rowOff>
    </xdr:from>
    <xdr:to>
      <xdr:col>7</xdr:col>
      <xdr:colOff>468360</xdr:colOff>
      <xdr:row>62</xdr:row>
      <xdr:rowOff>88920</xdr:rowOff>
    </xdr:to>
    <xdr:cxnSp>
      <xdr:nvCxnSpPr>
        <xdr:cNvPr id="59" name="Conector: angular 63"/>
        <xdr:cNvCxnSpPr/>
      </xdr:nvCxnSpPr>
      <xdr:spPr>
        <a:xfrm flipH="1" flipV="1" rot="5400000">
          <a:off x="1050120" y="7570800"/>
          <a:ext cx="7379280" cy="1279440"/>
        </a:xfrm>
        <a:prstGeom prst="bentConnector3">
          <a:avLst>
            <a:gd name="adj1" fmla="val 49997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9</xdr:col>
      <xdr:colOff>649800</xdr:colOff>
      <xdr:row>13</xdr:row>
      <xdr:rowOff>25560</xdr:rowOff>
    </xdr:from>
    <xdr:to>
      <xdr:col>12</xdr:col>
      <xdr:colOff>440280</xdr:colOff>
      <xdr:row>16</xdr:row>
      <xdr:rowOff>109080</xdr:rowOff>
    </xdr:to>
    <xdr:cxnSp>
      <xdr:nvCxnSpPr>
        <xdr:cNvPr id="60" name="Conector: angular 64"/>
        <xdr:cNvCxnSpPr/>
      </xdr:nvCxnSpPr>
      <xdr:spPr>
        <a:xfrm>
          <a:off x="7533720" y="2502000"/>
          <a:ext cx="2435040" cy="655560"/>
        </a:xfrm>
        <a:prstGeom prst="bentConnector3">
          <a:avLst>
            <a:gd name="adj1" fmla="val 50007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512640</xdr:colOff>
      <xdr:row>10</xdr:row>
      <xdr:rowOff>103680</xdr:rowOff>
    </xdr:from>
    <xdr:to>
      <xdr:col>13</xdr:col>
      <xdr:colOff>735840</xdr:colOff>
      <xdr:row>17</xdr:row>
      <xdr:rowOff>78480</xdr:rowOff>
    </xdr:to>
    <xdr:cxnSp>
      <xdr:nvCxnSpPr>
        <xdr:cNvPr id="61" name="Conector: angular 65"/>
        <xdr:cNvCxnSpPr/>
      </xdr:nvCxnSpPr>
      <xdr:spPr>
        <a:xfrm rot="5400000">
          <a:off x="9879840" y="2169720"/>
          <a:ext cx="1308600" cy="98676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151200</xdr:colOff>
      <xdr:row>16</xdr:row>
      <xdr:rowOff>109440</xdr:rowOff>
    </xdr:from>
    <xdr:to>
      <xdr:col>12</xdr:col>
      <xdr:colOff>729360</xdr:colOff>
      <xdr:row>19</xdr:row>
      <xdr:rowOff>77040</xdr:rowOff>
    </xdr:to>
    <xdr:grpSp>
      <xdr:nvGrpSpPr>
        <xdr:cNvPr id="62" name="Grupo 66"/>
        <xdr:cNvGrpSpPr/>
      </xdr:nvGrpSpPr>
      <xdr:grpSpPr>
        <a:xfrm>
          <a:off x="9679320" y="3157560"/>
          <a:ext cx="578160" cy="538920"/>
          <a:chOff x="9679320" y="3157560"/>
          <a:chExt cx="578160" cy="538920"/>
        </a:xfrm>
      </xdr:grpSpPr>
      <xdr:sp>
        <xdr:nvSpPr>
          <xdr:cNvPr id="63" name="Triángulo isósceles 112"/>
          <xdr:cNvSpPr/>
        </xdr:nvSpPr>
        <xdr:spPr>
          <a:xfrm>
            <a:off x="9679320" y="3157560"/>
            <a:ext cx="578160" cy="538920"/>
          </a:xfrm>
          <a:prstGeom prst="triangle">
            <a:avLst>
              <a:gd name="adj" fmla="val 50000"/>
            </a:avLst>
          </a:prstGeom>
          <a:noFill/>
          <a:ln w="12700">
            <a:solidFill>
              <a:srgbClr val="325490"/>
            </a:solidFill>
            <a:miter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  <xdr:sp>
        <xdr:nvSpPr>
          <xdr:cNvPr id="64" name="Elipse 113"/>
          <xdr:cNvSpPr/>
        </xdr:nvSpPr>
        <xdr:spPr>
          <a:xfrm>
            <a:off x="9896400" y="3253680"/>
            <a:ext cx="144360" cy="126360"/>
          </a:xfrm>
          <a:prstGeom prst="ellipse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  <xdr:sp>
        <xdr:nvSpPr>
          <xdr:cNvPr id="65" name="Elipse 114"/>
          <xdr:cNvSpPr/>
        </xdr:nvSpPr>
        <xdr:spPr>
          <a:xfrm>
            <a:off x="9968760" y="3403800"/>
            <a:ext cx="144360" cy="126360"/>
          </a:xfrm>
          <a:prstGeom prst="ellipse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  <xdr:sp>
        <xdr:nvSpPr>
          <xdr:cNvPr id="66" name="Elipse 115"/>
          <xdr:cNvSpPr/>
        </xdr:nvSpPr>
        <xdr:spPr>
          <a:xfrm>
            <a:off x="10040760" y="3535920"/>
            <a:ext cx="144360" cy="126360"/>
          </a:xfrm>
          <a:prstGeom prst="ellipse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</xdr:grpSp>
    <xdr:clientData/>
  </xdr:twoCellAnchor>
  <xdr:twoCellAnchor editAs="twoCell">
    <xdr:from>
      <xdr:col>13</xdr:col>
      <xdr:colOff>172440</xdr:colOff>
      <xdr:row>8</xdr:row>
      <xdr:rowOff>69120</xdr:rowOff>
    </xdr:from>
    <xdr:to>
      <xdr:col>14</xdr:col>
      <xdr:colOff>536760</xdr:colOff>
      <xdr:row>10</xdr:row>
      <xdr:rowOff>103680</xdr:rowOff>
    </xdr:to>
    <xdr:grpSp>
      <xdr:nvGrpSpPr>
        <xdr:cNvPr id="67" name="Grupo 67"/>
        <xdr:cNvGrpSpPr/>
      </xdr:nvGrpSpPr>
      <xdr:grpSpPr>
        <a:xfrm>
          <a:off x="10463760" y="1593000"/>
          <a:ext cx="1316160" cy="415800"/>
          <a:chOff x="10463760" y="1593000"/>
          <a:chExt cx="1316160" cy="415800"/>
        </a:xfrm>
      </xdr:grpSpPr>
      <xdr:sp>
        <xdr:nvSpPr>
          <xdr:cNvPr id="68" name="Rectángulo 110"/>
          <xdr:cNvSpPr/>
        </xdr:nvSpPr>
        <xdr:spPr>
          <a:xfrm>
            <a:off x="10463760" y="1593000"/>
            <a:ext cx="1316160" cy="415800"/>
          </a:xfrm>
          <a:prstGeom prst="rect">
            <a:avLst/>
          </a:prstGeom>
          <a:noFill/>
          <a:ln w="12700">
            <a:solidFill>
              <a:srgbClr val="325490"/>
            </a:solidFill>
            <a:miter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lIns="90000" rIns="90000" tIns="45000" bIns="45000" anchor="ctr">
            <a:noAutofit/>
          </a:bodyPr>
          <a:p>
            <a:pPr algn="ctr" defTabSz="457200">
              <a:lnSpc>
                <a:spcPct val="100000"/>
              </a:lnSpc>
            </a:pPr>
            <a:r>
              <a:rPr b="0" lang="es-CL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Concentradora</a:t>
            </a:r>
            <a:endParaRPr b="0" lang="es-CL" sz="1000" strike="noStrike" u="none">
              <a:effectLst/>
              <a:uFillTx/>
              <a:latin typeface="Times New Roman"/>
            </a:endParaRPr>
          </a:p>
        </xdr:txBody>
      </xdr:sp>
      <xdr:sp>
        <xdr:nvSpPr>
          <xdr:cNvPr id="69" name="Elipse 111"/>
          <xdr:cNvSpPr/>
        </xdr:nvSpPr>
        <xdr:spPr>
          <a:xfrm>
            <a:off x="11449800" y="1881360"/>
            <a:ext cx="168480" cy="125640"/>
          </a:xfrm>
          <a:prstGeom prst="ellipse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</xdr:grpSp>
    <xdr:clientData/>
  </xdr:twoCellAnchor>
  <xdr:twoCellAnchor editAs="twoCell">
    <xdr:from>
      <xdr:col>10</xdr:col>
      <xdr:colOff>663120</xdr:colOff>
      <xdr:row>10</xdr:row>
      <xdr:rowOff>83880</xdr:rowOff>
    </xdr:from>
    <xdr:to>
      <xdr:col>14</xdr:col>
      <xdr:colOff>119520</xdr:colOff>
      <xdr:row>25</xdr:row>
      <xdr:rowOff>43560</xdr:rowOff>
    </xdr:to>
    <xdr:cxnSp>
      <xdr:nvCxnSpPr>
        <xdr:cNvPr id="70" name="Conector: angular 68"/>
        <xdr:cNvCxnSpPr/>
      </xdr:nvCxnSpPr>
      <xdr:spPr>
        <a:xfrm flipV="1" rot="10800000">
          <a:off x="8428680" y="1988640"/>
          <a:ext cx="2934360" cy="281736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14</xdr:col>
      <xdr:colOff>538560</xdr:colOff>
      <xdr:row>8</xdr:row>
      <xdr:rowOff>91800</xdr:rowOff>
    </xdr:from>
    <xdr:to>
      <xdr:col>15</xdr:col>
      <xdr:colOff>739440</xdr:colOff>
      <xdr:row>8</xdr:row>
      <xdr:rowOff>94680</xdr:rowOff>
    </xdr:to>
    <xdr:cxnSp>
      <xdr:nvCxnSpPr>
        <xdr:cNvPr id="71" name="Conector recto de flecha 69"/>
        <xdr:cNvCxnSpPr/>
      </xdr:nvCxnSpPr>
      <xdr:spPr>
        <a:xfrm flipV="1">
          <a:off x="11781720" y="1615680"/>
          <a:ext cx="1012320" cy="324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14</xdr:col>
      <xdr:colOff>712440</xdr:colOff>
      <xdr:row>9</xdr:row>
      <xdr:rowOff>108360</xdr:rowOff>
    </xdr:from>
    <xdr:to>
      <xdr:col>15</xdr:col>
      <xdr:colOff>934200</xdr:colOff>
      <xdr:row>11</xdr:row>
      <xdr:rowOff>163080</xdr:rowOff>
    </xdr:to>
    <xdr:sp>
      <xdr:nvSpPr>
        <xdr:cNvPr id="72" name="Rectángulo 70"/>
        <xdr:cNvSpPr/>
      </xdr:nvSpPr>
      <xdr:spPr>
        <a:xfrm>
          <a:off x="11955600" y="1823040"/>
          <a:ext cx="1032840" cy="4356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Cola </a:t>
          </a:r>
          <a:endParaRPr b="0" lang="es-CL" sz="1000" strike="noStrike" u="non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Concentradora</a:t>
          </a:r>
          <a:endParaRPr b="0" lang="es-CL" sz="1000" strike="noStrike" u="non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(canoa)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14</xdr:col>
      <xdr:colOff>659520</xdr:colOff>
      <xdr:row>5</xdr:row>
      <xdr:rowOff>109080</xdr:rowOff>
    </xdr:from>
    <xdr:to>
      <xdr:col>15</xdr:col>
      <xdr:colOff>798120</xdr:colOff>
      <xdr:row>8</xdr:row>
      <xdr:rowOff>49320</xdr:rowOff>
    </xdr:to>
    <xdr:sp>
      <xdr:nvSpPr>
        <xdr:cNvPr id="73" name="Rectángulo 71"/>
        <xdr:cNvSpPr/>
      </xdr:nvSpPr>
      <xdr:spPr>
        <a:xfrm>
          <a:off x="11902680" y="1061640"/>
          <a:ext cx="949680" cy="5115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Rechazo a </a:t>
          </a:r>
          <a:endParaRPr b="0" lang="es-CL" sz="1000" strike="noStrike" u="non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Botadero</a:t>
          </a:r>
          <a:endParaRPr b="0" lang="es-CL" sz="1000" strike="noStrike" u="non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+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320760</xdr:colOff>
      <xdr:row>23</xdr:row>
      <xdr:rowOff>174240</xdr:rowOff>
    </xdr:from>
    <xdr:to>
      <xdr:col>10</xdr:col>
      <xdr:colOff>685080</xdr:colOff>
      <xdr:row>26</xdr:row>
      <xdr:rowOff>23760</xdr:rowOff>
    </xdr:to>
    <xdr:grpSp>
      <xdr:nvGrpSpPr>
        <xdr:cNvPr id="74" name="Grupo 72"/>
        <xdr:cNvGrpSpPr/>
      </xdr:nvGrpSpPr>
      <xdr:grpSpPr>
        <a:xfrm>
          <a:off x="7204680" y="4555800"/>
          <a:ext cx="1245960" cy="420840"/>
          <a:chOff x="7204680" y="4555800"/>
          <a:chExt cx="1245960" cy="420840"/>
        </a:xfrm>
      </xdr:grpSpPr>
      <xdr:sp>
        <xdr:nvSpPr>
          <xdr:cNvPr id="75" name="Rectángulo 108"/>
          <xdr:cNvSpPr/>
        </xdr:nvSpPr>
        <xdr:spPr>
          <a:xfrm>
            <a:off x="7204680" y="4556880"/>
            <a:ext cx="1245960" cy="419760"/>
          </a:xfrm>
          <a:prstGeom prst="rect">
            <a:avLst/>
          </a:prstGeom>
          <a:noFill/>
          <a:ln w="12700">
            <a:solidFill>
              <a:srgbClr val="325490"/>
            </a:solidFill>
            <a:miter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lIns="90000" rIns="90000" tIns="45000" bIns="45000" anchor="ctr">
            <a:noAutofit/>
          </a:bodyPr>
          <a:p>
            <a:pPr algn="ctr" defTabSz="457200">
              <a:lnSpc>
                <a:spcPct val="100000"/>
              </a:lnSpc>
            </a:pPr>
            <a:r>
              <a:rPr b="0" lang="es-CL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Molienda</a:t>
            </a:r>
            <a:endParaRPr b="0" lang="es-CL" sz="1000" strike="noStrike" u="none">
              <a:effectLst/>
              <a:uFillTx/>
              <a:latin typeface="Times New Roman"/>
            </a:endParaRPr>
          </a:p>
        </xdr:txBody>
      </xdr:sp>
      <xdr:sp>
        <xdr:nvSpPr>
          <xdr:cNvPr id="76" name="Elipse 109"/>
          <xdr:cNvSpPr/>
        </xdr:nvSpPr>
        <xdr:spPr>
          <a:xfrm>
            <a:off x="8283240" y="4555800"/>
            <a:ext cx="159480" cy="127080"/>
          </a:xfrm>
          <a:prstGeom prst="ellipse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</xdr:grpSp>
    <xdr:clientData/>
  </xdr:twoCellAnchor>
  <xdr:twoCellAnchor editAs="twoCell">
    <xdr:from>
      <xdr:col>10</xdr:col>
      <xdr:colOff>678240</xdr:colOff>
      <xdr:row>19</xdr:row>
      <xdr:rowOff>84240</xdr:rowOff>
    </xdr:from>
    <xdr:to>
      <xdr:col>12</xdr:col>
      <xdr:colOff>291240</xdr:colOff>
      <xdr:row>24</xdr:row>
      <xdr:rowOff>49320</xdr:rowOff>
    </xdr:to>
    <xdr:cxnSp>
      <xdr:nvCxnSpPr>
        <xdr:cNvPr id="77" name="Conector: angular 73"/>
        <xdr:cNvCxnSpPr/>
      </xdr:nvCxnSpPr>
      <xdr:spPr>
        <a:xfrm flipV="1" rot="10800000">
          <a:off x="8443440" y="3703320"/>
          <a:ext cx="1375920" cy="918000"/>
        </a:xfrm>
        <a:prstGeom prst="bentConnector3">
          <a:avLst>
            <a:gd name="adj1" fmla="val 49986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10</xdr:col>
      <xdr:colOff>95040</xdr:colOff>
      <xdr:row>19</xdr:row>
      <xdr:rowOff>68040</xdr:rowOff>
    </xdr:from>
    <xdr:to>
      <xdr:col>12</xdr:col>
      <xdr:colOff>123840</xdr:colOff>
      <xdr:row>23</xdr:row>
      <xdr:rowOff>165960</xdr:rowOff>
    </xdr:to>
    <xdr:cxnSp>
      <xdr:nvCxnSpPr>
        <xdr:cNvPr id="78" name="Conector: angular 74"/>
        <xdr:cNvCxnSpPr/>
      </xdr:nvCxnSpPr>
      <xdr:spPr>
        <a:xfrm flipV="1" rot="10800000">
          <a:off x="7860600" y="3687120"/>
          <a:ext cx="1791720" cy="86040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241200</xdr:colOff>
      <xdr:row>24</xdr:row>
      <xdr:rowOff>31680</xdr:rowOff>
    </xdr:from>
    <xdr:to>
      <xdr:col>13</xdr:col>
      <xdr:colOff>222480</xdr:colOff>
      <xdr:row>25</xdr:row>
      <xdr:rowOff>46080</xdr:rowOff>
    </xdr:to>
    <xdr:sp>
      <xdr:nvSpPr>
        <xdr:cNvPr id="79" name="Rectángulo 75"/>
        <xdr:cNvSpPr/>
      </xdr:nvSpPr>
      <xdr:spPr>
        <a:xfrm>
          <a:off x="9769320" y="4603680"/>
          <a:ext cx="744480" cy="2048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Repulpeo 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13</xdr:col>
      <xdr:colOff>510480</xdr:colOff>
      <xdr:row>25</xdr:row>
      <xdr:rowOff>51120</xdr:rowOff>
    </xdr:from>
    <xdr:to>
      <xdr:col>15</xdr:col>
      <xdr:colOff>151560</xdr:colOff>
      <xdr:row>26</xdr:row>
      <xdr:rowOff>182520</xdr:rowOff>
    </xdr:to>
    <xdr:sp>
      <xdr:nvSpPr>
        <xdr:cNvPr id="80" name="Rectángulo 76"/>
        <xdr:cNvSpPr/>
      </xdr:nvSpPr>
      <xdr:spPr>
        <a:xfrm>
          <a:off x="10801800" y="4813560"/>
          <a:ext cx="1404000" cy="3218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SF a Molienda 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11</xdr:col>
      <xdr:colOff>735480</xdr:colOff>
      <xdr:row>5</xdr:row>
      <xdr:rowOff>78120</xdr:rowOff>
    </xdr:from>
    <xdr:to>
      <xdr:col>13</xdr:col>
      <xdr:colOff>261000</xdr:colOff>
      <xdr:row>7</xdr:row>
      <xdr:rowOff>23400</xdr:rowOff>
    </xdr:to>
    <xdr:sp>
      <xdr:nvSpPr>
        <xdr:cNvPr id="81" name="Rectángulo 77"/>
        <xdr:cNvSpPr/>
      </xdr:nvSpPr>
      <xdr:spPr>
        <a:xfrm>
          <a:off x="9452880" y="1030680"/>
          <a:ext cx="1099440" cy="3261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Alim a Concentradora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7</xdr:col>
      <xdr:colOff>679320</xdr:colOff>
      <xdr:row>27</xdr:row>
      <xdr:rowOff>74160</xdr:rowOff>
    </xdr:from>
    <xdr:to>
      <xdr:col>9</xdr:col>
      <xdr:colOff>320400</xdr:colOff>
      <xdr:row>29</xdr:row>
      <xdr:rowOff>19080</xdr:rowOff>
    </xdr:to>
    <xdr:sp>
      <xdr:nvSpPr>
        <xdr:cNvPr id="82" name="Rectángulo 79"/>
        <xdr:cNvSpPr/>
      </xdr:nvSpPr>
      <xdr:spPr>
        <a:xfrm>
          <a:off x="5590440" y="5217840"/>
          <a:ext cx="1613880" cy="3258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COLA</a:t>
          </a:r>
          <a:endParaRPr b="0" lang="es-CL" sz="1000" strike="noStrike" u="none">
            <a:effectLst/>
            <a:uFillTx/>
            <a:latin typeface="Times New Roman"/>
          </a:endParaRPr>
        </a:p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MOLIENDA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8</xdr:col>
      <xdr:colOff>500040</xdr:colOff>
      <xdr:row>25</xdr:row>
      <xdr:rowOff>2160</xdr:rowOff>
    </xdr:from>
    <xdr:to>
      <xdr:col>9</xdr:col>
      <xdr:colOff>320760</xdr:colOff>
      <xdr:row>27</xdr:row>
      <xdr:rowOff>73800</xdr:rowOff>
    </xdr:to>
    <xdr:cxnSp>
      <xdr:nvCxnSpPr>
        <xdr:cNvPr id="83" name="Conector: angular 80"/>
        <xdr:cNvCxnSpPr/>
      </xdr:nvCxnSpPr>
      <xdr:spPr>
        <a:xfrm flipV="1" rot="10800000">
          <a:off x="6479640" y="4764600"/>
          <a:ext cx="725040" cy="453240"/>
        </a:xfrm>
        <a:prstGeom prst="bentConnector3">
          <a:avLst>
            <a:gd name="adj1" fmla="val 49975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10</xdr:col>
      <xdr:colOff>28440</xdr:colOff>
      <xdr:row>26</xdr:row>
      <xdr:rowOff>23760</xdr:rowOff>
    </xdr:from>
    <xdr:to>
      <xdr:col>10</xdr:col>
      <xdr:colOff>51120</xdr:colOff>
      <xdr:row>35</xdr:row>
      <xdr:rowOff>72000</xdr:rowOff>
    </xdr:to>
    <xdr:cxnSp>
      <xdr:nvCxnSpPr>
        <xdr:cNvPr id="84" name="Conector recto de flecha 81"/>
        <xdr:cNvCxnSpPr/>
      </xdr:nvCxnSpPr>
      <xdr:spPr>
        <a:xfrm>
          <a:off x="7794000" y="4976640"/>
          <a:ext cx="23040" cy="176328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9</xdr:col>
      <xdr:colOff>355320</xdr:colOff>
      <xdr:row>38</xdr:row>
      <xdr:rowOff>39960</xdr:rowOff>
    </xdr:from>
    <xdr:to>
      <xdr:col>10</xdr:col>
      <xdr:colOff>51120</xdr:colOff>
      <xdr:row>56</xdr:row>
      <xdr:rowOff>83160</xdr:rowOff>
    </xdr:to>
    <xdr:cxnSp>
      <xdr:nvCxnSpPr>
        <xdr:cNvPr id="85" name="Conector: angular 82"/>
        <xdr:cNvCxnSpPr/>
      </xdr:nvCxnSpPr>
      <xdr:spPr>
        <a:xfrm rot="5400000">
          <a:off x="5791680" y="8726040"/>
          <a:ext cx="3472560" cy="577800"/>
        </a:xfrm>
        <a:prstGeom prst="bentConnector3">
          <a:avLst>
            <a:gd name="adj1" fmla="val 50005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10</xdr:col>
      <xdr:colOff>51120</xdr:colOff>
      <xdr:row>38</xdr:row>
      <xdr:rowOff>39960</xdr:rowOff>
    </xdr:from>
    <xdr:to>
      <xdr:col>10</xdr:col>
      <xdr:colOff>720000</xdr:colOff>
      <xdr:row>56</xdr:row>
      <xdr:rowOff>83160</xdr:rowOff>
    </xdr:to>
    <xdr:cxnSp>
      <xdr:nvCxnSpPr>
        <xdr:cNvPr id="86" name="Conector: angular 83"/>
        <xdr:cNvCxnSpPr/>
      </xdr:nvCxnSpPr>
      <xdr:spPr>
        <a:xfrm flipH="1" rot="16200000">
          <a:off x="6415200" y="8680320"/>
          <a:ext cx="3472560" cy="669240"/>
        </a:xfrm>
        <a:prstGeom prst="bentConnector3">
          <a:avLst>
            <a:gd name="adj1" fmla="val 50005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8</xdr:col>
      <xdr:colOff>19800</xdr:colOff>
      <xdr:row>49</xdr:row>
      <xdr:rowOff>15840</xdr:rowOff>
    </xdr:from>
    <xdr:to>
      <xdr:col>9</xdr:col>
      <xdr:colOff>309600</xdr:colOff>
      <xdr:row>51</xdr:row>
      <xdr:rowOff>169560</xdr:rowOff>
    </xdr:to>
    <xdr:sp>
      <xdr:nvSpPr>
        <xdr:cNvPr id="87" name="Rectángulo 84"/>
        <xdr:cNvSpPr/>
      </xdr:nvSpPr>
      <xdr:spPr>
        <a:xfrm>
          <a:off x="5999760" y="9350280"/>
          <a:ext cx="1193760" cy="5349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Transp</a:t>
          </a:r>
          <a:endParaRPr b="0" lang="es-CL" sz="1000" strike="noStrike" u="none">
            <a:effectLst/>
            <a:uFillTx/>
            <a:latin typeface="Times New Roman"/>
          </a:endParaRPr>
        </a:p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P. Feed</a:t>
          </a:r>
          <a:endParaRPr b="0" lang="es-CL" sz="1000" strike="noStrike" u="none">
            <a:effectLst/>
            <a:uFillTx/>
            <a:latin typeface="Times New Roman"/>
          </a:endParaRPr>
        </a:p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Camiones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11</xdr:col>
      <xdr:colOff>219960</xdr:colOff>
      <xdr:row>49</xdr:row>
      <xdr:rowOff>33840</xdr:rowOff>
    </xdr:from>
    <xdr:to>
      <xdr:col>12</xdr:col>
      <xdr:colOff>509760</xdr:colOff>
      <xdr:row>51</xdr:row>
      <xdr:rowOff>187560</xdr:rowOff>
    </xdr:to>
    <xdr:sp>
      <xdr:nvSpPr>
        <xdr:cNvPr id="88" name="Rectángulo 85"/>
        <xdr:cNvSpPr/>
      </xdr:nvSpPr>
      <xdr:spPr>
        <a:xfrm>
          <a:off x="8937360" y="9368280"/>
          <a:ext cx="1100520" cy="5349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Transp</a:t>
          </a:r>
          <a:endParaRPr b="0" lang="es-CL" sz="1000" strike="noStrike" u="non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P. Feed</a:t>
          </a:r>
          <a:endParaRPr b="0" lang="es-CL" sz="1000" strike="noStrike" u="non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Trenes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10</xdr:col>
      <xdr:colOff>712800</xdr:colOff>
      <xdr:row>57</xdr:row>
      <xdr:rowOff>53640</xdr:rowOff>
    </xdr:from>
    <xdr:to>
      <xdr:col>11</xdr:col>
      <xdr:colOff>745560</xdr:colOff>
      <xdr:row>57</xdr:row>
      <xdr:rowOff>53640</xdr:rowOff>
    </xdr:to>
    <xdr:cxnSp>
      <xdr:nvCxnSpPr>
        <xdr:cNvPr id="89" name="Conector recto de flecha 86"/>
        <xdr:cNvCxnSpPr/>
      </xdr:nvCxnSpPr>
      <xdr:spPr>
        <a:xfrm>
          <a:off x="8478360" y="10912320"/>
          <a:ext cx="984960" cy="3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10</xdr:col>
      <xdr:colOff>732240</xdr:colOff>
      <xdr:row>56</xdr:row>
      <xdr:rowOff>178200</xdr:rowOff>
    </xdr:from>
    <xdr:to>
      <xdr:col>12</xdr:col>
      <xdr:colOff>82080</xdr:colOff>
      <xdr:row>59</xdr:row>
      <xdr:rowOff>145080</xdr:rowOff>
    </xdr:to>
    <xdr:sp>
      <xdr:nvSpPr>
        <xdr:cNvPr id="90" name="Rectángulo 87"/>
        <xdr:cNvSpPr/>
      </xdr:nvSpPr>
      <xdr:spPr>
        <a:xfrm>
          <a:off x="8497800" y="10846080"/>
          <a:ext cx="1112400" cy="5385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Pérdidas por Transporte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10</xdr:col>
      <xdr:colOff>156600</xdr:colOff>
      <xdr:row>57</xdr:row>
      <xdr:rowOff>100440</xdr:rowOff>
    </xdr:from>
    <xdr:to>
      <xdr:col>12</xdr:col>
      <xdr:colOff>193320</xdr:colOff>
      <xdr:row>65</xdr:row>
      <xdr:rowOff>32760</xdr:rowOff>
    </xdr:to>
    <xdr:cxnSp>
      <xdr:nvCxnSpPr>
        <xdr:cNvPr id="91" name="Conector: angular 88"/>
        <xdr:cNvCxnSpPr/>
      </xdr:nvCxnSpPr>
      <xdr:spPr>
        <a:xfrm>
          <a:off x="7922160" y="10959120"/>
          <a:ext cx="1799640" cy="145656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627480</xdr:colOff>
      <xdr:row>66</xdr:row>
      <xdr:rowOff>109800</xdr:rowOff>
    </xdr:from>
    <xdr:to>
      <xdr:col>15</xdr:col>
      <xdr:colOff>98280</xdr:colOff>
      <xdr:row>69</xdr:row>
      <xdr:rowOff>11880</xdr:rowOff>
    </xdr:to>
    <xdr:cxnSp>
      <xdr:nvCxnSpPr>
        <xdr:cNvPr id="92" name="Conector: angular 89"/>
        <xdr:cNvCxnSpPr/>
      </xdr:nvCxnSpPr>
      <xdr:spPr>
        <a:xfrm>
          <a:off x="10155600" y="12682800"/>
          <a:ext cx="1997280" cy="474120"/>
        </a:xfrm>
        <a:prstGeom prst="bentConnector3">
          <a:avLst>
            <a:gd name="adj1" fmla="val 50009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9</xdr:col>
      <xdr:colOff>260280</xdr:colOff>
      <xdr:row>60</xdr:row>
      <xdr:rowOff>79920</xdr:rowOff>
    </xdr:from>
    <xdr:to>
      <xdr:col>10</xdr:col>
      <xdr:colOff>648000</xdr:colOff>
      <xdr:row>62</xdr:row>
      <xdr:rowOff>124560</xdr:rowOff>
    </xdr:to>
    <xdr:sp>
      <xdr:nvSpPr>
        <xdr:cNvPr id="93" name="Rectángulo 90"/>
        <xdr:cNvSpPr/>
      </xdr:nvSpPr>
      <xdr:spPr>
        <a:xfrm>
          <a:off x="7144200" y="11509920"/>
          <a:ext cx="1269360" cy="4255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Transp</a:t>
          </a:r>
          <a:endParaRPr b="0" lang="es-CL" sz="1000" strike="noStrike" u="non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Total</a:t>
          </a:r>
          <a:endParaRPr b="0" lang="es-CL" sz="1000" strike="noStrike" u="non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P. Feed</a:t>
          </a:r>
          <a:endParaRPr b="0" lang="es-CL" sz="1000" strike="noStrike" u="non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A Guayacan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20880</xdr:colOff>
      <xdr:row>71</xdr:row>
      <xdr:rowOff>42480</xdr:rowOff>
    </xdr:from>
    <xdr:to>
      <xdr:col>9</xdr:col>
      <xdr:colOff>599040</xdr:colOff>
      <xdr:row>74</xdr:row>
      <xdr:rowOff>10080</xdr:rowOff>
    </xdr:to>
    <xdr:sp>
      <xdr:nvSpPr>
        <xdr:cNvPr id="94" name="Triángulo isósceles 91"/>
        <xdr:cNvSpPr/>
      </xdr:nvSpPr>
      <xdr:spPr>
        <a:xfrm>
          <a:off x="6904800" y="13568040"/>
          <a:ext cx="578160" cy="53892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8</xdr:col>
      <xdr:colOff>289800</xdr:colOff>
      <xdr:row>68</xdr:row>
      <xdr:rowOff>185040</xdr:rowOff>
    </xdr:from>
    <xdr:to>
      <xdr:col>9</xdr:col>
      <xdr:colOff>579600</xdr:colOff>
      <xdr:row>71</xdr:row>
      <xdr:rowOff>151920</xdr:rowOff>
    </xdr:to>
    <xdr:sp>
      <xdr:nvSpPr>
        <xdr:cNvPr id="95" name="Rectángulo 92"/>
        <xdr:cNvSpPr/>
      </xdr:nvSpPr>
      <xdr:spPr>
        <a:xfrm>
          <a:off x="6269760" y="13138920"/>
          <a:ext cx="1193760" cy="5385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Stock SF Patio Tolva ROM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6</xdr:col>
      <xdr:colOff>754200</xdr:colOff>
      <xdr:row>71</xdr:row>
      <xdr:rowOff>181080</xdr:rowOff>
    </xdr:from>
    <xdr:to>
      <xdr:col>9</xdr:col>
      <xdr:colOff>165240</xdr:colOff>
      <xdr:row>72</xdr:row>
      <xdr:rowOff>119520</xdr:rowOff>
    </xdr:to>
    <xdr:cxnSp>
      <xdr:nvCxnSpPr>
        <xdr:cNvPr id="96" name="Conector: angular 93"/>
        <xdr:cNvCxnSpPr/>
      </xdr:nvCxnSpPr>
      <xdr:spPr>
        <a:xfrm>
          <a:off x="4902120" y="13706640"/>
          <a:ext cx="2147400" cy="12924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6</xdr:col>
      <xdr:colOff>697320</xdr:colOff>
      <xdr:row>73</xdr:row>
      <xdr:rowOff>169200</xdr:rowOff>
    </xdr:from>
    <xdr:to>
      <xdr:col>9</xdr:col>
      <xdr:colOff>20520</xdr:colOff>
      <xdr:row>76</xdr:row>
      <xdr:rowOff>13680</xdr:rowOff>
    </xdr:to>
    <xdr:cxnSp>
      <xdr:nvCxnSpPr>
        <xdr:cNvPr id="97" name="Conector: angular 94"/>
        <xdr:cNvCxnSpPr/>
      </xdr:nvCxnSpPr>
      <xdr:spPr>
        <a:xfrm flipV="1">
          <a:off x="4845240" y="14075640"/>
          <a:ext cx="2059560" cy="41652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9</xdr:col>
      <xdr:colOff>454320</xdr:colOff>
      <xdr:row>72</xdr:row>
      <xdr:rowOff>117360</xdr:rowOff>
    </xdr:from>
    <xdr:to>
      <xdr:col>12</xdr:col>
      <xdr:colOff>223200</xdr:colOff>
      <xdr:row>72</xdr:row>
      <xdr:rowOff>119520</xdr:rowOff>
    </xdr:to>
    <xdr:cxnSp>
      <xdr:nvCxnSpPr>
        <xdr:cNvPr id="98" name="Conector: angular 95"/>
        <xdr:cNvCxnSpPr/>
      </xdr:nvCxnSpPr>
      <xdr:spPr>
        <a:xfrm flipV="1">
          <a:off x="7338240" y="13833360"/>
          <a:ext cx="2413440" cy="2520"/>
        </a:xfrm>
        <a:prstGeom prst="bentConnector3">
          <a:avLst>
            <a:gd name="adj1" fmla="val 50007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505440</xdr:colOff>
      <xdr:row>71</xdr:row>
      <xdr:rowOff>89280</xdr:rowOff>
    </xdr:from>
    <xdr:to>
      <xdr:col>17</xdr:col>
      <xdr:colOff>320040</xdr:colOff>
      <xdr:row>71</xdr:row>
      <xdr:rowOff>120240</xdr:rowOff>
    </xdr:to>
    <xdr:cxnSp>
      <xdr:nvCxnSpPr>
        <xdr:cNvPr id="99" name="Conector: angular 96"/>
        <xdr:cNvCxnSpPr/>
      </xdr:nvCxnSpPr>
      <xdr:spPr>
        <a:xfrm flipV="1">
          <a:off x="10033560" y="13614840"/>
          <a:ext cx="4408560" cy="31320"/>
        </a:xfrm>
        <a:prstGeom prst="bentConnector3">
          <a:avLst>
            <a:gd name="adj1" fmla="val 50004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5</xdr:col>
      <xdr:colOff>464400</xdr:colOff>
      <xdr:row>70</xdr:row>
      <xdr:rowOff>104040</xdr:rowOff>
    </xdr:from>
    <xdr:to>
      <xdr:col>6</xdr:col>
      <xdr:colOff>754200</xdr:colOff>
      <xdr:row>73</xdr:row>
      <xdr:rowOff>71640</xdr:rowOff>
    </xdr:to>
    <xdr:sp>
      <xdr:nvSpPr>
        <xdr:cNvPr id="100" name="Rectángulo 97"/>
        <xdr:cNvSpPr/>
      </xdr:nvSpPr>
      <xdr:spPr>
        <a:xfrm>
          <a:off x="3919320" y="13439160"/>
          <a:ext cx="982800" cy="5389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Recepción SFMLC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5</xdr:col>
      <xdr:colOff>464040</xdr:colOff>
      <xdr:row>74</xdr:row>
      <xdr:rowOff>169200</xdr:rowOff>
    </xdr:from>
    <xdr:to>
      <xdr:col>6</xdr:col>
      <xdr:colOff>753840</xdr:colOff>
      <xdr:row>77</xdr:row>
      <xdr:rowOff>136080</xdr:rowOff>
    </xdr:to>
    <xdr:sp>
      <xdr:nvSpPr>
        <xdr:cNvPr id="101" name="Rectángulo 98"/>
        <xdr:cNvSpPr/>
      </xdr:nvSpPr>
      <xdr:spPr>
        <a:xfrm>
          <a:off x="3918960" y="14266080"/>
          <a:ext cx="982800" cy="5385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P55 desde MLC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8</xdr:col>
      <xdr:colOff>335160</xdr:colOff>
      <xdr:row>74</xdr:row>
      <xdr:rowOff>4680</xdr:rowOff>
    </xdr:from>
    <xdr:to>
      <xdr:col>12</xdr:col>
      <xdr:colOff>78840</xdr:colOff>
      <xdr:row>78</xdr:row>
      <xdr:rowOff>21240</xdr:rowOff>
    </xdr:to>
    <xdr:cxnSp>
      <xdr:nvCxnSpPr>
        <xdr:cNvPr id="102" name="Conector: angular 99"/>
        <xdr:cNvCxnSpPr/>
      </xdr:nvCxnSpPr>
      <xdr:spPr>
        <a:xfrm flipV="1">
          <a:off x="6315120" y="14101560"/>
          <a:ext cx="3292200" cy="77904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7</xdr:col>
      <xdr:colOff>637920</xdr:colOff>
      <xdr:row>78</xdr:row>
      <xdr:rowOff>21600</xdr:rowOff>
    </xdr:from>
    <xdr:to>
      <xdr:col>9</xdr:col>
      <xdr:colOff>32760</xdr:colOff>
      <xdr:row>80</xdr:row>
      <xdr:rowOff>176040</xdr:rowOff>
    </xdr:to>
    <xdr:sp>
      <xdr:nvSpPr>
        <xdr:cNvPr id="103" name="Rectángulo 100"/>
        <xdr:cNvSpPr/>
      </xdr:nvSpPr>
      <xdr:spPr>
        <a:xfrm>
          <a:off x="5549040" y="14880600"/>
          <a:ext cx="1367640" cy="5353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Recepción SF directo desde MLC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257760</xdr:colOff>
      <xdr:row>74</xdr:row>
      <xdr:rowOff>4680</xdr:rowOff>
    </xdr:from>
    <xdr:to>
      <xdr:col>12</xdr:col>
      <xdr:colOff>367920</xdr:colOff>
      <xdr:row>81</xdr:row>
      <xdr:rowOff>182520</xdr:rowOff>
    </xdr:to>
    <xdr:cxnSp>
      <xdr:nvCxnSpPr>
        <xdr:cNvPr id="104" name="Conector: angular 101"/>
        <xdr:cNvCxnSpPr/>
      </xdr:nvCxnSpPr>
      <xdr:spPr>
        <a:xfrm flipV="1">
          <a:off x="7141680" y="14101560"/>
          <a:ext cx="2754720" cy="1512000"/>
        </a:xfrm>
        <a:prstGeom prst="bentConnector3">
          <a:avLst>
            <a:gd name="adj1" fmla="val 50006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8</xdr:col>
      <xdr:colOff>560160</xdr:colOff>
      <xdr:row>81</xdr:row>
      <xdr:rowOff>182880</xdr:rowOff>
    </xdr:from>
    <xdr:to>
      <xdr:col>9</xdr:col>
      <xdr:colOff>717120</xdr:colOff>
      <xdr:row>84</xdr:row>
      <xdr:rowOff>12240</xdr:rowOff>
    </xdr:to>
    <xdr:sp>
      <xdr:nvSpPr>
        <xdr:cNvPr id="105" name="Rectángulo 102"/>
        <xdr:cNvSpPr/>
      </xdr:nvSpPr>
      <xdr:spPr>
        <a:xfrm>
          <a:off x="6540120" y="15613560"/>
          <a:ext cx="1060920" cy="40068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Recepción Finos Pleito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634680</xdr:colOff>
      <xdr:row>85</xdr:row>
      <xdr:rowOff>78480</xdr:rowOff>
    </xdr:from>
    <xdr:to>
      <xdr:col>12</xdr:col>
      <xdr:colOff>336240</xdr:colOff>
      <xdr:row>88</xdr:row>
      <xdr:rowOff>39240</xdr:rowOff>
    </xdr:to>
    <xdr:cxnSp>
      <xdr:nvCxnSpPr>
        <xdr:cNvPr id="106" name="Conector: angular 103"/>
        <xdr:cNvCxnSpPr/>
      </xdr:nvCxnSpPr>
      <xdr:spPr>
        <a:xfrm flipV="1">
          <a:off x="7518600" y="16270920"/>
          <a:ext cx="2346120" cy="53280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8</xdr:col>
      <xdr:colOff>358200</xdr:colOff>
      <xdr:row>86</xdr:row>
      <xdr:rowOff>93960</xdr:rowOff>
    </xdr:from>
    <xdr:to>
      <xdr:col>9</xdr:col>
      <xdr:colOff>713880</xdr:colOff>
      <xdr:row>88</xdr:row>
      <xdr:rowOff>109800</xdr:rowOff>
    </xdr:to>
    <xdr:sp>
      <xdr:nvSpPr>
        <xdr:cNvPr id="107" name="Rectángulo 104"/>
        <xdr:cNvSpPr/>
      </xdr:nvSpPr>
      <xdr:spPr>
        <a:xfrm>
          <a:off x="6338160" y="16476840"/>
          <a:ext cx="1259640" cy="39708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Recepción Planta Cristales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731880</xdr:colOff>
      <xdr:row>86</xdr:row>
      <xdr:rowOff>155520</xdr:rowOff>
    </xdr:from>
    <xdr:to>
      <xdr:col>12</xdr:col>
      <xdr:colOff>191520</xdr:colOff>
      <xdr:row>92</xdr:row>
      <xdr:rowOff>16920</xdr:rowOff>
    </xdr:to>
    <xdr:cxnSp>
      <xdr:nvCxnSpPr>
        <xdr:cNvPr id="108" name="Conector: angular 105"/>
        <xdr:cNvCxnSpPr/>
      </xdr:nvCxnSpPr>
      <xdr:spPr>
        <a:xfrm flipV="1">
          <a:off x="7615800" y="16538400"/>
          <a:ext cx="2104200" cy="100476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8</xdr:col>
      <xdr:colOff>424800</xdr:colOff>
      <xdr:row>90</xdr:row>
      <xdr:rowOff>69480</xdr:rowOff>
    </xdr:from>
    <xdr:to>
      <xdr:col>10</xdr:col>
      <xdr:colOff>18720</xdr:colOff>
      <xdr:row>92</xdr:row>
      <xdr:rowOff>86040</xdr:rowOff>
    </xdr:to>
    <xdr:sp>
      <xdr:nvSpPr>
        <xdr:cNvPr id="109" name="Rectángulo 106"/>
        <xdr:cNvSpPr/>
      </xdr:nvSpPr>
      <xdr:spPr>
        <a:xfrm>
          <a:off x="6404760" y="17214480"/>
          <a:ext cx="1379520" cy="3974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Recepción Granzas Pleito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12</xdr:col>
      <xdr:colOff>480960</xdr:colOff>
      <xdr:row>83</xdr:row>
      <xdr:rowOff>187560</xdr:rowOff>
    </xdr:from>
    <xdr:to>
      <xdr:col>15</xdr:col>
      <xdr:colOff>158760</xdr:colOff>
      <xdr:row>85</xdr:row>
      <xdr:rowOff>182520</xdr:rowOff>
    </xdr:to>
    <xdr:cxnSp>
      <xdr:nvCxnSpPr>
        <xdr:cNvPr id="110" name="Conector: angular 107"/>
        <xdr:cNvCxnSpPr/>
      </xdr:nvCxnSpPr>
      <xdr:spPr>
        <a:xfrm>
          <a:off x="10009080" y="15999120"/>
          <a:ext cx="2204280" cy="37620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531720</xdr:colOff>
      <xdr:row>74</xdr:row>
      <xdr:rowOff>2520</xdr:rowOff>
    </xdr:from>
    <xdr:to>
      <xdr:col>16</xdr:col>
      <xdr:colOff>491760</xdr:colOff>
      <xdr:row>80</xdr:row>
      <xdr:rowOff>66600</xdr:rowOff>
    </xdr:to>
    <xdr:cxnSp>
      <xdr:nvCxnSpPr>
        <xdr:cNvPr id="111" name="Conector: angular 96"/>
        <xdr:cNvCxnSpPr/>
      </xdr:nvCxnSpPr>
      <xdr:spPr>
        <a:xfrm>
          <a:off x="10059840" y="14099400"/>
          <a:ext cx="3743280" cy="1207440"/>
        </a:xfrm>
        <a:prstGeom prst="bentConnector3">
          <a:avLst>
            <a:gd name="adj1" fmla="val 50004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15</xdr:col>
      <xdr:colOff>469080</xdr:colOff>
      <xdr:row>77</xdr:row>
      <xdr:rowOff>89280</xdr:rowOff>
    </xdr:from>
    <xdr:to>
      <xdr:col>18</xdr:col>
      <xdr:colOff>34920</xdr:colOff>
      <xdr:row>80</xdr:row>
      <xdr:rowOff>56880</xdr:rowOff>
    </xdr:to>
    <xdr:sp>
      <xdr:nvSpPr>
        <xdr:cNvPr id="112" name="Rectángulo 17"/>
        <xdr:cNvSpPr/>
      </xdr:nvSpPr>
      <xdr:spPr>
        <a:xfrm>
          <a:off x="12523320" y="14757840"/>
          <a:ext cx="2444400" cy="5389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Ventas locales</a:t>
          </a:r>
          <a:endParaRPr b="0" lang="es-CL" sz="1000" strike="noStrike" u="non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10</xdr:col>
      <xdr:colOff>617760</xdr:colOff>
      <xdr:row>74</xdr:row>
      <xdr:rowOff>4680</xdr:rowOff>
    </xdr:from>
    <xdr:to>
      <xdr:col>12</xdr:col>
      <xdr:colOff>645840</xdr:colOff>
      <xdr:row>81</xdr:row>
      <xdr:rowOff>158040</xdr:rowOff>
    </xdr:to>
    <xdr:cxnSp>
      <xdr:nvCxnSpPr>
        <xdr:cNvPr id="113" name="Conector: angular 101"/>
        <xdr:cNvCxnSpPr/>
      </xdr:nvCxnSpPr>
      <xdr:spPr>
        <a:xfrm flipV="1">
          <a:off x="8383320" y="14101560"/>
          <a:ext cx="1791000" cy="148752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9</xdr:col>
      <xdr:colOff>750240</xdr:colOff>
      <xdr:row>79</xdr:row>
      <xdr:rowOff>158760</xdr:rowOff>
    </xdr:from>
    <xdr:to>
      <xdr:col>10</xdr:col>
      <xdr:colOff>929880</xdr:colOff>
      <xdr:row>81</xdr:row>
      <xdr:rowOff>182520</xdr:rowOff>
    </xdr:to>
    <xdr:sp>
      <xdr:nvSpPr>
        <xdr:cNvPr id="114" name="Rectángulo 102"/>
        <xdr:cNvSpPr/>
      </xdr:nvSpPr>
      <xdr:spPr>
        <a:xfrm>
          <a:off x="7634160" y="15208200"/>
          <a:ext cx="1061280" cy="405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 defTabSz="457200">
            <a:lnSpc>
              <a:spcPct val="100000"/>
            </a:lnSpc>
          </a:pPr>
          <a:r>
            <a:rPr b="0" lang="es-CL" sz="1000" strike="noStrike" u="none">
              <a:solidFill>
                <a:schemeClr val="dk1"/>
              </a:solidFill>
              <a:effectLst/>
              <a:uFillTx/>
              <a:latin typeface="Calibri"/>
            </a:rPr>
            <a:t>Recepción APC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12</xdr:col>
      <xdr:colOff>510120</xdr:colOff>
      <xdr:row>86</xdr:row>
      <xdr:rowOff>155520</xdr:rowOff>
    </xdr:from>
    <xdr:to>
      <xdr:col>17</xdr:col>
      <xdr:colOff>46440</xdr:colOff>
      <xdr:row>92</xdr:row>
      <xdr:rowOff>25200</xdr:rowOff>
    </xdr:to>
    <xdr:cxnSp>
      <xdr:nvCxnSpPr>
        <xdr:cNvPr id="115" name="Conector: angular 105"/>
        <xdr:cNvCxnSpPr/>
      </xdr:nvCxnSpPr>
      <xdr:spPr>
        <a:xfrm rot="10800000">
          <a:off x="10038240" y="16538040"/>
          <a:ext cx="4130280" cy="101304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709200</xdr:colOff>
      <xdr:row>86</xdr:row>
      <xdr:rowOff>137520</xdr:rowOff>
    </xdr:from>
    <xdr:to>
      <xdr:col>18</xdr:col>
      <xdr:colOff>402480</xdr:colOff>
      <xdr:row>87</xdr:row>
      <xdr:rowOff>117720</xdr:rowOff>
    </xdr:to>
    <xdr:cxnSp>
      <xdr:nvCxnSpPr>
        <xdr:cNvPr id="116" name="Conector: angular 105"/>
        <xdr:cNvCxnSpPr/>
      </xdr:nvCxnSpPr>
      <xdr:spPr>
        <a:xfrm rot="10800000">
          <a:off x="10236960" y="16520040"/>
          <a:ext cx="5098320" cy="171360"/>
        </a:xfrm>
        <a:prstGeom prst="bentConnector3">
          <a:avLst>
            <a:gd name="adj1" fmla="val 49996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510120</xdr:colOff>
      <xdr:row>86</xdr:row>
      <xdr:rowOff>155520</xdr:rowOff>
    </xdr:from>
    <xdr:to>
      <xdr:col>16</xdr:col>
      <xdr:colOff>448920</xdr:colOff>
      <xdr:row>89</xdr:row>
      <xdr:rowOff>164160</xdr:rowOff>
    </xdr:to>
    <xdr:cxnSp>
      <xdr:nvCxnSpPr>
        <xdr:cNvPr id="117" name="Conector: angular 105"/>
        <xdr:cNvCxnSpPr/>
      </xdr:nvCxnSpPr>
      <xdr:spPr>
        <a:xfrm rot="10800000">
          <a:off x="10038240" y="16538400"/>
          <a:ext cx="3722040" cy="58068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7</xdr:col>
      <xdr:colOff>8640</xdr:colOff>
      <xdr:row>65</xdr:row>
      <xdr:rowOff>53280</xdr:rowOff>
    </xdr:from>
    <xdr:to>
      <xdr:col>12</xdr:col>
      <xdr:colOff>223200</xdr:colOff>
      <xdr:row>72</xdr:row>
      <xdr:rowOff>117360</xdr:rowOff>
    </xdr:to>
    <xdr:cxnSp>
      <xdr:nvCxnSpPr>
        <xdr:cNvPr id="118" name="Conector: angular 105"/>
        <xdr:cNvCxnSpPr/>
      </xdr:nvCxnSpPr>
      <xdr:spPr>
        <a:xfrm>
          <a:off x="4919760" y="12435840"/>
          <a:ext cx="4831920" cy="1397880"/>
        </a:xfrm>
        <a:prstGeom prst="bentConnector3">
          <a:avLst>
            <a:gd name="adj1" fmla="val 50003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674280</xdr:colOff>
      <xdr:row>15</xdr:row>
      <xdr:rowOff>124560</xdr:rowOff>
    </xdr:from>
    <xdr:to>
      <xdr:col>15</xdr:col>
      <xdr:colOff>54720</xdr:colOff>
      <xdr:row>18</xdr:row>
      <xdr:rowOff>154440</xdr:rowOff>
    </xdr:to>
    <xdr:cxnSp>
      <xdr:nvCxnSpPr>
        <xdr:cNvPr id="119" name="Conector: angular 65"/>
        <xdr:cNvCxnSpPr/>
      </xdr:nvCxnSpPr>
      <xdr:spPr>
        <a:xfrm flipV="1" rot="10800000">
          <a:off x="10202400" y="2982240"/>
          <a:ext cx="1906920" cy="60156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372600</xdr:colOff>
      <xdr:row>2</xdr:row>
      <xdr:rowOff>86040</xdr:rowOff>
    </xdr:from>
    <xdr:to>
      <xdr:col>4</xdr:col>
      <xdr:colOff>438480</xdr:colOff>
      <xdr:row>5</xdr:row>
      <xdr:rowOff>48240</xdr:rowOff>
    </xdr:to>
    <xdr:pic>
      <xdr:nvPicPr>
        <xdr:cNvPr id="120" name="Imagen 1" descr=""/>
        <xdr:cNvPicPr/>
      </xdr:nvPicPr>
      <xdr:blipFill>
        <a:blip r:embed="rId1"/>
        <a:stretch/>
      </xdr:blipFill>
      <xdr:spPr>
        <a:xfrm>
          <a:off x="725760" y="466920"/>
          <a:ext cx="947160" cy="533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77"/>
  <sheetViews>
    <sheetView showFormulas="false" showGridLines="true" showRowColHeaders="true" showZeros="true" rightToLeft="false" tabSelected="false" showOutlineSymbols="true" defaultGridColor="true" view="normal" topLeftCell="A46" colorId="64" zoomScale="90" zoomScaleNormal="90" zoomScalePageLayoutView="100" workbookViewId="0">
      <pane xSplit="6" ySplit="0" topLeftCell="N46" activePane="topRight" state="frozen"/>
      <selection pane="topLeft" activeCell="A46" activeCellId="0" sqref="A46"/>
      <selection pane="topRight" activeCell="F71" activeCellId="0" sqref="F71"/>
    </sheetView>
  </sheetViews>
  <sheetFormatPr defaultColWidth="11.5078125" defaultRowHeight="15" customHeight="true" zeroHeight="false" outlineLevelRow="0" outlineLevelCol="1"/>
  <cols>
    <col collapsed="false" customWidth="true" hidden="false" outlineLevel="1" max="1" min="1" style="0" width="33.16"/>
    <col collapsed="false" customWidth="true" hidden="false" outlineLevel="1" max="2" min="2" style="0" width="31.16"/>
    <col collapsed="false" customWidth="true" hidden="false" outlineLevel="1" max="3" min="3" style="0" width="30.83"/>
    <col collapsed="false" customWidth="true" hidden="false" outlineLevel="1" max="4" min="4" style="0" width="16.5"/>
    <col collapsed="false" customWidth="true" hidden="false" outlineLevel="0" max="5" min="5" style="0" width="15.16"/>
    <col collapsed="false" customWidth="true" hidden="false" outlineLevel="0" max="6" min="6" style="0" width="60.83"/>
    <col collapsed="false" customWidth="true" hidden="false" outlineLevel="0" max="8" min="7" style="0" width="14"/>
    <col collapsed="false" customWidth="true" hidden="false" outlineLevel="0" max="9" min="9" style="0" width="27.16"/>
    <col collapsed="false" customWidth="true" hidden="false" outlineLevel="0" max="12" min="10" style="0" width="14"/>
    <col collapsed="false" customWidth="true" hidden="false" outlineLevel="0" max="13" min="13" style="0" width="18.5"/>
    <col collapsed="false" customWidth="true" hidden="false" outlineLevel="0" max="16" min="14" style="0" width="14"/>
    <col collapsed="false" customWidth="true" hidden="false" outlineLevel="0" max="17" min="17" style="0" width="9.51"/>
    <col collapsed="false" customWidth="true" hidden="false" outlineLevel="0" max="18" min="18" style="0" width="14"/>
    <col collapsed="false" customWidth="true" hidden="false" outlineLevel="0" max="19" min="19" style="0" width="9.16"/>
    <col collapsed="false" customWidth="true" hidden="false" outlineLevel="0" max="22" min="20" style="0" width="14"/>
    <col collapsed="false" customWidth="true" hidden="false" outlineLevel="0" max="23" min="23" style="0" width="24.51"/>
    <col collapsed="false" customWidth="true" hidden="false" outlineLevel="0" max="25" min="24" style="0" width="14"/>
    <col collapsed="false" customWidth="true" hidden="false" outlineLevel="0" max="26" min="26" style="0" width="39.51"/>
    <col collapsed="false" customWidth="true" hidden="false" outlineLevel="0" max="34" min="27" style="0" width="14"/>
    <col collapsed="false" customWidth="true" hidden="false" outlineLevel="0" max="37" min="37" style="0" width="11.16"/>
    <col collapsed="false" customWidth="true" hidden="false" outlineLevel="0" max="66" min="66" style="0" width="11.83"/>
    <col collapsed="false" customWidth="true" hidden="false" outlineLevel="0" max="67" min="67" style="0" width="15.51"/>
  </cols>
  <sheetData>
    <row r="1" customFormat="false" ht="15" hidden="false" customHeight="false" outlineLevel="0" collapsed="false">
      <c r="A1" s="1" t="n">
        <v>150420</v>
      </c>
      <c r="B1" s="1" t="n">
        <v>150420</v>
      </c>
      <c r="C1" s="2" t="n">
        <v>23.88</v>
      </c>
      <c r="D1" s="3" t="n">
        <v>23.88</v>
      </c>
      <c r="E1" s="4" t="n">
        <v>0</v>
      </c>
      <c r="F1" s="4"/>
      <c r="J1" s="1"/>
      <c r="K1" s="1"/>
      <c r="L1" s="1"/>
    </row>
    <row r="2" customFormat="false" ht="15" hidden="false" customHeight="false" outlineLevel="0" collapsed="false">
      <c r="A2" s="1" t="n">
        <v>0</v>
      </c>
      <c r="B2" s="1" t="n">
        <v>0</v>
      </c>
      <c r="C2" s="2" t="n">
        <v>0</v>
      </c>
      <c r="D2" s="3" t="n">
        <v>0</v>
      </c>
      <c r="E2" s="4" t="n">
        <v>0</v>
      </c>
      <c r="F2" s="4"/>
      <c r="J2" s="1"/>
      <c r="K2" s="1"/>
      <c r="L2" s="1"/>
    </row>
    <row r="3" customFormat="false" ht="15" hidden="false" customHeight="false" outlineLevel="0" collapsed="false">
      <c r="A3" s="1" t="n">
        <v>60303</v>
      </c>
      <c r="B3" s="1" t="n">
        <v>60303</v>
      </c>
      <c r="C3" s="2" t="n">
        <v>13.9</v>
      </c>
      <c r="D3" s="3" t="n">
        <v>13.205</v>
      </c>
      <c r="E3" s="4" t="n">
        <v>0</v>
      </c>
      <c r="F3" s="4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</row>
    <row r="4" customFormat="false" ht="15" hidden="false" customHeight="false" outlineLevel="0" collapsed="false">
      <c r="A4" s="1" t="n">
        <v>90117</v>
      </c>
      <c r="B4" s="1" t="n">
        <v>90117</v>
      </c>
      <c r="C4" s="2" t="n">
        <v>30.55</v>
      </c>
      <c r="D4" s="3" t="n">
        <v>31.023319518</v>
      </c>
      <c r="E4" s="4" t="n">
        <v>0</v>
      </c>
      <c r="F4" s="4"/>
      <c r="J4" s="1"/>
      <c r="K4" s="1"/>
      <c r="L4" s="1"/>
    </row>
    <row r="5" customFormat="false" ht="15" hidden="false" customHeight="false" outlineLevel="0" collapsed="false">
      <c r="A5" s="1" t="n">
        <v>0</v>
      </c>
      <c r="B5" s="1" t="n">
        <v>0</v>
      </c>
      <c r="C5" s="2" t="n">
        <v>0</v>
      </c>
      <c r="D5" s="3" t="n">
        <v>0</v>
      </c>
      <c r="E5" s="4" t="n">
        <v>0</v>
      </c>
      <c r="F5" s="4"/>
      <c r="J5" s="1"/>
      <c r="K5" s="1"/>
      <c r="L5" s="1"/>
    </row>
    <row r="6" customFormat="false" ht="15" hidden="false" customHeight="false" outlineLevel="0" collapsed="false">
      <c r="A6" s="1" t="n">
        <v>-28228</v>
      </c>
      <c r="B6" s="1" t="n">
        <v>-34429.130716</v>
      </c>
      <c r="C6" s="2" t="n">
        <v>30.55</v>
      </c>
      <c r="D6" s="3" t="n">
        <v>32.0775</v>
      </c>
      <c r="E6" s="4" t="n">
        <v>0</v>
      </c>
      <c r="F6" s="4"/>
      <c r="J6" s="1"/>
      <c r="K6" s="1"/>
      <c r="L6" s="1"/>
    </row>
    <row r="7" customFormat="false" ht="15" hidden="false" customHeight="false" outlineLevel="0" collapsed="false">
      <c r="A7" s="1" t="n">
        <v>116673</v>
      </c>
      <c r="B7" s="1" t="n">
        <v>124546.13072</v>
      </c>
      <c r="C7" s="2" t="n">
        <v>31.13</v>
      </c>
      <c r="D7" s="3" t="n">
        <v>31.314733775</v>
      </c>
      <c r="E7" s="4" t="n">
        <v>0.0165</v>
      </c>
      <c r="F7" s="4"/>
      <c r="J7" s="1"/>
      <c r="K7" s="1"/>
      <c r="L7" s="1"/>
    </row>
    <row r="8" customFormat="false" ht="15" hidden="false" customHeight="false" outlineLevel="0" collapsed="false">
      <c r="A8" s="1" t="n">
        <v>0</v>
      </c>
      <c r="B8" s="1" t="n">
        <v>0</v>
      </c>
      <c r="C8" s="2" t="n">
        <v>0</v>
      </c>
      <c r="D8" s="3" t="n">
        <v>0</v>
      </c>
      <c r="E8" s="4" t="n">
        <v>0</v>
      </c>
      <c r="F8" s="4"/>
      <c r="J8" s="1"/>
      <c r="K8" s="1"/>
      <c r="L8" s="1"/>
    </row>
    <row r="9" customFormat="false" ht="15" hidden="false" customHeight="false" outlineLevel="0" collapsed="false">
      <c r="A9" s="1" t="n">
        <v>20214</v>
      </c>
      <c r="B9" s="1" t="n">
        <v>24875.066453</v>
      </c>
      <c r="C9" s="2" t="n">
        <v>20.26</v>
      </c>
      <c r="D9" s="3" t="n">
        <v>19.247</v>
      </c>
      <c r="E9" s="4" t="n">
        <v>0.0776</v>
      </c>
      <c r="F9" s="4"/>
      <c r="J9" s="1"/>
      <c r="K9" s="1"/>
      <c r="L9" s="1"/>
    </row>
    <row r="10" customFormat="false" ht="15" hidden="false" customHeight="false" outlineLevel="0" collapsed="false">
      <c r="A10" s="1" t="n">
        <v>11970</v>
      </c>
      <c r="B10" s="1" t="n">
        <v>15456.336685</v>
      </c>
      <c r="C10" s="2" t="n">
        <v>11.43</v>
      </c>
      <c r="D10" s="3" t="n">
        <v>10.8585</v>
      </c>
      <c r="E10" s="4" t="n">
        <v>0</v>
      </c>
      <c r="F10" s="4"/>
      <c r="J10" s="1"/>
      <c r="K10" s="1"/>
      <c r="L10" s="1"/>
      <c r="AT10" s="8"/>
    </row>
    <row r="11" customFormat="false" ht="15" hidden="false" customHeight="false" outlineLevel="0" collapsed="false">
      <c r="A11" s="1" t="n">
        <v>60996</v>
      </c>
      <c r="B11" s="1" t="n">
        <v>64047.727578</v>
      </c>
      <c r="C11" s="2" t="n">
        <v>36.6</v>
      </c>
      <c r="D11" s="3" t="n">
        <v>35.689666414</v>
      </c>
      <c r="E11" s="4" t="n">
        <v>0.0402</v>
      </c>
      <c r="F11" s="4"/>
      <c r="J11" s="1"/>
      <c r="K11" s="1"/>
      <c r="L11" s="1"/>
    </row>
    <row r="12" customFormat="false" ht="15" hidden="false" customHeight="false" outlineLevel="0" collapsed="false">
      <c r="A12" s="1" t="n">
        <v>20167</v>
      </c>
      <c r="B12" s="1" t="n">
        <v>20167</v>
      </c>
      <c r="C12" s="2" t="n">
        <v>48.56</v>
      </c>
      <c r="D12" s="3" t="n">
        <v>47.983531086</v>
      </c>
      <c r="E12" s="4" t="n">
        <v>0.04476</v>
      </c>
      <c r="F12" s="4"/>
      <c r="J12" s="1"/>
      <c r="K12" s="1"/>
      <c r="L12" s="1"/>
    </row>
    <row r="13" customFormat="false" ht="15" hidden="false" customHeight="false" outlineLevel="0" collapsed="false">
      <c r="A13" s="1" t="n">
        <v>1437</v>
      </c>
      <c r="B13" s="1" t="n">
        <v>1437</v>
      </c>
      <c r="C13" s="2" t="n">
        <v>49.75</v>
      </c>
      <c r="D13" s="3" t="n">
        <v>49.744623738</v>
      </c>
      <c r="E13" s="4" t="n">
        <v>0.0736</v>
      </c>
      <c r="F13" s="4"/>
      <c r="J13" s="1"/>
      <c r="K13" s="1"/>
      <c r="L13" s="1"/>
    </row>
    <row r="14" customFormat="false" ht="15" hidden="false" customHeight="false" outlineLevel="0" collapsed="false">
      <c r="A14" s="1" t="n">
        <v>23352</v>
      </c>
      <c r="B14" s="1" t="n">
        <v>12216.727578</v>
      </c>
      <c r="C14" s="2" t="n">
        <v>41.47</v>
      </c>
      <c r="D14" s="3" t="n">
        <v>39.3965</v>
      </c>
      <c r="E14" s="4" t="n">
        <v>0.01</v>
      </c>
      <c r="F14" s="4"/>
      <c r="J14" s="1"/>
      <c r="K14" s="1"/>
      <c r="L14" s="1"/>
    </row>
    <row r="15" customFormat="false" ht="15" hidden="false" customHeight="false" outlineLevel="0" collapsed="false">
      <c r="A15" s="1" t="n">
        <v>88249</v>
      </c>
      <c r="B15" s="1" t="n">
        <v>88249</v>
      </c>
      <c r="C15" s="2" t="n">
        <v>41.47</v>
      </c>
      <c r="D15" s="3" t="n">
        <v>41.240586135</v>
      </c>
      <c r="E15" s="4" t="n">
        <v>0.04476</v>
      </c>
      <c r="F15" s="4"/>
      <c r="J15" s="1"/>
      <c r="K15" s="1"/>
      <c r="L15" s="1"/>
    </row>
    <row r="16" customFormat="false" ht="15" hidden="false" customHeight="false" outlineLevel="0" collapsed="false">
      <c r="A16" s="1" t="n">
        <v>40418</v>
      </c>
      <c r="B16" s="1" t="n">
        <v>43841</v>
      </c>
      <c r="C16" s="2" t="n">
        <v>9.81</v>
      </c>
      <c r="D16" s="3" t="n">
        <v>9.3195</v>
      </c>
      <c r="E16" s="4" t="n">
        <v>0</v>
      </c>
      <c r="F16" s="4"/>
      <c r="J16" s="1"/>
      <c r="K16" s="1"/>
      <c r="L16" s="1"/>
      <c r="M16" s="9"/>
    </row>
    <row r="17" customFormat="false" ht="15" hidden="false" customHeight="false" outlineLevel="0" collapsed="false">
      <c r="A17" s="1" t="n">
        <v>66012</v>
      </c>
      <c r="B17" s="1" t="n">
        <v>66012</v>
      </c>
      <c r="C17" s="2" t="n">
        <v>65.05</v>
      </c>
      <c r="D17" s="3" t="n">
        <v>64.68568112</v>
      </c>
      <c r="E17" s="4" t="n">
        <v>0.08667</v>
      </c>
      <c r="F17" s="4"/>
      <c r="J17" s="1"/>
      <c r="K17" s="1"/>
      <c r="L17" s="1"/>
      <c r="M17" s="9"/>
    </row>
    <row r="18" customFormat="false" ht="15" hidden="false" customHeight="false" outlineLevel="0" collapsed="false">
      <c r="A18" s="1" t="n">
        <v>-5515</v>
      </c>
      <c r="B18" s="1" t="n">
        <v>-5099</v>
      </c>
      <c r="C18" s="2" t="n">
        <v>65.05</v>
      </c>
      <c r="D18" s="3" t="n">
        <v>68.3025</v>
      </c>
      <c r="E18" s="4" t="n">
        <v>0.089433339445629</v>
      </c>
      <c r="F18" s="4"/>
      <c r="J18" s="1"/>
      <c r="K18" s="1"/>
      <c r="L18" s="1"/>
      <c r="M18" s="9"/>
    </row>
    <row r="19" customFormat="false" ht="15" hidden="false" customHeight="false" outlineLevel="0" collapsed="false">
      <c r="A19" s="1" t="n">
        <v>0</v>
      </c>
      <c r="B19" s="1" t="n">
        <v>0</v>
      </c>
      <c r="C19" s="2" t="n">
        <v>0</v>
      </c>
      <c r="D19" s="3" t="n">
        <v>0</v>
      </c>
      <c r="E19" s="4" t="n">
        <v>0</v>
      </c>
      <c r="F19" s="4"/>
      <c r="J19" s="1"/>
      <c r="K19" s="1"/>
      <c r="L19" s="1"/>
      <c r="M19" s="9"/>
    </row>
    <row r="20" customFormat="false" ht="15" hidden="false" customHeight="false" outlineLevel="0" collapsed="false">
      <c r="A20" s="1" t="n">
        <v>71111</v>
      </c>
      <c r="B20" s="1" t="n">
        <v>71111</v>
      </c>
      <c r="C20" s="2" t="n">
        <v>65.09</v>
      </c>
      <c r="D20" s="3" t="n">
        <v>64.945024393</v>
      </c>
      <c r="E20" s="4" t="n">
        <v>0.092196678891258</v>
      </c>
      <c r="F20" s="4"/>
      <c r="J20" s="1"/>
      <c r="K20" s="1"/>
      <c r="L20" s="1"/>
      <c r="M20" s="9"/>
    </row>
    <row r="21" customFormat="false" ht="15" hidden="false" customHeight="false" outlineLevel="0" collapsed="false">
      <c r="A21" s="1" t="n">
        <v>1422</v>
      </c>
      <c r="B21" s="1" t="n">
        <v>1422</v>
      </c>
      <c r="C21" s="2" t="n">
        <v>65.09</v>
      </c>
      <c r="D21" s="3" t="n">
        <v>63.1373</v>
      </c>
      <c r="E21" s="4" t="n">
        <v>0.092196678891258</v>
      </c>
      <c r="F21" s="4"/>
      <c r="J21" s="1"/>
      <c r="K21" s="1"/>
      <c r="L21" s="1"/>
      <c r="M21" s="9"/>
    </row>
    <row r="22" customFormat="false" ht="15" hidden="false" customHeight="false" outlineLevel="0" collapsed="false">
      <c r="A22" s="1" t="n">
        <v>69689</v>
      </c>
      <c r="B22" s="1" t="n">
        <v>69689</v>
      </c>
      <c r="C22" s="2" t="n">
        <v>65.09</v>
      </c>
      <c r="D22" s="3" t="n">
        <v>64.981910904</v>
      </c>
      <c r="E22" s="4" t="n">
        <v>0.092196678891258</v>
      </c>
      <c r="F22" s="4"/>
      <c r="J22" s="1"/>
      <c r="K22" s="1"/>
      <c r="L22" s="1"/>
      <c r="M22" s="9"/>
    </row>
    <row r="23" customFormat="false" ht="15" hidden="false" customHeight="false" outlineLevel="0" collapsed="false">
      <c r="A23" s="1" t="n">
        <v>-2963</v>
      </c>
      <c r="B23" s="1" t="n">
        <v>-3438</v>
      </c>
      <c r="C23" s="2" t="n">
        <v>65.09</v>
      </c>
      <c r="D23" s="3" t="n">
        <v>68.3445</v>
      </c>
      <c r="E23" s="4" t="n">
        <v>0.092196678891258</v>
      </c>
      <c r="F23" s="4"/>
      <c r="J23" s="1"/>
      <c r="K23" s="1"/>
      <c r="L23" s="1"/>
      <c r="M23" s="10"/>
    </row>
    <row r="24" customFormat="false" ht="15" hidden="false" customHeight="false" outlineLevel="0" collapsed="false">
      <c r="A24" s="1" t="n">
        <v>73127</v>
      </c>
      <c r="B24" s="1" t="n">
        <v>73127</v>
      </c>
      <c r="C24" s="2" t="n">
        <v>65.14</v>
      </c>
      <c r="D24" s="3" t="n">
        <v>65.14</v>
      </c>
      <c r="E24" s="4" t="n">
        <v>0.08626</v>
      </c>
      <c r="F24" s="4"/>
      <c r="J24" s="1"/>
      <c r="K24" s="1"/>
      <c r="L24" s="1"/>
      <c r="M24" s="9"/>
      <c r="AD24" s="11"/>
      <c r="AE24" s="11"/>
      <c r="AF24" s="11"/>
    </row>
    <row r="25" customFormat="false" ht="15" hidden="false" customHeight="false" outlineLevel="0" collapsed="false">
      <c r="A25" s="1" t="n">
        <v>0</v>
      </c>
      <c r="B25" s="1" t="n">
        <v>0</v>
      </c>
      <c r="C25" s="2" t="n">
        <v>0</v>
      </c>
      <c r="D25" s="3" t="n">
        <v>0</v>
      </c>
      <c r="E25" s="4" t="n">
        <v>0</v>
      </c>
      <c r="F25" s="4"/>
      <c r="J25" s="1"/>
      <c r="K25" s="1"/>
      <c r="L25" s="1"/>
      <c r="M25" s="9"/>
      <c r="AD25" s="11"/>
      <c r="AE25" s="12"/>
      <c r="AF25" s="12"/>
    </row>
    <row r="26" customFormat="false" ht="15" hidden="false" customHeight="false" outlineLevel="0" collapsed="false">
      <c r="A26" s="1" t="n">
        <v>0</v>
      </c>
      <c r="B26" s="1" t="n">
        <v>0</v>
      </c>
      <c r="C26" s="2" t="n">
        <v>0</v>
      </c>
      <c r="D26" s="3" t="n">
        <v>0</v>
      </c>
      <c r="E26" s="4" t="n">
        <v>0</v>
      </c>
      <c r="F26" s="4"/>
      <c r="J26" s="1"/>
      <c r="K26" s="1"/>
      <c r="L26" s="1"/>
      <c r="M26" s="9"/>
      <c r="AD26" s="11"/>
      <c r="AE26" s="12"/>
      <c r="AF26" s="12"/>
    </row>
    <row r="27" customFormat="false" ht="15" hidden="false" customHeight="false" outlineLevel="0" collapsed="false">
      <c r="A27" s="1" t="n">
        <v>0</v>
      </c>
      <c r="B27" s="1" t="n">
        <v>0</v>
      </c>
      <c r="C27" s="2" t="n">
        <v>0</v>
      </c>
      <c r="D27" s="3" t="n">
        <v>0</v>
      </c>
      <c r="E27" s="4" t="n">
        <v>0</v>
      </c>
      <c r="F27" s="4"/>
      <c r="J27" s="1"/>
      <c r="K27" s="1"/>
      <c r="L27" s="1"/>
      <c r="M27" s="9"/>
      <c r="AD27" s="11"/>
      <c r="AE27" s="12"/>
      <c r="AF27" s="12"/>
    </row>
    <row r="28" customFormat="false" ht="15" hidden="false" customHeight="false" outlineLevel="0" collapsed="false">
      <c r="A28" s="1" t="n">
        <v>0</v>
      </c>
      <c r="B28" s="1" t="n">
        <v>0</v>
      </c>
      <c r="C28" s="2" t="n">
        <v>0</v>
      </c>
      <c r="D28" s="3" t="n">
        <v>0</v>
      </c>
      <c r="E28" s="4" t="n">
        <v>0.0088</v>
      </c>
      <c r="F28" s="4"/>
      <c r="J28" s="1"/>
      <c r="K28" s="1"/>
      <c r="L28" s="1"/>
      <c r="M28" s="9"/>
      <c r="AD28" s="11"/>
      <c r="AE28" s="12"/>
      <c r="AF28" s="12"/>
    </row>
    <row r="29" customFormat="false" ht="15" hidden="false" customHeight="false" outlineLevel="0" collapsed="false">
      <c r="A29" s="1" t="n">
        <v>0</v>
      </c>
      <c r="B29" s="1" t="n">
        <v>0</v>
      </c>
      <c r="C29" s="2" t="n">
        <v>0</v>
      </c>
      <c r="D29" s="3" t="n">
        <v>0</v>
      </c>
      <c r="E29" s="4" t="n">
        <v>0</v>
      </c>
      <c r="F29" s="4"/>
      <c r="J29" s="1"/>
      <c r="K29" s="1"/>
      <c r="L29" s="1"/>
      <c r="M29" s="9"/>
      <c r="AD29" s="11"/>
      <c r="AE29" s="12"/>
      <c r="AF29" s="12"/>
    </row>
    <row r="30" customFormat="false" ht="15" hidden="false" customHeight="false" outlineLevel="0" collapsed="false">
      <c r="A30" s="1" t="n">
        <v>0</v>
      </c>
      <c r="B30" s="1" t="n">
        <v>0</v>
      </c>
      <c r="C30" s="2" t="n">
        <v>0</v>
      </c>
      <c r="D30" s="3" t="n">
        <v>0</v>
      </c>
      <c r="E30" s="4" t="n">
        <v>0</v>
      </c>
      <c r="F30" s="4"/>
      <c r="J30" s="1"/>
      <c r="K30" s="1"/>
      <c r="L30" s="1"/>
      <c r="M30" s="9"/>
      <c r="AD30" s="11"/>
      <c r="AE30" s="12"/>
      <c r="AF30" s="12"/>
    </row>
    <row r="31" customFormat="false" ht="15" hidden="false" customHeight="false" outlineLevel="0" collapsed="false">
      <c r="A31" s="1" t="n">
        <v>6294</v>
      </c>
      <c r="B31" s="1" t="n">
        <v>6226</v>
      </c>
      <c r="C31" s="2" t="n">
        <v>63.23</v>
      </c>
      <c r="D31" s="3" t="n">
        <v>63.233250883</v>
      </c>
      <c r="E31" s="4" t="n">
        <v>0.01075</v>
      </c>
      <c r="F31" s="4"/>
      <c r="J31" s="1"/>
      <c r="K31" s="1"/>
      <c r="L31" s="1"/>
      <c r="M31" s="9"/>
      <c r="AD31" s="11"/>
      <c r="AE31" s="12"/>
      <c r="AF31" s="12"/>
    </row>
    <row r="32" customFormat="false" ht="15" hidden="false" customHeight="false" outlineLevel="0" collapsed="false">
      <c r="A32" s="1" t="n">
        <v>0</v>
      </c>
      <c r="B32" s="1" t="n">
        <v>0</v>
      </c>
      <c r="C32" s="2" t="n">
        <v>0</v>
      </c>
      <c r="D32" s="3" t="n">
        <v>0</v>
      </c>
      <c r="E32" s="4" t="n">
        <v>0</v>
      </c>
      <c r="F32" s="4"/>
      <c r="J32" s="1"/>
      <c r="K32" s="1"/>
      <c r="L32" s="1"/>
      <c r="M32" s="9"/>
      <c r="AD32" s="11"/>
      <c r="AE32" s="12"/>
      <c r="AF32" s="12"/>
    </row>
    <row r="33" customFormat="false" ht="15" hidden="false" customHeight="false" outlineLevel="0" collapsed="false">
      <c r="A33" s="1" t="n">
        <v>0</v>
      </c>
      <c r="B33" s="1" t="n">
        <v>0</v>
      </c>
      <c r="C33" s="2" t="n">
        <v>0</v>
      </c>
      <c r="D33" s="3" t="n">
        <v>0</v>
      </c>
      <c r="E33" s="4" t="n">
        <v>0</v>
      </c>
      <c r="F33" s="4"/>
      <c r="J33" s="1"/>
      <c r="K33" s="1"/>
      <c r="L33" s="1"/>
      <c r="M33" s="9"/>
      <c r="AD33" s="11"/>
      <c r="AE33" s="12"/>
      <c r="AF33" s="12"/>
    </row>
    <row r="34" customFormat="false" ht="15" hidden="false" customHeight="false" outlineLevel="0" collapsed="false">
      <c r="A34" s="1" t="n">
        <v>0</v>
      </c>
      <c r="B34" s="1" t="n">
        <v>0</v>
      </c>
      <c r="C34" s="2" t="n">
        <v>0</v>
      </c>
      <c r="D34" s="3" t="n">
        <v>0</v>
      </c>
      <c r="E34" s="4" t="n">
        <v>0</v>
      </c>
      <c r="F34" s="4"/>
      <c r="J34" s="1"/>
      <c r="K34" s="1"/>
      <c r="L34" s="1"/>
      <c r="M34" s="9"/>
      <c r="AD34" s="11"/>
      <c r="AE34" s="12"/>
      <c r="AF34" s="12"/>
    </row>
    <row r="35" customFormat="false" ht="15" hidden="false" customHeight="false" outlineLevel="0" collapsed="false">
      <c r="A35" s="1" t="n">
        <v>0</v>
      </c>
      <c r="B35" s="1" t="n">
        <v>0</v>
      </c>
      <c r="C35" s="2" t="n">
        <v>0</v>
      </c>
      <c r="D35" s="3" t="n">
        <v>0</v>
      </c>
      <c r="E35" s="4" t="n">
        <v>0</v>
      </c>
      <c r="F35" s="4"/>
      <c r="J35" s="1"/>
      <c r="K35" s="1"/>
      <c r="L35" s="1"/>
      <c r="M35" s="9"/>
      <c r="AD35" s="11"/>
      <c r="AE35" s="12"/>
      <c r="AF35" s="12"/>
    </row>
    <row r="36" customFormat="false" ht="15" hidden="false" customHeight="false" outlineLevel="0" collapsed="false">
      <c r="A36" s="1" t="n">
        <v>0</v>
      </c>
      <c r="B36" s="1" t="n">
        <v>0</v>
      </c>
      <c r="C36" s="2" t="n">
        <v>0</v>
      </c>
      <c r="D36" s="3" t="n">
        <v>0</v>
      </c>
      <c r="E36" s="4" t="n">
        <v>0</v>
      </c>
      <c r="F36" s="4"/>
      <c r="J36" s="1"/>
      <c r="K36" s="1"/>
      <c r="L36" s="1"/>
      <c r="M36" s="9"/>
      <c r="AD36" s="11"/>
      <c r="AE36" s="12"/>
      <c r="AF36" s="12"/>
    </row>
    <row r="37" customFormat="false" ht="15" hidden="false" customHeight="false" outlineLevel="0" collapsed="false">
      <c r="A37" s="1" t="n">
        <v>0</v>
      </c>
      <c r="B37" s="1" t="n">
        <v>0</v>
      </c>
      <c r="C37" s="2" t="n">
        <v>0</v>
      </c>
      <c r="D37" s="3" t="n">
        <v>0</v>
      </c>
      <c r="E37" s="4" t="n">
        <v>0</v>
      </c>
      <c r="F37" s="4"/>
      <c r="J37" s="1"/>
      <c r="K37" s="1"/>
      <c r="L37" s="1"/>
      <c r="M37" s="9"/>
      <c r="AD37" s="11"/>
      <c r="AE37" s="12"/>
      <c r="AF37" s="12"/>
    </row>
    <row r="38" customFormat="false" ht="15" hidden="false" customHeight="false" outlineLevel="0" collapsed="false">
      <c r="A38" s="1" t="n">
        <v>0</v>
      </c>
      <c r="B38" s="1" t="n">
        <v>0</v>
      </c>
      <c r="C38" s="2" t="n">
        <v>0</v>
      </c>
      <c r="D38" s="3" t="n">
        <v>0</v>
      </c>
      <c r="E38" s="4" t="n">
        <v>0</v>
      </c>
      <c r="F38" s="4"/>
      <c r="J38" s="1"/>
      <c r="K38" s="1"/>
      <c r="L38" s="1"/>
      <c r="M38" s="9"/>
      <c r="AD38" s="11"/>
      <c r="AE38" s="12"/>
      <c r="AF38" s="12"/>
    </row>
    <row r="39" customFormat="false" ht="15" hidden="false" customHeight="false" outlineLevel="0" collapsed="false">
      <c r="A39" s="1" t="n">
        <v>0</v>
      </c>
      <c r="B39" s="1" t="n">
        <v>0</v>
      </c>
      <c r="C39" s="2" t="n">
        <v>0</v>
      </c>
      <c r="D39" s="3" t="n">
        <v>0</v>
      </c>
      <c r="E39" s="4" t="n">
        <v>0</v>
      </c>
      <c r="F39" s="4"/>
      <c r="J39" s="1"/>
      <c r="K39" s="1"/>
      <c r="L39" s="1"/>
      <c r="M39" s="9"/>
      <c r="AD39" s="11"/>
      <c r="AE39" s="12"/>
      <c r="AF39" s="12"/>
    </row>
    <row r="40" customFormat="false" ht="15" hidden="false" customHeight="false" outlineLevel="0" collapsed="false">
      <c r="A40" s="1" t="n">
        <v>0</v>
      </c>
      <c r="B40" s="1" t="n">
        <v>0</v>
      </c>
      <c r="C40" s="2" t="n">
        <v>0</v>
      </c>
      <c r="D40" s="3" t="n">
        <v>0</v>
      </c>
      <c r="E40" s="4" t="n">
        <v>0</v>
      </c>
      <c r="F40" s="4"/>
      <c r="J40" s="1"/>
      <c r="K40" s="1"/>
      <c r="L40" s="1"/>
      <c r="M40" s="9"/>
      <c r="AD40" s="11"/>
      <c r="AE40" s="12"/>
      <c r="AF40" s="12"/>
    </row>
    <row r="41" customFormat="false" ht="15" hidden="false" customHeight="false" outlineLevel="0" collapsed="false">
      <c r="A41" s="1" t="n">
        <v>0</v>
      </c>
      <c r="B41" s="1" t="n">
        <v>0</v>
      </c>
      <c r="C41" s="2" t="n">
        <v>0</v>
      </c>
      <c r="D41" s="3" t="n">
        <v>0</v>
      </c>
      <c r="E41" s="4" t="n">
        <v>0</v>
      </c>
      <c r="F41" s="4"/>
      <c r="J41" s="1"/>
      <c r="K41" s="1"/>
      <c r="L41" s="1"/>
      <c r="M41" s="9"/>
      <c r="AD41" s="11"/>
      <c r="AE41" s="12"/>
      <c r="AF41" s="12"/>
    </row>
    <row r="42" customFormat="false" ht="15" hidden="false" customHeight="false" outlineLevel="0" collapsed="false">
      <c r="A42" s="1" t="n">
        <v>0</v>
      </c>
      <c r="B42" s="1" t="n">
        <v>0</v>
      </c>
      <c r="C42" s="2" t="n">
        <v>0</v>
      </c>
      <c r="D42" s="3" t="n">
        <v>0</v>
      </c>
      <c r="E42" s="4" t="n">
        <v>0</v>
      </c>
      <c r="F42" s="4"/>
      <c r="J42" s="1"/>
      <c r="K42" s="1"/>
      <c r="L42" s="1"/>
      <c r="M42" s="9"/>
      <c r="AD42" s="11"/>
      <c r="AE42" s="12"/>
      <c r="AF42" s="12"/>
    </row>
    <row r="43" customFormat="false" ht="15" hidden="false" customHeight="false" outlineLevel="0" collapsed="false">
      <c r="A43" s="1" t="n">
        <v>0</v>
      </c>
      <c r="B43" s="1" t="n">
        <v>0</v>
      </c>
      <c r="C43" s="2" t="n">
        <v>0</v>
      </c>
      <c r="D43" s="3" t="n">
        <v>0</v>
      </c>
      <c r="E43" s="4" t="n">
        <v>0</v>
      </c>
      <c r="F43" s="4"/>
      <c r="J43" s="1"/>
      <c r="K43" s="1"/>
      <c r="L43" s="1"/>
      <c r="M43" s="9"/>
      <c r="AD43" s="11"/>
      <c r="AE43" s="12"/>
      <c r="AF43" s="12"/>
    </row>
    <row r="44" customFormat="false" ht="15" hidden="false" customHeight="false" outlineLevel="0" collapsed="false">
      <c r="A44" s="1" t="n">
        <v>0</v>
      </c>
      <c r="B44" s="1" t="n">
        <v>0</v>
      </c>
      <c r="C44" s="2" t="n">
        <v>0</v>
      </c>
      <c r="D44" s="3" t="n">
        <v>0</v>
      </c>
      <c r="E44" s="4" t="n">
        <v>0</v>
      </c>
      <c r="F44" s="4"/>
      <c r="J44" s="1"/>
      <c r="K44" s="1"/>
      <c r="L44" s="1"/>
      <c r="M44" s="9"/>
      <c r="AD44" s="11"/>
      <c r="AE44" s="12"/>
      <c r="AF44" s="12"/>
    </row>
    <row r="45" customFormat="false" ht="15" hidden="false" customHeight="false" outlineLevel="0" collapsed="false">
      <c r="A45" s="1" t="n">
        <v>0</v>
      </c>
      <c r="B45" s="1" t="n">
        <v>0</v>
      </c>
      <c r="C45" s="2" t="n">
        <v>0</v>
      </c>
      <c r="D45" s="3" t="n">
        <v>0</v>
      </c>
      <c r="E45" s="4" t="n">
        <v>0</v>
      </c>
      <c r="F45" s="4"/>
      <c r="J45" s="1"/>
      <c r="K45" s="1"/>
      <c r="L45" s="1"/>
      <c r="M45" s="9"/>
      <c r="AD45" s="11"/>
      <c r="AE45" s="12"/>
      <c r="AF45" s="12"/>
    </row>
    <row r="46" customFormat="false" ht="15" hidden="false" customHeight="false" outlineLevel="0" collapsed="false">
      <c r="A46" s="1" t="n">
        <v>0</v>
      </c>
      <c r="B46" s="1" t="n">
        <v>0</v>
      </c>
      <c r="C46" s="2" t="n">
        <v>0</v>
      </c>
      <c r="D46" s="3" t="n">
        <v>0</v>
      </c>
      <c r="E46" s="4" t="n">
        <v>0</v>
      </c>
      <c r="F46" s="4"/>
      <c r="J46" s="1"/>
      <c r="K46" s="1"/>
      <c r="L46" s="1"/>
      <c r="M46" s="9"/>
      <c r="AD46" s="11"/>
      <c r="AE46" s="12"/>
      <c r="AF46" s="12"/>
    </row>
    <row r="47" customFormat="false" ht="15" hidden="false" customHeight="false" outlineLevel="0" collapsed="false">
      <c r="A47" s="1" t="n">
        <v>0</v>
      </c>
      <c r="B47" s="1" t="n">
        <v>0</v>
      </c>
      <c r="C47" s="2" t="n">
        <v>0</v>
      </c>
      <c r="D47" s="3" t="n">
        <v>0</v>
      </c>
      <c r="E47" s="4" t="n">
        <v>0</v>
      </c>
      <c r="F47" s="4"/>
      <c r="J47" s="1"/>
      <c r="K47" s="1"/>
      <c r="L47" s="1"/>
      <c r="M47" s="9"/>
      <c r="AD47" s="11"/>
      <c r="AE47" s="12"/>
      <c r="AF47" s="12"/>
    </row>
    <row r="48" customFormat="false" ht="15" hidden="false" customHeight="false" outlineLevel="0" collapsed="false">
      <c r="A48" s="1" t="n">
        <v>0</v>
      </c>
      <c r="B48" s="1" t="n">
        <v>0</v>
      </c>
      <c r="C48" s="2" t="n">
        <v>0</v>
      </c>
      <c r="D48" s="3" t="n">
        <v>0</v>
      </c>
      <c r="E48" s="4" t="n">
        <v>0</v>
      </c>
      <c r="F48" s="4"/>
      <c r="J48" s="1"/>
      <c r="K48" s="1"/>
      <c r="L48" s="1"/>
      <c r="M48" s="9"/>
      <c r="AD48" s="11"/>
      <c r="AE48" s="12"/>
      <c r="AF48" s="12"/>
    </row>
    <row r="49" customFormat="false" ht="15" hidden="false" customHeight="false" outlineLevel="0" collapsed="false">
      <c r="A49" s="1" t="n">
        <v>0</v>
      </c>
      <c r="B49" s="1" t="n">
        <v>0</v>
      </c>
      <c r="C49" s="2" t="n">
        <v>0</v>
      </c>
      <c r="D49" s="3" t="n">
        <v>0</v>
      </c>
      <c r="E49" s="4" t="n">
        <v>0</v>
      </c>
      <c r="F49" s="4"/>
      <c r="J49" s="1"/>
      <c r="K49" s="1"/>
      <c r="L49" s="1"/>
      <c r="M49" s="9"/>
      <c r="AD49" s="11"/>
      <c r="AE49" s="12"/>
      <c r="AF49" s="12"/>
    </row>
    <row r="50" customFormat="false" ht="15" hidden="false" customHeight="false" outlineLevel="0" collapsed="false">
      <c r="A50" s="1" t="n">
        <v>0</v>
      </c>
      <c r="B50" s="1" t="n">
        <v>0</v>
      </c>
      <c r="C50" s="2" t="n">
        <v>0</v>
      </c>
      <c r="D50" s="3" t="n">
        <v>0</v>
      </c>
      <c r="E50" s="4" t="n">
        <v>0</v>
      </c>
      <c r="F50" s="4"/>
      <c r="J50" s="1"/>
      <c r="K50" s="1"/>
      <c r="L50" s="1"/>
      <c r="M50" s="9"/>
      <c r="AD50" s="11"/>
      <c r="AE50" s="12"/>
      <c r="AF50" s="12"/>
    </row>
    <row r="51" customFormat="false" ht="15" hidden="false" customHeight="false" outlineLevel="0" collapsed="false">
      <c r="A51" s="1" t="n">
        <v>0</v>
      </c>
      <c r="B51" s="1" t="n">
        <v>0</v>
      </c>
      <c r="C51" s="2" t="n">
        <v>0</v>
      </c>
      <c r="D51" s="3" t="n">
        <v>0</v>
      </c>
      <c r="E51" s="4" t="n">
        <v>0</v>
      </c>
      <c r="F51" s="4"/>
      <c r="J51" s="1"/>
      <c r="K51" s="1"/>
      <c r="L51" s="1"/>
      <c r="M51" s="9"/>
      <c r="AD51" s="11"/>
      <c r="AE51" s="12"/>
      <c r="AF51" s="12"/>
    </row>
    <row r="52" customFormat="false" ht="15" hidden="false" customHeight="false" outlineLevel="0" collapsed="false">
      <c r="A52" s="1" t="n">
        <v>37855</v>
      </c>
      <c r="B52" s="1" t="n">
        <v>37855</v>
      </c>
      <c r="C52" s="2" t="n">
        <v>50.36</v>
      </c>
      <c r="D52" s="3" t="n">
        <v>50.36</v>
      </c>
      <c r="E52" s="4" t="n">
        <v>0.0293425</v>
      </c>
      <c r="F52" s="4"/>
      <c r="J52" s="1"/>
      <c r="K52" s="1"/>
      <c r="L52" s="1"/>
      <c r="M52" s="9"/>
      <c r="AD52" s="11"/>
      <c r="AE52" s="12"/>
      <c r="AF52" s="12"/>
    </row>
    <row r="53" customFormat="false" ht="15" hidden="false" customHeight="false" outlineLevel="0" collapsed="false">
      <c r="A53" s="1" t="n">
        <v>37855</v>
      </c>
      <c r="B53" s="1" t="n">
        <v>37855</v>
      </c>
      <c r="C53" s="2" t="n">
        <v>50.36</v>
      </c>
      <c r="D53" s="3" t="n">
        <v>50.36</v>
      </c>
      <c r="E53" s="4" t="n">
        <v>0.0293425</v>
      </c>
      <c r="F53" s="4"/>
      <c r="J53" s="1"/>
      <c r="K53" s="1"/>
      <c r="L53" s="1"/>
      <c r="M53" s="9"/>
      <c r="AD53" s="11"/>
      <c r="AE53" s="12"/>
      <c r="AF53" s="12"/>
    </row>
    <row r="54" customFormat="false" ht="15" hidden="false" customHeight="false" outlineLevel="0" collapsed="false">
      <c r="A54" s="1" t="n">
        <v>3157</v>
      </c>
      <c r="B54" s="1" t="n">
        <v>3157</v>
      </c>
      <c r="C54" s="2" t="n">
        <v>63.46</v>
      </c>
      <c r="D54" s="3" t="n">
        <v>63.46</v>
      </c>
      <c r="E54" s="4" t="n">
        <v>0.0088</v>
      </c>
      <c r="F54" s="4"/>
      <c r="J54" s="1"/>
      <c r="K54" s="1"/>
      <c r="L54" s="1"/>
      <c r="M54" s="9"/>
      <c r="AD54" s="11"/>
      <c r="AE54" s="12"/>
      <c r="AF54" s="12"/>
    </row>
    <row r="55" customFormat="false" ht="15" hidden="false" customHeight="false" outlineLevel="0" collapsed="false">
      <c r="A55" s="1" t="n">
        <v>0</v>
      </c>
      <c r="B55" s="1" t="n">
        <v>0</v>
      </c>
      <c r="C55" s="2" t="n">
        <v>0</v>
      </c>
      <c r="D55" s="3" t="n">
        <v>0</v>
      </c>
      <c r="E55" s="4" t="n">
        <v>0</v>
      </c>
      <c r="F55" s="4"/>
      <c r="J55" s="1"/>
      <c r="K55" s="1"/>
      <c r="L55" s="1"/>
      <c r="M55" s="9"/>
      <c r="AD55" s="11"/>
      <c r="AE55" s="12"/>
      <c r="AF55" s="12"/>
    </row>
    <row r="56" customFormat="false" ht="15" hidden="false" customHeight="false" outlineLevel="0" collapsed="false">
      <c r="A56" s="1" t="n">
        <v>0</v>
      </c>
      <c r="B56" s="1" t="n">
        <v>0</v>
      </c>
      <c r="C56" s="1" t="n">
        <v>0</v>
      </c>
      <c r="D56" s="4" t="n">
        <v>0</v>
      </c>
      <c r="E56" s="4" t="n">
        <v>0</v>
      </c>
      <c r="F56" s="4"/>
      <c r="J56" s="1"/>
      <c r="K56" s="1"/>
      <c r="L56" s="1"/>
      <c r="M56" s="9"/>
      <c r="AD56" s="11"/>
      <c r="AE56" s="12"/>
      <c r="AF56" s="12"/>
    </row>
    <row r="57" customFormat="false" ht="15" hidden="false" customHeight="false" outlineLevel="0" collapsed="false">
      <c r="A57" s="1" t="n">
        <v>3069</v>
      </c>
      <c r="B57" s="1" t="n">
        <v>3069</v>
      </c>
      <c r="C57" s="1" t="n">
        <v>63</v>
      </c>
      <c r="D57" s="4" t="n">
        <v>63</v>
      </c>
      <c r="E57" s="4" t="n">
        <v>0.0127</v>
      </c>
      <c r="F57" s="4"/>
      <c r="J57" s="1"/>
      <c r="K57" s="1"/>
      <c r="L57" s="1"/>
      <c r="M57" s="9"/>
      <c r="AD57" s="11"/>
      <c r="AE57" s="12"/>
      <c r="AF57" s="12"/>
    </row>
    <row r="58" customFormat="false" ht="15" hidden="false" customHeight="false" outlineLevel="0" collapsed="false">
      <c r="A58" s="1" t="n">
        <v>0</v>
      </c>
      <c r="B58" s="1" t="n">
        <v>0</v>
      </c>
      <c r="C58" s="1" t="n">
        <v>0</v>
      </c>
      <c r="D58" s="4" t="n">
        <v>0</v>
      </c>
      <c r="E58" s="4" t="n">
        <v>0</v>
      </c>
      <c r="F58" s="4"/>
      <c r="J58" s="1"/>
      <c r="K58" s="1"/>
      <c r="L58" s="1"/>
      <c r="M58" s="9"/>
      <c r="AD58" s="11"/>
      <c r="AE58" s="12"/>
      <c r="AF58" s="12"/>
    </row>
    <row r="59" customFormat="false" ht="15" hidden="false" customHeight="false" outlineLevel="0" collapsed="false">
      <c r="A59" s="1" t="n">
        <v>0</v>
      </c>
      <c r="B59" s="1" t="n">
        <v>0</v>
      </c>
      <c r="C59" s="1" t="n">
        <v>0</v>
      </c>
      <c r="D59" s="4" t="n">
        <v>0</v>
      </c>
      <c r="E59" s="4" t="n">
        <v>0</v>
      </c>
      <c r="F59" s="4"/>
      <c r="J59" s="1"/>
      <c r="K59" s="1"/>
      <c r="L59" s="1"/>
      <c r="M59" s="9"/>
      <c r="AD59" s="11"/>
      <c r="AE59" s="12"/>
      <c r="AF59" s="12"/>
    </row>
    <row r="60" customFormat="false" ht="17.35" hidden="false" customHeight="false" outlineLevel="0" collapsed="false">
      <c r="A60" s="1" t="n">
        <v>0</v>
      </c>
      <c r="B60" s="1" t="n">
        <v>0</v>
      </c>
      <c r="C60" s="1" t="n">
        <v>0</v>
      </c>
      <c r="D60" s="4" t="n">
        <v>0</v>
      </c>
      <c r="E60" s="4" t="n">
        <v>0</v>
      </c>
      <c r="F60" s="4"/>
      <c r="J60" s="13"/>
      <c r="K60" s="13"/>
      <c r="L60" s="13"/>
      <c r="M60" s="9"/>
      <c r="N60" s="14"/>
      <c r="O60" s="14"/>
      <c r="R60" s="15"/>
      <c r="AD60" s="11"/>
      <c r="AE60" s="12"/>
      <c r="AF60" s="12"/>
    </row>
    <row r="61" customFormat="false" ht="15" hidden="false" customHeight="false" outlineLevel="0" collapsed="false">
      <c r="A61" s="1" t="n">
        <v>0</v>
      </c>
      <c r="B61" s="1" t="n">
        <v>0</v>
      </c>
      <c r="C61" s="1" t="n">
        <v>0</v>
      </c>
      <c r="D61" s="4" t="n">
        <v>0</v>
      </c>
      <c r="E61" s="4" t="n">
        <v>0</v>
      </c>
      <c r="F61" s="4"/>
      <c r="J61" s="16"/>
      <c r="K61" s="16"/>
      <c r="L61" s="16"/>
      <c r="M61" s="9"/>
      <c r="N61" s="17"/>
      <c r="O61" s="17"/>
      <c r="P61" s="18"/>
      <c r="R61" s="18"/>
      <c r="V61" s="8"/>
      <c r="W61" s="8"/>
      <c r="AD61" s="11"/>
      <c r="AE61" s="12"/>
      <c r="AF61" s="12"/>
    </row>
    <row r="62" customFormat="false" ht="15" hidden="false" customHeight="false" outlineLevel="0" collapsed="false">
      <c r="A62" s="1" t="n">
        <v>0</v>
      </c>
      <c r="B62" s="1" t="n">
        <v>0</v>
      </c>
      <c r="C62" s="1" t="n">
        <v>0</v>
      </c>
      <c r="D62" s="4" t="n">
        <v>0</v>
      </c>
      <c r="E62" s="4" t="n">
        <v>0</v>
      </c>
      <c r="F62" s="4"/>
      <c r="J62" s="1"/>
      <c r="K62" s="2"/>
      <c r="L62" s="19"/>
      <c r="M62" s="9"/>
      <c r="N62" s="20"/>
      <c r="O62" s="20"/>
      <c r="P62" s="21"/>
      <c r="Q62" s="22"/>
      <c r="R62" s="21"/>
      <c r="S62" s="22"/>
      <c r="V62" s="8"/>
      <c r="W62" s="8"/>
      <c r="AD62" s="11"/>
      <c r="AE62" s="12"/>
      <c r="AF62" s="12"/>
    </row>
    <row r="63" customFormat="false" ht="15" hidden="false" customHeight="false" outlineLevel="0" collapsed="false">
      <c r="A63" s="1" t="n">
        <v>0</v>
      </c>
      <c r="B63" s="1" t="n">
        <v>0</v>
      </c>
      <c r="C63" s="1" t="n">
        <v>0</v>
      </c>
      <c r="D63" s="4" t="n">
        <v>0</v>
      </c>
      <c r="E63" s="4" t="n">
        <v>0</v>
      </c>
      <c r="F63" s="4"/>
      <c r="J63" s="1"/>
      <c r="K63" s="2"/>
      <c r="L63" s="19"/>
      <c r="M63" s="9"/>
      <c r="N63" s="20"/>
      <c r="O63" s="20"/>
      <c r="P63" s="21"/>
      <c r="Q63" s="22"/>
      <c r="R63" s="21"/>
      <c r="S63" s="22"/>
      <c r="V63" s="8"/>
      <c r="W63" s="8"/>
      <c r="AD63" s="11"/>
      <c r="AE63" s="12"/>
      <c r="AF63" s="12"/>
    </row>
    <row r="64" customFormat="false" ht="15" hidden="false" customHeight="false" outlineLevel="0" collapsed="false">
      <c r="A64" s="1" t="n">
        <v>0</v>
      </c>
      <c r="B64" s="1" t="n">
        <v>0</v>
      </c>
      <c r="C64" s="1" t="n">
        <v>0</v>
      </c>
      <c r="D64" s="4" t="n">
        <v>0</v>
      </c>
      <c r="E64" s="4" t="n">
        <v>0</v>
      </c>
      <c r="F64" s="4"/>
      <c r="J64" s="1"/>
      <c r="K64" s="2"/>
      <c r="L64" s="19"/>
      <c r="M64" s="9"/>
      <c r="N64" s="20"/>
      <c r="O64" s="20"/>
      <c r="P64" s="21"/>
      <c r="Q64" s="22"/>
      <c r="R64" s="21"/>
      <c r="S64" s="22"/>
      <c r="V64" s="8"/>
      <c r="W64" s="23"/>
      <c r="AD64" s="11"/>
      <c r="AE64" s="12"/>
      <c r="AF64" s="12"/>
    </row>
    <row r="65" customFormat="false" ht="15" hidden="false" customHeight="false" outlineLevel="0" collapsed="false">
      <c r="A65" s="1" t="n">
        <v>0</v>
      </c>
      <c r="B65" s="1" t="n">
        <v>0</v>
      </c>
      <c r="C65" s="1" t="n">
        <v>0</v>
      </c>
      <c r="D65" s="4" t="n">
        <v>0</v>
      </c>
      <c r="E65" s="4" t="n">
        <v>0</v>
      </c>
      <c r="F65" s="4"/>
      <c r="G65" s="24"/>
      <c r="H65" s="25"/>
      <c r="I65" s="1"/>
      <c r="J65" s="1"/>
      <c r="K65" s="2"/>
      <c r="L65" s="19"/>
      <c r="M65" s="9"/>
      <c r="N65" s="20"/>
      <c r="O65" s="20"/>
      <c r="P65" s="21"/>
      <c r="Q65" s="22"/>
      <c r="R65" s="21"/>
      <c r="S65" s="22"/>
      <c r="V65" s="8"/>
      <c r="W65" s="23"/>
      <c r="AD65" s="11"/>
      <c r="AE65" s="12"/>
      <c r="AF65" s="12"/>
    </row>
    <row r="66" customFormat="false" ht="15" hidden="false" customHeight="false" outlineLevel="0" collapsed="false">
      <c r="A66" s="4" t="n">
        <v>0</v>
      </c>
      <c r="B66" s="4" t="n">
        <v>0</v>
      </c>
      <c r="C66" s="4" t="n">
        <v>0</v>
      </c>
      <c r="D66" s="4" t="n">
        <v>0</v>
      </c>
      <c r="E66" s="4" t="n">
        <v>0</v>
      </c>
      <c r="F66" s="4"/>
      <c r="G66" s="24"/>
      <c r="H66" s="25"/>
      <c r="I66" s="1"/>
      <c r="J66" s="1"/>
      <c r="K66" s="2"/>
      <c r="L66" s="19"/>
      <c r="M66" s="9"/>
      <c r="N66" s="20"/>
      <c r="O66" s="20"/>
      <c r="P66" s="21"/>
      <c r="Q66" s="22"/>
      <c r="R66" s="21"/>
      <c r="S66" s="22"/>
      <c r="V66" s="8"/>
      <c r="W66" s="23"/>
      <c r="AD66" s="11"/>
      <c r="AE66" s="12"/>
      <c r="AF66" s="12"/>
    </row>
    <row r="67" customFormat="false" ht="15" hidden="false" customHeight="false" outlineLevel="0" collapsed="false">
      <c r="A67" s="26" t="n">
        <v>0</v>
      </c>
      <c r="B67" s="26" t="n">
        <v>0</v>
      </c>
      <c r="C67" s="3" t="n">
        <v>0</v>
      </c>
      <c r="D67" s="4" t="n">
        <v>0</v>
      </c>
      <c r="E67" s="4" t="n">
        <v>0</v>
      </c>
      <c r="F67" s="27"/>
      <c r="G67" s="24"/>
      <c r="H67" s="25"/>
      <c r="I67" s="1"/>
      <c r="J67" s="1"/>
      <c r="K67" s="2"/>
      <c r="L67" s="19"/>
      <c r="M67" s="9"/>
      <c r="N67" s="20"/>
      <c r="O67" s="20"/>
      <c r="P67" s="21"/>
      <c r="Q67" s="22"/>
      <c r="R67" s="21"/>
      <c r="S67" s="22"/>
      <c r="V67" s="8"/>
      <c r="W67" s="23"/>
      <c r="AD67" s="11"/>
      <c r="AE67" s="12"/>
      <c r="AF67" s="12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24"/>
      <c r="H68" s="25"/>
      <c r="I68" s="1"/>
      <c r="J68" s="1"/>
      <c r="K68" s="2"/>
      <c r="L68" s="19"/>
      <c r="M68" s="9"/>
      <c r="N68" s="20"/>
      <c r="O68" s="20"/>
      <c r="P68" s="21"/>
      <c r="Q68" s="22"/>
      <c r="R68" s="21"/>
      <c r="S68" s="22"/>
      <c r="V68" s="8"/>
      <c r="W68" s="23"/>
      <c r="AD68" s="11"/>
      <c r="AE68" s="12"/>
      <c r="AF68" s="12"/>
    </row>
    <row r="69" customFormat="false" ht="18.75" hidden="false" customHeight="true" outlineLevel="0" collapsed="false">
      <c r="A69" s="4"/>
      <c r="B69" s="4"/>
      <c r="C69" s="4"/>
      <c r="D69" s="4"/>
      <c r="E69" s="4"/>
      <c r="F69" s="4"/>
      <c r="G69" s="24"/>
      <c r="H69" s="25"/>
      <c r="I69" s="1"/>
      <c r="J69" s="1"/>
      <c r="K69" s="2"/>
      <c r="L69" s="19"/>
      <c r="M69" s="9"/>
      <c r="N69" s="20"/>
      <c r="O69" s="20"/>
      <c r="P69" s="21"/>
      <c r="Q69" s="22"/>
      <c r="R69" s="21"/>
      <c r="S69" s="22"/>
      <c r="V69" s="8"/>
      <c r="W69" s="23"/>
      <c r="AD69" s="11"/>
      <c r="AE69" s="12"/>
      <c r="AF69" s="12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24"/>
      <c r="H70" s="25"/>
      <c r="I70" s="1"/>
      <c r="J70" s="1"/>
      <c r="K70" s="2"/>
      <c r="L70" s="19"/>
      <c r="M70" s="9"/>
      <c r="N70" s="20"/>
      <c r="O70" s="20"/>
      <c r="P70" s="21"/>
      <c r="Q70" s="22"/>
      <c r="R70" s="21"/>
      <c r="S70" s="22"/>
      <c r="V70" s="8"/>
      <c r="W70" s="23"/>
      <c r="AD70" s="11"/>
      <c r="AE70" s="12"/>
      <c r="AF70" s="12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9"/>
      <c r="H71" s="25"/>
      <c r="I71" s="1" t="s">
        <v>0</v>
      </c>
      <c r="J71" s="1" t="n">
        <f aca="false">B10</f>
        <v>15456.336685</v>
      </c>
      <c r="K71" s="2" t="n">
        <f aca="false">IF(D10&gt;1,D10/100,D10)</f>
        <v>0.108585</v>
      </c>
      <c r="L71" s="19" t="n">
        <f aca="false">+J71*K71</f>
        <v>1678.32631894072</v>
      </c>
      <c r="M71" s="9"/>
      <c r="N71" s="20"/>
      <c r="O71" s="20"/>
      <c r="P71" s="21"/>
      <c r="Q71" s="22"/>
      <c r="R71" s="21"/>
      <c r="S71" s="22"/>
      <c r="V71" s="8"/>
      <c r="W71" s="23"/>
      <c r="AD71" s="11"/>
      <c r="AE71" s="12"/>
      <c r="AF71" s="12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24"/>
      <c r="H72" s="25"/>
      <c r="I72" s="1" t="s">
        <v>1</v>
      </c>
      <c r="J72" s="1" t="n">
        <f aca="false">B11</f>
        <v>64047.727578</v>
      </c>
      <c r="K72" s="2" t="n">
        <f aca="false">IF(D11&gt;1,D11/100,D11)</f>
        <v>0.35689666414</v>
      </c>
      <c r="L72" s="19" t="n">
        <f aca="false">+J72*K72</f>
        <v>22858.4203183357</v>
      </c>
      <c r="M72" s="9"/>
      <c r="N72" s="20"/>
      <c r="O72" s="20"/>
      <c r="P72" s="21"/>
      <c r="Q72" s="22"/>
      <c r="R72" s="21"/>
      <c r="S72" s="22"/>
      <c r="V72" s="8"/>
      <c r="W72" s="23"/>
      <c r="AD72" s="11"/>
      <c r="AE72" s="12"/>
      <c r="AF72" s="12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24"/>
      <c r="H73" s="25"/>
      <c r="I73" s="1" t="s">
        <v>2</v>
      </c>
      <c r="J73" s="1" t="n">
        <f aca="false">B12</f>
        <v>20167</v>
      </c>
      <c r="K73" s="2" t="n">
        <f aca="false">IF(D12&gt;1,D12/100,D12)</f>
        <v>0.47983531086</v>
      </c>
      <c r="L73" s="19" t="n">
        <f aca="false">+J73*K73</f>
        <v>9676.83871411362</v>
      </c>
      <c r="M73" s="9"/>
      <c r="N73" s="20"/>
      <c r="O73" s="20"/>
      <c r="P73" s="21"/>
      <c r="Q73" s="22"/>
      <c r="R73" s="21"/>
      <c r="S73" s="22"/>
      <c r="V73" s="8"/>
      <c r="W73" s="23"/>
      <c r="AD73" s="11"/>
      <c r="AE73" s="12"/>
      <c r="AF73" s="12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24"/>
      <c r="H74" s="25"/>
      <c r="I74" s="1" t="s">
        <v>3</v>
      </c>
      <c r="J74" s="1" t="n">
        <f aca="false">B13</f>
        <v>1437</v>
      </c>
      <c r="K74" s="2" t="n">
        <f aca="false">IF(D13&gt;1,D13/100,D13)</f>
        <v>0.49744623738</v>
      </c>
      <c r="L74" s="19" t="n">
        <f aca="false">+J74*K74</f>
        <v>714.83024311506</v>
      </c>
      <c r="M74" s="9"/>
      <c r="N74" s="20"/>
      <c r="O74" s="20"/>
      <c r="P74" s="21"/>
      <c r="Q74" s="22"/>
      <c r="R74" s="21"/>
      <c r="S74" s="22"/>
      <c r="V74" s="8"/>
      <c r="W74" s="23"/>
      <c r="AD74" s="11"/>
      <c r="AE74" s="12"/>
      <c r="AF74" s="12"/>
    </row>
    <row r="75" customFormat="false" ht="15" hidden="false" customHeight="false" outlineLevel="0" collapsed="false">
      <c r="A75" s="19"/>
      <c r="B75" s="19"/>
      <c r="C75" s="2"/>
      <c r="D75" s="1"/>
      <c r="E75" s="1"/>
      <c r="F75" s="28"/>
      <c r="G75" s="24"/>
      <c r="H75" s="25"/>
      <c r="I75" s="1" t="s">
        <v>4</v>
      </c>
      <c r="J75" s="1" t="n">
        <f aca="false">B14</f>
        <v>12216.727578</v>
      </c>
      <c r="K75" s="2" t="n">
        <f aca="false">IF(D14&gt;1,D14/100,D14)</f>
        <v>0.393965</v>
      </c>
      <c r="L75" s="19" t="n">
        <f aca="false">+J75*K75</f>
        <v>4812.96308026677</v>
      </c>
      <c r="M75" s="9"/>
      <c r="N75" s="20"/>
      <c r="O75" s="20"/>
      <c r="P75" s="21"/>
      <c r="Q75" s="22"/>
      <c r="R75" s="21"/>
      <c r="S75" s="22"/>
      <c r="V75" s="8"/>
      <c r="W75" s="8"/>
      <c r="AD75" s="11"/>
      <c r="AE75" s="12"/>
      <c r="AF75" s="12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24"/>
      <c r="H76" s="25"/>
      <c r="I76" s="1" t="s">
        <v>5</v>
      </c>
      <c r="J76" s="1" t="n">
        <f aca="false">B15</f>
        <v>88249</v>
      </c>
      <c r="K76" s="2" t="n">
        <f aca="false">IF(D15&gt;1,D15/100,D15)</f>
        <v>0.41240586135</v>
      </c>
      <c r="L76" s="19" t="n">
        <f aca="false">+J76*K76</f>
        <v>36394.4048582762</v>
      </c>
      <c r="M76" s="9"/>
      <c r="N76" s="20"/>
      <c r="O76" s="20"/>
      <c r="P76" s="21"/>
      <c r="Q76" s="22"/>
      <c r="R76" s="21"/>
      <c r="S76" s="22"/>
      <c r="V76" s="8"/>
      <c r="W76" s="8"/>
      <c r="AD76" s="11"/>
      <c r="AE76" s="12"/>
      <c r="AF76" s="12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24"/>
      <c r="H77" s="25"/>
      <c r="I77" s="1" t="s">
        <v>6</v>
      </c>
      <c r="J77" s="1" t="n">
        <f aca="false">B16</f>
        <v>43841</v>
      </c>
      <c r="K77" s="2" t="n">
        <f aca="false">IF(D16&gt;1,D16/100,D16)</f>
        <v>0.093195</v>
      </c>
      <c r="L77" s="19" t="n">
        <f aca="false">+J77*K77</f>
        <v>4085.761995</v>
      </c>
      <c r="M77" s="9"/>
      <c r="N77" s="20"/>
      <c r="O77" s="20"/>
      <c r="P77" s="21"/>
      <c r="Q77" s="22"/>
      <c r="R77" s="21"/>
      <c r="S77" s="22"/>
      <c r="V77" s="8"/>
      <c r="W77" s="8"/>
      <c r="AD77" s="11"/>
      <c r="AE77" s="12"/>
      <c r="AF77" s="12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9"/>
      <c r="H78" s="25"/>
      <c r="I78" s="1" t="s">
        <v>7</v>
      </c>
      <c r="J78" s="1" t="n">
        <f aca="false">B17</f>
        <v>66012</v>
      </c>
      <c r="K78" s="2" t="n">
        <f aca="false">IF(D17&gt;1,D17/100,D17)</f>
        <v>0.6468568112</v>
      </c>
      <c r="L78" s="19" t="n">
        <f aca="false">+J78*K78</f>
        <v>42700.3118209344</v>
      </c>
      <c r="M78" s="9"/>
      <c r="N78" s="20"/>
      <c r="O78" s="20"/>
      <c r="P78" s="21"/>
      <c r="Q78" s="22"/>
      <c r="R78" s="21"/>
      <c r="S78" s="22"/>
      <c r="V78" s="8"/>
      <c r="W78" s="8"/>
      <c r="AD78" s="11"/>
      <c r="AE78" s="12"/>
      <c r="AF78" s="12"/>
    </row>
    <row r="79" customFormat="false" ht="15" hidden="false" customHeight="false" outlineLevel="0" collapsed="false">
      <c r="A79" s="19"/>
      <c r="B79" s="19"/>
      <c r="C79" s="2"/>
      <c r="D79" s="1"/>
      <c r="E79" s="1"/>
      <c r="F79" s="28"/>
      <c r="G79" s="24"/>
      <c r="H79" s="25"/>
      <c r="I79" s="1" t="s">
        <v>8</v>
      </c>
      <c r="J79" s="1" t="n">
        <f aca="false">B18</f>
        <v>-5099</v>
      </c>
      <c r="K79" s="2" t="n">
        <f aca="false">IF(D18&gt;1,D18/100,D18)</f>
        <v>0.683025</v>
      </c>
      <c r="L79" s="19" t="n">
        <f aca="false">+J79*K79</f>
        <v>-3482.744475</v>
      </c>
      <c r="M79" s="9"/>
      <c r="N79" s="20"/>
      <c r="O79" s="20"/>
      <c r="P79" s="21"/>
      <c r="Q79" s="22"/>
      <c r="R79" s="21"/>
      <c r="S79" s="22"/>
      <c r="AD79" s="11"/>
      <c r="AE79" s="12"/>
      <c r="AF79" s="12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9"/>
      <c r="H80" s="25"/>
      <c r="I80" s="1" t="s">
        <v>9</v>
      </c>
      <c r="J80" s="1" t="n">
        <f aca="false">B19</f>
        <v>0</v>
      </c>
      <c r="K80" s="2" t="n">
        <f aca="false">IF(D19&gt;1,D19/100,D19)</f>
        <v>0</v>
      </c>
      <c r="L80" s="19" t="n">
        <f aca="false">+J80*K80</f>
        <v>0</v>
      </c>
      <c r="M80" s="9"/>
      <c r="N80" s="20"/>
      <c r="O80" s="20"/>
      <c r="P80" s="21"/>
      <c r="Q80" s="22"/>
      <c r="R80" s="21"/>
      <c r="S80" s="22"/>
    </row>
    <row r="81" customFormat="false" ht="15" hidden="false" customHeight="false" outlineLevel="0" collapsed="false">
      <c r="A81" s="19"/>
      <c r="B81" s="19"/>
      <c r="C81" s="2"/>
      <c r="D81" s="1"/>
      <c r="E81" s="1"/>
      <c r="F81" s="28"/>
      <c r="G81" s="24"/>
      <c r="H81" s="25"/>
      <c r="I81" s="1" t="s">
        <v>10</v>
      </c>
      <c r="J81" s="1" t="n">
        <f aca="false">B20</f>
        <v>71111</v>
      </c>
      <c r="K81" s="2" t="n">
        <f aca="false">IF(D20&gt;1,D20/100,D20)</f>
        <v>0.64945024393</v>
      </c>
      <c r="L81" s="19" t="n">
        <f aca="false">+J81*K81</f>
        <v>46183.0562961062</v>
      </c>
      <c r="M81" s="9"/>
      <c r="N81" s="20"/>
      <c r="O81" s="20"/>
      <c r="P81" s="21"/>
      <c r="Q81" s="22"/>
      <c r="R81" s="21"/>
      <c r="S81" s="22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24"/>
      <c r="H82" s="25"/>
      <c r="I82" s="1" t="s">
        <v>11</v>
      </c>
      <c r="J82" s="1" t="n">
        <f aca="false">B21</f>
        <v>1422</v>
      </c>
      <c r="K82" s="2" t="n">
        <f aca="false">IF(D21&gt;1,D21/100,D21)</f>
        <v>0.631373</v>
      </c>
      <c r="L82" s="19" t="n">
        <f aca="false">+J82*K82</f>
        <v>897.812406</v>
      </c>
      <c r="M82" s="9"/>
      <c r="N82" s="20"/>
      <c r="O82" s="20"/>
      <c r="P82" s="21"/>
      <c r="Q82" s="22"/>
      <c r="R82" s="21"/>
      <c r="S82" s="22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24"/>
      <c r="H83" s="25"/>
      <c r="I83" s="1" t="s">
        <v>12</v>
      </c>
      <c r="J83" s="1" t="n">
        <f aca="false">B22</f>
        <v>69689</v>
      </c>
      <c r="K83" s="2" t="n">
        <f aca="false">IF(D22&gt;1,D22/100,D22)</f>
        <v>0.64981910904</v>
      </c>
      <c r="L83" s="19" t="n">
        <f aca="false">+J83*K83</f>
        <v>45285.2438898886</v>
      </c>
      <c r="M83" s="9"/>
      <c r="N83" s="20"/>
      <c r="O83" s="20"/>
      <c r="P83" s="21"/>
      <c r="Q83" s="22"/>
      <c r="R83" s="21"/>
      <c r="S83" s="22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9"/>
      <c r="H84" s="2"/>
      <c r="I84" s="1" t="s">
        <v>13</v>
      </c>
      <c r="J84" s="1" t="n">
        <f aca="false">B23</f>
        <v>-3438</v>
      </c>
      <c r="K84" s="2" t="n">
        <f aca="false">IF(D23&gt;1,D23/100,D23)</f>
        <v>0.683445</v>
      </c>
      <c r="L84" s="19" t="n">
        <f aca="false">+J84*K84</f>
        <v>-2349.68391</v>
      </c>
      <c r="M84" s="9"/>
      <c r="N84" s="20"/>
      <c r="O84" s="20"/>
      <c r="P84" s="21"/>
      <c r="Q84" s="22"/>
      <c r="R84" s="21"/>
      <c r="S84" s="22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24"/>
      <c r="H85" s="25"/>
      <c r="I85" s="1" t="s">
        <v>14</v>
      </c>
      <c r="J85" s="1" t="n">
        <f aca="false">B24</f>
        <v>73127</v>
      </c>
      <c r="K85" s="2" t="n">
        <f aca="false">IF(D24&gt;1,D24/100,D24)</f>
        <v>0.6514</v>
      </c>
      <c r="L85" s="19" t="n">
        <f aca="false">+J85*K85</f>
        <v>47634.9278</v>
      </c>
      <c r="M85" s="9"/>
      <c r="N85" s="20"/>
      <c r="O85" s="20"/>
      <c r="P85" s="21"/>
      <c r="Q85" s="22"/>
      <c r="R85" s="21"/>
      <c r="S85" s="22"/>
    </row>
    <row r="86" customFormat="false" ht="15" hidden="false" customHeight="false" outlineLevel="0" collapsed="false">
      <c r="A86" s="19"/>
      <c r="B86" s="19"/>
      <c r="C86" s="29"/>
      <c r="D86" s="1"/>
      <c r="E86" s="1"/>
      <c r="F86" s="28"/>
      <c r="G86" s="24"/>
      <c r="H86" s="25"/>
      <c r="I86" s="1" t="s">
        <v>15</v>
      </c>
      <c r="J86" s="1" t="n">
        <f aca="false">B25</f>
        <v>0</v>
      </c>
      <c r="K86" s="2" t="n">
        <f aca="false">IF(D25&gt;1,D25/100,D25)</f>
        <v>0</v>
      </c>
      <c r="L86" s="19" t="n">
        <f aca="false">+J86*K86</f>
        <v>0</v>
      </c>
      <c r="M86" s="9"/>
      <c r="N86" s="20"/>
      <c r="O86" s="20"/>
      <c r="P86" s="21"/>
      <c r="Q86" s="22"/>
      <c r="R86" s="21"/>
      <c r="S86" s="22"/>
    </row>
    <row r="87" customFormat="false" ht="15" hidden="false" customHeight="false" outlineLevel="0" collapsed="false">
      <c r="A87" s="1"/>
      <c r="B87" s="1"/>
      <c r="C87" s="1"/>
      <c r="D87" s="1"/>
      <c r="E87" s="1"/>
      <c r="F87" s="28"/>
      <c r="G87" s="24"/>
      <c r="H87" s="25"/>
      <c r="I87" s="1" t="s">
        <v>16</v>
      </c>
      <c r="J87" s="1" t="n">
        <f aca="false">B26</f>
        <v>0</v>
      </c>
      <c r="K87" s="2" t="n">
        <f aca="false">IF(D26&gt;1,D26/100,D26)</f>
        <v>0</v>
      </c>
      <c r="L87" s="19" t="n">
        <f aca="false">+J87*K87</f>
        <v>0</v>
      </c>
      <c r="M87" s="9"/>
      <c r="N87" s="20"/>
      <c r="O87" s="20"/>
      <c r="P87" s="21"/>
      <c r="Q87" s="22"/>
      <c r="R87" s="21"/>
      <c r="S87" s="22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24"/>
      <c r="H88" s="25"/>
      <c r="I88" s="1" t="s">
        <v>17</v>
      </c>
      <c r="J88" s="1" t="n">
        <f aca="false">B27</f>
        <v>0</v>
      </c>
      <c r="K88" s="2" t="n">
        <f aca="false">IF(D27&gt;1,D27/100,D27)</f>
        <v>0</v>
      </c>
      <c r="L88" s="19" t="n">
        <f aca="false">+J88*K88</f>
        <v>0</v>
      </c>
      <c r="M88" s="9"/>
      <c r="N88" s="20"/>
      <c r="O88" s="20"/>
      <c r="P88" s="21"/>
      <c r="Q88" s="22"/>
      <c r="R88" s="21"/>
      <c r="S88" s="22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24"/>
      <c r="H89" s="25"/>
      <c r="I89" s="1" t="s">
        <v>18</v>
      </c>
      <c r="J89" s="1" t="n">
        <f aca="false">B28</f>
        <v>0</v>
      </c>
      <c r="K89" s="2" t="n">
        <f aca="false">IF(D28&gt;1,D28/100,D28)</f>
        <v>0</v>
      </c>
      <c r="L89" s="19" t="n">
        <f aca="false">+J89*K89</f>
        <v>0</v>
      </c>
      <c r="M89" s="9"/>
      <c r="N89" s="20"/>
      <c r="O89" s="20"/>
      <c r="P89" s="21"/>
      <c r="Q89" s="22"/>
      <c r="R89" s="21"/>
      <c r="S89" s="22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24"/>
      <c r="H90" s="25"/>
      <c r="I90" s="1" t="s">
        <v>19</v>
      </c>
      <c r="J90" s="1" t="n">
        <f aca="false">B29</f>
        <v>0</v>
      </c>
      <c r="K90" s="2" t="n">
        <f aca="false">IF(D29&gt;1,D29/100,D29)</f>
        <v>0</v>
      </c>
      <c r="L90" s="19" t="n">
        <f aca="false">+J90*K90</f>
        <v>0</v>
      </c>
      <c r="M90" s="9"/>
      <c r="N90" s="20"/>
      <c r="O90" s="20"/>
      <c r="P90" s="21"/>
      <c r="Q90" s="22"/>
      <c r="R90" s="21"/>
      <c r="S90" s="22"/>
    </row>
    <row r="91" customFormat="false" ht="17.35" hidden="false" customHeight="false" outlineLevel="0" collapsed="false">
      <c r="A91" s="19"/>
      <c r="B91" s="19"/>
      <c r="C91" s="2"/>
      <c r="D91" s="1"/>
      <c r="E91" s="1"/>
      <c r="F91" s="28"/>
      <c r="G91" s="24"/>
      <c r="H91" s="30"/>
      <c r="I91" s="1" t="s">
        <v>20</v>
      </c>
      <c r="J91" s="1" t="n">
        <f aca="false">B30</f>
        <v>0</v>
      </c>
      <c r="K91" s="2" t="n">
        <f aca="false">IF(D30&gt;1,D30/100,D30)</f>
        <v>0</v>
      </c>
      <c r="L91" s="19" t="n">
        <f aca="false">+J91*K91</f>
        <v>0</v>
      </c>
      <c r="M91" s="9"/>
      <c r="N91" s="20"/>
      <c r="O91" s="20"/>
      <c r="P91" s="21"/>
      <c r="Q91" s="22"/>
      <c r="R91" s="21"/>
      <c r="S91" s="22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24"/>
      <c r="H92" s="25"/>
      <c r="I92" s="1" t="s">
        <v>21</v>
      </c>
      <c r="J92" s="1" t="n">
        <f aca="false">B31</f>
        <v>6226</v>
      </c>
      <c r="K92" s="2" t="n">
        <f aca="false">IF(D31&gt;1,D31/100,D31)</f>
        <v>0.63233250883</v>
      </c>
      <c r="L92" s="19" t="n">
        <f aca="false">+J92*K92</f>
        <v>3936.90219997558</v>
      </c>
      <c r="M92" s="9"/>
      <c r="N92" s="20"/>
      <c r="O92" s="20"/>
      <c r="P92" s="21"/>
      <c r="Q92" s="22"/>
      <c r="R92" s="21"/>
      <c r="S92" s="22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24"/>
      <c r="H93" s="25"/>
      <c r="I93" s="1" t="s">
        <v>22</v>
      </c>
      <c r="J93" s="1" t="n">
        <f aca="false">B32</f>
        <v>0</v>
      </c>
      <c r="K93" s="2" t="n">
        <f aca="false">IF(D32&gt;1,D32/100,D32)</f>
        <v>0</v>
      </c>
      <c r="L93" s="19" t="n">
        <f aca="false">+J93*K93</f>
        <v>0</v>
      </c>
      <c r="M93" s="9"/>
      <c r="N93" s="20"/>
      <c r="O93" s="20"/>
      <c r="P93" s="21"/>
      <c r="Q93" s="22"/>
      <c r="R93" s="21"/>
      <c r="S93" s="22"/>
    </row>
    <row r="94" customFormat="false" ht="15" hidden="false" customHeight="false" outlineLevel="0" collapsed="false">
      <c r="A94" s="19"/>
      <c r="B94" s="19"/>
      <c r="C94" s="29"/>
      <c r="D94" s="1"/>
      <c r="E94" s="1"/>
      <c r="F94" s="28"/>
      <c r="G94" s="24"/>
      <c r="H94" s="25"/>
      <c r="I94" s="1" t="s">
        <v>23</v>
      </c>
      <c r="J94" s="1" t="n">
        <f aca="false">B33</f>
        <v>0</v>
      </c>
      <c r="K94" s="2" t="n">
        <f aca="false">IF(D33&gt;1,D33/100,D33)</f>
        <v>0</v>
      </c>
      <c r="L94" s="19" t="n">
        <f aca="false">+J94*K94</f>
        <v>0</v>
      </c>
      <c r="M94" s="9"/>
      <c r="N94" s="20"/>
      <c r="O94" s="20"/>
      <c r="P94" s="21"/>
      <c r="Q94" s="22"/>
      <c r="R94" s="21"/>
      <c r="S94" s="22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24"/>
      <c r="H95" s="25"/>
      <c r="I95" s="1" t="s">
        <v>24</v>
      </c>
      <c r="J95" s="1" t="n">
        <f aca="false">B34</f>
        <v>0</v>
      </c>
      <c r="K95" s="2" t="n">
        <f aca="false">IF(D34&gt;1,D34/100,D34)</f>
        <v>0</v>
      </c>
      <c r="L95" s="19" t="n">
        <f aca="false">+J95*K95</f>
        <v>0</v>
      </c>
      <c r="M95" s="9"/>
      <c r="N95" s="20"/>
      <c r="O95" s="20"/>
      <c r="P95" s="21"/>
      <c r="Q95" s="22"/>
      <c r="R95" s="21"/>
      <c r="S95" s="22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24"/>
      <c r="H96" s="25"/>
      <c r="I96" s="1" t="s">
        <v>25</v>
      </c>
      <c r="J96" s="1" t="n">
        <f aca="false">B35</f>
        <v>0</v>
      </c>
      <c r="K96" s="2" t="n">
        <f aca="false">IF(D35&gt;1,D35/100,D35)</f>
        <v>0</v>
      </c>
      <c r="L96" s="19" t="n">
        <f aca="false">+J96*K96</f>
        <v>0</v>
      </c>
      <c r="M96" s="9"/>
      <c r="N96" s="20"/>
      <c r="O96" s="20"/>
      <c r="P96" s="21"/>
      <c r="Q96" s="22"/>
      <c r="R96" s="21"/>
      <c r="S96" s="22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24"/>
      <c r="H97" s="25"/>
      <c r="I97" s="1" t="s">
        <v>26</v>
      </c>
      <c r="J97" s="1" t="n">
        <f aca="false">B36</f>
        <v>0</v>
      </c>
      <c r="K97" s="2" t="n">
        <f aca="false">IF(D36&gt;1,D36/100,D36)</f>
        <v>0</v>
      </c>
      <c r="L97" s="19" t="n">
        <f aca="false">+J97*K97</f>
        <v>0</v>
      </c>
      <c r="M97" s="9"/>
      <c r="N97" s="20"/>
      <c r="O97" s="20"/>
      <c r="P97" s="21"/>
      <c r="Q97" s="22"/>
      <c r="R97" s="21"/>
      <c r="S97" s="22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24"/>
      <c r="H98" s="25"/>
      <c r="I98" s="1" t="s">
        <v>27</v>
      </c>
      <c r="J98" s="1" t="n">
        <f aca="false">B37</f>
        <v>0</v>
      </c>
      <c r="K98" s="2" t="n">
        <f aca="false">IF(D37&gt;1,D37/100,D37)</f>
        <v>0</v>
      </c>
      <c r="L98" s="19" t="n">
        <f aca="false">+J98*K98</f>
        <v>0</v>
      </c>
      <c r="M98" s="9"/>
      <c r="N98" s="20"/>
      <c r="O98" s="20"/>
      <c r="P98" s="21"/>
      <c r="Q98" s="22"/>
      <c r="R98" s="21"/>
      <c r="S98" s="22"/>
    </row>
    <row r="99" customFormat="false" ht="15" hidden="false" customHeight="false" outlineLevel="0" collapsed="false">
      <c r="A99" s="19"/>
      <c r="B99" s="19"/>
      <c r="C99" s="2"/>
      <c r="D99" s="1"/>
      <c r="E99" s="1"/>
      <c r="F99" s="28"/>
      <c r="G99" s="24"/>
      <c r="H99" s="25"/>
      <c r="I99" s="1" t="s">
        <v>28</v>
      </c>
      <c r="J99" s="1" t="n">
        <f aca="false">B38</f>
        <v>0</v>
      </c>
      <c r="K99" s="2" t="n">
        <f aca="false">IF(D38&gt;1,D38/100,D38)</f>
        <v>0</v>
      </c>
      <c r="L99" s="19" t="n">
        <f aca="false">+J99*K99</f>
        <v>0</v>
      </c>
      <c r="M99" s="9"/>
      <c r="N99" s="20"/>
      <c r="O99" s="20"/>
      <c r="P99" s="21"/>
      <c r="Q99" s="22"/>
      <c r="R99" s="21"/>
      <c r="S99" s="22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24"/>
      <c r="H100" s="25"/>
      <c r="I100" s="1" t="s">
        <v>29</v>
      </c>
      <c r="J100" s="1" t="n">
        <f aca="false">B39</f>
        <v>0</v>
      </c>
      <c r="K100" s="2" t="n">
        <f aca="false">IF(D39&gt;1,D39/100,D39)</f>
        <v>0</v>
      </c>
      <c r="L100" s="19" t="n">
        <f aca="false">+J100*K100</f>
        <v>0</v>
      </c>
      <c r="M100" s="9"/>
      <c r="N100" s="20"/>
      <c r="O100" s="20"/>
      <c r="P100" s="21"/>
      <c r="Q100" s="22"/>
      <c r="R100" s="21"/>
      <c r="S100" s="22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24"/>
      <c r="H101" s="25"/>
      <c r="I101" s="1" t="s">
        <v>30</v>
      </c>
      <c r="J101" s="1" t="n">
        <f aca="false">B40</f>
        <v>0</v>
      </c>
      <c r="K101" s="2" t="n">
        <f aca="false">IF(D40&gt;1,D40/100,D40)</f>
        <v>0</v>
      </c>
      <c r="L101" s="19" t="n">
        <f aca="false">+J101*K101</f>
        <v>0</v>
      </c>
      <c r="M101" s="9"/>
      <c r="N101" s="20"/>
      <c r="O101" s="20"/>
      <c r="P101" s="21"/>
      <c r="Q101" s="22"/>
      <c r="R101" s="21"/>
      <c r="S101" s="22"/>
    </row>
    <row r="102" customFormat="false" ht="15" hidden="false" customHeight="false" outlineLevel="0" collapsed="false">
      <c r="A102" s="19"/>
      <c r="B102" s="19"/>
      <c r="C102" s="2"/>
      <c r="D102" s="1"/>
      <c r="E102" s="1"/>
      <c r="F102" s="28"/>
      <c r="G102" s="24"/>
      <c r="H102" s="25"/>
      <c r="I102" s="1" t="s">
        <v>31</v>
      </c>
      <c r="J102" s="1" t="n">
        <f aca="false">B41</f>
        <v>0</v>
      </c>
      <c r="K102" s="2" t="n">
        <f aca="false">IF(D41&gt;1,D41/100,D41)</f>
        <v>0</v>
      </c>
      <c r="L102" s="19" t="n">
        <f aca="false">+J102*K102</f>
        <v>0</v>
      </c>
      <c r="M102" s="9"/>
      <c r="N102" s="20"/>
      <c r="O102" s="20"/>
      <c r="P102" s="21"/>
      <c r="Q102" s="22"/>
      <c r="R102" s="21"/>
      <c r="S102" s="22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24"/>
      <c r="H103" s="25"/>
      <c r="I103" s="1" t="s">
        <v>32</v>
      </c>
      <c r="J103" s="1" t="n">
        <f aca="false">B42</f>
        <v>0</v>
      </c>
      <c r="K103" s="2" t="n">
        <f aca="false">IF(D42&gt;1,D42/100,D42)</f>
        <v>0</v>
      </c>
      <c r="L103" s="19" t="n">
        <f aca="false">+J103*K103</f>
        <v>0</v>
      </c>
      <c r="M103" s="9"/>
      <c r="N103" s="20"/>
      <c r="O103" s="20"/>
      <c r="P103" s="21"/>
      <c r="Q103" s="22"/>
      <c r="R103" s="21"/>
      <c r="S103" s="22"/>
    </row>
    <row r="104" customFormat="false" ht="15" hidden="false" customHeight="false" outlineLevel="0" collapsed="false">
      <c r="A104" s="19"/>
      <c r="B104" s="19"/>
      <c r="C104" s="2"/>
      <c r="D104" s="1"/>
      <c r="E104" s="1"/>
      <c r="F104" s="28"/>
      <c r="G104" s="24"/>
      <c r="H104" s="25"/>
      <c r="I104" s="1" t="s">
        <v>33</v>
      </c>
      <c r="J104" s="1" t="n">
        <f aca="false">B43</f>
        <v>0</v>
      </c>
      <c r="K104" s="2" t="n">
        <f aca="false">IF(D43&gt;1,D43/100,D43)</f>
        <v>0</v>
      </c>
      <c r="L104" s="19" t="n">
        <f aca="false">+J104*K104</f>
        <v>0</v>
      </c>
      <c r="M104" s="9"/>
      <c r="N104" s="20"/>
      <c r="O104" s="20"/>
      <c r="P104" s="21"/>
      <c r="Q104" s="22"/>
      <c r="R104" s="21"/>
      <c r="S104" s="22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24"/>
      <c r="H105" s="25"/>
      <c r="I105" s="1" t="s">
        <v>34</v>
      </c>
      <c r="J105" s="1" t="n">
        <f aca="false">B44</f>
        <v>0</v>
      </c>
      <c r="K105" s="2" t="n">
        <f aca="false">IF(D44&gt;1,D44/100,D44)</f>
        <v>0</v>
      </c>
      <c r="L105" s="19" t="n">
        <f aca="false">+J105*K105</f>
        <v>0</v>
      </c>
      <c r="M105" s="9"/>
      <c r="N105" s="20"/>
      <c r="O105" s="20"/>
      <c r="P105" s="21"/>
      <c r="Q105" s="22"/>
      <c r="R105" s="21"/>
      <c r="S105" s="22"/>
    </row>
    <row r="106" customFormat="false" ht="15" hidden="false" customHeight="false" outlineLevel="0" collapsed="false">
      <c r="A106" s="19"/>
      <c r="B106" s="19"/>
      <c r="C106" s="2"/>
      <c r="D106" s="1"/>
      <c r="E106" s="1"/>
      <c r="F106" s="1"/>
      <c r="G106" s="24"/>
      <c r="H106" s="25"/>
      <c r="I106" s="1" t="s">
        <v>35</v>
      </c>
      <c r="J106" s="1" t="n">
        <f aca="false">B45</f>
        <v>0</v>
      </c>
      <c r="K106" s="2" t="n">
        <f aca="false">IF(D45&gt;1,D45/100,D45)</f>
        <v>0</v>
      </c>
      <c r="L106" s="19" t="n">
        <f aca="false">+J106*K106</f>
        <v>0</v>
      </c>
      <c r="M106" s="9"/>
      <c r="N106" s="20"/>
      <c r="O106" s="20"/>
      <c r="P106" s="21"/>
      <c r="Q106" s="22"/>
      <c r="R106" s="21"/>
      <c r="S106" s="22"/>
    </row>
    <row r="107" customFormat="false" ht="15" hidden="false" customHeight="false" outlineLevel="0" collapsed="false">
      <c r="A107" s="19"/>
      <c r="B107" s="19"/>
      <c r="C107" s="2"/>
      <c r="D107" s="1"/>
      <c r="E107" s="1"/>
      <c r="F107" s="1"/>
      <c r="G107" s="24"/>
      <c r="H107" s="25"/>
      <c r="I107" s="1" t="s">
        <v>36</v>
      </c>
      <c r="J107" s="1" t="n">
        <f aca="false">B46</f>
        <v>0</v>
      </c>
      <c r="K107" s="2" t="n">
        <f aca="false">IF(D46&gt;1,D46/100,D46)</f>
        <v>0</v>
      </c>
      <c r="L107" s="19" t="n">
        <f aca="false">+J107*K107</f>
        <v>0</v>
      </c>
      <c r="M107" s="9"/>
      <c r="N107" s="20"/>
      <c r="O107" s="20"/>
      <c r="P107" s="21"/>
      <c r="Q107" s="22"/>
      <c r="R107" s="21"/>
      <c r="S107" s="22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24"/>
      <c r="H108" s="25"/>
      <c r="I108" s="1" t="s">
        <v>37</v>
      </c>
      <c r="J108" s="1" t="n">
        <f aca="false">B47</f>
        <v>0</v>
      </c>
      <c r="K108" s="2" t="n">
        <f aca="false">IF(D47&gt;1,D47/100,D47)</f>
        <v>0</v>
      </c>
      <c r="L108" s="19" t="n">
        <f aca="false">+J108*K108</f>
        <v>0</v>
      </c>
      <c r="M108" s="9"/>
      <c r="N108" s="20"/>
      <c r="O108" s="20"/>
      <c r="P108" s="21"/>
      <c r="Q108" s="22"/>
      <c r="R108" s="21"/>
      <c r="S108" s="22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24"/>
      <c r="H109" s="25"/>
      <c r="I109" s="1" t="s">
        <v>38</v>
      </c>
      <c r="J109" s="1" t="n">
        <f aca="false">B48</f>
        <v>0</v>
      </c>
      <c r="K109" s="2" t="n">
        <f aca="false">IF(D48&gt;1,D48/100,D48)</f>
        <v>0</v>
      </c>
      <c r="L109" s="19" t="n">
        <f aca="false">+J109*K109</f>
        <v>0</v>
      </c>
      <c r="M109" s="9"/>
      <c r="N109" s="20"/>
      <c r="O109" s="20"/>
      <c r="P109" s="21"/>
      <c r="Q109" s="22"/>
      <c r="R109" s="21"/>
      <c r="S109" s="22"/>
    </row>
    <row r="110" customFormat="false" ht="15" hidden="false" customHeight="false" outlineLevel="0" collapsed="false">
      <c r="A110" s="19"/>
      <c r="B110" s="19"/>
      <c r="C110" s="2"/>
      <c r="D110" s="1"/>
      <c r="E110" s="1"/>
      <c r="F110" s="28"/>
      <c r="G110" s="24"/>
      <c r="H110" s="25"/>
      <c r="I110" s="1" t="s">
        <v>39</v>
      </c>
      <c r="J110" s="1" t="n">
        <f aca="false">B49</f>
        <v>0</v>
      </c>
      <c r="K110" s="2" t="n">
        <f aca="false">IF(D49&gt;1,D49/100,D49)</f>
        <v>0</v>
      </c>
      <c r="L110" s="19" t="n">
        <f aca="false">+J110*K110</f>
        <v>0</v>
      </c>
      <c r="M110" s="9"/>
      <c r="N110" s="20"/>
      <c r="O110" s="20"/>
      <c r="P110" s="21"/>
      <c r="Q110" s="22"/>
      <c r="R110" s="21"/>
      <c r="S110" s="22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24"/>
      <c r="H111" s="25"/>
      <c r="I111" s="1" t="s">
        <v>40</v>
      </c>
      <c r="J111" s="1" t="n">
        <f aca="false">B50</f>
        <v>0</v>
      </c>
      <c r="K111" s="2" t="n">
        <f aca="false">IF(D50&gt;1,D50/100,D50)</f>
        <v>0</v>
      </c>
      <c r="L111" s="19" t="n">
        <f aca="false">+J111*K111</f>
        <v>0</v>
      </c>
      <c r="M111" s="9"/>
      <c r="N111" s="20"/>
      <c r="O111" s="20"/>
      <c r="P111" s="21"/>
      <c r="Q111" s="22"/>
      <c r="R111" s="21"/>
      <c r="S111" s="22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24"/>
      <c r="H112" s="25"/>
      <c r="I112" s="1" t="s">
        <v>41</v>
      </c>
      <c r="J112" s="1" t="n">
        <f aca="false">B51</f>
        <v>0</v>
      </c>
      <c r="K112" s="2" t="n">
        <f aca="false">IF(D51&gt;1,D51/100,D51)</f>
        <v>0</v>
      </c>
      <c r="L112" s="19" t="n">
        <f aca="false">+J112*K112</f>
        <v>0</v>
      </c>
      <c r="M112" s="9"/>
      <c r="N112" s="20"/>
      <c r="O112" s="20"/>
      <c r="P112" s="21"/>
      <c r="Q112" s="22"/>
      <c r="R112" s="21"/>
      <c r="S112" s="22"/>
    </row>
    <row r="113" customFormat="false" ht="15" hidden="false" customHeight="false" outlineLevel="0" collapsed="false">
      <c r="A113" s="19"/>
      <c r="B113" s="19"/>
      <c r="C113" s="2"/>
      <c r="D113" s="1"/>
      <c r="E113" s="1"/>
      <c r="F113" s="28"/>
      <c r="G113" s="24"/>
      <c r="H113" s="25"/>
      <c r="I113" s="1" t="s">
        <v>42</v>
      </c>
      <c r="J113" s="1" t="n">
        <f aca="false">B52</f>
        <v>37855</v>
      </c>
      <c r="K113" s="2" t="n">
        <f aca="false">IF(D52&gt;1,D52/100,D52)</f>
        <v>0.5036</v>
      </c>
      <c r="L113" s="19" t="n">
        <f aca="false">+J113*K113</f>
        <v>19063.778</v>
      </c>
      <c r="M113" s="9"/>
      <c r="N113" s="20"/>
      <c r="O113" s="20"/>
      <c r="P113" s="21"/>
      <c r="Q113" s="22"/>
      <c r="R113" s="21"/>
      <c r="S113" s="22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24"/>
      <c r="H114" s="25"/>
      <c r="I114" s="1" t="s">
        <v>43</v>
      </c>
      <c r="J114" s="1" t="n">
        <f aca="false">B53</f>
        <v>37855</v>
      </c>
      <c r="K114" s="2" t="n">
        <f aca="false">IF(D53&gt;1,D53/100,D53)</f>
        <v>0.5036</v>
      </c>
      <c r="L114" s="19" t="n">
        <f aca="false">+J114*K114</f>
        <v>19063.778</v>
      </c>
      <c r="M114" s="9"/>
      <c r="N114" s="20"/>
      <c r="O114" s="20"/>
      <c r="P114" s="21"/>
      <c r="Q114" s="22"/>
      <c r="R114" s="21"/>
      <c r="S114" s="22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24"/>
      <c r="H115" s="25"/>
      <c r="I115" s="1" t="s">
        <v>44</v>
      </c>
      <c r="J115" s="1" t="n">
        <f aca="false">B54</f>
        <v>3157</v>
      </c>
      <c r="K115" s="2" t="n">
        <f aca="false">IF(D54&gt;1,D54/100,D54)</f>
        <v>0.6346</v>
      </c>
      <c r="L115" s="19" t="n">
        <f aca="false">+J115*K115</f>
        <v>2003.4322</v>
      </c>
      <c r="M115" s="9"/>
      <c r="N115" s="20"/>
      <c r="O115" s="20"/>
      <c r="P115" s="21"/>
      <c r="Q115" s="22"/>
      <c r="R115" s="21"/>
      <c r="S115" s="22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9"/>
      <c r="H116" s="2"/>
      <c r="I116" s="1" t="s">
        <v>45</v>
      </c>
      <c r="J116" s="1" t="n">
        <f aca="false">B55</f>
        <v>0</v>
      </c>
      <c r="K116" s="2" t="n">
        <f aca="false">IF(D55&gt;1,D55/100,D55)</f>
        <v>0</v>
      </c>
      <c r="L116" s="19" t="n">
        <f aca="false">+J116*K116</f>
        <v>0</v>
      </c>
      <c r="M116" s="9"/>
      <c r="N116" s="20"/>
      <c r="O116" s="20"/>
      <c r="P116" s="21"/>
      <c r="Q116" s="22"/>
      <c r="R116" s="21"/>
      <c r="S116" s="22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9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31"/>
      <c r="H118" s="31"/>
      <c r="I118" s="1"/>
      <c r="J118" s="32"/>
      <c r="K118" s="32"/>
      <c r="L118" s="1"/>
      <c r="M118" s="9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6"/>
      <c r="H119" s="16"/>
      <c r="I119" s="1"/>
      <c r="J119" s="32"/>
      <c r="K119" s="32"/>
      <c r="L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9"/>
      <c r="K120" s="2"/>
      <c r="L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9"/>
      <c r="K121" s="2"/>
      <c r="L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9"/>
      <c r="K122" s="2"/>
      <c r="L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J123" s="8"/>
      <c r="K123" s="2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J124" s="8"/>
      <c r="K124" s="2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J125" s="8"/>
      <c r="K125" s="2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J126" s="8"/>
      <c r="K126" s="2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J127" s="8"/>
      <c r="K127" s="2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J128" s="8"/>
      <c r="K128" s="2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J129" s="8"/>
      <c r="K129" s="2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J130" s="8"/>
      <c r="K130" s="2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J131" s="8"/>
      <c r="K131" s="2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J132" s="8"/>
      <c r="K132" s="2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J133" s="8"/>
      <c r="K133" s="2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J134" s="8"/>
      <c r="K134" s="2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J135" s="8"/>
      <c r="K135" s="2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J136" s="8"/>
      <c r="K136" s="2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J137" s="8"/>
      <c r="K137" s="2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J138" s="8"/>
      <c r="K138" s="2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J139" s="8"/>
      <c r="K139" s="2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J140" s="8"/>
      <c r="K140" s="2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J141" s="8"/>
      <c r="K141" s="2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J142" s="8"/>
      <c r="K142" s="2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J143" s="8"/>
      <c r="K143" s="2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J144" s="8"/>
      <c r="K144" s="2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J145" s="8"/>
      <c r="K145" s="2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J146" s="8"/>
      <c r="K146" s="2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J147" s="8"/>
      <c r="K147" s="2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J148" s="8"/>
      <c r="K148" s="2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J149" s="8"/>
      <c r="K149" s="2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J150" s="8"/>
      <c r="K150" s="2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J151" s="8"/>
      <c r="K151" s="2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J152" s="8"/>
      <c r="K152" s="2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J153" s="8"/>
      <c r="K153" s="2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J154" s="8"/>
      <c r="K154" s="2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J155" s="8"/>
      <c r="K155" s="2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J156" s="8"/>
      <c r="K156" s="2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J157" s="8"/>
      <c r="K157" s="2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J158" s="8"/>
      <c r="K158" s="21"/>
    </row>
    <row r="159" customFormat="false" ht="15" hidden="false" customHeight="false" outlineLevel="0" collapsed="false">
      <c r="J159" s="8"/>
      <c r="K159" s="21"/>
    </row>
    <row r="160" customFormat="false" ht="15" hidden="false" customHeight="false" outlineLevel="0" collapsed="false">
      <c r="J160" s="8"/>
      <c r="K160" s="21"/>
    </row>
    <row r="161" customFormat="false" ht="15" hidden="false" customHeight="false" outlineLevel="0" collapsed="false">
      <c r="J161" s="8"/>
      <c r="K161" s="21"/>
    </row>
    <row r="162" customFormat="false" ht="15" hidden="false" customHeight="false" outlineLevel="0" collapsed="false">
      <c r="J162" s="8"/>
      <c r="K162" s="21"/>
    </row>
    <row r="163" customFormat="false" ht="15" hidden="false" customHeight="false" outlineLevel="0" collapsed="false">
      <c r="J163" s="8"/>
      <c r="K163" s="21"/>
    </row>
    <row r="164" customFormat="false" ht="15" hidden="false" customHeight="false" outlineLevel="0" collapsed="false">
      <c r="J164" s="8"/>
      <c r="K164" s="21"/>
    </row>
    <row r="165" customFormat="false" ht="15" hidden="false" customHeight="false" outlineLevel="0" collapsed="false">
      <c r="J165" s="8"/>
      <c r="K165" s="21"/>
    </row>
    <row r="166" customFormat="false" ht="15" hidden="false" customHeight="false" outlineLevel="0" collapsed="false">
      <c r="J166" s="8"/>
      <c r="K166" s="21"/>
    </row>
    <row r="167" customFormat="false" ht="15" hidden="false" customHeight="false" outlineLevel="0" collapsed="false">
      <c r="J167" s="8"/>
      <c r="K167" s="21"/>
    </row>
    <row r="168" customFormat="false" ht="15" hidden="false" customHeight="false" outlineLevel="0" collapsed="false">
      <c r="J168" s="8"/>
      <c r="K168" s="21"/>
    </row>
    <row r="169" customFormat="false" ht="15" hidden="false" customHeight="false" outlineLevel="0" collapsed="false">
      <c r="J169" s="8"/>
      <c r="K169" s="21"/>
    </row>
    <row r="170" customFormat="false" ht="15" hidden="false" customHeight="false" outlineLevel="0" collapsed="false">
      <c r="J170" s="8"/>
      <c r="K170" s="21"/>
    </row>
    <row r="171" customFormat="false" ht="15" hidden="false" customHeight="false" outlineLevel="0" collapsed="false">
      <c r="J171" s="8"/>
      <c r="K171" s="21"/>
    </row>
    <row r="172" customFormat="false" ht="15" hidden="false" customHeight="false" outlineLevel="0" collapsed="false">
      <c r="J172" s="8"/>
      <c r="K172" s="21"/>
    </row>
    <row r="173" customFormat="false" ht="15" hidden="false" customHeight="false" outlineLevel="0" collapsed="false">
      <c r="J173" s="8"/>
      <c r="K173" s="21"/>
    </row>
    <row r="174" customFormat="false" ht="15" hidden="false" customHeight="false" outlineLevel="0" collapsed="false">
      <c r="J174" s="8"/>
      <c r="K174" s="21"/>
    </row>
    <row r="176" customFormat="false" ht="15" hidden="false" customHeight="false" outlineLevel="0" collapsed="false">
      <c r="G176" s="33"/>
      <c r="H176" s="33"/>
    </row>
    <row r="177" customFormat="false" ht="15" hidden="false" customHeight="false" outlineLevel="0" collapsed="false">
      <c r="G177" s="33"/>
      <c r="H177" s="33"/>
    </row>
  </sheetData>
  <mergeCells count="3">
    <mergeCell ref="J60:L60"/>
    <mergeCell ref="N60:O60"/>
    <mergeCell ref="G118:H118"/>
  </mergeCells>
  <conditionalFormatting sqref="V61:W78">
    <cfRule type="cellIs" priority="2" operator="lessThan" aboveAverage="0" equalAverage="0" bottom="0" percent="0" rank="0" text="" dxfId="0">
      <formula>-0.001</formula>
    </cfRule>
    <cfRule type="cellIs" priority="3" operator="greaterThan" aboveAverage="0" equalAverage="0" bottom="0" percent="0" rank="0" text="" dxfId="1">
      <formula>0.001</formula>
    </cfRule>
  </conditionalFormatting>
  <conditionalFormatting sqref="N62:O116">
    <cfRule type="expression" priority="4" aboveAverage="0" equalAverage="0" bottom="0" percent="0" rank="0" text="" dxfId="2">
      <formula>ABS(N62)&gt;=10%</formula>
    </cfRule>
  </conditionalFormatting>
  <conditionalFormatting sqref="J51:U52 J53:W58 J4:X27 J28:O31 Q28:X34 P29:P34 J32:N50 P35:X35 R36:X37 P36:P50 Q37:Q38 R38:T38 V38:X41 Q39:T40 S41:T41 Q41:Q50 R42:T43 W42:X47 T44:T45 R44:R50 S45:S50 W48:W52 O32 O34:O50 T47:T50 U38:U50 V42:V51 X48:X58 BC12 BE12:BU12 BC4:BU11 AY4:BB12 AA4:AX21 AZ13:BE13 BG13:BU13 BF13:BF21 BH14:BI14 BL14:BU14 BJ14:BK17 AY14:BE21 BO15:BU15 BI15:BI17 BM15:BN17 BG15:BH21 BP16:BU16 BL16:BL17 BO17:BP17 BI19:BL21 BS20:BW20 BM20:BR21 BI18:BU18 BM19:BV19 BR17:BU17 BS21:BX21 BV4:BW18 BX4:BX20 BY4:CC21">
    <cfRule type="expression" priority="5" aboveAverage="0" equalAverage="0" bottom="0" percent="0" rank="0" text="" dxfId="3">
      <formula>J4&lt;&gt;0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true" showOutlineSymbols="true" defaultGridColor="true" view="normal" topLeftCell="A31" colorId="64" zoomScale="90" zoomScaleNormal="90" zoomScalePageLayoutView="100" workbookViewId="0">
      <selection pane="topLeft" activeCell="A43" activeCellId="0" sqref="A43"/>
    </sheetView>
  </sheetViews>
  <sheetFormatPr defaultColWidth="10.453125" defaultRowHeight="15" customHeight="true" zeroHeight="false" outlineLevelRow="0" outlineLevelCol="0"/>
  <cols>
    <col collapsed="false" customWidth="true" hidden="false" outlineLevel="0" max="1" min="1" style="0" width="58.66"/>
    <col collapsed="false" customWidth="true" hidden="false" outlineLevel="0" max="2" min="2" style="34" width="24"/>
    <col collapsed="false" customWidth="true" hidden="false" outlineLevel="0" max="3" min="3" style="35" width="16.5"/>
    <col collapsed="false" customWidth="true" hidden="false" outlineLevel="0" max="4" min="4" style="0" width="23.16"/>
  </cols>
  <sheetData>
    <row r="1" customFormat="false" ht="22.05" hidden="false" customHeight="false" outlineLevel="0" collapsed="false">
      <c r="A1" s="36" t="s">
        <v>46</v>
      </c>
      <c r="B1" s="36" t="s">
        <v>47</v>
      </c>
      <c r="C1" s="36" t="s">
        <v>48</v>
      </c>
      <c r="D1" s="36" t="s">
        <v>49</v>
      </c>
    </row>
    <row r="2" customFormat="false" ht="22.05" hidden="false" customHeight="false" outlineLevel="0" collapsed="false">
      <c r="A2" s="36" t="s">
        <v>50</v>
      </c>
      <c r="B2" s="37" t="n">
        <v>11665</v>
      </c>
      <c r="C2" s="38" t="n">
        <v>0.5</v>
      </c>
      <c r="D2" s="39" t="n">
        <v>0.01</v>
      </c>
    </row>
    <row r="3" customFormat="false" ht="22.05" hidden="false" customHeight="false" outlineLevel="0" collapsed="false">
      <c r="A3" s="36" t="s">
        <v>51</v>
      </c>
      <c r="B3" s="37" t="n">
        <v>32218.6416985633</v>
      </c>
      <c r="C3" s="38" t="n">
        <v>0.5</v>
      </c>
      <c r="D3" s="39" t="n">
        <v>0.01</v>
      </c>
    </row>
    <row r="4" customFormat="false" ht="22.05" hidden="false" customHeight="false" outlineLevel="0" collapsed="false">
      <c r="A4" s="36" t="s">
        <v>52</v>
      </c>
      <c r="B4" s="37" t="n">
        <v>33</v>
      </c>
      <c r="C4" s="38" t="n">
        <v>0.5</v>
      </c>
      <c r="D4" s="39" t="n">
        <v>0.089433339445629</v>
      </c>
    </row>
    <row r="5" customFormat="false" ht="22.05" hidden="false" customHeight="false" outlineLevel="0" collapsed="false">
      <c r="A5" s="36" t="s">
        <v>53</v>
      </c>
      <c r="B5" s="37" t="n">
        <v>0</v>
      </c>
      <c r="C5" s="38" t="n">
        <v>0.5</v>
      </c>
      <c r="D5" s="39" t="n">
        <v>0</v>
      </c>
    </row>
    <row r="6" customFormat="false" ht="22.05" hidden="false" customHeight="false" outlineLevel="0" collapsed="false">
      <c r="A6" s="36" t="s">
        <v>54</v>
      </c>
      <c r="B6" s="37" t="n">
        <v>108658.53</v>
      </c>
      <c r="C6" s="38" t="n">
        <v>0.5</v>
      </c>
      <c r="D6" s="39" t="n">
        <v>0.092196678891258</v>
      </c>
    </row>
    <row r="7" customFormat="false" ht="22.05" hidden="false" customHeight="false" outlineLevel="0" collapsed="false">
      <c r="A7" s="36" t="s">
        <v>55</v>
      </c>
      <c r="B7" s="37" t="n">
        <v>60226.45</v>
      </c>
      <c r="C7" s="38" t="n">
        <v>0.5</v>
      </c>
      <c r="D7" s="39" t="n">
        <v>0</v>
      </c>
    </row>
    <row r="8" customFormat="false" ht="22.05" hidden="false" customHeight="false" outlineLevel="0" collapsed="false">
      <c r="A8" s="36" t="s">
        <v>56</v>
      </c>
      <c r="B8" s="40" t="n">
        <v>64802</v>
      </c>
      <c r="C8" s="38" t="n">
        <v>0.5</v>
      </c>
      <c r="D8" s="38" t="n">
        <v>0</v>
      </c>
    </row>
    <row r="9" customFormat="false" ht="22.05" hidden="false" customHeight="false" outlineLevel="0" collapsed="false">
      <c r="A9" s="36" t="s">
        <v>57</v>
      </c>
      <c r="B9" s="40" t="n">
        <v>71110.9575524111</v>
      </c>
      <c r="C9" s="38" t="n">
        <v>0.650929547893467</v>
      </c>
      <c r="D9" s="38" t="n">
        <v>0.01</v>
      </c>
    </row>
    <row r="10" customFormat="false" ht="22.05" hidden="false" customHeight="false" outlineLevel="0" collapsed="false">
      <c r="A10" s="36" t="s">
        <v>58</v>
      </c>
      <c r="B10" s="37" t="n">
        <v>66011.83908</v>
      </c>
      <c r="C10" s="41" t="n">
        <v>0.6505</v>
      </c>
      <c r="D10" s="38" t="n">
        <v>0.01</v>
      </c>
    </row>
    <row r="11" customFormat="false" ht="22.05" hidden="false" customHeight="false" outlineLevel="0" collapsed="false">
      <c r="A11" s="36" t="s">
        <v>59</v>
      </c>
      <c r="B11" s="37" t="n">
        <v>0</v>
      </c>
      <c r="C11" s="41" t="n">
        <v>0</v>
      </c>
      <c r="D11" s="38" t="n">
        <v>0.01</v>
      </c>
    </row>
    <row r="12" customFormat="false" ht="22.05" hidden="false" customHeight="false" outlineLevel="0" collapsed="false">
      <c r="A12" s="36" t="s">
        <v>60</v>
      </c>
      <c r="B12" s="37" t="n">
        <v>0</v>
      </c>
      <c r="C12" s="41" t="n">
        <v>0</v>
      </c>
      <c r="D12" s="38" t="n">
        <v>0.01</v>
      </c>
    </row>
    <row r="13" customFormat="false" ht="22.05" hidden="false" customHeight="false" outlineLevel="0" collapsed="false">
      <c r="A13" s="36" t="s">
        <v>61</v>
      </c>
      <c r="B13" s="37" t="n">
        <v>0</v>
      </c>
      <c r="C13" s="41" t="n">
        <v>0.6346</v>
      </c>
      <c r="D13" s="38" t="n">
        <v>0.01</v>
      </c>
    </row>
    <row r="14" customFormat="false" ht="22.05" hidden="false" customHeight="false" outlineLevel="0" collapsed="false">
      <c r="A14" s="36" t="s">
        <v>62</v>
      </c>
      <c r="B14" s="40" t="n">
        <v>0</v>
      </c>
      <c r="C14" s="38" t="n">
        <v>0</v>
      </c>
      <c r="D14" s="38" t="n">
        <v>0.01</v>
      </c>
    </row>
    <row r="15" customFormat="false" ht="22.05" hidden="false" customHeight="false" outlineLevel="0" collapsed="false">
      <c r="A15" s="36" t="s">
        <v>63</v>
      </c>
      <c r="B15" s="40" t="n">
        <v>0</v>
      </c>
      <c r="C15" s="38" t="n">
        <v>0</v>
      </c>
      <c r="D15" s="38" t="n">
        <v>0.01</v>
      </c>
    </row>
    <row r="16" customFormat="false" ht="22.05" hidden="false" customHeight="false" outlineLevel="0" collapsed="false">
      <c r="A16" s="36" t="s">
        <v>64</v>
      </c>
      <c r="B16" s="40" t="n">
        <v>150420</v>
      </c>
      <c r="C16" s="38" t="n">
        <v>0.238759403669725</v>
      </c>
      <c r="D16" s="38" t="n">
        <v>0.01</v>
      </c>
    </row>
    <row r="17" customFormat="false" ht="22.05" hidden="false" customHeight="false" outlineLevel="0" collapsed="false">
      <c r="A17" s="42" t="s">
        <v>65</v>
      </c>
      <c r="B17" s="43" t="n">
        <v>66011.83908</v>
      </c>
      <c r="C17" s="44" t="n">
        <v>0.6505</v>
      </c>
      <c r="D17" s="38" t="n">
        <v>0.01</v>
      </c>
    </row>
    <row r="18" customFormat="false" ht="22.05" hidden="false" customHeight="false" outlineLevel="0" collapsed="false">
      <c r="A18" s="42" t="s">
        <v>63</v>
      </c>
      <c r="B18" s="45" t="n">
        <v>0</v>
      </c>
      <c r="C18" s="46" t="n">
        <v>0</v>
      </c>
      <c r="D18" s="47" t="n">
        <v>0</v>
      </c>
    </row>
    <row r="19" customFormat="false" ht="22.05" hidden="false" customHeight="false" outlineLevel="0" collapsed="false">
      <c r="A19" s="48" t="s">
        <v>64</v>
      </c>
      <c r="B19" s="45" t="n">
        <v>0</v>
      </c>
      <c r="C19" s="49" t="n">
        <v>0</v>
      </c>
      <c r="D19" s="50" t="n">
        <v>0</v>
      </c>
    </row>
    <row r="20" customFormat="false" ht="22.05" hidden="false" customHeight="false" outlineLevel="0" collapsed="false">
      <c r="A20" s="48" t="s">
        <v>66</v>
      </c>
      <c r="B20" s="45" t="n">
        <v>0</v>
      </c>
      <c r="C20" s="49" t="n">
        <v>0</v>
      </c>
      <c r="D20" s="50" t="n">
        <v>0</v>
      </c>
    </row>
    <row r="21" customFormat="false" ht="22.05" hidden="false" customHeight="false" outlineLevel="0" collapsed="false">
      <c r="A21" s="48" t="s">
        <v>67</v>
      </c>
      <c r="B21" s="45" t="n">
        <v>0</v>
      </c>
      <c r="C21" s="49" t="n">
        <v>0</v>
      </c>
      <c r="D21" s="50" t="n">
        <v>0</v>
      </c>
    </row>
    <row r="22" customFormat="false" ht="22.05" hidden="false" customHeight="false" outlineLevel="0" collapsed="false">
      <c r="A22" s="48" t="s">
        <v>68</v>
      </c>
      <c r="B22" s="45" t="n">
        <v>0</v>
      </c>
      <c r="C22" s="49" t="n">
        <v>0</v>
      </c>
      <c r="D22" s="50" t="n">
        <v>0.0293425</v>
      </c>
    </row>
    <row r="23" customFormat="false" ht="22.05" hidden="false" customHeight="false" outlineLevel="0" collapsed="false">
      <c r="A23" s="48" t="s">
        <v>69</v>
      </c>
      <c r="B23" s="45" t="n">
        <v>0</v>
      </c>
      <c r="C23" s="49" t="n">
        <v>0</v>
      </c>
      <c r="D23" s="50" t="n">
        <v>0</v>
      </c>
    </row>
    <row r="24" customFormat="false" ht="22.05" hidden="false" customHeight="false" outlineLevel="0" collapsed="false">
      <c r="A24" s="48" t="s">
        <v>70</v>
      </c>
      <c r="B24" s="45" t="n">
        <v>0</v>
      </c>
      <c r="C24" s="49" t="n">
        <v>0</v>
      </c>
      <c r="D24" s="50" t="n">
        <v>0.08626</v>
      </c>
    </row>
    <row r="25" customFormat="false" ht="22.05" hidden="false" customHeight="false" outlineLevel="0" collapsed="false">
      <c r="A25" s="48" t="s">
        <v>71</v>
      </c>
      <c r="B25" s="45" t="n">
        <v>0</v>
      </c>
      <c r="C25" s="49" t="n">
        <v>0</v>
      </c>
      <c r="D25" s="50" t="n">
        <v>0</v>
      </c>
    </row>
    <row r="26" customFormat="false" ht="22.05" hidden="false" customHeight="false" outlineLevel="0" collapsed="false">
      <c r="A26" s="48" t="s">
        <v>72</v>
      </c>
      <c r="B26" s="45" t="n">
        <v>0</v>
      </c>
      <c r="C26" s="49" t="n">
        <v>0</v>
      </c>
      <c r="D26" s="50" t="n">
        <v>0</v>
      </c>
    </row>
    <row r="27" customFormat="false" ht="22.05" hidden="false" customHeight="false" outlineLevel="0" collapsed="false">
      <c r="A27" s="48" t="s">
        <v>73</v>
      </c>
      <c r="B27" s="45" t="n">
        <v>0</v>
      </c>
      <c r="C27" s="49" t="n">
        <v>0</v>
      </c>
      <c r="D27" s="50" t="n">
        <v>0</v>
      </c>
    </row>
    <row r="28" customFormat="false" ht="22.05" hidden="false" customHeight="false" outlineLevel="0" collapsed="false">
      <c r="A28" s="48" t="s">
        <v>74</v>
      </c>
      <c r="B28" s="45" t="n">
        <v>0</v>
      </c>
      <c r="C28" s="49" t="n">
        <v>0</v>
      </c>
      <c r="D28" s="50" t="n">
        <v>0.092196678891258</v>
      </c>
    </row>
    <row r="29" customFormat="false" ht="22.05" hidden="false" customHeight="false" outlineLevel="0" collapsed="false">
      <c r="A29" s="48" t="s">
        <v>58</v>
      </c>
      <c r="B29" s="45" t="n">
        <v>0</v>
      </c>
      <c r="C29" s="49" t="n">
        <v>0</v>
      </c>
      <c r="D29" s="50" t="n">
        <v>0.08667</v>
      </c>
    </row>
    <row r="30" customFormat="false" ht="22.05" hidden="false" customHeight="false" outlineLevel="0" collapsed="false">
      <c r="A30" s="48" t="s">
        <v>75</v>
      </c>
      <c r="B30" s="45" t="n">
        <v>0</v>
      </c>
      <c r="C30" s="49" t="n">
        <v>0</v>
      </c>
      <c r="D30" s="50" t="n">
        <v>0</v>
      </c>
    </row>
    <row r="31" customFormat="false" ht="22.05" hidden="false" customHeight="false" outlineLevel="0" collapsed="false">
      <c r="A31" s="48" t="s">
        <v>76</v>
      </c>
      <c r="B31" s="45" t="n">
        <v>0</v>
      </c>
      <c r="C31" s="49" t="n">
        <v>0</v>
      </c>
      <c r="D31" s="50" t="n">
        <v>0</v>
      </c>
    </row>
    <row r="32" customFormat="false" ht="22.05" hidden="false" customHeight="false" outlineLevel="0" collapsed="false">
      <c r="A32" s="48" t="s">
        <v>77</v>
      </c>
      <c r="B32" s="45" t="n">
        <v>0</v>
      </c>
      <c r="C32" s="49" t="n">
        <v>0</v>
      </c>
      <c r="D32" s="50" t="n">
        <v>0</v>
      </c>
    </row>
    <row r="33" customFormat="false" ht="22.05" hidden="false" customHeight="false" outlineLevel="0" collapsed="false">
      <c r="A33" s="48" t="s">
        <v>78</v>
      </c>
      <c r="B33" s="45" t="n">
        <v>0</v>
      </c>
      <c r="C33" s="49" t="n">
        <v>0</v>
      </c>
      <c r="D33" s="51" t="n">
        <v>0.0088</v>
      </c>
    </row>
    <row r="34" customFormat="false" ht="22.05" hidden="false" customHeight="false" outlineLevel="0" collapsed="false">
      <c r="A34" s="52" t="s">
        <v>62</v>
      </c>
      <c r="B34" s="45" t="n">
        <v>0</v>
      </c>
      <c r="C34" s="53" t="n">
        <v>0</v>
      </c>
      <c r="D34" s="50" t="n">
        <v>0</v>
      </c>
    </row>
    <row r="35" customFormat="false" ht="22.05" hidden="false" customHeight="false" outlineLevel="0" collapsed="false">
      <c r="A35" s="52" t="s">
        <v>63</v>
      </c>
      <c r="B35" s="45" t="n">
        <v>0</v>
      </c>
      <c r="C35" s="53" t="n">
        <v>0</v>
      </c>
      <c r="D35" s="50" t="n">
        <v>0</v>
      </c>
    </row>
    <row r="36" customFormat="false" ht="22.05" hidden="false" customHeight="false" outlineLevel="0" collapsed="false">
      <c r="A36" s="52" t="s">
        <v>79</v>
      </c>
      <c r="B36" s="45" t="n">
        <v>0</v>
      </c>
      <c r="C36" s="53" t="n">
        <v>0</v>
      </c>
      <c r="D36" s="50" t="n">
        <v>0</v>
      </c>
      <c r="J36" s="54"/>
    </row>
    <row r="37" customFormat="false" ht="22.05" hidden="false" customHeight="false" outlineLevel="0" collapsed="false">
      <c r="A37" s="52" t="s">
        <v>80</v>
      </c>
      <c r="B37" s="45" t="n">
        <v>0</v>
      </c>
      <c r="C37" s="53" t="n">
        <v>0</v>
      </c>
      <c r="D37" s="50" t="n">
        <v>0.0776</v>
      </c>
    </row>
    <row r="38" customFormat="false" ht="22.05" hidden="false" customHeight="false" outlineLevel="0" collapsed="false">
      <c r="A38" s="54" t="s">
        <v>81</v>
      </c>
      <c r="B38" s="45" t="n">
        <v>0</v>
      </c>
      <c r="C38" s="53" t="n">
        <v>0</v>
      </c>
      <c r="D38" s="50" t="n">
        <v>0</v>
      </c>
    </row>
    <row r="39" customFormat="false" ht="22.05" hidden="false" customHeight="false" outlineLevel="0" collapsed="false">
      <c r="A39" s="54" t="s">
        <v>82</v>
      </c>
      <c r="B39" s="45" t="n">
        <v>0</v>
      </c>
      <c r="C39" s="53" t="n">
        <v>0</v>
      </c>
      <c r="D39" s="50" t="n">
        <v>0</v>
      </c>
    </row>
    <row r="40" customFormat="false" ht="22.05" hidden="false" customHeight="false" outlineLevel="0" collapsed="false">
      <c r="A40" s="54" t="s">
        <v>83</v>
      </c>
      <c r="B40" s="43" t="n">
        <v>3185.48</v>
      </c>
      <c r="C40" s="50" t="n">
        <v>0.6346</v>
      </c>
      <c r="D40" s="50" t="n">
        <v>0.0088</v>
      </c>
    </row>
    <row r="41" customFormat="false" ht="22.05" hidden="false" customHeight="false" outlineLevel="0" collapsed="false">
      <c r="A41" s="54" t="s">
        <v>84</v>
      </c>
      <c r="B41" s="43" t="n">
        <v>3108.98</v>
      </c>
      <c r="C41" s="50" t="n">
        <v>0.63</v>
      </c>
      <c r="D41" s="50" t="n">
        <v>0.0127</v>
      </c>
    </row>
    <row r="42" customFormat="false" ht="22.05" hidden="false" customHeight="false" outlineLevel="0" collapsed="false">
      <c r="A42" s="54" t="s">
        <v>85</v>
      </c>
      <c r="B42" s="55" t="n">
        <v>3185.48</v>
      </c>
      <c r="C42" s="38" t="n">
        <v>0.6346</v>
      </c>
      <c r="D42" s="56" t="n">
        <v>0.0088</v>
      </c>
    </row>
    <row r="43" customFormat="false" ht="22.05" hidden="false" customHeight="false" outlineLevel="0" collapsed="false">
      <c r="A43" s="54" t="s">
        <v>86</v>
      </c>
      <c r="B43" s="43" t="n">
        <v>1000</v>
      </c>
      <c r="C43" s="38" t="n">
        <v>0.6</v>
      </c>
      <c r="D43" s="56" t="n">
        <v>0.01</v>
      </c>
    </row>
    <row r="44" customFormat="false" ht="22.05" hidden="false" customHeight="false" outlineLevel="0" collapsed="false">
      <c r="A44" s="48" t="s">
        <v>87</v>
      </c>
      <c r="B44" s="43" t="n">
        <v>1000</v>
      </c>
      <c r="C44" s="38" t="n">
        <v>0.6</v>
      </c>
      <c r="D44" s="56" t="n">
        <v>0.01</v>
      </c>
    </row>
    <row r="45" customFormat="false" ht="22.05" hidden="false" customHeight="false" outlineLevel="0" collapsed="false">
      <c r="A45" s="54" t="s">
        <v>88</v>
      </c>
      <c r="B45" s="43" t="n">
        <v>1000</v>
      </c>
      <c r="C45" s="38" t="n">
        <v>0.6</v>
      </c>
      <c r="D45" s="56" t="n">
        <v>0.01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70"/>
  <sheetViews>
    <sheetView showFormulas="false" showGridLines="true" showRowColHeaders="true" showZeros="true" rightToLeft="false" tabSelected="false" showOutlineSymbols="true" defaultGridColor="true" view="normal" topLeftCell="A46" colorId="64" zoomScale="90" zoomScaleNormal="90" zoomScalePageLayoutView="100" workbookViewId="0">
      <selection pane="topLeft" activeCell="F73" activeCellId="0" sqref="F73"/>
    </sheetView>
  </sheetViews>
  <sheetFormatPr defaultColWidth="10.453125" defaultRowHeight="15" customHeight="true" zeroHeight="false" outlineLevelRow="0" outlineLevelCol="0"/>
  <cols>
    <col collapsed="false" customWidth="true" hidden="false" outlineLevel="0" max="1" min="1" style="0" width="16.67"/>
    <col collapsed="false" customWidth="true" hidden="false" outlineLevel="0" max="2" min="2" style="0" width="53.51"/>
    <col collapsed="false" customWidth="true" hidden="false" outlineLevel="0" max="6" min="6" style="0" width="53"/>
    <col collapsed="false" customWidth="true" hidden="false" outlineLevel="0" max="7" min="7" style="0" width="23.83"/>
    <col collapsed="false" customWidth="true" hidden="false" outlineLevel="0" max="8" min="8" style="0" width="34"/>
    <col collapsed="false" customWidth="true" hidden="false" outlineLevel="0" max="14" min="13" style="0" width="16.5"/>
  </cols>
  <sheetData>
    <row r="2" customFormat="false" ht="17.35" hidden="false" customHeight="true" outlineLevel="0" collapsed="false">
      <c r="B2" s="57" t="s">
        <v>89</v>
      </c>
      <c r="C2" s="57"/>
      <c r="D2" s="57"/>
      <c r="F2" s="57" t="s">
        <v>90</v>
      </c>
      <c r="G2" s="57"/>
      <c r="H2" s="57"/>
      <c r="J2" s="58" t="s">
        <v>91</v>
      </c>
      <c r="K2" s="58"/>
      <c r="L2" s="59"/>
      <c r="M2" s="60" t="s">
        <v>92</v>
      </c>
      <c r="N2" s="61" t="s">
        <v>93</v>
      </c>
    </row>
    <row r="3" customFormat="false" ht="17.35" hidden="false" customHeight="false" outlineLevel="0" collapsed="false">
      <c r="B3" s="62" t="s">
        <v>46</v>
      </c>
      <c r="C3" s="62" t="s">
        <v>94</v>
      </c>
      <c r="D3" s="62" t="s">
        <v>95</v>
      </c>
      <c r="F3" s="62" t="s">
        <v>46</v>
      </c>
      <c r="G3" s="62" t="s">
        <v>94</v>
      </c>
      <c r="H3" s="62" t="s">
        <v>95</v>
      </c>
      <c r="J3" s="63" t="s">
        <v>96</v>
      </c>
      <c r="K3" s="63" t="s">
        <v>97</v>
      </c>
      <c r="L3" s="64"/>
      <c r="M3" s="65"/>
      <c r="N3" s="65"/>
    </row>
    <row r="4" customFormat="false" ht="17.35" hidden="false" customHeight="false" outlineLevel="0" collapsed="false">
      <c r="B4" s="62" t="s">
        <v>98</v>
      </c>
      <c r="C4" s="66" t="n">
        <f aca="false">Utilidad!A1</f>
        <v>150420</v>
      </c>
      <c r="D4" s="67" t="n">
        <f aca="false">IF(Utilidad!C1&gt;1,Utilidad!C1/100,Utilidad!C1)</f>
        <v>0.2388</v>
      </c>
      <c r="F4" s="68" t="s">
        <v>98</v>
      </c>
      <c r="G4" s="69" t="n">
        <f aca="false">Utilidad!B1</f>
        <v>150420</v>
      </c>
      <c r="H4" s="70" t="n">
        <f aca="false">IF(Utilidad!D1&gt;1,Utilidad!D1/100,Utilidad!D1)</f>
        <v>0.2388</v>
      </c>
      <c r="J4" s="71" t="n">
        <f aca="false">+IF(C4&lt;&gt;0,(G4-C4)/C4,ABS(G4-C4))</f>
        <v>0</v>
      </c>
      <c r="K4" s="71" t="n">
        <f aca="false">+IF(D4&lt;&gt;0,(H4-D4)/D4,0)</f>
        <v>0</v>
      </c>
      <c r="L4" s="72"/>
      <c r="M4" s="73" t="n">
        <f aca="false">+IF(J4&lt;&gt;"",ABS(J4),0)</f>
        <v>0</v>
      </c>
      <c r="N4" s="73" t="n">
        <f aca="false">+IF(J4&lt;&gt;"",ABS(K4),0)</f>
        <v>0</v>
      </c>
    </row>
    <row r="5" customFormat="false" ht="17.35" hidden="false" customHeight="false" outlineLevel="0" collapsed="false">
      <c r="B5" s="62" t="s">
        <v>99</v>
      </c>
      <c r="C5" s="66" t="n">
        <f aca="false">Utilidad!A2</f>
        <v>0</v>
      </c>
      <c r="D5" s="67" t="n">
        <f aca="false">IF(Utilidad!C2&gt;1,Utilidad!C2/100,Utilidad!C2)</f>
        <v>0</v>
      </c>
      <c r="F5" s="68" t="s">
        <v>99</v>
      </c>
      <c r="G5" s="69" t="n">
        <f aca="false">Utilidad!B2</f>
        <v>0</v>
      </c>
      <c r="H5" s="70" t="n">
        <f aca="false">IF(Utilidad!D2&gt;1,Utilidad!D2/100,Utilidad!D2)</f>
        <v>0</v>
      </c>
      <c r="J5" s="71" t="n">
        <f aca="false">+IF(C5&lt;&gt;0,(G5-C5)/C5,ABS(G5-C5))</f>
        <v>0</v>
      </c>
      <c r="K5" s="71" t="n">
        <f aca="false">+IF(D5&lt;&gt;0,(H5-D5)/D5,0)</f>
        <v>0</v>
      </c>
      <c r="L5" s="72"/>
      <c r="M5" s="73" t="n">
        <f aca="false">+IF(J5&lt;&gt;"",ABS(J5),0)</f>
        <v>0</v>
      </c>
      <c r="N5" s="73" t="n">
        <f aca="false">+IF(J5&lt;&gt;"",ABS(K5),0)</f>
        <v>0</v>
      </c>
    </row>
    <row r="6" customFormat="false" ht="17.35" hidden="false" customHeight="false" outlineLevel="0" collapsed="false">
      <c r="B6" s="62" t="s">
        <v>100</v>
      </c>
      <c r="C6" s="66" t="n">
        <f aca="false">Utilidad!A3</f>
        <v>60303</v>
      </c>
      <c r="D6" s="67" t="n">
        <f aca="false">IF(Utilidad!C3&gt;1,Utilidad!C3/100,Utilidad!C3)</f>
        <v>0.139</v>
      </c>
      <c r="F6" s="68" t="s">
        <v>100</v>
      </c>
      <c r="G6" s="69" t="n">
        <f aca="false">Utilidad!B3</f>
        <v>60303</v>
      </c>
      <c r="H6" s="70" t="n">
        <f aca="false">IF(Utilidad!D3&gt;1,Utilidad!D3/100,Utilidad!D3)</f>
        <v>0.13205</v>
      </c>
      <c r="J6" s="71" t="n">
        <f aca="false">+IF(C6&lt;&gt;0,(G6-C6)/C6,ABS(G6-C6))</f>
        <v>0</v>
      </c>
      <c r="K6" s="71" t="n">
        <f aca="false">+IF(D6&lt;&gt;0,(H6-D6)/D6,0)</f>
        <v>-0.0500000000000001</v>
      </c>
      <c r="M6" s="73" t="n">
        <f aca="false">+IF(J6&lt;&gt;"",ABS(J6),0)</f>
        <v>0</v>
      </c>
      <c r="N6" s="73" t="n">
        <f aca="false">+IF(J6&lt;&gt;"",ABS(K6),0)</f>
        <v>0.0500000000000001</v>
      </c>
    </row>
    <row r="7" customFormat="false" ht="17.35" hidden="false" customHeight="false" outlineLevel="0" collapsed="false">
      <c r="B7" s="62" t="s">
        <v>101</v>
      </c>
      <c r="C7" s="66" t="n">
        <f aca="false">Utilidad!A4</f>
        <v>90117</v>
      </c>
      <c r="D7" s="67" t="n">
        <f aca="false">IF(Utilidad!C4&gt;1,Utilidad!C4/100,Utilidad!C4)</f>
        <v>0.3055</v>
      </c>
      <c r="F7" s="68" t="s">
        <v>101</v>
      </c>
      <c r="G7" s="69" t="n">
        <f aca="false">Utilidad!B4</f>
        <v>90117</v>
      </c>
      <c r="H7" s="70" t="n">
        <f aca="false">IF(Utilidad!D4&gt;1,Utilidad!D4/100,Utilidad!D4)</f>
        <v>0.31023319518</v>
      </c>
      <c r="J7" s="71" t="n">
        <f aca="false">+IF(C7&lt;&gt;0,(G7-C7)/C7,ABS(G7-C7))</f>
        <v>0</v>
      </c>
      <c r="K7" s="71" t="n">
        <f aca="false">+IF(D7&lt;&gt;0,(H7-D7)/D7,0)</f>
        <v>0.0154932739116204</v>
      </c>
      <c r="M7" s="73" t="n">
        <f aca="false">+IF(J7&lt;&gt;"",ABS(J7),0)</f>
        <v>0</v>
      </c>
      <c r="N7" s="73" t="n">
        <f aca="false">+IF(J7&lt;&gt;"",ABS(K7),0)</f>
        <v>0.0154932739116204</v>
      </c>
    </row>
    <row r="8" customFormat="false" ht="17.35" hidden="false" customHeight="false" outlineLevel="0" collapsed="false">
      <c r="B8" s="62" t="s">
        <v>102</v>
      </c>
      <c r="C8" s="66" t="n">
        <f aca="false">Utilidad!A5</f>
        <v>0</v>
      </c>
      <c r="D8" s="67" t="n">
        <f aca="false">IF(Utilidad!C5&gt;1,Utilidad!C5/100,Utilidad!C5)</f>
        <v>0</v>
      </c>
      <c r="F8" s="68" t="s">
        <v>102</v>
      </c>
      <c r="G8" s="66" t="n">
        <f aca="false">Utilidad!B5</f>
        <v>0</v>
      </c>
      <c r="H8" s="74" t="n">
        <f aca="false">IF(Utilidad!D5&gt;1,Utilidad!D5/100,Utilidad!D5)</f>
        <v>0</v>
      </c>
      <c r="J8" s="71" t="n">
        <f aca="false">+IF(C8&lt;&gt;0,(G8-C8)/C8,ABS(G8-C8))</f>
        <v>0</v>
      </c>
      <c r="K8" s="71" t="n">
        <f aca="false">+IF(D8&lt;&gt;0,(H8-D8)/D8,0)</f>
        <v>0</v>
      </c>
      <c r="M8" s="73" t="n">
        <f aca="false">+IF(J8&lt;&gt;"",ABS(J8),0)</f>
        <v>0</v>
      </c>
      <c r="N8" s="73" t="n">
        <f aca="false">+IF(J8&lt;&gt;"",ABS(K8),0)</f>
        <v>0</v>
      </c>
    </row>
    <row r="9" customFormat="false" ht="17.35" hidden="false" customHeight="false" outlineLevel="0" collapsed="false">
      <c r="B9" s="62" t="s">
        <v>103</v>
      </c>
      <c r="C9" s="66" t="n">
        <f aca="false">Utilidad!A6</f>
        <v>-28228</v>
      </c>
      <c r="D9" s="67" t="n">
        <f aca="false">IF(Utilidad!C6&gt;1,Utilidad!C6/100,Utilidad!C6)</f>
        <v>0.3055</v>
      </c>
      <c r="F9" s="68" t="s">
        <v>103</v>
      </c>
      <c r="G9" s="66" t="n">
        <f aca="false">Utilidad!B6</f>
        <v>-34429.130716</v>
      </c>
      <c r="H9" s="74" t="n">
        <f aca="false">IF(Utilidad!D6&gt;1,Utilidad!D6/100,Utilidad!D6)</f>
        <v>0.320775</v>
      </c>
      <c r="J9" s="71" t="n">
        <f aca="false">+IF(C9&lt;&gt;0,(G9-C9)/C9,ABS(G9-C9))</f>
        <v>0.219680130225308</v>
      </c>
      <c r="K9" s="71" t="n">
        <f aca="false">+IF(D9&lt;&gt;0,(H9-D9)/D9,0)</f>
        <v>0.0500000000000001</v>
      </c>
      <c r="M9" s="73" t="n">
        <f aca="false">+IF(J9&lt;&gt;"",ABS(J9),0)</f>
        <v>0.219680130225308</v>
      </c>
      <c r="N9" s="73" t="n">
        <f aca="false">+IF(J9&lt;&gt;"",ABS(K9),0)</f>
        <v>0.0500000000000001</v>
      </c>
      <c r="Q9" s="0" t="n">
        <f aca="false">G10-G14-G15</f>
        <v>40331.403142</v>
      </c>
    </row>
    <row r="10" customFormat="false" ht="17.35" hidden="false" customHeight="false" outlineLevel="0" collapsed="false">
      <c r="B10" s="62" t="s">
        <v>104</v>
      </c>
      <c r="C10" s="66" t="n">
        <f aca="false">Utilidad!A7</f>
        <v>116673</v>
      </c>
      <c r="D10" s="67" t="n">
        <f aca="false">IF(Utilidad!C7&gt;1,Utilidad!C7/100,Utilidad!C7)</f>
        <v>0.3113</v>
      </c>
      <c r="F10" s="62" t="s">
        <v>104</v>
      </c>
      <c r="G10" s="75" t="n">
        <f aca="false">Utilidad!B7</f>
        <v>124546.13072</v>
      </c>
      <c r="H10" s="76" t="n">
        <f aca="false">IF(Utilidad!D7&gt;1,Utilidad!D7/100,Utilidad!D7)</f>
        <v>0.31314733775</v>
      </c>
      <c r="J10" s="71" t="n">
        <f aca="false">+IF(C10&lt;&gt;0,(G10-C10)/C10,ABS(G10-C10))</f>
        <v>0.0674803143829335</v>
      </c>
      <c r="K10" s="71" t="n">
        <f aca="false">+IF(D10&lt;&gt;0,(H10-D10)/D10,0)</f>
        <v>0.0059342683906202</v>
      </c>
      <c r="M10" s="73" t="n">
        <f aca="false">+IF(J10&lt;&gt;"",ABS(J10),0)</f>
        <v>0.0674803143829335</v>
      </c>
      <c r="N10" s="73" t="n">
        <f aca="false">+IF(J10&lt;&gt;"",ABS(K10),0)</f>
        <v>0.0059342683906202</v>
      </c>
      <c r="Q10" s="0" t="n">
        <f aca="false">G13+G12</f>
        <v>40331.403138</v>
      </c>
    </row>
    <row r="11" customFormat="false" ht="17.35" hidden="false" customHeight="false" outlineLevel="0" collapsed="false">
      <c r="B11" s="62" t="s">
        <v>105</v>
      </c>
      <c r="C11" s="66" t="n">
        <f aca="false">Utilidad!A8</f>
        <v>0</v>
      </c>
      <c r="D11" s="67" t="n">
        <f aca="false">IF(Utilidad!C8&gt;1,Utilidad!C8/100,Utilidad!C8)</f>
        <v>0</v>
      </c>
      <c r="F11" s="62" t="s">
        <v>105</v>
      </c>
      <c r="G11" s="75" t="n">
        <f aca="false">Utilidad!B8</f>
        <v>0</v>
      </c>
      <c r="H11" s="76" t="n">
        <f aca="false">IF(Utilidad!D8&gt;1,Utilidad!D8/100,Utilidad!D8)</f>
        <v>0</v>
      </c>
      <c r="J11" s="71" t="n">
        <f aca="false">+IF(C11&lt;&gt;0,(G11-C11)/C11,ABS(G11-C11))</f>
        <v>0</v>
      </c>
      <c r="K11" s="71" t="n">
        <f aca="false">+IF(D11&lt;&gt;0,(H11-D11)/D11,0)</f>
        <v>0</v>
      </c>
      <c r="M11" s="73" t="n">
        <f aca="false">+IF(J11&lt;&gt;"",ABS(J11),0)</f>
        <v>0</v>
      </c>
      <c r="N11" s="73" t="n">
        <f aca="false">+IF(J11&lt;&gt;"",ABS(K11),0)</f>
        <v>0</v>
      </c>
    </row>
    <row r="12" customFormat="false" ht="17.35" hidden="false" customHeight="false" outlineLevel="0" collapsed="false">
      <c r="B12" s="62" t="s">
        <v>106</v>
      </c>
      <c r="C12" s="66" t="n">
        <f aca="false">Utilidad!A9</f>
        <v>20214</v>
      </c>
      <c r="D12" s="67" t="n">
        <f aca="false">IF(Utilidad!C9&gt;1,Utilidad!C9/100,Utilidad!C9)</f>
        <v>0.2026</v>
      </c>
      <c r="F12" s="62" t="s">
        <v>106</v>
      </c>
      <c r="G12" s="75" t="n">
        <f aca="false">Utilidad!B9</f>
        <v>24875.066453</v>
      </c>
      <c r="H12" s="76" t="n">
        <f aca="false">IF(Utilidad!D9&gt;1,Utilidad!D9/100,Utilidad!D9)</f>
        <v>0.19247</v>
      </c>
      <c r="J12" s="71" t="n">
        <f aca="false">+IF(C12&lt;&gt;0,(G12-C12)/C12,ABS(G12-C12))</f>
        <v>0.230586051894726</v>
      </c>
      <c r="K12" s="71" t="n">
        <f aca="false">+IF(D12&lt;&gt;0,(H12-D12)/D12,0)</f>
        <v>-0.05</v>
      </c>
      <c r="M12" s="73" t="n">
        <f aca="false">+IF(J12&lt;&gt;"",ABS(J12),0)</f>
        <v>0.230586051894726</v>
      </c>
      <c r="N12" s="73" t="n">
        <f aca="false">+IF(J12&lt;&gt;"",ABS(K12),0)</f>
        <v>0.05</v>
      </c>
    </row>
    <row r="13" customFormat="false" ht="17.35" hidden="false" customHeight="false" outlineLevel="0" collapsed="false">
      <c r="B13" s="62" t="s">
        <v>0</v>
      </c>
      <c r="C13" s="66" t="n">
        <f aca="false">Utilidad!A10</f>
        <v>11970</v>
      </c>
      <c r="D13" s="67" t="n">
        <f aca="false">IF(Utilidad!C10&gt;1,Utilidad!C10/100,Utilidad!C10)</f>
        <v>0.1143</v>
      </c>
      <c r="F13" s="68" t="s">
        <v>0</v>
      </c>
      <c r="G13" s="75" t="n">
        <f aca="false">Utilidad!B10</f>
        <v>15456.336685</v>
      </c>
      <c r="H13" s="76" t="n">
        <f aca="false">IF(Utilidad!D10&gt;1,Utilidad!D10/100,Utilidad!D10)</f>
        <v>0.108585</v>
      </c>
      <c r="J13" s="71" t="n">
        <f aca="false">+IF(C13&lt;&gt;0,(G13-C13)/C13,ABS(G13-C13))</f>
        <v>0.291256197577277</v>
      </c>
      <c r="K13" s="71" t="n">
        <f aca="false">+IF(D13&lt;&gt;0,(H13-D13)/D13,0)</f>
        <v>-0.0500000000000001</v>
      </c>
      <c r="M13" s="73" t="n">
        <f aca="false">+IF(J13&lt;&gt;"",ABS(J13),0)</f>
        <v>0.291256197577277</v>
      </c>
      <c r="N13" s="73" t="n">
        <f aca="false">+IF(J13&lt;&gt;"",ABS(K13),0)</f>
        <v>0.0500000000000001</v>
      </c>
    </row>
    <row r="14" customFormat="false" ht="17.35" hidden="false" customHeight="false" outlineLevel="0" collapsed="false">
      <c r="B14" s="62" t="s">
        <v>1</v>
      </c>
      <c r="C14" s="66" t="n">
        <f aca="false">Utilidad!A11</f>
        <v>60996</v>
      </c>
      <c r="D14" s="67" t="n">
        <f aca="false">IF(Utilidad!C11&gt;1,Utilidad!C11/100,Utilidad!C11)</f>
        <v>0.366</v>
      </c>
      <c r="F14" s="62" t="s">
        <v>1</v>
      </c>
      <c r="G14" s="75" t="n">
        <f aca="false">Utilidad!B11</f>
        <v>64047.727578</v>
      </c>
      <c r="H14" s="76" t="n">
        <f aca="false">IF(Utilidad!D11&gt;1,Utilidad!D11/100,Utilidad!D11)</f>
        <v>0.35689666414</v>
      </c>
      <c r="J14" s="71" t="n">
        <f aca="false">+IF(C14&lt;&gt;0,(G14-C14)/C14,ABS(G14-C14))</f>
        <v>0.0500316017115876</v>
      </c>
      <c r="K14" s="71" t="n">
        <f aca="false">+IF(D14&lt;&gt;0,(H14-D14)/D14,0)</f>
        <v>-0.0248725023497268</v>
      </c>
      <c r="M14" s="73" t="n">
        <f aca="false">+IF(J14&lt;&gt;"",ABS(J14),0)</f>
        <v>0.0500316017115876</v>
      </c>
      <c r="N14" s="73" t="n">
        <f aca="false">+IF(J14&lt;&gt;"",ABS(K14),0)</f>
        <v>0.0248725023497268</v>
      </c>
    </row>
    <row r="15" customFormat="false" ht="17.35" hidden="false" customHeight="false" outlineLevel="0" collapsed="false">
      <c r="B15" s="62" t="s">
        <v>2</v>
      </c>
      <c r="C15" s="66" t="n">
        <f aca="false">Utilidad!A12</f>
        <v>20167</v>
      </c>
      <c r="D15" s="67" t="n">
        <f aca="false">IF(Utilidad!C12&gt;1,Utilidad!C12/100,Utilidad!C12)</f>
        <v>0.4856</v>
      </c>
      <c r="F15" s="68" t="s">
        <v>2</v>
      </c>
      <c r="G15" s="75" t="n">
        <f aca="false">Utilidad!B12</f>
        <v>20167</v>
      </c>
      <c r="H15" s="76" t="n">
        <f aca="false">IF(Utilidad!D12&gt;1,Utilidad!D12/100,Utilidad!D12)</f>
        <v>0.47983531086</v>
      </c>
      <c r="J15" s="71" t="n">
        <f aca="false">+IF(C15&lt;&gt;0,(G15-C15)/C15,ABS(G15-C15))</f>
        <v>0</v>
      </c>
      <c r="K15" s="71" t="n">
        <f aca="false">+IF(D15&lt;&gt;0,(H15-D15)/D15,0)</f>
        <v>-0.011871270881384</v>
      </c>
      <c r="M15" s="73" t="n">
        <f aca="false">+IF(J15&lt;&gt;"",ABS(J15),0)</f>
        <v>0</v>
      </c>
      <c r="N15" s="73" t="n">
        <f aca="false">+IF(J15&lt;&gt;"",ABS(K15),0)</f>
        <v>0.011871270881384</v>
      </c>
    </row>
    <row r="16" customFormat="false" ht="17.35" hidden="false" customHeight="false" outlineLevel="0" collapsed="false">
      <c r="B16" s="62" t="s">
        <v>3</v>
      </c>
      <c r="C16" s="66" t="n">
        <f aca="false">Utilidad!A13</f>
        <v>1437</v>
      </c>
      <c r="D16" s="67" t="n">
        <f aca="false">IF(Utilidad!C13&gt;1,Utilidad!C13/100,Utilidad!C13)</f>
        <v>0.4975</v>
      </c>
      <c r="F16" s="62" t="s">
        <v>3</v>
      </c>
      <c r="G16" s="77" t="n">
        <f aca="false">Utilidad!B13</f>
        <v>1437</v>
      </c>
      <c r="H16" s="78" t="n">
        <f aca="false">IF(Utilidad!D13&gt;1,Utilidad!D13/100,Utilidad!D13)</f>
        <v>0.49744623738</v>
      </c>
      <c r="I16" s="0" t="n">
        <f aca="false">(G14*H14+G15*H15)/(G14+G15)*100</f>
        <v>38.633692666541</v>
      </c>
      <c r="J16" s="71" t="n">
        <f aca="false">+IF(C16&lt;&gt;0,(G16-C16)/C16,ABS(G16-C16))</f>
        <v>0</v>
      </c>
      <c r="K16" s="71" t="n">
        <f aca="false">+IF(D16&lt;&gt;0,(H16-D16)/D16,0)</f>
        <v>-0.000108065567839213</v>
      </c>
      <c r="M16" s="73" t="n">
        <f aca="false">+IF(J16&lt;&gt;"",ABS(J16),0)</f>
        <v>0</v>
      </c>
      <c r="N16" s="73" t="n">
        <f aca="false">+IF(J16&lt;&gt;"",ABS(K16),0)</f>
        <v>0.000108065567839213</v>
      </c>
    </row>
    <row r="17" customFormat="false" ht="17.35" hidden="false" customHeight="false" outlineLevel="0" collapsed="false">
      <c r="B17" s="62" t="s">
        <v>4</v>
      </c>
      <c r="C17" s="66" t="n">
        <f aca="false">Utilidad!A14</f>
        <v>23352</v>
      </c>
      <c r="D17" s="67" t="n">
        <f aca="false">IF(Utilidad!C14&gt;1,Utilidad!C14/100,Utilidad!C14)</f>
        <v>0.4147</v>
      </c>
      <c r="F17" s="62" t="s">
        <v>4</v>
      </c>
      <c r="G17" s="77" t="n">
        <f aca="false">Utilidad!B14</f>
        <v>12216.727578</v>
      </c>
      <c r="H17" s="78" t="n">
        <f aca="false">IF(Utilidad!D14&gt;1,Utilidad!D14/100,Utilidad!D14)</f>
        <v>0.393965</v>
      </c>
      <c r="J17" s="71" t="n">
        <f aca="false">+IF(C17&lt;&gt;0,(G17-C17)/C17,ABS(G17-C17))</f>
        <v>-0.476844485354573</v>
      </c>
      <c r="K17" s="71" t="n">
        <f aca="false">+IF(D17&lt;&gt;0,(H17-D17)/D17,0)</f>
        <v>-0.05</v>
      </c>
      <c r="M17" s="73" t="n">
        <f aca="false">+IF(J17&lt;&gt;"",ABS(J17),0)</f>
        <v>0.476844485354573</v>
      </c>
      <c r="N17" s="73" t="n">
        <f aca="false">+IF(J17&lt;&gt;"",ABS(K17),0)</f>
        <v>0.05</v>
      </c>
    </row>
    <row r="18" customFormat="false" ht="17.35" hidden="false" customHeight="false" outlineLevel="0" collapsed="false">
      <c r="B18" s="62" t="s">
        <v>5</v>
      </c>
      <c r="C18" s="66" t="n">
        <f aca="false">Utilidad!A15</f>
        <v>88249</v>
      </c>
      <c r="D18" s="67" t="n">
        <f aca="false">IF(Utilidad!C15&gt;1,Utilidad!C15/100,Utilidad!C15)</f>
        <v>0.4147</v>
      </c>
      <c r="F18" s="68" t="s">
        <v>5</v>
      </c>
      <c r="G18" s="77" t="n">
        <f aca="false">Utilidad!B15</f>
        <v>88249</v>
      </c>
      <c r="H18" s="78" t="n">
        <f aca="false">IF(Utilidad!D15&gt;1,Utilidad!D15/100,Utilidad!D15)</f>
        <v>0.41240586135</v>
      </c>
      <c r="J18" s="71" t="n">
        <f aca="false">+IF(C18&lt;&gt;0,(G18-C18)/C18,ABS(G18-C18))</f>
        <v>0</v>
      </c>
      <c r="K18" s="71" t="n">
        <f aca="false">+IF(D18&lt;&gt;0,(H18-D18)/D18,0)</f>
        <v>-0.00553204400771642</v>
      </c>
      <c r="M18" s="73" t="n">
        <f aca="false">+IF(J18&lt;&gt;"",ABS(J18),0)</f>
        <v>0</v>
      </c>
      <c r="N18" s="73" t="n">
        <f aca="false">+IF(J18&lt;&gt;"",ABS(K18),0)</f>
        <v>0.00553204400771642</v>
      </c>
    </row>
    <row r="19" customFormat="false" ht="17.35" hidden="false" customHeight="false" outlineLevel="0" collapsed="false">
      <c r="B19" s="62" t="s">
        <v>6</v>
      </c>
      <c r="C19" s="66" t="n">
        <f aca="false">Utilidad!A16</f>
        <v>40418</v>
      </c>
      <c r="D19" s="67" t="n">
        <f aca="false">IF(Utilidad!C16&gt;1,Utilidad!C16/100,Utilidad!C16)</f>
        <v>0.0981</v>
      </c>
      <c r="F19" s="68" t="s">
        <v>6</v>
      </c>
      <c r="G19" s="77" t="n">
        <f aca="false">Utilidad!B16</f>
        <v>43841</v>
      </c>
      <c r="H19" s="78" t="n">
        <f aca="false">IF(Utilidad!D16&gt;1,Utilidad!D16/100,Utilidad!D16)</f>
        <v>0.093195</v>
      </c>
      <c r="J19" s="71" t="n">
        <f aca="false">+IF(C19&lt;&gt;0,(G19-C19)/C19,ABS(G19-C19))</f>
        <v>0.0846899896085902</v>
      </c>
      <c r="K19" s="71" t="n">
        <f aca="false">+IF(D19&lt;&gt;0,(H19-D19)/D19,0)</f>
        <v>-0.0500000000000001</v>
      </c>
      <c r="M19" s="73" t="n">
        <f aca="false">+IF(J19&lt;&gt;"",ABS(J19),0)</f>
        <v>0.0846899896085902</v>
      </c>
      <c r="N19" s="73" t="n">
        <f aca="false">+IF(J19&lt;&gt;"",ABS(K19),0)</f>
        <v>0.0500000000000001</v>
      </c>
    </row>
    <row r="20" customFormat="false" ht="17.35" hidden="false" customHeight="false" outlineLevel="0" collapsed="false">
      <c r="B20" s="62" t="s">
        <v>9</v>
      </c>
      <c r="C20" s="66" t="n">
        <f aca="false">Utilidad!A17</f>
        <v>66012</v>
      </c>
      <c r="D20" s="67" t="n">
        <f aca="false">IF(Utilidad!C17&gt;1,Utilidad!C17/100,Utilidad!C17)</f>
        <v>0.6505</v>
      </c>
      <c r="F20" s="68" t="s">
        <v>9</v>
      </c>
      <c r="G20" s="77" t="n">
        <f aca="false">Utilidad!B17</f>
        <v>66012</v>
      </c>
      <c r="H20" s="78" t="n">
        <f aca="false">IF(Utilidad!D17&gt;1,Utilidad!D17/100,Utilidad!D17)</f>
        <v>0.6468568112</v>
      </c>
      <c r="J20" s="71" t="n">
        <f aca="false">+IF(C20&lt;&gt;0,(G20-C20)/C20,ABS(G20-C20))</f>
        <v>0</v>
      </c>
      <c r="K20" s="71" t="n">
        <f aca="false">+IF(D20&lt;&gt;0,(H20-D20)/D20,0)</f>
        <v>-0.00560059769408152</v>
      </c>
      <c r="M20" s="73" t="n">
        <f aca="false">+IF(J20&lt;&gt;"",ABS(J20),0)</f>
        <v>0</v>
      </c>
      <c r="N20" s="73" t="n">
        <f aca="false">+IF(J20&lt;&gt;"",ABS(K20),0)</f>
        <v>0.00560059769408152</v>
      </c>
    </row>
    <row r="21" customFormat="false" ht="17.35" hidden="false" customHeight="false" outlineLevel="0" collapsed="false">
      <c r="B21" s="62" t="s">
        <v>10</v>
      </c>
      <c r="C21" s="66" t="n">
        <f aca="false">Utilidad!A18</f>
        <v>-5515</v>
      </c>
      <c r="D21" s="67" t="n">
        <f aca="false">IF(Utilidad!C18&gt;1,Utilidad!C18/100,Utilidad!C18)</f>
        <v>0.6505</v>
      </c>
      <c r="F21" s="62" t="s">
        <v>10</v>
      </c>
      <c r="G21" s="66" t="n">
        <f aca="false">Utilidad!B18</f>
        <v>-5099</v>
      </c>
      <c r="H21" s="74" t="n">
        <f aca="false">IF(Utilidad!D18&gt;1,Utilidad!D18/100,Utilidad!D18)</f>
        <v>0.683025</v>
      </c>
      <c r="J21" s="71" t="n">
        <f aca="false">+IF(C21&lt;&gt;0,(G21-C21)/C21,ABS(G21-C21))</f>
        <v>-0.0754306436990027</v>
      </c>
      <c r="K21" s="71" t="n">
        <f aca="false">+IF(D21&lt;&gt;0,(H21-D21)/D21,0)</f>
        <v>0.05</v>
      </c>
      <c r="M21" s="73" t="n">
        <f aca="false">+IF(J21&lt;&gt;"",ABS(J21),0)</f>
        <v>0.0754306436990027</v>
      </c>
      <c r="N21" s="73" t="n">
        <f aca="false">+IF(J21&lt;&gt;"",ABS(K21),0)</f>
        <v>0.05</v>
      </c>
    </row>
    <row r="22" customFormat="false" ht="17.35" hidden="false" customHeight="false" outlineLevel="0" collapsed="false">
      <c r="B22" s="62" t="s">
        <v>11</v>
      </c>
      <c r="C22" s="66" t="n">
        <f aca="false">Utilidad!A19</f>
        <v>0</v>
      </c>
      <c r="D22" s="67" t="n">
        <f aca="false">IF(Utilidad!C19&gt;1,Utilidad!C19/100,Utilidad!C19)</f>
        <v>0</v>
      </c>
      <c r="F22" s="62" t="s">
        <v>11</v>
      </c>
      <c r="G22" s="66" t="n">
        <f aca="false">Utilidad!B19</f>
        <v>0</v>
      </c>
      <c r="H22" s="74" t="n">
        <f aca="false">IF(Utilidad!D19&gt;1,Utilidad!D19/100,Utilidad!D19)</f>
        <v>0</v>
      </c>
      <c r="J22" s="71" t="n">
        <f aca="false">+IF(C22&lt;&gt;0,(G22-C22)/C22,ABS(G22-C22))</f>
        <v>0</v>
      </c>
      <c r="K22" s="71" t="n">
        <f aca="false">+IF(D22&lt;&gt;0,(H22-D22)/D22,0)</f>
        <v>0</v>
      </c>
      <c r="M22" s="73" t="n">
        <f aca="false">+IF(J22&lt;&gt;"",ABS(J22),0)</f>
        <v>0</v>
      </c>
      <c r="N22" s="73" t="n">
        <f aca="false">+IF(J22&lt;&gt;"",ABS(K22),0)</f>
        <v>0</v>
      </c>
    </row>
    <row r="23" customFormat="false" ht="17.35" hidden="false" customHeight="false" outlineLevel="0" collapsed="false">
      <c r="B23" s="62" t="s">
        <v>12</v>
      </c>
      <c r="C23" s="66" t="n">
        <f aca="false">Utilidad!A20</f>
        <v>71111</v>
      </c>
      <c r="D23" s="67" t="n">
        <f aca="false">IF(Utilidad!C20&gt;1,Utilidad!C20/100,Utilidad!C20)</f>
        <v>0.6509</v>
      </c>
      <c r="F23" s="62" t="s">
        <v>12</v>
      </c>
      <c r="G23" s="66" t="n">
        <f aca="false">Utilidad!B20</f>
        <v>71111</v>
      </c>
      <c r="H23" s="74" t="n">
        <f aca="false">IF(Utilidad!D20&gt;1,Utilidad!D20/100,Utilidad!D20)</f>
        <v>0.64945024393</v>
      </c>
      <c r="J23" s="71" t="n">
        <f aca="false">+IF(C23&lt;&gt;0,(G23-C23)/C23,ABS(G23-C23))</f>
        <v>0</v>
      </c>
      <c r="K23" s="71" t="n">
        <f aca="false">+IF(D23&lt;&gt;0,(H23-D23)/D23,0)</f>
        <v>-0.00222730998617312</v>
      </c>
      <c r="M23" s="73" t="n">
        <f aca="false">+IF(J23&lt;&gt;"",ABS(J23),0)</f>
        <v>0</v>
      </c>
      <c r="N23" s="73" t="n">
        <f aca="false">+IF(J23&lt;&gt;"",ABS(K23),0)</f>
        <v>0.00222730998617312</v>
      </c>
    </row>
    <row r="24" customFormat="false" ht="17.35" hidden="false" customHeight="false" outlineLevel="0" collapsed="false">
      <c r="B24" s="62" t="s">
        <v>13</v>
      </c>
      <c r="C24" s="66" t="n">
        <f aca="false">Utilidad!A21</f>
        <v>1422</v>
      </c>
      <c r="D24" s="67" t="n">
        <f aca="false">IF(Utilidad!C21&gt;1,Utilidad!C21/100,Utilidad!C21)</f>
        <v>0.6509</v>
      </c>
      <c r="F24" s="62" t="s">
        <v>13</v>
      </c>
      <c r="G24" s="66" t="n">
        <f aca="false">Utilidad!B21</f>
        <v>1422</v>
      </c>
      <c r="H24" s="74" t="n">
        <f aca="false">IF(Utilidad!D21&gt;1,Utilidad!D21/100,Utilidad!D21)</f>
        <v>0.631373</v>
      </c>
      <c r="J24" s="71" t="n">
        <f aca="false">+IF(C24&lt;&gt;0,(G24-C24)/C24,ABS(G24-C24))</f>
        <v>0</v>
      </c>
      <c r="K24" s="71" t="n">
        <f aca="false">+IF(D24&lt;&gt;0,(H24-D24)/D24,0)</f>
        <v>-0.0299999999999999</v>
      </c>
      <c r="M24" s="73" t="n">
        <f aca="false">+IF(J24&lt;&gt;"",ABS(J24),0)</f>
        <v>0</v>
      </c>
      <c r="N24" s="73" t="n">
        <f aca="false">+IF(J24&lt;&gt;"",ABS(K24),0)</f>
        <v>0.0299999999999999</v>
      </c>
    </row>
    <row r="25" customFormat="false" ht="17.35" hidden="false" customHeight="false" outlineLevel="0" collapsed="false">
      <c r="B25" s="62" t="s">
        <v>14</v>
      </c>
      <c r="C25" s="66" t="n">
        <f aca="false">Utilidad!A22</f>
        <v>69689</v>
      </c>
      <c r="D25" s="67" t="n">
        <f aca="false">IF(Utilidad!C22&gt;1,Utilidad!C22/100,Utilidad!C22)</f>
        <v>0.6509</v>
      </c>
      <c r="F25" s="62" t="s">
        <v>14</v>
      </c>
      <c r="G25" s="66" t="n">
        <f aca="false">Utilidad!B22</f>
        <v>69689</v>
      </c>
      <c r="H25" s="74" t="n">
        <f aca="false">IF(Utilidad!D22&gt;1,Utilidad!D22/100,Utilidad!D22)</f>
        <v>0.64981910904</v>
      </c>
      <c r="J25" s="71" t="n">
        <f aca="false">+IF(C25&lt;&gt;0,(G25-C25)/C25,ABS(G25-C25))</f>
        <v>0</v>
      </c>
      <c r="K25" s="71" t="n">
        <f aca="false">+IF(D25&lt;&gt;0,(H25-D25)/D25,0)</f>
        <v>-0.0016606098632662</v>
      </c>
      <c r="M25" s="73" t="n">
        <f aca="false">+IF(J25&lt;&gt;"",ABS(J25),0)</f>
        <v>0</v>
      </c>
      <c r="N25" s="73" t="n">
        <f aca="false">+IF(J25&lt;&gt;"",ABS(K25),0)</f>
        <v>0.0016606098632662</v>
      </c>
    </row>
    <row r="26" customFormat="false" ht="17.35" hidden="false" customHeight="false" outlineLevel="0" collapsed="false">
      <c r="B26" s="62" t="s">
        <v>15</v>
      </c>
      <c r="C26" s="66" t="n">
        <f aca="false">Utilidad!A23</f>
        <v>-2963</v>
      </c>
      <c r="D26" s="67" t="n">
        <f aca="false">IF(Utilidad!C23&gt;1,Utilidad!C23/100,Utilidad!C23)</f>
        <v>0.6509</v>
      </c>
      <c r="F26" s="62" t="s">
        <v>15</v>
      </c>
      <c r="G26" s="66" t="n">
        <f aca="false">Utilidad!B23</f>
        <v>-3438</v>
      </c>
      <c r="H26" s="74" t="n">
        <f aca="false">IF(Utilidad!D23&gt;1,Utilidad!D23/100,Utilidad!D23)</f>
        <v>0.683445</v>
      </c>
      <c r="J26" s="71" t="n">
        <f aca="false">+IF(C26&lt;&gt;0,(G26-C26)/C26,ABS(G26-C26))</f>
        <v>0.160310496118799</v>
      </c>
      <c r="K26" s="71" t="n">
        <f aca="false">+IF(D26&lt;&gt;0,(H26-D26)/D26,0)</f>
        <v>0.0499999999999999</v>
      </c>
      <c r="M26" s="73" t="n">
        <f aca="false">+IF(J26&lt;&gt;"",ABS(J26),0)</f>
        <v>0.160310496118799</v>
      </c>
      <c r="N26" s="73" t="n">
        <f aca="false">+IF(J26&lt;&gt;"",ABS(K26),0)</f>
        <v>0.0499999999999999</v>
      </c>
    </row>
    <row r="27" customFormat="false" ht="17.35" hidden="false" customHeight="false" outlineLevel="0" collapsed="false">
      <c r="B27" s="62" t="s">
        <v>16</v>
      </c>
      <c r="C27" s="66" t="n">
        <f aca="false">Utilidad!A24</f>
        <v>73127</v>
      </c>
      <c r="D27" s="67" t="n">
        <f aca="false">IF(Utilidad!C24&gt;1,Utilidad!C24/100,Utilidad!C24)</f>
        <v>0.6514</v>
      </c>
      <c r="F27" s="62" t="s">
        <v>16</v>
      </c>
      <c r="G27" s="66" t="n">
        <f aca="false">Utilidad!B24</f>
        <v>73127</v>
      </c>
      <c r="H27" s="74" t="n">
        <f aca="false">IF(Utilidad!D24&gt;1,Utilidad!D24/100,Utilidad!D24)</f>
        <v>0.6514</v>
      </c>
      <c r="J27" s="71" t="n">
        <f aca="false">+IF(C27&lt;&gt;0,(G27-C27)/C27,ABS(G27-C27))</f>
        <v>0</v>
      </c>
      <c r="K27" s="71" t="n">
        <f aca="false">+IF(D27&lt;&gt;0,(H27-D27)/D27,0)</f>
        <v>0</v>
      </c>
      <c r="M27" s="73" t="n">
        <f aca="false">+IF(J27&lt;&gt;"",ABS(J27),0)</f>
        <v>0</v>
      </c>
      <c r="N27" s="73" t="n">
        <f aca="false">+IF(J27&lt;&gt;"",ABS(K27),0)</f>
        <v>0</v>
      </c>
    </row>
    <row r="28" customFormat="false" ht="17.35" hidden="false" customHeight="false" outlineLevel="0" collapsed="false">
      <c r="B28" s="62" t="s">
        <v>17</v>
      </c>
      <c r="C28" s="66" t="n">
        <f aca="false">Utilidad!A25</f>
        <v>0</v>
      </c>
      <c r="D28" s="67" t="n">
        <f aca="false">IF(Utilidad!C25&gt;1,Utilidad!C25/100,Utilidad!C25)</f>
        <v>0</v>
      </c>
      <c r="F28" s="62" t="s">
        <v>17</v>
      </c>
      <c r="G28" s="66" t="n">
        <f aca="false">Utilidad!B25</f>
        <v>0</v>
      </c>
      <c r="H28" s="74" t="n">
        <f aca="false">IF(Utilidad!D25&gt;1,Utilidad!D25/100,Utilidad!D25)</f>
        <v>0</v>
      </c>
      <c r="J28" s="71" t="n">
        <f aca="false">+IF(C28&lt;&gt;0,(G28-C28)/C28,ABS(G28-C28))</f>
        <v>0</v>
      </c>
      <c r="K28" s="71" t="n">
        <f aca="false">+IF(D28&lt;&gt;0,(H28-D28)/D28,0)</f>
        <v>0</v>
      </c>
      <c r="M28" s="73" t="n">
        <f aca="false">+IF(J28&lt;&gt;"",ABS(J28),0)</f>
        <v>0</v>
      </c>
      <c r="N28" s="73" t="n">
        <f aca="false">+IF(J28&lt;&gt;"",ABS(K28),0)</f>
        <v>0</v>
      </c>
    </row>
    <row r="29" customFormat="false" ht="17.35" hidden="false" customHeight="false" outlineLevel="0" collapsed="false">
      <c r="B29" s="62" t="s">
        <v>18</v>
      </c>
      <c r="C29" s="66" t="n">
        <f aca="false">Utilidad!A26</f>
        <v>0</v>
      </c>
      <c r="D29" s="67" t="n">
        <f aca="false">IF(Utilidad!C26&gt;1,Utilidad!C26/100,Utilidad!C26)</f>
        <v>0</v>
      </c>
      <c r="F29" s="62" t="s">
        <v>18</v>
      </c>
      <c r="G29" s="66" t="n">
        <f aca="false">Utilidad!B26</f>
        <v>0</v>
      </c>
      <c r="H29" s="74" t="n">
        <f aca="false">IF(Utilidad!D26&gt;1,Utilidad!D26/100,Utilidad!D26)</f>
        <v>0</v>
      </c>
      <c r="J29" s="71" t="n">
        <f aca="false">+IF(C29&lt;&gt;0,(G29-C29)/C29,ABS(G29-C29))</f>
        <v>0</v>
      </c>
      <c r="K29" s="71" t="n">
        <f aca="false">+IF(D29&lt;&gt;0,(H29-D29)/D29,0)</f>
        <v>0</v>
      </c>
      <c r="M29" s="73" t="n">
        <f aca="false">+IF(J29&lt;&gt;"",ABS(J29),0)</f>
        <v>0</v>
      </c>
      <c r="N29" s="73" t="n">
        <f aca="false">+IF(J29&lt;&gt;"",ABS(K29),0)</f>
        <v>0</v>
      </c>
    </row>
    <row r="30" customFormat="false" ht="17.35" hidden="false" customHeight="false" outlineLevel="0" collapsed="false">
      <c r="B30" s="62" t="s">
        <v>19</v>
      </c>
      <c r="C30" s="66" t="n">
        <f aca="false">Utilidad!A27</f>
        <v>0</v>
      </c>
      <c r="D30" s="67" t="n">
        <f aca="false">IF(Utilidad!C27&gt;1,Utilidad!C27/100,Utilidad!C27)</f>
        <v>0</v>
      </c>
      <c r="F30" s="62" t="s">
        <v>19</v>
      </c>
      <c r="G30" s="66" t="n">
        <f aca="false">Utilidad!B27</f>
        <v>0</v>
      </c>
      <c r="H30" s="74" t="n">
        <f aca="false">IF(Utilidad!D27&gt;1,Utilidad!D27/100,Utilidad!D27)</f>
        <v>0</v>
      </c>
      <c r="J30" s="71" t="n">
        <f aca="false">+IF(C30&lt;&gt;0,(G30-C30)/C30,ABS(G30-C30))</f>
        <v>0</v>
      </c>
      <c r="K30" s="71" t="n">
        <f aca="false">+IF(D30&lt;&gt;0,(H30-D30)/D30,0)</f>
        <v>0</v>
      </c>
      <c r="M30" s="73" t="n">
        <f aca="false">+IF(J30&lt;&gt;"",ABS(J30),0)</f>
        <v>0</v>
      </c>
      <c r="N30" s="73" t="n">
        <f aca="false">+IF(J30&lt;&gt;"",ABS(K30),0)</f>
        <v>0</v>
      </c>
    </row>
    <row r="31" customFormat="false" ht="17.35" hidden="false" customHeight="false" outlineLevel="0" collapsed="false">
      <c r="B31" s="62" t="s">
        <v>20</v>
      </c>
      <c r="C31" s="66" t="n">
        <f aca="false">Utilidad!A28</f>
        <v>0</v>
      </c>
      <c r="D31" s="67" t="n">
        <f aca="false">IF(Utilidad!C28&gt;1,Utilidad!C28/100,Utilidad!C28)</f>
        <v>0</v>
      </c>
      <c r="F31" s="62" t="s">
        <v>20</v>
      </c>
      <c r="G31" s="66" t="n">
        <f aca="false">Utilidad!B28</f>
        <v>0</v>
      </c>
      <c r="H31" s="74" t="n">
        <f aca="false">IF(Utilidad!D28&gt;1,Utilidad!D28/100,Utilidad!D28)</f>
        <v>0</v>
      </c>
      <c r="J31" s="71" t="n">
        <f aca="false">+IF(C31&lt;&gt;0,(G31-C31)/C31,ABS(G31-C31))</f>
        <v>0</v>
      </c>
      <c r="K31" s="71" t="n">
        <f aca="false">+IF(D31&lt;&gt;0,(H31-D31)/D31,0)</f>
        <v>0</v>
      </c>
      <c r="M31" s="73" t="n">
        <f aca="false">+IF(J31&lt;&gt;"",ABS(J31),0)</f>
        <v>0</v>
      </c>
      <c r="N31" s="73" t="n">
        <f aca="false">+IF(J31&lt;&gt;"",ABS(K31),0)</f>
        <v>0</v>
      </c>
    </row>
    <row r="32" customFormat="false" ht="17.35" hidden="false" customHeight="false" outlineLevel="0" collapsed="false">
      <c r="B32" s="62" t="s">
        <v>21</v>
      </c>
      <c r="C32" s="66" t="n">
        <f aca="false">Utilidad!A29</f>
        <v>0</v>
      </c>
      <c r="D32" s="67" t="n">
        <f aca="false">IF(Utilidad!C29&gt;1,Utilidad!C29/100,Utilidad!C29)</f>
        <v>0</v>
      </c>
      <c r="F32" s="62" t="s">
        <v>21</v>
      </c>
      <c r="G32" s="66" t="n">
        <f aca="false">Utilidad!B29</f>
        <v>0</v>
      </c>
      <c r="H32" s="74" t="n">
        <f aca="false">IF(Utilidad!D29&gt;1,Utilidad!D29/100,Utilidad!D29)</f>
        <v>0</v>
      </c>
      <c r="J32" s="71" t="n">
        <f aca="false">+IF(C32&lt;&gt;0,(G32-C32)/C32,ABS(G32-C32))</f>
        <v>0</v>
      </c>
      <c r="K32" s="71" t="n">
        <f aca="false">+IF(D32&lt;&gt;0,(H32-D32)/D32,0)</f>
        <v>0</v>
      </c>
      <c r="M32" s="73" t="n">
        <f aca="false">+IF(J32&lt;&gt;"",ABS(J32),0)</f>
        <v>0</v>
      </c>
      <c r="N32" s="73" t="n">
        <f aca="false">+IF(J32&lt;&gt;"",ABS(K32),0)</f>
        <v>0</v>
      </c>
    </row>
    <row r="33" customFormat="false" ht="17.35" hidden="false" customHeight="false" outlineLevel="0" collapsed="false">
      <c r="B33" s="62" t="s">
        <v>22</v>
      </c>
      <c r="C33" s="66" t="n">
        <f aca="false">Utilidad!A30</f>
        <v>0</v>
      </c>
      <c r="D33" s="67" t="n">
        <f aca="false">IF(Utilidad!C30&gt;1,Utilidad!C30/100,Utilidad!C30)</f>
        <v>0</v>
      </c>
      <c r="F33" s="62" t="s">
        <v>22</v>
      </c>
      <c r="G33" s="66" t="n">
        <f aca="false">Utilidad!B30</f>
        <v>0</v>
      </c>
      <c r="H33" s="74" t="n">
        <f aca="false">IF(Utilidad!D30&gt;1,Utilidad!D30/100,Utilidad!D30)</f>
        <v>0</v>
      </c>
      <c r="J33" s="71" t="n">
        <f aca="false">+IF(C33&lt;&gt;0,(G33-C33)/C33,ABS(G33-C33))</f>
        <v>0</v>
      </c>
      <c r="K33" s="71" t="n">
        <f aca="false">+IF(D33&lt;&gt;0,(H33-D33)/D33,0)</f>
        <v>0</v>
      </c>
      <c r="M33" s="73" t="n">
        <f aca="false">+IF(J33&lt;&gt;"",ABS(J33),0)</f>
        <v>0</v>
      </c>
      <c r="N33" s="73" t="n">
        <f aca="false">+IF(J33&lt;&gt;"",ABS(K33),0)</f>
        <v>0</v>
      </c>
    </row>
    <row r="34" customFormat="false" ht="17.35" hidden="false" customHeight="false" outlineLevel="0" collapsed="false">
      <c r="B34" s="62" t="s">
        <v>23</v>
      </c>
      <c r="C34" s="66" t="n">
        <f aca="false">Utilidad!A31</f>
        <v>6294</v>
      </c>
      <c r="D34" s="67" t="n">
        <f aca="false">IF(Utilidad!C31&gt;1,Utilidad!C31/100,Utilidad!C31)</f>
        <v>0.6323</v>
      </c>
      <c r="F34" s="62" t="s">
        <v>23</v>
      </c>
      <c r="G34" s="66" t="n">
        <f aca="false">Utilidad!B31</f>
        <v>6226</v>
      </c>
      <c r="H34" s="74" t="n">
        <f aca="false">IF(Utilidad!D31&gt;1,Utilidad!D31/100,Utilidad!D31)</f>
        <v>0.63233250883</v>
      </c>
      <c r="J34" s="71" t="n">
        <f aca="false">+IF(C34&lt;&gt;0,(G34-C34)/C34,ABS(G34-C34))</f>
        <v>-0.0108039402605656</v>
      </c>
      <c r="K34" s="71" t="n">
        <f aca="false">+IF(D34&lt;&gt;0,(H34-D34)/D34,0)</f>
        <v>5.14136169538895E-005</v>
      </c>
      <c r="M34" s="73" t="n">
        <f aca="false">+IF(J34&lt;&gt;"",ABS(J34),0)</f>
        <v>0.0108039402605656</v>
      </c>
      <c r="N34" s="73" t="n">
        <f aca="false">+IF(J34&lt;&gt;"",ABS(K34),0)</f>
        <v>5.14136169538895E-005</v>
      </c>
    </row>
    <row r="35" customFormat="false" ht="17.35" hidden="false" customHeight="false" outlineLevel="0" collapsed="false">
      <c r="B35" s="62" t="s">
        <v>24</v>
      </c>
      <c r="C35" s="66" t="n">
        <f aca="false">Utilidad!A32</f>
        <v>0</v>
      </c>
      <c r="D35" s="67" t="n">
        <f aca="false">IF(Utilidad!C32&gt;1,Utilidad!C32/100,Utilidad!C32)</f>
        <v>0</v>
      </c>
      <c r="F35" s="62" t="s">
        <v>24</v>
      </c>
      <c r="G35" s="66" t="n">
        <f aca="false">Utilidad!B32</f>
        <v>0</v>
      </c>
      <c r="H35" s="74" t="n">
        <f aca="false">IF(Utilidad!D32&gt;1,Utilidad!D32/100,Utilidad!D32)</f>
        <v>0</v>
      </c>
      <c r="J35" s="71" t="n">
        <f aca="false">+IF(C35&lt;&gt;0,(G35-C35)/C35,ABS(G35-C35))</f>
        <v>0</v>
      </c>
      <c r="K35" s="71" t="n">
        <f aca="false">+IF(D35&lt;&gt;0,(H35-D35)/D35,0)</f>
        <v>0</v>
      </c>
      <c r="M35" s="73" t="n">
        <f aca="false">+IF(J35&lt;&gt;"",ABS(J35),0)</f>
        <v>0</v>
      </c>
      <c r="N35" s="73" t="n">
        <f aca="false">+IF(J35&lt;&gt;"",ABS(K35),0)</f>
        <v>0</v>
      </c>
    </row>
    <row r="36" customFormat="false" ht="17.35" hidden="false" customHeight="false" outlineLevel="0" collapsed="false">
      <c r="B36" s="62" t="s">
        <v>25</v>
      </c>
      <c r="C36" s="66" t="n">
        <f aca="false">Utilidad!A33</f>
        <v>0</v>
      </c>
      <c r="D36" s="67" t="n">
        <f aca="false">IF(Utilidad!C33&gt;1,Utilidad!C33/100,Utilidad!C33)</f>
        <v>0</v>
      </c>
      <c r="F36" s="62" t="s">
        <v>25</v>
      </c>
      <c r="G36" s="66" t="n">
        <f aca="false">Utilidad!B33</f>
        <v>0</v>
      </c>
      <c r="H36" s="74" t="n">
        <f aca="false">IF(Utilidad!D33&gt;1,Utilidad!D33/100,Utilidad!D33)</f>
        <v>0</v>
      </c>
      <c r="J36" s="71" t="n">
        <f aca="false">+IF(C36&lt;&gt;0,(G36-C36)/C36,ABS(G36-C36))</f>
        <v>0</v>
      </c>
      <c r="K36" s="71" t="n">
        <f aca="false">+IF(D36&lt;&gt;0,(H36-D36)/D36,0)</f>
        <v>0</v>
      </c>
      <c r="M36" s="73" t="n">
        <f aca="false">+IF(J36&lt;&gt;"",ABS(J36),0)</f>
        <v>0</v>
      </c>
      <c r="N36" s="73" t="n">
        <f aca="false">+IF(J36&lt;&gt;"",ABS(K36),0)</f>
        <v>0</v>
      </c>
    </row>
    <row r="37" customFormat="false" ht="17.35" hidden="false" customHeight="false" outlineLevel="0" collapsed="false">
      <c r="B37" s="62" t="s">
        <v>26</v>
      </c>
      <c r="C37" s="66" t="n">
        <f aca="false">Utilidad!A34</f>
        <v>0</v>
      </c>
      <c r="D37" s="67" t="n">
        <f aca="false">IF(Utilidad!C34&gt;1,Utilidad!C34/100,Utilidad!C34)</f>
        <v>0</v>
      </c>
      <c r="F37" s="62" t="s">
        <v>26</v>
      </c>
      <c r="G37" s="66" t="n">
        <f aca="false">Utilidad!B34</f>
        <v>0</v>
      </c>
      <c r="H37" s="74" t="n">
        <f aca="false">IF(Utilidad!D34&gt;1,Utilidad!D34/100,Utilidad!D34)</f>
        <v>0</v>
      </c>
      <c r="J37" s="71" t="n">
        <f aca="false">+IF(C37&lt;&gt;0,(G37-C37)/C37,ABS(G37-C37))</f>
        <v>0</v>
      </c>
      <c r="K37" s="71" t="n">
        <f aca="false">+IF(D37&lt;&gt;0,(H37-D37)/D37,0)</f>
        <v>0</v>
      </c>
      <c r="M37" s="73" t="n">
        <f aca="false">+IF(J37&lt;&gt;"",ABS(J37),0)</f>
        <v>0</v>
      </c>
      <c r="N37" s="73" t="n">
        <f aca="false">+IF(J37&lt;&gt;"",ABS(K37),0)</f>
        <v>0</v>
      </c>
    </row>
    <row r="38" customFormat="false" ht="17.35" hidden="false" customHeight="false" outlineLevel="0" collapsed="false">
      <c r="B38" s="62" t="s">
        <v>27</v>
      </c>
      <c r="C38" s="66" t="n">
        <f aca="false">Utilidad!A35</f>
        <v>0</v>
      </c>
      <c r="D38" s="67" t="n">
        <f aca="false">IF(Utilidad!C35&gt;1,Utilidad!C35/100,Utilidad!C35)</f>
        <v>0</v>
      </c>
      <c r="F38" s="62" t="s">
        <v>27</v>
      </c>
      <c r="G38" s="66" t="n">
        <f aca="false">Utilidad!B35</f>
        <v>0</v>
      </c>
      <c r="H38" s="74" t="n">
        <f aca="false">IF(Utilidad!D35&gt;1,Utilidad!D35/100,Utilidad!D35)</f>
        <v>0</v>
      </c>
      <c r="J38" s="71" t="n">
        <f aca="false">+IF(C38&lt;&gt;0,(G38-C38)/C38,ABS(G38-C38))</f>
        <v>0</v>
      </c>
      <c r="K38" s="71" t="n">
        <f aca="false">+IF(D38&lt;&gt;0,(H38-D38)/D38,0)</f>
        <v>0</v>
      </c>
      <c r="M38" s="73" t="n">
        <f aca="false">+IF(J38&lt;&gt;"",ABS(J38),0)</f>
        <v>0</v>
      </c>
      <c r="N38" s="73" t="n">
        <f aca="false">+IF(J38&lt;&gt;"",ABS(K38),0)</f>
        <v>0</v>
      </c>
    </row>
    <row r="39" customFormat="false" ht="17.35" hidden="false" customHeight="false" outlineLevel="0" collapsed="false">
      <c r="B39" s="62" t="s">
        <v>28</v>
      </c>
      <c r="C39" s="66" t="n">
        <f aca="false">Utilidad!A36</f>
        <v>0</v>
      </c>
      <c r="D39" s="67" t="n">
        <f aca="false">IF(Utilidad!C36&gt;1,Utilidad!C36/100,Utilidad!C36)</f>
        <v>0</v>
      </c>
      <c r="F39" s="62" t="s">
        <v>28</v>
      </c>
      <c r="G39" s="66" t="n">
        <f aca="false">Utilidad!B36</f>
        <v>0</v>
      </c>
      <c r="H39" s="74" t="n">
        <f aca="false">IF(Utilidad!D36&gt;1,Utilidad!D36/100,Utilidad!D36)</f>
        <v>0</v>
      </c>
      <c r="J39" s="71" t="n">
        <f aca="false">+IF(C39&lt;&gt;0,(G39-C39)/C39,ABS(G39-C39))</f>
        <v>0</v>
      </c>
      <c r="K39" s="71" t="n">
        <f aca="false">+IF(D39&lt;&gt;0,(H39-D39)/D39,0)</f>
        <v>0</v>
      </c>
      <c r="M39" s="73" t="n">
        <f aca="false">+IF(J39&lt;&gt;"",ABS(J39),0)</f>
        <v>0</v>
      </c>
      <c r="N39" s="73" t="n">
        <f aca="false">+IF(J39&lt;&gt;"",ABS(K39),0)</f>
        <v>0</v>
      </c>
    </row>
    <row r="40" customFormat="false" ht="17.35" hidden="false" customHeight="false" outlineLevel="0" collapsed="false">
      <c r="B40" s="62" t="s">
        <v>29</v>
      </c>
      <c r="C40" s="66" t="n">
        <f aca="false">Utilidad!A37</f>
        <v>0</v>
      </c>
      <c r="D40" s="67" t="n">
        <f aca="false">IF(Utilidad!C37&gt;1,Utilidad!C37/100,Utilidad!C37)</f>
        <v>0</v>
      </c>
      <c r="F40" s="62" t="s">
        <v>29</v>
      </c>
      <c r="G40" s="66" t="n">
        <f aca="false">Utilidad!B37</f>
        <v>0</v>
      </c>
      <c r="H40" s="74" t="n">
        <f aca="false">IF(Utilidad!D37&gt;1,Utilidad!D37/100,Utilidad!D37)</f>
        <v>0</v>
      </c>
      <c r="J40" s="71" t="n">
        <f aca="false">+IF(C40&lt;&gt;0,(G40-C40)/C40,ABS(G40-C40))</f>
        <v>0</v>
      </c>
      <c r="K40" s="71" t="n">
        <f aca="false">+IF(D40&lt;&gt;0,(H40-D40)/D40,0)</f>
        <v>0</v>
      </c>
      <c r="M40" s="73" t="n">
        <f aca="false">+IF(J40&lt;&gt;"",ABS(J40),0)</f>
        <v>0</v>
      </c>
      <c r="N40" s="73" t="n">
        <f aca="false">+IF(J40&lt;&gt;"",ABS(K40),0)</f>
        <v>0</v>
      </c>
    </row>
    <row r="41" customFormat="false" ht="17.35" hidden="false" customHeight="false" outlineLevel="0" collapsed="false">
      <c r="B41" s="62" t="s">
        <v>30</v>
      </c>
      <c r="C41" s="66" t="n">
        <f aca="false">Utilidad!A38</f>
        <v>0</v>
      </c>
      <c r="D41" s="67" t="n">
        <f aca="false">IF(Utilidad!C38&gt;1,Utilidad!C38/100,Utilidad!C38)</f>
        <v>0</v>
      </c>
      <c r="F41" s="62" t="s">
        <v>30</v>
      </c>
      <c r="G41" s="66" t="n">
        <f aca="false">Utilidad!B38</f>
        <v>0</v>
      </c>
      <c r="H41" s="74" t="n">
        <f aca="false">IF(Utilidad!D38&gt;1,Utilidad!D38/100,Utilidad!D38)</f>
        <v>0</v>
      </c>
      <c r="J41" s="71" t="n">
        <f aca="false">+IF(C41&lt;&gt;0,(G41-C41)/C41,ABS(G41-C41))</f>
        <v>0</v>
      </c>
      <c r="K41" s="71" t="n">
        <f aca="false">+IF(D41&lt;&gt;0,(H41-D41)/D41,0)</f>
        <v>0</v>
      </c>
      <c r="M41" s="73" t="n">
        <f aca="false">+IF(J41&lt;&gt;"",ABS(J41),0)</f>
        <v>0</v>
      </c>
      <c r="N41" s="73" t="n">
        <f aca="false">+IF(J41&lt;&gt;"",ABS(K41),0)</f>
        <v>0</v>
      </c>
    </row>
    <row r="42" customFormat="false" ht="17.35" hidden="false" customHeight="false" outlineLevel="0" collapsed="false">
      <c r="B42" s="62" t="s">
        <v>31</v>
      </c>
      <c r="C42" s="66" t="n">
        <f aca="false">Utilidad!A39</f>
        <v>0</v>
      </c>
      <c r="D42" s="67" t="n">
        <f aca="false">IF(Utilidad!C39&gt;1,Utilidad!C39/100,Utilidad!C39)</f>
        <v>0</v>
      </c>
      <c r="F42" s="62" t="s">
        <v>31</v>
      </c>
      <c r="G42" s="66" t="n">
        <f aca="false">Utilidad!B39</f>
        <v>0</v>
      </c>
      <c r="H42" s="74" t="n">
        <f aca="false">IF(Utilidad!D39&gt;1,Utilidad!D39/100,Utilidad!D39)</f>
        <v>0</v>
      </c>
      <c r="J42" s="71" t="n">
        <f aca="false">+IF(C42&lt;&gt;0,(G42-C42)/C42,ABS(G42-C42))</f>
        <v>0</v>
      </c>
      <c r="K42" s="71" t="n">
        <f aca="false">+IF(D42&lt;&gt;0,(H42-D42)/D42,0)</f>
        <v>0</v>
      </c>
      <c r="M42" s="73" t="n">
        <f aca="false">+IF(J42&lt;&gt;"",ABS(J42),0)</f>
        <v>0</v>
      </c>
      <c r="N42" s="73" t="n">
        <f aca="false">+IF(J42&lt;&gt;"",ABS(K42),0)</f>
        <v>0</v>
      </c>
    </row>
    <row r="43" customFormat="false" ht="17.35" hidden="false" customHeight="false" outlineLevel="0" collapsed="false">
      <c r="B43" s="62" t="s">
        <v>32</v>
      </c>
      <c r="C43" s="66" t="n">
        <f aca="false">Utilidad!A40</f>
        <v>0</v>
      </c>
      <c r="D43" s="67" t="n">
        <f aca="false">IF(Utilidad!C40&gt;1,Utilidad!C40/100,Utilidad!C40)</f>
        <v>0</v>
      </c>
      <c r="F43" s="62" t="s">
        <v>32</v>
      </c>
      <c r="G43" s="66" t="n">
        <f aca="false">Utilidad!B40</f>
        <v>0</v>
      </c>
      <c r="H43" s="74" t="n">
        <f aca="false">IF(Utilidad!D40&gt;1,Utilidad!D40/100,Utilidad!D40)</f>
        <v>0</v>
      </c>
      <c r="J43" s="71" t="n">
        <f aca="false">+IF(C43&lt;&gt;0,(G43-C43)/C43,ABS(G43-C43))</f>
        <v>0</v>
      </c>
      <c r="K43" s="71" t="n">
        <f aca="false">+IF(D43&lt;&gt;0,(H43-D43)/D43,0)</f>
        <v>0</v>
      </c>
      <c r="M43" s="73" t="n">
        <f aca="false">+IF(J43&lt;&gt;"",ABS(J43),0)</f>
        <v>0</v>
      </c>
      <c r="N43" s="73" t="n">
        <f aca="false">+IF(J43&lt;&gt;"",ABS(K43),0)</f>
        <v>0</v>
      </c>
    </row>
    <row r="44" customFormat="false" ht="17.35" hidden="false" customHeight="false" outlineLevel="0" collapsed="false">
      <c r="B44" s="62" t="s">
        <v>33</v>
      </c>
      <c r="C44" s="66" t="n">
        <f aca="false">Utilidad!A41</f>
        <v>0</v>
      </c>
      <c r="D44" s="67" t="n">
        <f aca="false">IF(Utilidad!C41&gt;1,Utilidad!C41/100,Utilidad!C41)</f>
        <v>0</v>
      </c>
      <c r="F44" s="62" t="s">
        <v>33</v>
      </c>
      <c r="G44" s="66" t="n">
        <f aca="false">Utilidad!B41</f>
        <v>0</v>
      </c>
      <c r="H44" s="74" t="n">
        <f aca="false">IF(Utilidad!D41&gt;1,Utilidad!D41/100,Utilidad!D41)</f>
        <v>0</v>
      </c>
      <c r="J44" s="71" t="n">
        <f aca="false">+IF(C44&lt;&gt;0,(G44-C44)/C44,ABS(G44-C44))</f>
        <v>0</v>
      </c>
      <c r="K44" s="71" t="n">
        <f aca="false">+IF(D44&lt;&gt;0,(H44-D44)/D44,0)</f>
        <v>0</v>
      </c>
      <c r="M44" s="73" t="n">
        <f aca="false">+IF(J44&lt;&gt;"",ABS(J44),0)</f>
        <v>0</v>
      </c>
      <c r="N44" s="73" t="n">
        <f aca="false">+IF(J44&lt;&gt;"",ABS(K44),0)</f>
        <v>0</v>
      </c>
    </row>
    <row r="45" customFormat="false" ht="17.35" hidden="false" customHeight="false" outlineLevel="0" collapsed="false">
      <c r="B45" s="62" t="s">
        <v>34</v>
      </c>
      <c r="C45" s="66" t="n">
        <f aca="false">Utilidad!A42</f>
        <v>0</v>
      </c>
      <c r="D45" s="67" t="n">
        <f aca="false">IF(Utilidad!C42&gt;1,Utilidad!C42/100,Utilidad!C42)</f>
        <v>0</v>
      </c>
      <c r="F45" s="62" t="s">
        <v>34</v>
      </c>
      <c r="G45" s="66" t="n">
        <f aca="false">Utilidad!B42</f>
        <v>0</v>
      </c>
      <c r="H45" s="74" t="n">
        <f aca="false">IF(Utilidad!D42&gt;1,Utilidad!D42/100,Utilidad!D42)</f>
        <v>0</v>
      </c>
      <c r="J45" s="71" t="n">
        <f aca="false">+IF(C45&lt;&gt;0,(G45-C45)/C45,ABS(G45-C45))</f>
        <v>0</v>
      </c>
      <c r="K45" s="71" t="n">
        <f aca="false">+IF(D45&lt;&gt;0,(H45-D45)/D45,0)</f>
        <v>0</v>
      </c>
      <c r="M45" s="73" t="n">
        <f aca="false">+IF(J45&lt;&gt;"",ABS(J45),0)</f>
        <v>0</v>
      </c>
      <c r="N45" s="73" t="n">
        <f aca="false">+IF(J45&lt;&gt;"",ABS(K45),0)</f>
        <v>0</v>
      </c>
    </row>
    <row r="46" customFormat="false" ht="17.35" hidden="false" customHeight="false" outlineLevel="0" collapsed="false">
      <c r="B46" s="62" t="s">
        <v>35</v>
      </c>
      <c r="C46" s="66" t="n">
        <f aca="false">Utilidad!A43</f>
        <v>0</v>
      </c>
      <c r="D46" s="67" t="n">
        <f aca="false">IF(Utilidad!C43&gt;1,Utilidad!C43/100,Utilidad!C43)</f>
        <v>0</v>
      </c>
      <c r="F46" s="62" t="s">
        <v>35</v>
      </c>
      <c r="G46" s="66" t="n">
        <f aca="false">Utilidad!B43</f>
        <v>0</v>
      </c>
      <c r="H46" s="74" t="n">
        <f aca="false">IF(Utilidad!D43&gt;1,Utilidad!D43/100,Utilidad!D43)</f>
        <v>0</v>
      </c>
      <c r="J46" s="71" t="n">
        <f aca="false">+IF(C46&lt;&gt;0,(G46-C46)/C46,ABS(G46-C46))</f>
        <v>0</v>
      </c>
      <c r="K46" s="71" t="n">
        <f aca="false">+IF(D46&lt;&gt;0,(H46-D46)/D46,0)</f>
        <v>0</v>
      </c>
      <c r="M46" s="73" t="n">
        <f aca="false">+IF(J46&lt;&gt;"",ABS(J46),0)</f>
        <v>0</v>
      </c>
      <c r="N46" s="73" t="n">
        <f aca="false">+IF(J46&lt;&gt;"",ABS(K46),0)</f>
        <v>0</v>
      </c>
    </row>
    <row r="47" customFormat="false" ht="17.35" hidden="false" customHeight="false" outlineLevel="0" collapsed="false">
      <c r="B47" s="62" t="s">
        <v>36</v>
      </c>
      <c r="C47" s="66" t="n">
        <f aca="false">Utilidad!A44</f>
        <v>0</v>
      </c>
      <c r="D47" s="67" t="n">
        <f aca="false">IF(Utilidad!C44&gt;1,Utilidad!C44/100,Utilidad!C44)</f>
        <v>0</v>
      </c>
      <c r="F47" s="62" t="s">
        <v>36</v>
      </c>
      <c r="G47" s="66" t="n">
        <f aca="false">Utilidad!B44</f>
        <v>0</v>
      </c>
      <c r="H47" s="74" t="n">
        <f aca="false">IF(Utilidad!D44&gt;1,Utilidad!D44/100,Utilidad!D44)</f>
        <v>0</v>
      </c>
      <c r="J47" s="71" t="n">
        <f aca="false">+IF(C47&lt;&gt;0,(G47-C47)/C47,ABS(G47-C47))</f>
        <v>0</v>
      </c>
      <c r="K47" s="71" t="n">
        <f aca="false">+IF(D47&lt;&gt;0,(H47-D47)/D47,0)</f>
        <v>0</v>
      </c>
      <c r="M47" s="73" t="n">
        <f aca="false">+IF(J47&lt;&gt;"",ABS(J47),0)</f>
        <v>0</v>
      </c>
      <c r="N47" s="73" t="n">
        <f aca="false">+IF(J47&lt;&gt;"",ABS(K47),0)</f>
        <v>0</v>
      </c>
    </row>
    <row r="48" customFormat="false" ht="17.35" hidden="false" customHeight="false" outlineLevel="0" collapsed="false">
      <c r="B48" s="62" t="s">
        <v>37</v>
      </c>
      <c r="C48" s="66" t="n">
        <f aca="false">Utilidad!A45</f>
        <v>0</v>
      </c>
      <c r="D48" s="67" t="n">
        <f aca="false">IF(Utilidad!C45&gt;1,Utilidad!C45/100,Utilidad!C45)</f>
        <v>0</v>
      </c>
      <c r="F48" s="62" t="s">
        <v>37</v>
      </c>
      <c r="G48" s="66" t="n">
        <f aca="false">Utilidad!B45</f>
        <v>0</v>
      </c>
      <c r="H48" s="74" t="n">
        <f aca="false">IF(Utilidad!D45&gt;1,Utilidad!D45/100,Utilidad!D45)</f>
        <v>0</v>
      </c>
      <c r="J48" s="71" t="n">
        <f aca="false">+IF(C48&lt;&gt;0,(G48-C48)/C48,ABS(G48-C48))</f>
        <v>0</v>
      </c>
      <c r="K48" s="71" t="n">
        <f aca="false">+IF(D48&lt;&gt;0,(H48-D48)/D48,0)</f>
        <v>0</v>
      </c>
      <c r="M48" s="73" t="n">
        <f aca="false">+IF(J48&lt;&gt;"",ABS(J48),0)</f>
        <v>0</v>
      </c>
      <c r="N48" s="73" t="n">
        <f aca="false">+IF(J48&lt;&gt;"",ABS(K48),0)</f>
        <v>0</v>
      </c>
    </row>
    <row r="49" customFormat="false" ht="17.35" hidden="false" customHeight="false" outlineLevel="0" collapsed="false">
      <c r="B49" s="62" t="s">
        <v>38</v>
      </c>
      <c r="C49" s="66" t="n">
        <f aca="false">Utilidad!A46</f>
        <v>0</v>
      </c>
      <c r="D49" s="67" t="n">
        <f aca="false">IF(Utilidad!C46&gt;1,Utilidad!C46/100,Utilidad!C46)</f>
        <v>0</v>
      </c>
      <c r="F49" s="62" t="s">
        <v>38</v>
      </c>
      <c r="G49" s="66" t="n">
        <f aca="false">Utilidad!B46</f>
        <v>0</v>
      </c>
      <c r="H49" s="74" t="n">
        <f aca="false">IF(Utilidad!D46&gt;1,Utilidad!D46/100,Utilidad!D46)</f>
        <v>0</v>
      </c>
      <c r="J49" s="71" t="n">
        <f aca="false">+IF(C49&lt;&gt;0,(G49-C49)/C49,ABS(G49-C49))</f>
        <v>0</v>
      </c>
      <c r="K49" s="71" t="n">
        <f aca="false">+IF(D49&lt;&gt;0,(H49-D49)/D49,0)</f>
        <v>0</v>
      </c>
      <c r="M49" s="73" t="n">
        <f aca="false">+IF(J49&lt;&gt;"",ABS(J49),0)</f>
        <v>0</v>
      </c>
      <c r="N49" s="73" t="n">
        <f aca="false">+IF(J49&lt;&gt;"",ABS(K49),0)</f>
        <v>0</v>
      </c>
    </row>
    <row r="50" customFormat="false" ht="17.35" hidden="false" customHeight="false" outlineLevel="0" collapsed="false">
      <c r="B50" s="62" t="s">
        <v>39</v>
      </c>
      <c r="C50" s="66" t="n">
        <f aca="false">Utilidad!A47</f>
        <v>0</v>
      </c>
      <c r="D50" s="67" t="n">
        <f aca="false">IF(Utilidad!C47&gt;1,Utilidad!C47/100,Utilidad!C47)</f>
        <v>0</v>
      </c>
      <c r="F50" s="62" t="s">
        <v>39</v>
      </c>
      <c r="G50" s="66" t="n">
        <f aca="false">Utilidad!B47</f>
        <v>0</v>
      </c>
      <c r="H50" s="74" t="n">
        <f aca="false">IF(Utilidad!D47&gt;1,Utilidad!D47/100,Utilidad!D47)</f>
        <v>0</v>
      </c>
      <c r="J50" s="71" t="n">
        <f aca="false">+IF(C50&lt;&gt;0,(G50-C50)/C50,ABS(G50-C50))</f>
        <v>0</v>
      </c>
      <c r="K50" s="71" t="n">
        <f aca="false">+IF(D50&lt;&gt;0,(H50-D50)/D50,0)</f>
        <v>0</v>
      </c>
      <c r="M50" s="73" t="n">
        <f aca="false">+IF(J50&lt;&gt;"",ABS(J50),0)</f>
        <v>0</v>
      </c>
      <c r="N50" s="73" t="n">
        <f aca="false">+IF(J50&lt;&gt;"",ABS(K50),0)</f>
        <v>0</v>
      </c>
    </row>
    <row r="51" customFormat="false" ht="17.35" hidden="false" customHeight="false" outlineLevel="0" collapsed="false">
      <c r="B51" s="62" t="s">
        <v>40</v>
      </c>
      <c r="C51" s="66" t="n">
        <f aca="false">Utilidad!A48</f>
        <v>0</v>
      </c>
      <c r="D51" s="67" t="n">
        <f aca="false">IF(Utilidad!C48&gt;1,Utilidad!C48/100,Utilidad!C48)</f>
        <v>0</v>
      </c>
      <c r="F51" s="62" t="s">
        <v>40</v>
      </c>
      <c r="G51" s="66" t="n">
        <f aca="false">Utilidad!B48</f>
        <v>0</v>
      </c>
      <c r="H51" s="74" t="n">
        <f aca="false">IF(Utilidad!D48&gt;1,Utilidad!D48/100,Utilidad!D48)</f>
        <v>0</v>
      </c>
      <c r="J51" s="71" t="n">
        <f aca="false">+IF(C51&lt;&gt;0,(G51-C51)/C51,ABS(G51-C51))</f>
        <v>0</v>
      </c>
      <c r="K51" s="71" t="n">
        <f aca="false">+IF(D51&lt;&gt;0,(H51-D51)/D51,0)</f>
        <v>0</v>
      </c>
      <c r="M51" s="73" t="n">
        <f aca="false">+IF(J51&lt;&gt;"",ABS(J51),0)</f>
        <v>0</v>
      </c>
      <c r="N51" s="73" t="n">
        <f aca="false">+IF(J51&lt;&gt;"",ABS(K51),0)</f>
        <v>0</v>
      </c>
    </row>
    <row r="52" customFormat="false" ht="17.35" hidden="false" customHeight="false" outlineLevel="0" collapsed="false">
      <c r="B52" s="62" t="s">
        <v>41</v>
      </c>
      <c r="C52" s="66" t="n">
        <f aca="false">Utilidad!A49</f>
        <v>0</v>
      </c>
      <c r="D52" s="67" t="n">
        <f aca="false">IF(Utilidad!C49&gt;1,Utilidad!C49/100,Utilidad!C49)</f>
        <v>0</v>
      </c>
      <c r="F52" s="62" t="s">
        <v>41</v>
      </c>
      <c r="G52" s="66" t="n">
        <f aca="false">Utilidad!B49</f>
        <v>0</v>
      </c>
      <c r="H52" s="74" t="n">
        <f aca="false">IF(Utilidad!D49&gt;1,Utilidad!D49/100,Utilidad!D49)</f>
        <v>0</v>
      </c>
      <c r="J52" s="71" t="n">
        <f aca="false">+IF(C52&lt;&gt;0,(G52-C52)/C52,ABS(G52-C52))</f>
        <v>0</v>
      </c>
      <c r="K52" s="71" t="n">
        <f aca="false">+IF(D52&lt;&gt;0,(H52-D52)/D52,0)</f>
        <v>0</v>
      </c>
      <c r="M52" s="73" t="n">
        <f aca="false">+IF(J52&lt;&gt;"",ABS(J52),0)</f>
        <v>0</v>
      </c>
      <c r="N52" s="73" t="n">
        <f aca="false">+IF(J52&lt;&gt;"",ABS(K52),0)</f>
        <v>0</v>
      </c>
    </row>
    <row r="53" customFormat="false" ht="17.35" hidden="false" customHeight="false" outlineLevel="0" collapsed="false">
      <c r="B53" s="62" t="s">
        <v>42</v>
      </c>
      <c r="C53" s="66" t="n">
        <f aca="false">Utilidad!A50</f>
        <v>0</v>
      </c>
      <c r="D53" s="67" t="n">
        <f aca="false">IF(Utilidad!C50&gt;1,Utilidad!C50/100,Utilidad!C50)</f>
        <v>0</v>
      </c>
      <c r="F53" s="62" t="s">
        <v>42</v>
      </c>
      <c r="G53" s="66" t="n">
        <f aca="false">Utilidad!B50</f>
        <v>0</v>
      </c>
      <c r="H53" s="74" t="n">
        <f aca="false">IF(Utilidad!D50&gt;1,Utilidad!D50/100,Utilidad!D50)</f>
        <v>0</v>
      </c>
      <c r="J53" s="71" t="n">
        <f aca="false">+IF(C53&lt;&gt;0,(G53-C53)/C53,ABS(G53-C53))</f>
        <v>0</v>
      </c>
      <c r="K53" s="71" t="n">
        <f aca="false">+IF(D53&lt;&gt;0,(H53-D53)/D53,0)</f>
        <v>0</v>
      </c>
      <c r="M53" s="73" t="n">
        <f aca="false">+IF(J53&lt;&gt;"",ABS(J53),0)</f>
        <v>0</v>
      </c>
      <c r="N53" s="73" t="n">
        <f aca="false">+IF(J53&lt;&gt;"",ABS(K53),0)</f>
        <v>0</v>
      </c>
    </row>
    <row r="54" customFormat="false" ht="17.35" hidden="false" customHeight="false" outlineLevel="0" collapsed="false">
      <c r="B54" s="62" t="s">
        <v>43</v>
      </c>
      <c r="C54" s="66" t="n">
        <f aca="false">Utilidad!A51</f>
        <v>0</v>
      </c>
      <c r="D54" s="67" t="n">
        <f aca="false">IF(Utilidad!C51&gt;1,Utilidad!C51/100,Utilidad!C51)</f>
        <v>0</v>
      </c>
      <c r="F54" s="62" t="s">
        <v>43</v>
      </c>
      <c r="G54" s="66" t="n">
        <f aca="false">Utilidad!B51</f>
        <v>0</v>
      </c>
      <c r="H54" s="74" t="n">
        <f aca="false">IF(Utilidad!D51&gt;1,Utilidad!D51/100,Utilidad!D51)</f>
        <v>0</v>
      </c>
      <c r="J54" s="71" t="n">
        <f aca="false">+IF(C54&lt;&gt;0,(G54-C54)/C54,ABS(G54-C54))</f>
        <v>0</v>
      </c>
      <c r="K54" s="71" t="n">
        <f aca="false">+IF(D54&lt;&gt;0,(H54-D54)/D54,0)</f>
        <v>0</v>
      </c>
      <c r="M54" s="73" t="n">
        <f aca="false">+IF(J54&lt;&gt;"",ABS(J54),0)</f>
        <v>0</v>
      </c>
      <c r="N54" s="73" t="n">
        <f aca="false">+IF(J54&lt;&gt;"",ABS(K54),0)</f>
        <v>0</v>
      </c>
    </row>
    <row r="55" customFormat="false" ht="17.35" hidden="false" customHeight="false" outlineLevel="0" collapsed="false">
      <c r="B55" s="62" t="s">
        <v>44</v>
      </c>
      <c r="C55" s="66" t="n">
        <f aca="false">Utilidad!A52</f>
        <v>37855</v>
      </c>
      <c r="D55" s="67" t="n">
        <f aca="false">IF(Utilidad!C52&gt;1,Utilidad!C52/100,Utilidad!C52)</f>
        <v>0.5036</v>
      </c>
      <c r="F55" s="62" t="s">
        <v>44</v>
      </c>
      <c r="G55" s="66" t="n">
        <f aca="false">Utilidad!B52</f>
        <v>37855</v>
      </c>
      <c r="H55" s="74" t="n">
        <f aca="false">IF(Utilidad!D52&gt;1,Utilidad!D52/100,Utilidad!D52)</f>
        <v>0.5036</v>
      </c>
      <c r="J55" s="71" t="n">
        <f aca="false">+IF(C55&lt;&gt;0,(G55-C55)/C55,ABS(G55-C55))</f>
        <v>0</v>
      </c>
      <c r="K55" s="71" t="n">
        <f aca="false">+IF(D55&lt;&gt;0,(H55-D55)/D55,0)</f>
        <v>0</v>
      </c>
      <c r="M55" s="73" t="n">
        <f aca="false">+IF(J55&lt;&gt;"",ABS(J55),0)</f>
        <v>0</v>
      </c>
      <c r="N55" s="73" t="n">
        <f aca="false">+IF(J55&lt;&gt;"",ABS(K55),0)</f>
        <v>0</v>
      </c>
    </row>
    <row r="56" customFormat="false" ht="17.35" hidden="false" customHeight="false" outlineLevel="0" collapsed="false">
      <c r="B56" s="62" t="s">
        <v>45</v>
      </c>
      <c r="C56" s="66" t="n">
        <f aca="false">Utilidad!A53</f>
        <v>37855</v>
      </c>
      <c r="D56" s="67" t="n">
        <f aca="false">IF(Utilidad!C53&gt;1,Utilidad!C53/100,Utilidad!C53)</f>
        <v>0.5036</v>
      </c>
      <c r="F56" s="62" t="s">
        <v>45</v>
      </c>
      <c r="G56" s="66" t="n">
        <f aca="false">Utilidad!B53</f>
        <v>37855</v>
      </c>
      <c r="H56" s="74" t="n">
        <f aca="false">IF(Utilidad!D53&gt;1,Utilidad!D53/100,Utilidad!D53)</f>
        <v>0.5036</v>
      </c>
      <c r="J56" s="71" t="n">
        <f aca="false">+IF(C56&lt;&gt;0,(G56-C56)/C56,ABS(G56-C56))</f>
        <v>0</v>
      </c>
      <c r="K56" s="71" t="n">
        <f aca="false">+IF(D56&lt;&gt;0,(H56-D56)/D56,0)</f>
        <v>0</v>
      </c>
      <c r="M56" s="73" t="n">
        <f aca="false">+IF(J56&lt;&gt;"",ABS(J56),0)</f>
        <v>0</v>
      </c>
      <c r="N56" s="73" t="n">
        <f aca="false">+IF(J56&lt;&gt;"",ABS(K56),0)</f>
        <v>0</v>
      </c>
    </row>
    <row r="57" customFormat="false" ht="17.35" hidden="false" customHeight="false" outlineLevel="0" collapsed="false">
      <c r="B57" s="62" t="s">
        <v>107</v>
      </c>
      <c r="C57" s="66" t="n">
        <f aca="false">Utilidad!A54</f>
        <v>3157</v>
      </c>
      <c r="D57" s="67" t="n">
        <f aca="false">IF(Utilidad!C54&gt;1,Utilidad!C54/100,Utilidad!C54)</f>
        <v>0.6346</v>
      </c>
      <c r="F57" s="62" t="s">
        <v>108</v>
      </c>
      <c r="G57" s="66" t="n">
        <f aca="false">Utilidad!B54</f>
        <v>3157</v>
      </c>
      <c r="H57" s="74" t="n">
        <f aca="false">IF(Utilidad!D54&gt;1,Utilidad!D54/100,Utilidad!D54)</f>
        <v>0.6346</v>
      </c>
      <c r="J57" s="71" t="n">
        <f aca="false">+IF(C57&lt;&gt;0,(G57-C57)/C57,ABS(G57-C57))</f>
        <v>0</v>
      </c>
      <c r="K57" s="71" t="n">
        <f aca="false">+IF(D57&lt;&gt;0,(H57-D57)/D57,0)</f>
        <v>0</v>
      </c>
      <c r="M57" s="73" t="n">
        <f aca="false">+IF(J57&lt;&gt;"",ABS(J57),0)</f>
        <v>0</v>
      </c>
      <c r="N57" s="73" t="n">
        <f aca="false">+IF(J57&lt;&gt;"",ABS(K57),0)</f>
        <v>0</v>
      </c>
    </row>
    <row r="58" customFormat="false" ht="17.35" hidden="false" customHeight="false" outlineLevel="0" collapsed="false">
      <c r="B58" s="62" t="s">
        <v>109</v>
      </c>
      <c r="C58" s="66" t="n">
        <f aca="false">Utilidad!A55</f>
        <v>0</v>
      </c>
      <c r="D58" s="67" t="n">
        <f aca="false">IF(Utilidad!C55&gt;1,Utilidad!C55/100,Utilidad!C55)</f>
        <v>0</v>
      </c>
      <c r="F58" s="62" t="s">
        <v>109</v>
      </c>
      <c r="G58" s="66" t="n">
        <f aca="false">Utilidad!B55</f>
        <v>0</v>
      </c>
      <c r="H58" s="74" t="n">
        <f aca="false">IF(Utilidad!D55&gt;1,Utilidad!D55/100,Utilidad!D55)</f>
        <v>0</v>
      </c>
      <c r="J58" s="71" t="n">
        <f aca="false">+IF(C58&lt;&gt;0,(G58-C58)/C58,ABS(G58-C58))</f>
        <v>0</v>
      </c>
      <c r="K58" s="71" t="n">
        <f aca="false">+IF(D58&lt;&gt;0,(H58-D58)/D58,0)</f>
        <v>0</v>
      </c>
      <c r="M58" s="73" t="n">
        <f aca="false">+IF(J58&lt;&gt;"",ABS(J58),0)</f>
        <v>0</v>
      </c>
      <c r="N58" s="73" t="n">
        <f aca="false">+IF(J58&lt;&gt;"",ABS(K58),0)</f>
        <v>0</v>
      </c>
    </row>
    <row r="59" customFormat="false" ht="17.35" hidden="false" customHeight="false" outlineLevel="0" collapsed="false">
      <c r="B59" s="62" t="s">
        <v>110</v>
      </c>
      <c r="C59" s="66" t="n">
        <f aca="false">Utilidad!A56</f>
        <v>0</v>
      </c>
      <c r="D59" s="67" t="n">
        <f aca="false">IF(Utilidad!C56&gt;1,Utilidad!C56/100,Utilidad!C56)</f>
        <v>0</v>
      </c>
      <c r="F59" s="62" t="s">
        <v>110</v>
      </c>
      <c r="G59" s="66" t="n">
        <f aca="false">Utilidad!B56</f>
        <v>0</v>
      </c>
      <c r="H59" s="74" t="n">
        <f aca="false">IF(Utilidad!D56&gt;1,Utilidad!D56/100,Utilidad!D56)</f>
        <v>0</v>
      </c>
      <c r="J59" s="71" t="n">
        <f aca="false">+IF(C59&lt;&gt;0,(G59-C59)/C59,ABS(G59-C59))</f>
        <v>0</v>
      </c>
      <c r="K59" s="71" t="n">
        <f aca="false">+IF(D59&lt;&gt;0,(H59-D59)/D59,0)</f>
        <v>0</v>
      </c>
      <c r="M59" s="73" t="n">
        <f aca="false">+IF(J59&lt;&gt;"",ABS(J59),0)</f>
        <v>0</v>
      </c>
      <c r="N59" s="73" t="n">
        <f aca="false">+IF(J59&lt;&gt;"",ABS(K59),0)</f>
        <v>0</v>
      </c>
    </row>
    <row r="60" customFormat="false" ht="17.35" hidden="false" customHeight="false" outlineLevel="0" collapsed="false">
      <c r="B60" s="62" t="s">
        <v>111</v>
      </c>
      <c r="C60" s="66" t="n">
        <f aca="false">Utilidad!A57</f>
        <v>3069</v>
      </c>
      <c r="D60" s="67" t="n">
        <f aca="false">IF(Utilidad!C57&gt;1,Utilidad!C57/100,Utilidad!C57)</f>
        <v>0.63</v>
      </c>
      <c r="F60" s="62" t="s">
        <v>111</v>
      </c>
      <c r="G60" s="66" t="n">
        <f aca="false">Utilidad!B57</f>
        <v>3069</v>
      </c>
      <c r="H60" s="74" t="n">
        <f aca="false">IF(Utilidad!D57&gt;1,Utilidad!D57/100,Utilidad!D57)</f>
        <v>0.63</v>
      </c>
      <c r="J60" s="71" t="n">
        <f aca="false">+IF(C60&lt;&gt;0,(G60-C60)/C60,ABS(G60-C60))</f>
        <v>0</v>
      </c>
      <c r="K60" s="71" t="n">
        <f aca="false">+IF(D60&lt;&gt;0,(H60-D60)/D60,0)</f>
        <v>0</v>
      </c>
      <c r="M60" s="73" t="n">
        <f aca="false">+IF(J60&lt;&gt;"",ABS(J60),0)</f>
        <v>0</v>
      </c>
      <c r="N60" s="73" t="n">
        <f aca="false">+IF(J60&lt;&gt;"",ABS(K60),0)</f>
        <v>0</v>
      </c>
    </row>
    <row r="61" customFormat="false" ht="17.35" hidden="false" customHeight="false" outlineLevel="0" collapsed="false">
      <c r="B61" s="62" t="s">
        <v>112</v>
      </c>
      <c r="C61" s="66" t="n">
        <f aca="false">Utilidad!A58</f>
        <v>0</v>
      </c>
      <c r="D61" s="67" t="n">
        <f aca="false">IF(Utilidad!C58&gt;1,Utilidad!C58/100,Utilidad!C58)</f>
        <v>0</v>
      </c>
      <c r="F61" s="62" t="s">
        <v>112</v>
      </c>
      <c r="G61" s="66" t="n">
        <f aca="false">Utilidad!B58</f>
        <v>0</v>
      </c>
      <c r="H61" s="74" t="n">
        <f aca="false">IF(Utilidad!D58&gt;1,Utilidad!D58/100,Utilidad!D58)</f>
        <v>0</v>
      </c>
      <c r="J61" s="71" t="n">
        <f aca="false">+IF(C61&lt;&gt;0,(G61-C61)/C61,ABS(G61-C61))</f>
        <v>0</v>
      </c>
      <c r="K61" s="71" t="n">
        <f aca="false">+IF(D61&lt;&gt;0,(H61-D61)/D61,0)</f>
        <v>0</v>
      </c>
      <c r="M61" s="73" t="n">
        <f aca="false">+IF(J61&lt;&gt;"",ABS(J61),0)</f>
        <v>0</v>
      </c>
      <c r="N61" s="73" t="n">
        <f aca="false">+IF(J61&lt;&gt;"",ABS(K61),0)</f>
        <v>0</v>
      </c>
    </row>
    <row r="62" customFormat="false" ht="17.35" hidden="false" customHeight="false" outlineLevel="0" collapsed="false">
      <c r="B62" s="62" t="s">
        <v>113</v>
      </c>
      <c r="C62" s="66" t="n">
        <f aca="false">Utilidad!A59</f>
        <v>0</v>
      </c>
      <c r="D62" s="67" t="n">
        <f aca="false">IF(Utilidad!C59&gt;1,Utilidad!C59/100,Utilidad!C59)</f>
        <v>0</v>
      </c>
      <c r="F62" s="62" t="s">
        <v>113</v>
      </c>
      <c r="G62" s="66" t="n">
        <f aca="false">Utilidad!B59</f>
        <v>0</v>
      </c>
      <c r="H62" s="74" t="n">
        <f aca="false">IF(Utilidad!D59&gt;1,Utilidad!D59/100,Utilidad!D59)</f>
        <v>0</v>
      </c>
      <c r="J62" s="71" t="n">
        <f aca="false">+IF(C62&lt;&gt;0,(G62-C62)/C62,ABS(G62-C62))</f>
        <v>0</v>
      </c>
      <c r="K62" s="71" t="n">
        <f aca="false">+IF(D62&lt;&gt;0,(H62-D62)/D62,0)</f>
        <v>0</v>
      </c>
      <c r="M62" s="73" t="n">
        <f aca="false">+IF(J62&lt;&gt;"",ABS(J62),0)</f>
        <v>0</v>
      </c>
      <c r="N62" s="73" t="n">
        <f aca="false">+IF(J62&lt;&gt;"",ABS(K62),0)</f>
        <v>0</v>
      </c>
    </row>
    <row r="63" customFormat="false" ht="17.35" hidden="false" customHeight="false" outlineLevel="0" collapsed="false">
      <c r="B63" s="62" t="s">
        <v>114</v>
      </c>
      <c r="C63" s="66" t="n">
        <f aca="false">Utilidad!A60</f>
        <v>0</v>
      </c>
      <c r="D63" s="67" t="n">
        <f aca="false">IF(Utilidad!C60&gt;1,Utilidad!C60/100,Utilidad!C60)</f>
        <v>0</v>
      </c>
      <c r="F63" s="62" t="s">
        <v>114</v>
      </c>
      <c r="G63" s="66" t="n">
        <f aca="false">Utilidad!B60</f>
        <v>0</v>
      </c>
      <c r="H63" s="74" t="n">
        <f aca="false">IF(Utilidad!D60&gt;1,Utilidad!D60/100,Utilidad!D60)</f>
        <v>0</v>
      </c>
      <c r="J63" s="71" t="n">
        <f aca="false">+IF(C63&lt;&gt;0,(G63-C63)/C63,ABS(G63-C63))</f>
        <v>0</v>
      </c>
      <c r="K63" s="71" t="n">
        <f aca="false">+IF(D63&lt;&gt;0,(H63-D63)/D63,0)</f>
        <v>0</v>
      </c>
      <c r="M63" s="73" t="n">
        <f aca="false">+IF(J63&lt;&gt;"",ABS(J63),0)</f>
        <v>0</v>
      </c>
      <c r="N63" s="73" t="n">
        <f aca="false">+IF(J63&lt;&gt;"",ABS(K63),0)</f>
        <v>0</v>
      </c>
    </row>
    <row r="64" customFormat="false" ht="17.35" hidden="false" customHeight="false" outlineLevel="0" collapsed="false">
      <c r="B64" s="62" t="s">
        <v>115</v>
      </c>
      <c r="C64" s="66" t="n">
        <f aca="false">Utilidad!A61</f>
        <v>0</v>
      </c>
      <c r="D64" s="67" t="n">
        <f aca="false">IF(Utilidad!C61&gt;1,Utilidad!C61/100,Utilidad!C61)</f>
        <v>0</v>
      </c>
      <c r="F64" s="62" t="s">
        <v>115</v>
      </c>
      <c r="G64" s="66" t="n">
        <f aca="false">Utilidad!B61</f>
        <v>0</v>
      </c>
      <c r="H64" s="74" t="n">
        <f aca="false">IF(Utilidad!D61&gt;1,Utilidad!D61/100,Utilidad!D61)</f>
        <v>0</v>
      </c>
      <c r="J64" s="71" t="n">
        <f aca="false">+IF(C64&lt;&gt;0,(G64-C64)/C64,ABS(G64-C64))</f>
        <v>0</v>
      </c>
      <c r="K64" s="71" t="n">
        <f aca="false">+IF(D64&lt;&gt;0,(H64-D64)/D64,0)</f>
        <v>0</v>
      </c>
      <c r="M64" s="73" t="n">
        <f aca="false">+IF(J64&lt;&gt;"",ABS(J64),0)</f>
        <v>0</v>
      </c>
      <c r="N64" s="73" t="n">
        <f aca="false">+IF(J64&lt;&gt;"",ABS(K64),0)</f>
        <v>0</v>
      </c>
    </row>
    <row r="65" customFormat="false" ht="17.35" hidden="false" customHeight="false" outlineLevel="0" collapsed="false">
      <c r="B65" s="62" t="s">
        <v>116</v>
      </c>
      <c r="C65" s="66" t="n">
        <f aca="false">Utilidad!A62</f>
        <v>0</v>
      </c>
      <c r="D65" s="67" t="n">
        <f aca="false">IF(Utilidad!C62&gt;1,Utilidad!C62/100,Utilidad!C62)</f>
        <v>0</v>
      </c>
      <c r="F65" s="62" t="s">
        <v>116</v>
      </c>
      <c r="G65" s="66" t="n">
        <f aca="false">Utilidad!B62</f>
        <v>0</v>
      </c>
      <c r="H65" s="74" t="n">
        <f aca="false">IF(Utilidad!D62&gt;1,Utilidad!D62/100,Utilidad!D62)</f>
        <v>0</v>
      </c>
      <c r="J65" s="71" t="n">
        <f aca="false">+IF(C65&lt;&gt;0,(G65-C65)/C65,ABS(G65-C65))</f>
        <v>0</v>
      </c>
      <c r="K65" s="71" t="n">
        <f aca="false">+IF(D65&lt;&gt;0,(H65-D65)/D65,0)</f>
        <v>0</v>
      </c>
      <c r="M65" s="73" t="n">
        <f aca="false">+IF(J65&lt;&gt;"",ABS(J65),0)</f>
        <v>0</v>
      </c>
      <c r="N65" s="73" t="n">
        <f aca="false">+IF(J65&lt;&gt;"",ABS(K65),0)</f>
        <v>0</v>
      </c>
    </row>
    <row r="66" customFormat="false" ht="17.35" hidden="false" customHeight="false" outlineLevel="0" collapsed="false">
      <c r="B66" s="62" t="s">
        <v>86</v>
      </c>
      <c r="C66" s="66" t="n">
        <f aca="false">Utilidad!A63</f>
        <v>0</v>
      </c>
      <c r="D66" s="67" t="n">
        <f aca="false">IF(Utilidad!C63&gt;1,Utilidad!C63/100,Utilidad!C63)</f>
        <v>0</v>
      </c>
      <c r="F66" s="62" t="s">
        <v>86</v>
      </c>
      <c r="G66" s="66" t="n">
        <f aca="false">Utilidad!B63</f>
        <v>0</v>
      </c>
      <c r="H66" s="74" t="n">
        <f aca="false">IF(Utilidad!D63&gt;1,Utilidad!D63/100,Utilidad!D63)</f>
        <v>0</v>
      </c>
      <c r="J66" s="71" t="n">
        <f aca="false">+IF(C66&lt;&gt;0,(G66-C66)/C66,ABS(G66-C66))</f>
        <v>0</v>
      </c>
      <c r="K66" s="71" t="n">
        <f aca="false">+IF(D66&lt;&gt;0,(H66-D66)/D66,0)</f>
        <v>0</v>
      </c>
      <c r="M66" s="73" t="n">
        <f aca="false">+IF(J66&lt;&gt;"",ABS(J66),0)</f>
        <v>0</v>
      </c>
      <c r="N66" s="73" t="n">
        <f aca="false">+IF(J66&lt;&gt;"",ABS(K66),0)</f>
        <v>0</v>
      </c>
    </row>
    <row r="67" customFormat="false" ht="17.35" hidden="false" customHeight="false" outlineLevel="0" collapsed="false">
      <c r="B67" s="62" t="s">
        <v>87</v>
      </c>
      <c r="C67" s="66" t="n">
        <f aca="false">Utilidad!A64</f>
        <v>0</v>
      </c>
      <c r="D67" s="67" t="n">
        <f aca="false">IF(Utilidad!C64&gt;1,Utilidad!C64/100,Utilidad!C64)</f>
        <v>0</v>
      </c>
      <c r="F67" s="62" t="s">
        <v>87</v>
      </c>
      <c r="G67" s="66" t="n">
        <f aca="false">Utilidad!B64</f>
        <v>0</v>
      </c>
      <c r="H67" s="74" t="n">
        <f aca="false">IF(Utilidad!D64&gt;1,Utilidad!D64/100,Utilidad!D64)</f>
        <v>0</v>
      </c>
      <c r="J67" s="71" t="n">
        <f aca="false">+IF(C67&lt;&gt;0,(G67-C67)/C67,ABS(G67-C67))</f>
        <v>0</v>
      </c>
      <c r="K67" s="71" t="n">
        <f aca="false">+IF(D67&lt;&gt;0,(H67-D67)/D67,0)</f>
        <v>0</v>
      </c>
      <c r="M67" s="73" t="n">
        <f aca="false">+IF(J67&lt;&gt;"",ABS(J67),0)</f>
        <v>0</v>
      </c>
      <c r="N67" s="73" t="n">
        <f aca="false">+IF(J67&lt;&gt;"",ABS(K67),0)</f>
        <v>0</v>
      </c>
    </row>
    <row r="68" customFormat="false" ht="17.35" hidden="false" customHeight="false" outlineLevel="0" collapsed="false">
      <c r="B68" s="62" t="s">
        <v>117</v>
      </c>
      <c r="C68" s="66" t="n">
        <f aca="false">Utilidad!A65</f>
        <v>0</v>
      </c>
      <c r="D68" s="67" t="n">
        <f aca="false">IF(Utilidad!C65&gt;1,Utilidad!C65/100,Utilidad!C65)</f>
        <v>0</v>
      </c>
      <c r="F68" s="62" t="s">
        <v>117</v>
      </c>
      <c r="G68" s="66" t="n">
        <f aca="false">Utilidad!B65</f>
        <v>0</v>
      </c>
      <c r="H68" s="74" t="n">
        <f aca="false">IF(Utilidad!D65&gt;1,Utilidad!D65/100,Utilidad!D65)</f>
        <v>0</v>
      </c>
      <c r="J68" s="71" t="n">
        <f aca="false">+IF(C68&lt;&gt;0,(G68-C68)/C68,ABS(G68-C68))</f>
        <v>0</v>
      </c>
      <c r="K68" s="71" t="n">
        <f aca="false">+IF(D68&lt;&gt;0,(H68-D68)/D68,0)</f>
        <v>0</v>
      </c>
      <c r="M68" s="73" t="n">
        <f aca="false">+IF(J68&lt;&gt;"",ABS(J68),0)</f>
        <v>0</v>
      </c>
      <c r="N68" s="73" t="n">
        <f aca="false">+IF(J68&lt;&gt;"",ABS(K68),0)</f>
        <v>0</v>
      </c>
    </row>
    <row r="69" customFormat="false" ht="17.35" hidden="false" customHeight="false" outlineLevel="0" collapsed="false">
      <c r="B69" s="62" t="s">
        <v>118</v>
      </c>
      <c r="C69" s="66" t="n">
        <f aca="false">Utilidad!A66</f>
        <v>0</v>
      </c>
      <c r="D69" s="67" t="n">
        <f aca="false">IF(Utilidad!C66&gt;1,Utilidad!C66/100,Utilidad!C66)</f>
        <v>0</v>
      </c>
      <c r="F69" s="62" t="s">
        <v>118</v>
      </c>
      <c r="G69" s="66" t="n">
        <f aca="false">Utilidad!B66</f>
        <v>0</v>
      </c>
      <c r="H69" s="74" t="n">
        <f aca="false">IF(Utilidad!D66&gt;1,Utilidad!D66/100,Utilidad!D66)</f>
        <v>0</v>
      </c>
      <c r="J69" s="71" t="n">
        <f aca="false">+IF(C69&lt;&gt;0,(G69-C69)/C69,ABS(G69-C69))</f>
        <v>0</v>
      </c>
      <c r="K69" s="71" t="n">
        <f aca="false">+IF(D69&lt;&gt;0,(H69-D69)/D69,0)</f>
        <v>0</v>
      </c>
      <c r="M69" s="73" t="n">
        <f aca="false">+IF(J69&lt;&gt;"",ABS(J69),0)</f>
        <v>0</v>
      </c>
      <c r="N69" s="73" t="n">
        <f aca="false">+IF(J69&lt;&gt;"",ABS(K69),0)</f>
        <v>0</v>
      </c>
    </row>
    <row r="70" customFormat="false" ht="17.35" hidden="false" customHeight="false" outlineLevel="0" collapsed="false">
      <c r="B70" s="62" t="s">
        <v>88</v>
      </c>
      <c r="C70" s="66" t="n">
        <f aca="false">Utilidad!A67</f>
        <v>0</v>
      </c>
      <c r="D70" s="67" t="n">
        <f aca="false">IF(Utilidad!C67&gt;1,Utilidad!C67/100,Utilidad!C67)</f>
        <v>0</v>
      </c>
      <c r="F70" s="62" t="s">
        <v>88</v>
      </c>
      <c r="G70" s="66" t="n">
        <f aca="false">Utilidad!B67</f>
        <v>0</v>
      </c>
      <c r="H70" s="74" t="n">
        <f aca="false">IF(Utilidad!D67&gt;1,Utilidad!D67/100,Utilidad!D67)</f>
        <v>0</v>
      </c>
      <c r="J70" s="71" t="n">
        <f aca="false">+IF(C70&lt;&gt;0,(G70-C70)/C70,ABS(G70-C70))</f>
        <v>0</v>
      </c>
      <c r="K70" s="71" t="n">
        <f aca="false">+IF(D70&lt;&gt;0,(H70-D70)/D70,0)</f>
        <v>0</v>
      </c>
      <c r="M70" s="73" t="n">
        <f aca="false">+IF(J70&lt;&gt;"",ABS(J70),0)</f>
        <v>0</v>
      </c>
      <c r="N70" s="73" t="n">
        <f aca="false">+IF(J70&lt;&gt;"",ABS(K70),0)</f>
        <v>0</v>
      </c>
    </row>
  </sheetData>
  <mergeCells count="3">
    <mergeCell ref="B2:D2"/>
    <mergeCell ref="F2:H2"/>
    <mergeCell ref="J2:K2"/>
  </mergeCells>
  <conditionalFormatting sqref="J4:K70 L4:L5">
    <cfRule type="expression" priority="2" aboveAverage="0" equalAverage="0" bottom="0" percent="0" rank="0" text="" dxfId="4">
      <formula>ABS(J4)&gt;=10%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153"/>
  <sheetViews>
    <sheetView showFormulas="false" showGridLines="false" showRowColHeaders="true" showZeros="true" rightToLeft="false" tabSelected="false" showOutlineSymbols="true" defaultGridColor="true" view="normal" topLeftCell="B134" colorId="64" zoomScale="90" zoomScaleNormal="90" zoomScalePageLayoutView="100" workbookViewId="0">
      <selection pane="topLeft" activeCell="S18" activeCellId="0" sqref="S18"/>
    </sheetView>
  </sheetViews>
  <sheetFormatPr defaultColWidth="11.507812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6" min="6" style="0" width="9.83"/>
    <col collapsed="false" customWidth="true" hidden="false" outlineLevel="0" max="7" min="7" style="0" width="10.83"/>
    <col collapsed="false" customWidth="true" hidden="false" outlineLevel="0" max="8" min="8" style="0" width="15.16"/>
    <col collapsed="false" customWidth="true" hidden="false" outlineLevel="0" max="9" min="9" style="0" width="12.83"/>
    <col collapsed="false" customWidth="true" hidden="false" outlineLevel="0" max="10" min="10" style="0" width="12.5"/>
    <col collapsed="false" customWidth="true" hidden="false" outlineLevel="0" max="11" min="11" style="0" width="13.5"/>
    <col collapsed="false" customWidth="true" hidden="false" outlineLevel="0" max="13" min="13" style="0" width="10.83"/>
    <col collapsed="false" customWidth="true" hidden="false" outlineLevel="0" max="14" min="14" style="0" width="13.5"/>
    <col collapsed="false" customWidth="true" hidden="false" outlineLevel="0" max="16" min="16" style="0" width="17.83"/>
  </cols>
  <sheetData>
    <row r="2" customFormat="false" ht="15" hidden="false" customHeight="false" outlineLevel="0" collapsed="false"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1"/>
    </row>
    <row r="3" customFormat="false" ht="15" hidden="false" customHeight="false" outlineLevel="0" collapsed="false">
      <c r="B3" s="82"/>
      <c r="S3" s="83"/>
    </row>
    <row r="4" customFormat="false" ht="15" hidden="false" customHeight="false" outlineLevel="0" collapsed="false">
      <c r="B4" s="82"/>
      <c r="S4" s="83"/>
    </row>
    <row r="5" customFormat="false" ht="15" hidden="false" customHeight="false" outlineLevel="0" collapsed="false">
      <c r="B5" s="82"/>
      <c r="S5" s="83"/>
    </row>
    <row r="6" customFormat="false" ht="15" hidden="false" customHeight="false" outlineLevel="0" collapsed="false">
      <c r="B6" s="82"/>
      <c r="E6" s="84" t="n">
        <f aca="false">Flujos!G4</f>
        <v>150420</v>
      </c>
      <c r="S6" s="83"/>
    </row>
    <row r="7" customFormat="false" ht="15" hidden="false" customHeight="false" outlineLevel="0" collapsed="false">
      <c r="B7" s="82"/>
      <c r="E7" s="85" t="n">
        <f aca="false">Flujos!H4</f>
        <v>0.2388</v>
      </c>
      <c r="I7" s="84" t="n">
        <f aca="false">+Utilidad!J65</f>
        <v>0</v>
      </c>
      <c r="L7" s="86" t="n">
        <f aca="false">+Utilidad!J68</f>
        <v>0</v>
      </c>
      <c r="Q7" s="86" t="n">
        <f aca="false">Flujos!G12</f>
        <v>24875.066453</v>
      </c>
      <c r="S7" s="83"/>
    </row>
    <row r="8" customFormat="false" ht="15" hidden="false" customHeight="false" outlineLevel="0" collapsed="false">
      <c r="B8" s="82"/>
      <c r="E8" s="87" t="n">
        <f aca="false">E6*E7</f>
        <v>35920.296</v>
      </c>
      <c r="I8" s="85" t="n">
        <f aca="false">+Utilidad!K65</f>
        <v>0</v>
      </c>
      <c r="L8" s="88" t="n">
        <f aca="false">+Utilidad!K68</f>
        <v>0</v>
      </c>
      <c r="Q8" s="88" t="n">
        <f aca="false">Flujos!H12</f>
        <v>0.19247</v>
      </c>
      <c r="S8" s="83"/>
    </row>
    <row r="9" customFormat="false" ht="15" hidden="false" customHeight="false" outlineLevel="0" collapsed="false">
      <c r="B9" s="82"/>
      <c r="I9" s="87" t="n">
        <f aca="false">+Utilidad!L65</f>
        <v>0</v>
      </c>
      <c r="L9" s="89" t="n">
        <f aca="false">+Utilidad!L68</f>
        <v>0</v>
      </c>
      <c r="Q9" s="89" t="n">
        <f aca="false">Q7*Q8</f>
        <v>4787.70404020891</v>
      </c>
      <c r="S9" s="83"/>
    </row>
    <row r="10" customFormat="false" ht="15" hidden="false" customHeight="false" outlineLevel="0" collapsed="false">
      <c r="B10" s="82"/>
      <c r="E10" s="84" t="n">
        <f aca="false">+Utilidad!J63</f>
        <v>0</v>
      </c>
      <c r="S10" s="83"/>
    </row>
    <row r="11" customFormat="false" ht="15" hidden="false" customHeight="false" outlineLevel="0" collapsed="false">
      <c r="B11" s="82"/>
      <c r="E11" s="85" t="n">
        <f aca="false">+Utilidad!K63</f>
        <v>0</v>
      </c>
      <c r="Q11" s="86" t="n">
        <f aca="false">+Utilidad!J71</f>
        <v>15456.336685</v>
      </c>
      <c r="S11" s="83"/>
    </row>
    <row r="12" customFormat="false" ht="15" hidden="false" customHeight="false" outlineLevel="0" collapsed="false">
      <c r="B12" s="82"/>
      <c r="C12" s="84" t="n">
        <f aca="false">+Utilidad!J101</f>
        <v>0</v>
      </c>
      <c r="E12" s="87" t="n">
        <f aca="false">+Utilidad!L63</f>
        <v>0</v>
      </c>
      <c r="Q12" s="88" t="n">
        <f aca="false">+Utilidad!K71</f>
        <v>0.108585</v>
      </c>
      <c r="S12" s="83"/>
    </row>
    <row r="13" customFormat="false" ht="15" hidden="false" customHeight="false" outlineLevel="0" collapsed="false">
      <c r="B13" s="82"/>
      <c r="C13" s="85" t="n">
        <f aca="false">+Utilidad!K101</f>
        <v>0</v>
      </c>
      <c r="H13" s="90" t="n">
        <f aca="false">+Utilidad!J66</f>
        <v>0</v>
      </c>
      <c r="N13" s="84" t="n">
        <f aca="false">+Utilidad!J72</f>
        <v>64047.727578</v>
      </c>
      <c r="Q13" s="89" t="n">
        <f aca="false">+Utilidad!L71</f>
        <v>1678.32631894072</v>
      </c>
      <c r="S13" s="83"/>
    </row>
    <row r="14" customFormat="false" ht="15" hidden="false" customHeight="false" outlineLevel="0" collapsed="false">
      <c r="B14" s="82"/>
      <c r="C14" s="87" t="n">
        <f aca="false">+Utilidad!L101</f>
        <v>0</v>
      </c>
      <c r="H14" s="91" t="n">
        <f aca="false">+Utilidad!K66</f>
        <v>0</v>
      </c>
      <c r="J14" s="92" t="n">
        <f aca="false">+I7+H13-L14-L7</f>
        <v>0</v>
      </c>
      <c r="L14" s="86" t="n">
        <f aca="false">+Utilidad!J69</f>
        <v>0</v>
      </c>
      <c r="N14" s="85" t="n">
        <f aca="false">+Utilidad!K72</f>
        <v>0.35689666414</v>
      </c>
      <c r="S14" s="83"/>
    </row>
    <row r="15" customFormat="false" ht="15" hidden="false" customHeight="false" outlineLevel="0" collapsed="false">
      <c r="B15" s="82"/>
      <c r="G15" s="93" t="n">
        <f aca="false">Flujos!G6</f>
        <v>60303</v>
      </c>
      <c r="H15" s="94" t="n">
        <f aca="false">+Utilidad!L66</f>
        <v>0</v>
      </c>
      <c r="L15" s="88" t="n">
        <f aca="false">+Utilidad!K69</f>
        <v>0</v>
      </c>
      <c r="N15" s="87" t="n">
        <f aca="false">+Utilidad!L72</f>
        <v>22858.4203183357</v>
      </c>
      <c r="S15" s="83"/>
    </row>
    <row r="16" customFormat="false" ht="15" hidden="false" customHeight="false" outlineLevel="0" collapsed="false">
      <c r="B16" s="82"/>
      <c r="E16" s="95" t="n">
        <f aca="false">+C12-E10</f>
        <v>0</v>
      </c>
      <c r="G16" s="96" t="n">
        <f aca="false">Flujos!H6</f>
        <v>0.13205</v>
      </c>
      <c r="L16" s="89" t="n">
        <f aca="false">+Utilidad!L69</f>
        <v>0</v>
      </c>
      <c r="P16" s="0" t="s">
        <v>88</v>
      </c>
      <c r="S16" s="83"/>
    </row>
    <row r="17" customFormat="false" ht="15" hidden="false" customHeight="false" outlineLevel="0" collapsed="false">
      <c r="B17" s="82"/>
      <c r="G17" s="97" t="n">
        <f aca="false">G15*G16</f>
        <v>7963.01115</v>
      </c>
      <c r="P17" s="86" t="n">
        <f aca="false">Flujos!G70</f>
        <v>0</v>
      </c>
      <c r="S17" s="83"/>
    </row>
    <row r="18" customFormat="false" ht="15" hidden="false" customHeight="false" outlineLevel="0" collapsed="false">
      <c r="B18" s="82"/>
      <c r="K18" s="84" t="n">
        <f aca="false">Flujos!C56</f>
        <v>37855</v>
      </c>
      <c r="P18" s="88" t="n">
        <f aca="false">Flujos!H70</f>
        <v>0</v>
      </c>
      <c r="S18" s="83"/>
    </row>
    <row r="19" customFormat="false" ht="15" hidden="false" customHeight="false" outlineLevel="0" collapsed="false">
      <c r="B19" s="82"/>
      <c r="K19" s="85" t="n">
        <f aca="false">Flujos!D56</f>
        <v>0.5036</v>
      </c>
      <c r="P19" s="89" t="n">
        <f aca="false">P17*P18</f>
        <v>0</v>
      </c>
      <c r="S19" s="83"/>
    </row>
    <row r="20" customFormat="false" ht="15" hidden="false" customHeight="false" outlineLevel="0" collapsed="false">
      <c r="B20" s="82"/>
      <c r="K20" s="87" t="n">
        <f aca="false">K18*K19</f>
        <v>19063.778</v>
      </c>
      <c r="L20" s="84" t="n">
        <f aca="false">+Utilidad!J76</f>
        <v>88249</v>
      </c>
      <c r="N20" s="92" t="n">
        <f aca="false">+L14+N13+K18-M22-L20</f>
        <v>12216.727578</v>
      </c>
      <c r="S20" s="83"/>
    </row>
    <row r="21" customFormat="false" ht="15" hidden="false" customHeight="false" outlineLevel="0" collapsed="false">
      <c r="B21" s="82"/>
      <c r="S21" s="83"/>
    </row>
    <row r="22" customFormat="false" ht="15" hidden="false" customHeight="false" outlineLevel="0" collapsed="false">
      <c r="B22" s="82"/>
      <c r="L22" s="85" t="n">
        <f aca="false">+Utilidad!K76</f>
        <v>0.41240586135</v>
      </c>
      <c r="M22" s="84" t="n">
        <f aca="false">+Utilidad!J74</f>
        <v>1437</v>
      </c>
      <c r="O22" s="84" t="n">
        <f aca="false">+Utilidad!J73</f>
        <v>20167</v>
      </c>
      <c r="S22" s="83"/>
    </row>
    <row r="23" customFormat="false" ht="15" hidden="false" customHeight="false" outlineLevel="0" collapsed="false">
      <c r="B23" s="82"/>
      <c r="L23" s="87" t="n">
        <f aca="false">+Utilidad!L76</f>
        <v>36394.4048582762</v>
      </c>
      <c r="M23" s="85" t="n">
        <f aca="false">+Utilidad!K74</f>
        <v>0.49744623738</v>
      </c>
      <c r="O23" s="85" t="n">
        <f aca="false">+Utilidad!K73</f>
        <v>0.47983531086</v>
      </c>
      <c r="S23" s="83"/>
    </row>
    <row r="24" customFormat="false" ht="15" hidden="false" customHeight="false" outlineLevel="0" collapsed="false">
      <c r="B24" s="82"/>
      <c r="M24" s="87" t="n">
        <f aca="false">+Utilidad!L74</f>
        <v>714.83024311506</v>
      </c>
      <c r="O24" s="87" t="n">
        <f aca="false">+Utilidad!L73</f>
        <v>9676.83871411362</v>
      </c>
      <c r="Q24" s="0" t="e">
        <f aca="false">+(O22+N13)/(L7)</f>
        <v>#DIV/0!</v>
      </c>
      <c r="S24" s="83"/>
    </row>
    <row r="25" customFormat="false" ht="15" hidden="false" customHeight="false" outlineLevel="0" collapsed="false">
      <c r="B25" s="82"/>
      <c r="C25" s="98"/>
      <c r="G25" s="84" t="n">
        <f aca="false">+Utilidad!J105</f>
        <v>0</v>
      </c>
      <c r="S25" s="83"/>
    </row>
    <row r="26" customFormat="false" ht="15" hidden="false" customHeight="false" outlineLevel="0" collapsed="false">
      <c r="B26" s="82"/>
      <c r="C26" s="99" t="n">
        <f aca="false">+Utilidad!J103</f>
        <v>0</v>
      </c>
      <c r="G26" s="85" t="n">
        <f aca="false">+Utilidad!K105</f>
        <v>0</v>
      </c>
      <c r="S26" s="83"/>
    </row>
    <row r="27" customFormat="false" ht="15" hidden="false" customHeight="false" outlineLevel="0" collapsed="false">
      <c r="B27" s="82"/>
      <c r="C27" s="100" t="n">
        <f aca="false">+Utilidad!K103</f>
        <v>0</v>
      </c>
      <c r="G27" s="87" t="n">
        <f aca="false">+Utilidad!L105</f>
        <v>0</v>
      </c>
      <c r="Q27" s="0" t="n">
        <f aca="false">+(K28)/(L20+M22+O22)</f>
        <v>0.600912128025634</v>
      </c>
      <c r="S27" s="83"/>
    </row>
    <row r="28" customFormat="false" ht="15" hidden="false" customHeight="false" outlineLevel="0" collapsed="false">
      <c r="B28" s="82"/>
      <c r="C28" s="101" t="n">
        <f aca="false">+Utilidad!L103</f>
        <v>0</v>
      </c>
      <c r="K28" s="93" t="n">
        <f aca="false">+Utilidad!J78</f>
        <v>66012</v>
      </c>
      <c r="S28" s="83"/>
    </row>
    <row r="29" customFormat="false" ht="15" hidden="false" customHeight="false" outlineLevel="0" collapsed="false">
      <c r="B29" s="82"/>
      <c r="C29" s="98"/>
      <c r="F29" s="102" t="n">
        <f aca="false">+C26-G25</f>
        <v>0</v>
      </c>
      <c r="K29" s="96" t="n">
        <f aca="false">+Utilidad!K78</f>
        <v>0.6468568112</v>
      </c>
      <c r="M29" s="0" t="n">
        <f aca="false">K28/(L20+M22+O22)</f>
        <v>0.600912128025634</v>
      </c>
      <c r="O29" s="8" t="n">
        <f aca="false">O22+L20+M22</f>
        <v>109853</v>
      </c>
      <c r="S29" s="83"/>
    </row>
    <row r="30" customFormat="false" ht="15" hidden="false" customHeight="false" outlineLevel="0" collapsed="false">
      <c r="B30" s="82"/>
      <c r="C30" s="98"/>
      <c r="I30" s="93" t="n">
        <f aca="false">+Utilidad!J77</f>
        <v>43841</v>
      </c>
      <c r="K30" s="97" t="n">
        <f aca="false">+Utilidad!L78</f>
        <v>42700.3118209344</v>
      </c>
      <c r="O30" s="8" t="n">
        <f aca="false">O29-K28</f>
        <v>43841</v>
      </c>
      <c r="S30" s="83"/>
    </row>
    <row r="31" customFormat="false" ht="15" hidden="false" customHeight="false" outlineLevel="0" collapsed="false">
      <c r="B31" s="82"/>
      <c r="C31" s="98"/>
      <c r="I31" s="96" t="n">
        <f aca="false">+Utilidad!K77</f>
        <v>0.093195</v>
      </c>
      <c r="S31" s="83"/>
    </row>
    <row r="32" customFormat="false" ht="15" hidden="false" customHeight="false" outlineLevel="0" collapsed="false">
      <c r="B32" s="82"/>
      <c r="C32" s="98"/>
      <c r="I32" s="97" t="n">
        <f aca="false">I30*I31</f>
        <v>4085.761995</v>
      </c>
      <c r="S32" s="83"/>
    </row>
    <row r="33" customFormat="false" ht="15" hidden="false" customHeight="false" outlineLevel="0" collapsed="false">
      <c r="B33" s="82"/>
      <c r="C33" s="98"/>
      <c r="S33" s="83"/>
    </row>
    <row r="34" customFormat="false" ht="15" hidden="false" customHeight="false" outlineLevel="0" collapsed="false">
      <c r="B34" s="82"/>
      <c r="C34" s="98"/>
      <c r="G34" s="84" t="n">
        <f aca="false">+Utilidad!J108</f>
        <v>0</v>
      </c>
      <c r="L34" s="92"/>
      <c r="S34" s="83"/>
    </row>
    <row r="35" customFormat="false" ht="15" hidden="false" customHeight="false" outlineLevel="0" collapsed="false">
      <c r="B35" s="82"/>
      <c r="C35" s="99" t="n">
        <f aca="false">+Utilidad!J106</f>
        <v>0</v>
      </c>
      <c r="G35" s="85" t="n">
        <f aca="false">+Utilidad!K108</f>
        <v>0</v>
      </c>
      <c r="M35" s="8"/>
      <c r="N35" s="8"/>
      <c r="S35" s="83"/>
    </row>
    <row r="36" customFormat="false" ht="15" hidden="false" customHeight="false" outlineLevel="0" collapsed="false">
      <c r="B36" s="82"/>
      <c r="C36" s="100" t="n">
        <f aca="false">+Utilidad!K106</f>
        <v>0</v>
      </c>
      <c r="G36" s="87" t="n">
        <f aca="false">+Utilidad!L108</f>
        <v>0</v>
      </c>
      <c r="S36" s="83"/>
    </row>
    <row r="37" customFormat="false" ht="15" hidden="false" customHeight="false" outlineLevel="0" collapsed="false">
      <c r="B37" s="82"/>
      <c r="C37" s="101" t="n">
        <f aca="false">+Utilidad!L106</f>
        <v>0</v>
      </c>
      <c r="S37" s="83"/>
    </row>
    <row r="38" customFormat="false" ht="15" hidden="false" customHeight="false" outlineLevel="0" collapsed="false">
      <c r="B38" s="82"/>
      <c r="C38" s="98"/>
      <c r="F38" s="102" t="n">
        <f aca="false">+C35-G34</f>
        <v>0</v>
      </c>
      <c r="S38" s="83"/>
    </row>
    <row r="39" customFormat="false" ht="15" hidden="false" customHeight="false" outlineLevel="0" collapsed="false">
      <c r="B39" s="82"/>
      <c r="C39" s="98"/>
      <c r="K39" s="103" t="n">
        <f aca="false">K28-(I53+L53)</f>
        <v>-5099</v>
      </c>
      <c r="N39" s="8"/>
      <c r="S39" s="83"/>
    </row>
    <row r="40" customFormat="false" ht="15" hidden="false" customHeight="false" outlineLevel="0" collapsed="false">
      <c r="B40" s="82"/>
      <c r="C40" s="98"/>
      <c r="S40" s="83"/>
    </row>
    <row r="41" customFormat="false" ht="15" hidden="false" customHeight="false" outlineLevel="0" collapsed="false">
      <c r="B41" s="82"/>
      <c r="C41" s="98"/>
      <c r="S41" s="83"/>
    </row>
    <row r="42" customFormat="false" ht="15" hidden="false" customHeight="false" outlineLevel="0" collapsed="false">
      <c r="B42" s="82"/>
      <c r="C42" s="98"/>
      <c r="S42" s="83"/>
    </row>
    <row r="43" customFormat="false" ht="15" hidden="false" customHeight="false" outlineLevel="0" collapsed="false">
      <c r="B43" s="82"/>
      <c r="C43" s="98"/>
      <c r="S43" s="83"/>
    </row>
    <row r="44" customFormat="false" ht="15" hidden="false" customHeight="false" outlineLevel="0" collapsed="false">
      <c r="B44" s="82"/>
      <c r="C44" s="99" t="n">
        <f aca="false">+Utilidad!J109</f>
        <v>0</v>
      </c>
      <c r="G44" s="84" t="n">
        <f aca="false">+Utilidad!J111</f>
        <v>0</v>
      </c>
      <c r="S44" s="83"/>
    </row>
    <row r="45" customFormat="false" ht="15" hidden="false" customHeight="false" outlineLevel="0" collapsed="false">
      <c r="B45" s="82"/>
      <c r="C45" s="100" t="n">
        <f aca="false">+Utilidad!K109</f>
        <v>0</v>
      </c>
      <c r="G45" s="85" t="n">
        <f aca="false">+Utilidad!K111</f>
        <v>0</v>
      </c>
      <c r="S45" s="83"/>
    </row>
    <row r="46" customFormat="false" ht="15" hidden="false" customHeight="false" outlineLevel="0" collapsed="false">
      <c r="B46" s="82"/>
      <c r="C46" s="101" t="n">
        <f aca="false">+Utilidad!L109</f>
        <v>0</v>
      </c>
      <c r="G46" s="87" t="n">
        <f aca="false">+Utilidad!L111</f>
        <v>0</v>
      </c>
      <c r="S46" s="83"/>
    </row>
    <row r="47" customFormat="false" ht="15" hidden="false" customHeight="false" outlineLevel="0" collapsed="false">
      <c r="B47" s="82"/>
      <c r="C47" s="98"/>
      <c r="S47" s="83"/>
    </row>
    <row r="48" customFormat="false" ht="15" hidden="false" customHeight="false" outlineLevel="0" collapsed="false">
      <c r="B48" s="82"/>
      <c r="C48" s="98"/>
      <c r="F48" s="102" t="n">
        <f aca="false">+C44-G44</f>
        <v>0</v>
      </c>
      <c r="S48" s="83"/>
    </row>
    <row r="49" customFormat="false" ht="15" hidden="false" customHeight="false" outlineLevel="0" collapsed="false">
      <c r="B49" s="82"/>
      <c r="C49" s="98"/>
      <c r="S49" s="83"/>
    </row>
    <row r="50" customFormat="false" ht="15" hidden="false" customHeight="false" outlineLevel="0" collapsed="false">
      <c r="B50" s="82"/>
      <c r="C50" s="98"/>
      <c r="S50" s="83"/>
    </row>
    <row r="51" customFormat="false" ht="15" hidden="false" customHeight="false" outlineLevel="0" collapsed="false">
      <c r="B51" s="82"/>
      <c r="C51" s="98"/>
      <c r="S51" s="83"/>
    </row>
    <row r="52" customFormat="false" ht="15" hidden="false" customHeight="false" outlineLevel="0" collapsed="false">
      <c r="B52" s="82"/>
      <c r="C52" s="98"/>
      <c r="S52" s="83"/>
    </row>
    <row r="53" customFormat="false" ht="15" hidden="false" customHeight="false" outlineLevel="0" collapsed="false">
      <c r="B53" s="82"/>
      <c r="C53" s="98"/>
      <c r="I53" s="90" t="n">
        <f aca="false">+Utilidad!J82</f>
        <v>1422</v>
      </c>
      <c r="L53" s="90" t="n">
        <f aca="false">+Utilidad!J83</f>
        <v>69689</v>
      </c>
      <c r="S53" s="83"/>
    </row>
    <row r="54" customFormat="false" ht="15" hidden="false" customHeight="false" outlineLevel="0" collapsed="false">
      <c r="B54" s="82"/>
      <c r="C54" s="99" t="n">
        <f aca="false">+Utilidad!J112</f>
        <v>0</v>
      </c>
      <c r="I54" s="91" t="n">
        <f aca="false">+Utilidad!K82</f>
        <v>0.631373</v>
      </c>
      <c r="L54" s="91" t="n">
        <f aca="false">+Utilidad!K83</f>
        <v>0.64981910904</v>
      </c>
      <c r="S54" s="83"/>
    </row>
    <row r="55" customFormat="false" ht="15" hidden="false" customHeight="false" outlineLevel="0" collapsed="false">
      <c r="B55" s="82"/>
      <c r="C55" s="100" t="n">
        <f aca="false">+Utilidad!K112</f>
        <v>0</v>
      </c>
      <c r="I55" s="94" t="n">
        <f aca="false">+Utilidad!L82</f>
        <v>897.812406</v>
      </c>
      <c r="L55" s="94" t="n">
        <f aca="false">+Utilidad!L83</f>
        <v>45285.2438898886</v>
      </c>
      <c r="S55" s="83"/>
    </row>
    <row r="56" customFormat="false" ht="15" hidden="false" customHeight="false" outlineLevel="0" collapsed="false">
      <c r="B56" s="82"/>
      <c r="C56" s="101" t="n">
        <f aca="false">+Utilidad!L112</f>
        <v>0</v>
      </c>
      <c r="S56" s="83"/>
    </row>
    <row r="57" customFormat="false" ht="15" hidden="false" customHeight="false" outlineLevel="0" collapsed="false">
      <c r="B57" s="82"/>
      <c r="S57" s="83"/>
    </row>
    <row r="58" customFormat="false" ht="15" hidden="false" customHeight="false" outlineLevel="0" collapsed="false">
      <c r="B58" s="82"/>
      <c r="M58" s="86" t="n">
        <f aca="false">Flujos!G24</f>
        <v>1422</v>
      </c>
      <c r="N58" s="20" t="n">
        <f aca="false">+M58/(L53+I53)</f>
        <v>0.019996906245166</v>
      </c>
      <c r="S58" s="83"/>
    </row>
    <row r="59" customFormat="false" ht="15" hidden="false" customHeight="false" outlineLevel="0" collapsed="false">
      <c r="B59" s="82"/>
      <c r="M59" s="88" t="n">
        <f aca="false">Flujos!H24</f>
        <v>0.631373</v>
      </c>
      <c r="S59" s="83"/>
    </row>
    <row r="60" customFormat="false" ht="15" hidden="false" customHeight="false" outlineLevel="0" collapsed="false">
      <c r="B60" s="82"/>
      <c r="M60" s="89" t="n">
        <f aca="false">M59*M58</f>
        <v>897.812406</v>
      </c>
      <c r="S60" s="83"/>
    </row>
    <row r="61" customFormat="false" ht="15" hidden="false" customHeight="false" outlineLevel="0" collapsed="false">
      <c r="B61" s="82"/>
      <c r="S61" s="83"/>
    </row>
    <row r="62" customFormat="false" ht="15" hidden="false" customHeight="false" outlineLevel="0" collapsed="false">
      <c r="B62" s="82"/>
      <c r="C62" s="84" t="n">
        <f aca="false">Flujos!C55</f>
        <v>37855</v>
      </c>
      <c r="S62" s="83"/>
    </row>
    <row r="63" customFormat="false" ht="15" hidden="false" customHeight="false" outlineLevel="0" collapsed="false">
      <c r="B63" s="82"/>
      <c r="C63" s="85" t="n">
        <f aca="false">Flujos!D55</f>
        <v>0.5036</v>
      </c>
      <c r="O63" s="90" t="n">
        <f aca="false">Flujos!G27</f>
        <v>73127</v>
      </c>
      <c r="S63" s="83"/>
    </row>
    <row r="64" customFormat="false" ht="15" hidden="false" customHeight="false" outlineLevel="0" collapsed="false">
      <c r="B64" s="82"/>
      <c r="C64" s="87" t="n">
        <f aca="false">C63*C62</f>
        <v>19063.778</v>
      </c>
      <c r="O64" s="91" t="n">
        <f aca="false">Flujos!H27</f>
        <v>0.6514</v>
      </c>
      <c r="S64" s="83"/>
    </row>
    <row r="65" customFormat="false" ht="15" hidden="false" customHeight="false" outlineLevel="0" collapsed="false">
      <c r="B65" s="82"/>
      <c r="F65" s="90" t="n">
        <f aca="false">I112</f>
        <v>0</v>
      </c>
      <c r="G65" s="0" t="s">
        <v>119</v>
      </c>
      <c r="L65" s="86" t="n">
        <f aca="false">Flujos!G25</f>
        <v>69689</v>
      </c>
      <c r="O65" s="94" t="n">
        <f aca="false">O63*O64</f>
        <v>47634.9278</v>
      </c>
      <c r="S65" s="83"/>
    </row>
    <row r="66" customFormat="false" ht="15" hidden="false" customHeight="false" outlineLevel="0" collapsed="false">
      <c r="B66" s="82"/>
      <c r="F66" s="90" t="n">
        <f aca="false">I113</f>
        <v>3069</v>
      </c>
      <c r="G66" s="0" t="s">
        <v>120</v>
      </c>
      <c r="L66" s="88" t="n">
        <f aca="false">Flujos!H25</f>
        <v>0.64981910904</v>
      </c>
      <c r="S66" s="83"/>
    </row>
    <row r="67" customFormat="false" ht="15" hidden="false" customHeight="false" outlineLevel="0" collapsed="false">
      <c r="B67" s="82"/>
      <c r="F67" s="90" t="n">
        <f aca="false">I114</f>
        <v>0</v>
      </c>
      <c r="G67" s="0" t="s">
        <v>121</v>
      </c>
      <c r="L67" s="89" t="n">
        <f aca="false">L66*L65</f>
        <v>45285.2438898886</v>
      </c>
      <c r="N67" s="95" t="n">
        <f aca="false">Flujos!G26</f>
        <v>-3438</v>
      </c>
      <c r="O67" s="90" t="n">
        <f aca="false">Flujos!G28</f>
        <v>0</v>
      </c>
      <c r="S67" s="83"/>
    </row>
    <row r="68" customFormat="false" ht="15" hidden="false" customHeight="false" outlineLevel="0" collapsed="false">
      <c r="B68" s="82"/>
      <c r="O68" s="91" t="n">
        <f aca="false">Flujos!H28</f>
        <v>0</v>
      </c>
      <c r="S68" s="83"/>
    </row>
    <row r="69" customFormat="false" ht="15" hidden="false" customHeight="false" outlineLevel="0" collapsed="false">
      <c r="B69" s="82"/>
      <c r="O69" s="94" t="n">
        <f aca="false">O67*O68</f>
        <v>0</v>
      </c>
      <c r="S69" s="83"/>
    </row>
    <row r="70" customFormat="false" ht="15" hidden="false" customHeight="false" outlineLevel="0" collapsed="false">
      <c r="B70" s="82"/>
      <c r="H70" s="90" t="n">
        <f aca="false">Flujos!G29</f>
        <v>0</v>
      </c>
      <c r="K70" s="90" t="n">
        <f aca="false">Flujos!G22</f>
        <v>0</v>
      </c>
      <c r="S70" s="83"/>
    </row>
    <row r="71" customFormat="false" ht="15" hidden="false" customHeight="false" outlineLevel="0" collapsed="false">
      <c r="B71" s="82"/>
      <c r="H71" s="91" t="n">
        <f aca="false">Flujos!H29</f>
        <v>0</v>
      </c>
      <c r="K71" s="91" t="n">
        <f aca="false">Flujos!H22</f>
        <v>0</v>
      </c>
      <c r="S71" s="83"/>
    </row>
    <row r="72" customFormat="false" ht="15" hidden="false" customHeight="false" outlineLevel="0" collapsed="false">
      <c r="B72" s="82"/>
      <c r="H72" s="94" t="n">
        <f aca="false">H70*H71</f>
        <v>0</v>
      </c>
      <c r="K72" s="94" t="n">
        <f aca="false">K70*K71</f>
        <v>0</v>
      </c>
      <c r="S72" s="83"/>
    </row>
    <row r="73" customFormat="false" ht="15" hidden="false" customHeight="false" outlineLevel="0" collapsed="false">
      <c r="B73" s="82"/>
      <c r="S73" s="83"/>
    </row>
    <row r="74" customFormat="false" ht="15" hidden="false" customHeight="false" outlineLevel="0" collapsed="false">
      <c r="B74" s="82"/>
      <c r="L74" s="90" t="n">
        <f aca="false">Flujos!G35</f>
        <v>0</v>
      </c>
      <c r="O74" s="90" t="n">
        <f aca="false">Flujos!G33</f>
        <v>0</v>
      </c>
      <c r="S74" s="83"/>
    </row>
    <row r="75" customFormat="false" ht="15" hidden="false" customHeight="false" outlineLevel="0" collapsed="false">
      <c r="B75" s="82"/>
      <c r="H75" s="90" t="n">
        <f aca="false">Flujos!G30</f>
        <v>0</v>
      </c>
      <c r="J75" s="95" t="n">
        <f aca="false">Flujos!G31</f>
        <v>0</v>
      </c>
      <c r="L75" s="91" t="n">
        <f aca="false">Flujos!H35</f>
        <v>0</v>
      </c>
      <c r="N75" s="95" t="n">
        <f aca="false">Flujos!G34</f>
        <v>6226</v>
      </c>
      <c r="O75" s="91" t="n">
        <f aca="false">Flujos!H33</f>
        <v>0</v>
      </c>
      <c r="S75" s="83"/>
    </row>
    <row r="76" customFormat="false" ht="15" hidden="false" customHeight="false" outlineLevel="0" collapsed="false">
      <c r="B76" s="82"/>
      <c r="H76" s="91" t="n">
        <f aca="false">Flujos!H30</f>
        <v>0</v>
      </c>
      <c r="L76" s="94" t="n">
        <f aca="false">L74*L75</f>
        <v>0</v>
      </c>
      <c r="O76" s="94" t="n">
        <f aca="false">O74*O75</f>
        <v>0</v>
      </c>
      <c r="S76" s="83"/>
    </row>
    <row r="77" customFormat="false" ht="15" hidden="false" customHeight="false" outlineLevel="0" collapsed="false">
      <c r="B77" s="82"/>
      <c r="H77" s="94" t="n">
        <f aca="false">H76*H75</f>
        <v>0</v>
      </c>
      <c r="S77" s="83"/>
    </row>
    <row r="78" customFormat="false" ht="15" hidden="false" customHeight="false" outlineLevel="0" collapsed="false">
      <c r="B78" s="82"/>
      <c r="L78" s="90" t="n">
        <f aca="false">Flujos!G36</f>
        <v>0</v>
      </c>
      <c r="S78" s="83"/>
    </row>
    <row r="79" customFormat="false" ht="15" hidden="false" customHeight="false" outlineLevel="0" collapsed="false">
      <c r="B79" s="82"/>
      <c r="L79" s="91" t="n">
        <f aca="false">Flujos!H36</f>
        <v>0</v>
      </c>
      <c r="Q79" s="90" t="n">
        <f aca="false">Flujos!G58</f>
        <v>0</v>
      </c>
      <c r="S79" s="83"/>
    </row>
    <row r="80" customFormat="false" ht="15" hidden="false" customHeight="false" outlineLevel="0" collapsed="false">
      <c r="B80" s="82"/>
      <c r="L80" s="94" t="n">
        <f aca="false">L79*L78</f>
        <v>0</v>
      </c>
      <c r="Q80" s="91" t="n">
        <f aca="false">Flujos!H58</f>
        <v>0</v>
      </c>
      <c r="S80" s="83"/>
    </row>
    <row r="81" customFormat="false" ht="15" hidden="false" customHeight="false" outlineLevel="0" collapsed="false">
      <c r="B81" s="82"/>
      <c r="Q81" s="94" t="n">
        <f aca="false">Q79*Q80</f>
        <v>0</v>
      </c>
      <c r="S81" s="83"/>
    </row>
    <row r="82" customFormat="false" ht="15" hidden="false" customHeight="false" outlineLevel="0" collapsed="false">
      <c r="B82" s="82"/>
      <c r="K82" s="90" t="n">
        <f aca="false">Flujos!G57</f>
        <v>3157</v>
      </c>
      <c r="S82" s="83"/>
    </row>
    <row r="83" customFormat="false" ht="15" hidden="false" customHeight="false" outlineLevel="0" collapsed="false">
      <c r="B83" s="82"/>
      <c r="K83" s="91" t="n">
        <f aca="false">Flujos!H57</f>
        <v>0.6346</v>
      </c>
      <c r="S83" s="83"/>
    </row>
    <row r="84" customFormat="false" ht="15" hidden="false" customHeight="false" outlineLevel="0" collapsed="false">
      <c r="B84" s="82"/>
      <c r="K84" s="94" t="n">
        <f aca="false">K82*K83</f>
        <v>2003.4322</v>
      </c>
      <c r="O84" s="90" t="n">
        <f aca="false">Flujos!G40</f>
        <v>0</v>
      </c>
      <c r="S84" s="83"/>
    </row>
    <row r="85" customFormat="false" ht="15" hidden="false" customHeight="false" outlineLevel="0" collapsed="false">
      <c r="B85" s="82"/>
      <c r="H85" s="8" t="n">
        <f aca="false">5562+L74</f>
        <v>5562</v>
      </c>
      <c r="O85" s="91" t="n">
        <f aca="false">Flujos!H40</f>
        <v>0</v>
      </c>
      <c r="S85" s="83"/>
    </row>
    <row r="86" customFormat="false" ht="15" hidden="false" customHeight="false" outlineLevel="0" collapsed="false">
      <c r="B86" s="82"/>
      <c r="K86" s="90" t="n">
        <f aca="false">+Utilidad!J98</f>
        <v>0</v>
      </c>
      <c r="O86" s="94" t="n">
        <f aca="false">O84*O85</f>
        <v>0</v>
      </c>
      <c r="S86" s="83"/>
    </row>
    <row r="87" customFormat="false" ht="15" hidden="false" customHeight="false" outlineLevel="0" collapsed="false">
      <c r="B87" s="82"/>
      <c r="K87" s="91" t="n">
        <f aca="false">+Utilidad!K98</f>
        <v>0</v>
      </c>
      <c r="Q87" s="0" t="s">
        <v>113</v>
      </c>
      <c r="S87" s="83"/>
    </row>
    <row r="88" customFormat="false" ht="15" hidden="false" customHeight="false" outlineLevel="0" collapsed="false">
      <c r="B88" s="82"/>
      <c r="K88" s="94" t="n">
        <f aca="false">+Utilidad!L98</f>
        <v>0</v>
      </c>
      <c r="N88" s="104" t="n">
        <f aca="false">+L90+K86-O84</f>
        <v>0</v>
      </c>
      <c r="S88" s="83"/>
    </row>
    <row r="89" customFormat="false" ht="15" hidden="false" customHeight="false" outlineLevel="0" collapsed="false">
      <c r="B89" s="82"/>
      <c r="S89" s="83"/>
    </row>
    <row r="90" customFormat="false" ht="15" hidden="false" customHeight="false" outlineLevel="0" collapsed="false">
      <c r="B90" s="82"/>
      <c r="L90" s="90" t="n">
        <f aca="false">+Utilidad!J97</f>
        <v>0</v>
      </c>
      <c r="R90" s="0" t="s">
        <v>114</v>
      </c>
      <c r="S90" s="83"/>
    </row>
    <row r="91" customFormat="false" ht="15" hidden="false" customHeight="false" outlineLevel="0" collapsed="false">
      <c r="B91" s="82"/>
      <c r="L91" s="91" t="n">
        <f aca="false">+Utilidad!K97</f>
        <v>0</v>
      </c>
      <c r="S91" s="83"/>
    </row>
    <row r="92" customFormat="false" ht="15" hidden="false" customHeight="false" outlineLevel="0" collapsed="false">
      <c r="B92" s="82"/>
      <c r="L92" s="94" t="n">
        <f aca="false">+Utilidad!L97</f>
        <v>0</v>
      </c>
      <c r="S92" s="83"/>
    </row>
    <row r="93" customFormat="false" ht="15" hidden="false" customHeight="false" outlineLevel="0" collapsed="false">
      <c r="B93" s="82"/>
      <c r="P93" s="0" t="s">
        <v>115</v>
      </c>
      <c r="S93" s="83"/>
    </row>
    <row r="94" customFormat="false" ht="15" hidden="false" customHeight="false" outlineLevel="0" collapsed="false">
      <c r="B94" s="105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7"/>
      <c r="Q94" s="106"/>
      <c r="R94" s="106"/>
      <c r="S94" s="107"/>
    </row>
    <row r="95" customFormat="false" ht="15" hidden="false" customHeight="false" outlineLevel="0" collapsed="false">
      <c r="G95" s="108" t="s">
        <v>122</v>
      </c>
    </row>
    <row r="96" customFormat="false" ht="25.5" hidden="false" customHeight="true" outlineLevel="0" collapsed="false">
      <c r="G96" s="109" t="s">
        <v>123</v>
      </c>
      <c r="H96" s="109"/>
      <c r="I96" s="109"/>
      <c r="J96" s="110" t="s">
        <v>124</v>
      </c>
      <c r="K96" s="110"/>
      <c r="L96" s="110"/>
      <c r="M96" s="111" t="s">
        <v>125</v>
      </c>
      <c r="N96" s="111"/>
      <c r="O96" s="111"/>
      <c r="P96" s="111"/>
    </row>
    <row r="97" customFormat="false" ht="25.5" hidden="false" customHeight="true" outlineLevel="0" collapsed="false">
      <c r="G97" s="112" t="s">
        <v>126</v>
      </c>
      <c r="H97" s="112"/>
      <c r="I97" s="113" t="n">
        <f aca="false">+E6</f>
        <v>150420</v>
      </c>
      <c r="J97" s="114" t="s">
        <v>50</v>
      </c>
      <c r="K97" s="114"/>
      <c r="L97" s="115" t="n">
        <f aca="false">Flujos!G9</f>
        <v>-34429.130716</v>
      </c>
      <c r="M97" s="116" t="s">
        <v>127</v>
      </c>
      <c r="N97" s="116"/>
      <c r="O97" s="116"/>
      <c r="P97" s="115" t="n">
        <f aca="false">+G15</f>
        <v>60303</v>
      </c>
    </row>
    <row r="98" customFormat="false" ht="25.5" hidden="false" customHeight="true" outlineLevel="0" collapsed="false">
      <c r="G98" s="112" t="s">
        <v>128</v>
      </c>
      <c r="H98" s="112"/>
      <c r="I98" s="113" t="n">
        <f aca="false">+C12</f>
        <v>0</v>
      </c>
      <c r="J98" s="116" t="s">
        <v>51</v>
      </c>
      <c r="K98" s="116"/>
      <c r="L98" s="115" t="n">
        <f aca="false">Flujos!G17</f>
        <v>12216.727578</v>
      </c>
      <c r="M98" s="116" t="s">
        <v>106</v>
      </c>
      <c r="N98" s="116"/>
      <c r="O98" s="116"/>
      <c r="P98" s="115" t="n">
        <f aca="false">+Q7</f>
        <v>24875.066453</v>
      </c>
    </row>
    <row r="99" customFormat="false" ht="25.5" hidden="false" customHeight="true" outlineLevel="0" collapsed="false">
      <c r="G99" s="112" t="s">
        <v>129</v>
      </c>
      <c r="H99" s="112"/>
      <c r="I99" s="113" t="n">
        <f aca="false">+H13</f>
        <v>0</v>
      </c>
      <c r="J99" s="116" t="s">
        <v>130</v>
      </c>
      <c r="K99" s="116"/>
      <c r="L99" s="115" t="n">
        <v>0</v>
      </c>
      <c r="M99" s="116" t="s">
        <v>0</v>
      </c>
      <c r="N99" s="116"/>
      <c r="O99" s="116"/>
      <c r="P99" s="115" t="n">
        <f aca="false">+Q11</f>
        <v>15456.336685</v>
      </c>
    </row>
    <row r="100" customFormat="false" ht="25.5" hidden="false" customHeight="true" outlineLevel="0" collapsed="false">
      <c r="G100" s="117" t="s">
        <v>131</v>
      </c>
      <c r="H100" s="117"/>
      <c r="I100" s="113" t="n">
        <f aca="false">+C26</f>
        <v>0</v>
      </c>
      <c r="J100" s="116" t="s">
        <v>132</v>
      </c>
      <c r="K100" s="116"/>
      <c r="L100" s="115" t="n">
        <f aca="false">Flujos!G21</f>
        <v>-5099</v>
      </c>
      <c r="M100" s="116" t="s">
        <v>133</v>
      </c>
      <c r="N100" s="116"/>
      <c r="O100" s="116"/>
      <c r="P100" s="115" t="n">
        <f aca="false">+I30</f>
        <v>43841</v>
      </c>
    </row>
    <row r="101" customFormat="false" ht="25.5" hidden="false" customHeight="true" outlineLevel="0" collapsed="false">
      <c r="G101" s="117" t="s">
        <v>35</v>
      </c>
      <c r="H101" s="117"/>
      <c r="I101" s="113" t="n">
        <f aca="false">+C35</f>
        <v>0</v>
      </c>
      <c r="J101" s="116" t="s">
        <v>134</v>
      </c>
      <c r="K101" s="116"/>
      <c r="L101" s="115" t="n">
        <f aca="false">Flujos!G31</f>
        <v>0</v>
      </c>
      <c r="M101" s="116" t="s">
        <v>135</v>
      </c>
      <c r="N101" s="116"/>
      <c r="O101" s="116"/>
      <c r="P101" s="115" t="n">
        <f aca="false">+M58</f>
        <v>1422</v>
      </c>
    </row>
    <row r="102" customFormat="false" ht="25.5" hidden="false" customHeight="true" outlineLevel="0" collapsed="false">
      <c r="G102" s="117" t="s">
        <v>38</v>
      </c>
      <c r="H102" s="117"/>
      <c r="I102" s="113" t="n">
        <f aca="false">+C44</f>
        <v>0</v>
      </c>
      <c r="J102" s="116" t="s">
        <v>136</v>
      </c>
      <c r="K102" s="116"/>
      <c r="L102" s="115" t="n">
        <f aca="false">Flujos!G44</f>
        <v>0</v>
      </c>
      <c r="M102" s="116" t="s">
        <v>70</v>
      </c>
      <c r="N102" s="116"/>
      <c r="O102" s="116"/>
      <c r="P102" s="115" t="n">
        <f aca="false">+O63</f>
        <v>73127</v>
      </c>
    </row>
    <row r="103" customFormat="false" ht="25.5" hidden="false" customHeight="true" outlineLevel="0" collapsed="false">
      <c r="G103" s="117" t="s">
        <v>137</v>
      </c>
      <c r="H103" s="117"/>
      <c r="I103" s="113" t="n">
        <f aca="false">+C54</f>
        <v>0</v>
      </c>
      <c r="J103" s="116" t="s">
        <v>138</v>
      </c>
      <c r="K103" s="116"/>
      <c r="L103" s="115" t="n">
        <f aca="false">Flujos!G47</f>
        <v>0</v>
      </c>
      <c r="M103" s="116" t="s">
        <v>139</v>
      </c>
      <c r="N103" s="116"/>
      <c r="O103" s="116"/>
      <c r="P103" s="115" t="n">
        <f aca="false">+O67</f>
        <v>0</v>
      </c>
    </row>
    <row r="104" customFormat="false" ht="25.5" hidden="false" customHeight="true" outlineLevel="0" collapsed="false">
      <c r="G104" s="117" t="s">
        <v>140</v>
      </c>
      <c r="H104" s="117"/>
      <c r="I104" s="113" t="n">
        <f aca="false">+C62</f>
        <v>37855</v>
      </c>
      <c r="J104" s="116" t="s">
        <v>141</v>
      </c>
      <c r="K104" s="116"/>
      <c r="L104" s="115" t="n">
        <f aca="false">Flujos!G50</f>
        <v>0</v>
      </c>
      <c r="M104" s="116" t="s">
        <v>142</v>
      </c>
      <c r="N104" s="116"/>
      <c r="O104" s="116"/>
      <c r="P104" s="115" t="n">
        <f aca="false">+O74</f>
        <v>0</v>
      </c>
    </row>
    <row r="105" customFormat="false" ht="25.5" hidden="false" customHeight="true" outlineLevel="0" collapsed="false">
      <c r="G105" s="117" t="s">
        <v>143</v>
      </c>
      <c r="H105" s="117"/>
      <c r="I105" s="113" t="n">
        <f aca="false">+H70</f>
        <v>0</v>
      </c>
      <c r="J105" s="116" t="s">
        <v>144</v>
      </c>
      <c r="K105" s="116"/>
      <c r="L105" s="115" t="n">
        <f aca="false">Flujos!G53</f>
        <v>0</v>
      </c>
      <c r="M105" s="116" t="s">
        <v>72</v>
      </c>
      <c r="N105" s="116"/>
      <c r="O105" s="116"/>
      <c r="P105" s="115" t="n">
        <f aca="false">+O84</f>
        <v>0</v>
      </c>
    </row>
    <row r="106" customFormat="false" ht="25.5" hidden="false" customHeight="true" outlineLevel="0" collapsed="false">
      <c r="G106" s="117" t="s">
        <v>145</v>
      </c>
      <c r="H106" s="117"/>
      <c r="I106" s="113" t="n">
        <f aca="false">+H75</f>
        <v>0</v>
      </c>
      <c r="J106" s="116" t="s">
        <v>146</v>
      </c>
      <c r="K106" s="116"/>
      <c r="L106" s="115" t="n">
        <f aca="false">Flujos!G42</f>
        <v>0</v>
      </c>
      <c r="M106" s="116" t="s">
        <v>109</v>
      </c>
      <c r="N106" s="116"/>
      <c r="O106" s="116"/>
      <c r="P106" s="115" t="n">
        <f aca="false">Q79</f>
        <v>0</v>
      </c>
    </row>
    <row r="107" customFormat="false" ht="25.5" hidden="false" customHeight="true" outlineLevel="0" collapsed="false">
      <c r="G107" s="118" t="s">
        <v>147</v>
      </c>
      <c r="H107" s="119"/>
      <c r="I107" s="113" t="n">
        <f aca="false">+L74</f>
        <v>0</v>
      </c>
      <c r="J107" s="116" t="s">
        <v>148</v>
      </c>
      <c r="K107" s="116"/>
      <c r="L107" s="115" t="n">
        <f aca="false">Flujos!G26</f>
        <v>-3438</v>
      </c>
      <c r="M107" s="116" t="s">
        <v>149</v>
      </c>
      <c r="N107" s="116"/>
      <c r="O107" s="116"/>
      <c r="P107" s="115"/>
    </row>
    <row r="108" customFormat="false" ht="25.5" hidden="false" customHeight="true" outlineLevel="0" collapsed="false">
      <c r="G108" s="118" t="s">
        <v>150</v>
      </c>
      <c r="H108" s="119"/>
      <c r="I108" s="113" t="n">
        <f aca="false">+L78</f>
        <v>0</v>
      </c>
      <c r="J108" s="116" t="s">
        <v>151</v>
      </c>
      <c r="K108" s="116"/>
      <c r="L108" s="115" t="n">
        <f aca="false">Flujos!G34</f>
        <v>6226</v>
      </c>
      <c r="M108" s="120"/>
      <c r="N108" s="120"/>
      <c r="O108" s="120"/>
      <c r="P108" s="115"/>
    </row>
    <row r="109" customFormat="false" ht="25.5" hidden="false" customHeight="true" outlineLevel="0" collapsed="false">
      <c r="G109" s="118" t="s">
        <v>152</v>
      </c>
      <c r="H109" s="119"/>
      <c r="I109" s="113" t="n">
        <f aca="false">+K86</f>
        <v>0</v>
      </c>
      <c r="J109" s="116" t="s">
        <v>153</v>
      </c>
      <c r="K109" s="116"/>
      <c r="L109" s="115" t="n">
        <f aca="false">Flujos!G39</f>
        <v>0</v>
      </c>
      <c r="M109" s="120"/>
      <c r="N109" s="120"/>
      <c r="O109" s="120"/>
      <c r="P109" s="115"/>
    </row>
    <row r="110" customFormat="false" ht="25.5" hidden="false" customHeight="true" outlineLevel="0" collapsed="false">
      <c r="G110" s="117" t="s">
        <v>154</v>
      </c>
      <c r="H110" s="117"/>
      <c r="I110" s="113" t="n">
        <f aca="false">+L90</f>
        <v>0</v>
      </c>
      <c r="J110" s="116" t="s">
        <v>155</v>
      </c>
      <c r="K110" s="116"/>
      <c r="L110" s="115" t="n">
        <f aca="false">Flujos!G69</f>
        <v>0</v>
      </c>
      <c r="M110" s="116"/>
      <c r="N110" s="116"/>
      <c r="O110" s="116"/>
      <c r="P110" s="115"/>
    </row>
    <row r="111" customFormat="false" ht="25.5" hidden="false" customHeight="true" outlineLevel="0" collapsed="false">
      <c r="G111" s="117" t="s">
        <v>156</v>
      </c>
      <c r="H111" s="117"/>
      <c r="I111" s="113" t="n">
        <f aca="false">K82</f>
        <v>3157</v>
      </c>
      <c r="J111" s="116"/>
      <c r="K111" s="116"/>
      <c r="L111" s="115"/>
      <c r="M111" s="116"/>
      <c r="N111" s="116"/>
      <c r="O111" s="116"/>
      <c r="P111" s="115"/>
    </row>
    <row r="112" customFormat="false" ht="15" hidden="false" customHeight="false" outlineLevel="0" collapsed="false">
      <c r="G112" s="117" t="s">
        <v>157</v>
      </c>
      <c r="H112" s="117" t="s">
        <v>110</v>
      </c>
      <c r="I112" s="113" t="n">
        <f aca="false">Flujos!G59</f>
        <v>0</v>
      </c>
      <c r="J112" s="116"/>
      <c r="K112" s="116"/>
      <c r="L112" s="115"/>
      <c r="M112" s="116"/>
      <c r="N112" s="116"/>
      <c r="O112" s="116"/>
      <c r="P112" s="115"/>
    </row>
    <row r="113" customFormat="false" ht="15" hidden="false" customHeight="false" outlineLevel="0" collapsed="false">
      <c r="G113" s="117" t="s">
        <v>158</v>
      </c>
      <c r="H113" s="117" t="s">
        <v>111</v>
      </c>
      <c r="I113" s="113" t="n">
        <f aca="false">Flujos!G60</f>
        <v>3069</v>
      </c>
      <c r="J113" s="116"/>
      <c r="K113" s="116"/>
      <c r="L113" s="115"/>
      <c r="M113" s="116"/>
      <c r="N113" s="116"/>
      <c r="O113" s="116"/>
      <c r="P113" s="115"/>
    </row>
    <row r="114" customFormat="false" ht="15" hidden="false" customHeight="false" outlineLevel="0" collapsed="false">
      <c r="G114" s="117" t="s">
        <v>159</v>
      </c>
      <c r="H114" s="117" t="s">
        <v>112</v>
      </c>
      <c r="I114" s="113" t="n">
        <f aca="false">Flujos!G61</f>
        <v>0</v>
      </c>
      <c r="J114" s="116"/>
      <c r="K114" s="116"/>
      <c r="L114" s="115"/>
      <c r="M114" s="116"/>
      <c r="N114" s="116"/>
      <c r="O114" s="116"/>
      <c r="P114" s="115"/>
    </row>
    <row r="115" customFormat="false" ht="15" hidden="false" customHeight="false" outlineLevel="0" collapsed="false">
      <c r="G115" s="117" t="s">
        <v>160</v>
      </c>
      <c r="H115" s="117"/>
      <c r="I115" s="113" t="n">
        <f aca="false">Flujos!G62</f>
        <v>0</v>
      </c>
      <c r="J115" s="116"/>
      <c r="K115" s="116"/>
      <c r="L115" s="115"/>
      <c r="M115" s="116"/>
      <c r="N115" s="116"/>
      <c r="O115" s="116"/>
      <c r="P115" s="115"/>
    </row>
    <row r="116" customFormat="false" ht="15" hidden="false" customHeight="false" outlineLevel="0" collapsed="false">
      <c r="G116" s="117" t="s">
        <v>161</v>
      </c>
      <c r="H116" s="117"/>
      <c r="I116" s="113" t="n">
        <f aca="false">Flujos!G66</f>
        <v>0</v>
      </c>
      <c r="J116" s="116"/>
      <c r="K116" s="116"/>
      <c r="L116" s="115"/>
      <c r="M116" s="116"/>
      <c r="N116" s="116"/>
      <c r="O116" s="116"/>
      <c r="P116" s="115"/>
    </row>
    <row r="117" customFormat="false" ht="15" hidden="false" customHeight="false" outlineLevel="0" collapsed="false">
      <c r="G117" s="118" t="s">
        <v>162</v>
      </c>
      <c r="H117" s="119"/>
      <c r="I117" s="113" t="n">
        <f aca="false">Flujos!G67</f>
        <v>0</v>
      </c>
      <c r="J117" s="116"/>
      <c r="K117" s="116"/>
      <c r="L117" s="115"/>
      <c r="M117" s="116"/>
      <c r="N117" s="116"/>
      <c r="O117" s="116"/>
      <c r="P117" s="115"/>
    </row>
    <row r="118" customFormat="false" ht="15" hidden="false" customHeight="false" outlineLevel="0" collapsed="false">
      <c r="G118" s="118" t="s">
        <v>163</v>
      </c>
      <c r="H118" s="119"/>
      <c r="I118" s="113" t="n">
        <f aca="false">Flujos!G70</f>
        <v>0</v>
      </c>
      <c r="J118" s="116"/>
      <c r="K118" s="116"/>
      <c r="L118" s="115"/>
      <c r="M118" s="116"/>
      <c r="N118" s="116"/>
      <c r="O118" s="116"/>
      <c r="P118" s="115"/>
    </row>
    <row r="119" customFormat="false" ht="15" hidden="false" customHeight="false" outlineLevel="0" collapsed="false">
      <c r="G119" s="117"/>
      <c r="H119" s="117"/>
      <c r="I119" s="113"/>
      <c r="J119" s="116"/>
      <c r="K119" s="116"/>
      <c r="L119" s="115"/>
      <c r="M119" s="116"/>
      <c r="N119" s="116"/>
      <c r="O119" s="116"/>
      <c r="P119" s="115"/>
    </row>
    <row r="120" customFormat="false" ht="27.75" hidden="false" customHeight="true" outlineLevel="0" collapsed="false">
      <c r="G120" s="121" t="s">
        <v>164</v>
      </c>
      <c r="H120" s="121"/>
      <c r="I120" s="122" t="n">
        <f aca="false">+SUM(I97:I119)</f>
        <v>194501</v>
      </c>
      <c r="J120" s="123" t="s">
        <v>165</v>
      </c>
      <c r="K120" s="123"/>
      <c r="L120" s="124" t="n">
        <f aca="false">+SUM(L97:L110)</f>
        <v>-24523.403138</v>
      </c>
      <c r="M120" s="123" t="s">
        <v>166</v>
      </c>
      <c r="N120" s="123"/>
      <c r="O120" s="123"/>
      <c r="P120" s="122" t="n">
        <f aca="false">+SUM(P97:P110)</f>
        <v>219024.403138</v>
      </c>
    </row>
    <row r="121" customFormat="false" ht="27.75" hidden="false" customHeight="true" outlineLevel="0" collapsed="false"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</row>
    <row r="122" customFormat="false" ht="27.75" hidden="false" customHeight="true" outlineLevel="0" collapsed="false">
      <c r="G122" s="125"/>
      <c r="J122" s="125"/>
      <c r="K122" s="125"/>
      <c r="L122" s="126" t="s">
        <v>167</v>
      </c>
      <c r="M122" s="127"/>
      <c r="N122" s="128"/>
      <c r="O122" s="127"/>
      <c r="P122" s="129" t="n">
        <f aca="false">+I120-L120-P120</f>
        <v>0</v>
      </c>
    </row>
    <row r="123" customFormat="false" ht="27.75" hidden="false" customHeight="true" outlineLevel="0" collapsed="false"/>
    <row r="124" customFormat="false" ht="27.75" hidden="false" customHeight="true" outlineLevel="0" collapsed="false"/>
    <row r="125" customFormat="false" ht="27.75" hidden="false" customHeight="true" outlineLevel="0" collapsed="false"/>
    <row r="126" customFormat="false" ht="27.75" hidden="false" customHeight="true" outlineLevel="0" collapsed="false">
      <c r="G126" s="108" t="s">
        <v>168</v>
      </c>
    </row>
    <row r="127" customFormat="false" ht="27.75" hidden="false" customHeight="true" outlineLevel="0" collapsed="false">
      <c r="G127" s="130" t="s">
        <v>123</v>
      </c>
      <c r="H127" s="130"/>
      <c r="I127" s="130"/>
      <c r="J127" s="131" t="s">
        <v>124</v>
      </c>
      <c r="K127" s="131"/>
      <c r="L127" s="131"/>
      <c r="M127" s="132" t="s">
        <v>125</v>
      </c>
      <c r="N127" s="132"/>
      <c r="O127" s="132"/>
      <c r="P127" s="132"/>
    </row>
    <row r="128" customFormat="false" ht="27.75" hidden="false" customHeight="true" outlineLevel="0" collapsed="false">
      <c r="G128" s="112" t="s">
        <v>126</v>
      </c>
      <c r="H128" s="112"/>
      <c r="I128" s="113" t="n">
        <f aca="false">+E8</f>
        <v>35920.296</v>
      </c>
      <c r="J128" s="114" t="s">
        <v>50</v>
      </c>
      <c r="K128" s="114"/>
      <c r="L128" s="115" t="n">
        <f aca="false">Flujos!G9*Flujos!H9</f>
        <v>-11044.0044054249</v>
      </c>
      <c r="M128" s="116" t="s">
        <v>127</v>
      </c>
      <c r="N128" s="116"/>
      <c r="O128" s="116"/>
      <c r="P128" s="115" t="n">
        <f aca="false">+G17</f>
        <v>7963.01115</v>
      </c>
    </row>
    <row r="129" customFormat="false" ht="27.75" hidden="false" customHeight="true" outlineLevel="0" collapsed="false">
      <c r="G129" s="133" t="s">
        <v>128</v>
      </c>
      <c r="H129" s="134"/>
      <c r="I129" s="113" t="n">
        <f aca="false">+C14</f>
        <v>0</v>
      </c>
      <c r="J129" s="116" t="s">
        <v>51</v>
      </c>
      <c r="K129" s="116"/>
      <c r="L129" s="115" t="n">
        <f aca="false">Flujos!G17*Flujos!H17</f>
        <v>4812.96308026677</v>
      </c>
      <c r="M129" s="116" t="s">
        <v>106</v>
      </c>
      <c r="N129" s="116"/>
      <c r="O129" s="116"/>
      <c r="P129" s="115" t="n">
        <f aca="false">+Q9</f>
        <v>4787.70404020891</v>
      </c>
    </row>
    <row r="130" customFormat="false" ht="27.75" hidden="false" customHeight="true" outlineLevel="0" collapsed="false">
      <c r="G130" s="133" t="s">
        <v>129</v>
      </c>
      <c r="H130" s="135"/>
      <c r="I130" s="113" t="n">
        <f aca="false">+H15</f>
        <v>0</v>
      </c>
      <c r="J130" s="116" t="s">
        <v>130</v>
      </c>
      <c r="K130" s="116"/>
      <c r="L130" s="115" t="n">
        <v>0</v>
      </c>
      <c r="M130" s="116" t="s">
        <v>0</v>
      </c>
      <c r="N130" s="116"/>
      <c r="O130" s="116"/>
      <c r="P130" s="115" t="n">
        <f aca="false">+Q13</f>
        <v>1678.32631894072</v>
      </c>
    </row>
    <row r="131" customFormat="false" ht="27.75" hidden="false" customHeight="true" outlineLevel="0" collapsed="false">
      <c r="G131" s="118" t="s">
        <v>131</v>
      </c>
      <c r="H131" s="119"/>
      <c r="I131" s="113" t="n">
        <f aca="false">+C28</f>
        <v>0</v>
      </c>
      <c r="J131" s="116" t="s">
        <v>132</v>
      </c>
      <c r="K131" s="116"/>
      <c r="L131" s="115" t="n">
        <f aca="false">Flujos!G21*Flujos!H21</f>
        <v>-3482.744475</v>
      </c>
      <c r="M131" s="116" t="s">
        <v>133</v>
      </c>
      <c r="N131" s="116"/>
      <c r="O131" s="116"/>
      <c r="P131" s="115" t="n">
        <f aca="false">+I32</f>
        <v>4085.761995</v>
      </c>
    </row>
    <row r="132" customFormat="false" ht="27.75" hidden="false" customHeight="true" outlineLevel="0" collapsed="false">
      <c r="G132" s="118" t="s">
        <v>35</v>
      </c>
      <c r="H132" s="119"/>
      <c r="I132" s="113" t="n">
        <f aca="false">+C37</f>
        <v>0</v>
      </c>
      <c r="J132" s="116" t="s">
        <v>134</v>
      </c>
      <c r="K132" s="116"/>
      <c r="L132" s="115" t="n">
        <f aca="false">Flujos!G31*Flujos!H31</f>
        <v>0</v>
      </c>
      <c r="M132" s="116" t="s">
        <v>135</v>
      </c>
      <c r="N132" s="116"/>
      <c r="O132" s="116"/>
      <c r="P132" s="115" t="n">
        <f aca="false">+M60</f>
        <v>897.812406</v>
      </c>
    </row>
    <row r="133" customFormat="false" ht="27.75" hidden="false" customHeight="true" outlineLevel="0" collapsed="false">
      <c r="G133" s="118" t="s">
        <v>38</v>
      </c>
      <c r="H133" s="119"/>
      <c r="I133" s="113" t="n">
        <f aca="false">+C46</f>
        <v>0</v>
      </c>
      <c r="J133" s="116" t="s">
        <v>136</v>
      </c>
      <c r="K133" s="116"/>
      <c r="L133" s="115" t="n">
        <f aca="false">Flujos!G44*Flujos!H44</f>
        <v>0</v>
      </c>
      <c r="M133" s="116" t="s">
        <v>70</v>
      </c>
      <c r="N133" s="116"/>
      <c r="O133" s="116"/>
      <c r="P133" s="115" t="n">
        <f aca="false">+O65</f>
        <v>47634.9278</v>
      </c>
    </row>
    <row r="134" customFormat="false" ht="22.5" hidden="false" customHeight="true" outlineLevel="0" collapsed="false">
      <c r="G134" s="118" t="s">
        <v>137</v>
      </c>
      <c r="H134" s="119"/>
      <c r="I134" s="113" t="n">
        <f aca="false">+C56</f>
        <v>0</v>
      </c>
      <c r="J134" s="116" t="s">
        <v>138</v>
      </c>
      <c r="K134" s="116"/>
      <c r="L134" s="115" t="n">
        <f aca="false">Flujos!G47*Flujos!H47</f>
        <v>0</v>
      </c>
      <c r="M134" s="116" t="s">
        <v>139</v>
      </c>
      <c r="N134" s="116"/>
      <c r="O134" s="116"/>
      <c r="P134" s="115" t="n">
        <f aca="false">+O69</f>
        <v>0</v>
      </c>
    </row>
    <row r="135" customFormat="false" ht="15" hidden="false" customHeight="false" outlineLevel="0" collapsed="false">
      <c r="G135" s="118" t="s">
        <v>140</v>
      </c>
      <c r="H135" s="119"/>
      <c r="I135" s="113" t="n">
        <f aca="false">C64</f>
        <v>19063.778</v>
      </c>
      <c r="J135" s="116" t="s">
        <v>141</v>
      </c>
      <c r="K135" s="116"/>
      <c r="L135" s="115" t="n">
        <f aca="false">Flujos!G50*Flujos!H50</f>
        <v>0</v>
      </c>
      <c r="M135" s="116" t="s">
        <v>142</v>
      </c>
      <c r="N135" s="116"/>
      <c r="O135" s="116"/>
      <c r="P135" s="115" t="n">
        <f aca="false">+O76</f>
        <v>0</v>
      </c>
    </row>
    <row r="136" customFormat="false" ht="15" hidden="false" customHeight="false" outlineLevel="0" collapsed="false">
      <c r="G136" s="118" t="s">
        <v>143</v>
      </c>
      <c r="H136" s="119"/>
      <c r="I136" s="113" t="n">
        <f aca="false">+H72</f>
        <v>0</v>
      </c>
      <c r="J136" s="116" t="s">
        <v>144</v>
      </c>
      <c r="K136" s="116"/>
      <c r="L136" s="115" t="n">
        <f aca="false">Flujos!G53*Flujos!H53</f>
        <v>0</v>
      </c>
      <c r="M136" s="116" t="s">
        <v>72</v>
      </c>
      <c r="N136" s="116"/>
      <c r="O136" s="116"/>
      <c r="P136" s="115" t="n">
        <f aca="false">+O86</f>
        <v>0</v>
      </c>
    </row>
    <row r="137" customFormat="false" ht="15" hidden="false" customHeight="false" outlineLevel="0" collapsed="false">
      <c r="G137" s="118" t="s">
        <v>145</v>
      </c>
      <c r="H137" s="119"/>
      <c r="I137" s="113" t="n">
        <f aca="false">+H77</f>
        <v>0</v>
      </c>
      <c r="J137" s="116" t="s">
        <v>146</v>
      </c>
      <c r="K137" s="116"/>
      <c r="L137" s="115" t="n">
        <f aca="false">Flujos!G42*Flujos!H42</f>
        <v>0</v>
      </c>
      <c r="M137" s="116" t="s">
        <v>109</v>
      </c>
      <c r="N137" s="116"/>
      <c r="O137" s="116"/>
      <c r="P137" s="115" t="n">
        <f aca="false">Q81</f>
        <v>0</v>
      </c>
    </row>
    <row r="138" customFormat="false" ht="15" hidden="false" customHeight="false" outlineLevel="0" collapsed="false">
      <c r="G138" s="118" t="s">
        <v>147</v>
      </c>
      <c r="H138" s="119"/>
      <c r="I138" s="113" t="n">
        <f aca="false">+L76</f>
        <v>0</v>
      </c>
      <c r="J138" s="116" t="s">
        <v>148</v>
      </c>
      <c r="K138" s="116"/>
      <c r="L138" s="115" t="n">
        <f aca="false">Flujos!G26*Flujos!H26</f>
        <v>-2349.68391</v>
      </c>
      <c r="M138" s="116" t="s">
        <v>149</v>
      </c>
      <c r="N138" s="116"/>
      <c r="O138" s="116"/>
      <c r="P138" s="115" t="n">
        <f aca="false">Flujos!G68*Flujos!H68</f>
        <v>0</v>
      </c>
    </row>
    <row r="139" customFormat="false" ht="15" hidden="false" customHeight="false" outlineLevel="0" collapsed="false">
      <c r="G139" s="118" t="s">
        <v>150</v>
      </c>
      <c r="H139" s="119"/>
      <c r="I139" s="113" t="n">
        <f aca="false">+L80</f>
        <v>0</v>
      </c>
      <c r="J139" s="116" t="s">
        <v>151</v>
      </c>
      <c r="K139" s="116"/>
      <c r="L139" s="115" t="n">
        <f aca="false">Flujos!G34*Flujos!H34</f>
        <v>3936.90219997558</v>
      </c>
      <c r="M139" s="120"/>
      <c r="N139" s="120"/>
      <c r="O139" s="120"/>
      <c r="P139" s="115"/>
    </row>
    <row r="140" customFormat="false" ht="15" hidden="false" customHeight="false" outlineLevel="0" collapsed="false">
      <c r="G140" s="118" t="s">
        <v>152</v>
      </c>
      <c r="H140" s="119"/>
      <c r="I140" s="113" t="n">
        <f aca="false">+K88</f>
        <v>0</v>
      </c>
      <c r="J140" s="116" t="s">
        <v>153</v>
      </c>
      <c r="K140" s="116"/>
      <c r="L140" s="115" t="n">
        <f aca="false">Flujos!G39*Flujos!H39</f>
        <v>0</v>
      </c>
      <c r="M140" s="136"/>
      <c r="N140" s="137"/>
      <c r="O140" s="138"/>
      <c r="P140" s="115"/>
    </row>
    <row r="141" customFormat="false" ht="15" hidden="false" customHeight="false" outlineLevel="0" collapsed="false">
      <c r="G141" s="118" t="s">
        <v>154</v>
      </c>
      <c r="H141" s="119"/>
      <c r="I141" s="113" t="n">
        <f aca="false">+L92</f>
        <v>0</v>
      </c>
      <c r="J141" s="116" t="s">
        <v>155</v>
      </c>
      <c r="K141" s="116"/>
      <c r="L141" s="115" t="n">
        <f aca="false">Flujos!G69*Flujos!H69</f>
        <v>0</v>
      </c>
      <c r="M141" s="116"/>
      <c r="N141" s="116"/>
      <c r="O141" s="116"/>
      <c r="P141" s="115"/>
    </row>
    <row r="142" customFormat="false" ht="15" hidden="false" customHeight="false" outlineLevel="0" collapsed="false">
      <c r="G142" s="117" t="s">
        <v>156</v>
      </c>
      <c r="H142" s="117"/>
      <c r="I142" s="113" t="n">
        <f aca="false">K84</f>
        <v>2003.4322</v>
      </c>
      <c r="M142" s="116"/>
      <c r="N142" s="116"/>
      <c r="O142" s="116"/>
      <c r="P142" s="115"/>
    </row>
    <row r="143" customFormat="false" ht="15" hidden="false" customHeight="false" outlineLevel="0" collapsed="false">
      <c r="G143" s="117" t="s">
        <v>169</v>
      </c>
      <c r="H143" s="117"/>
      <c r="I143" s="113" t="n">
        <f aca="false">Flujos!G59*Flujos!H59</f>
        <v>0</v>
      </c>
      <c r="J143" s="116"/>
      <c r="K143" s="116"/>
      <c r="L143" s="115"/>
      <c r="M143" s="139"/>
      <c r="N143" s="139"/>
      <c r="O143" s="139"/>
      <c r="P143" s="115"/>
    </row>
    <row r="144" customFormat="false" ht="15" hidden="false" customHeight="false" outlineLevel="0" collapsed="false">
      <c r="G144" s="117" t="s">
        <v>170</v>
      </c>
      <c r="H144" s="117"/>
      <c r="I144" s="113" t="n">
        <f aca="false">Flujos!G60*Flujos!H60</f>
        <v>1933.47</v>
      </c>
      <c r="J144" s="116"/>
      <c r="K144" s="116"/>
      <c r="L144" s="115"/>
      <c r="M144" s="139"/>
      <c r="N144" s="139"/>
      <c r="O144" s="139"/>
      <c r="P144" s="115"/>
    </row>
    <row r="145" customFormat="false" ht="15" hidden="false" customHeight="false" outlineLevel="0" collapsed="false">
      <c r="G145" s="117" t="s">
        <v>171</v>
      </c>
      <c r="H145" s="117"/>
      <c r="I145" s="113" t="n">
        <f aca="false">Flujos!G61*Flujos!H61</f>
        <v>0</v>
      </c>
      <c r="J145" s="116"/>
      <c r="K145" s="116"/>
      <c r="L145" s="115"/>
      <c r="M145" s="139"/>
      <c r="N145" s="139"/>
      <c r="O145" s="139"/>
      <c r="P145" s="115"/>
    </row>
    <row r="146" customFormat="false" ht="15" hidden="false" customHeight="false" outlineLevel="0" collapsed="false">
      <c r="G146" s="117" t="s">
        <v>160</v>
      </c>
      <c r="H146" s="117"/>
      <c r="I146" s="113" t="n">
        <f aca="false">Flujos!G62*Flujos!H62</f>
        <v>0</v>
      </c>
      <c r="J146" s="116"/>
      <c r="K146" s="116"/>
      <c r="L146" s="115"/>
      <c r="M146" s="139"/>
      <c r="N146" s="139"/>
      <c r="O146" s="139"/>
      <c r="P146" s="115"/>
    </row>
    <row r="147" customFormat="false" ht="15" hidden="false" customHeight="false" outlineLevel="0" collapsed="false">
      <c r="G147" s="117" t="s">
        <v>161</v>
      </c>
      <c r="H147" s="117"/>
      <c r="I147" s="113" t="n">
        <f aca="false">Flujos!G66*Flujos!H66</f>
        <v>0</v>
      </c>
      <c r="J147" s="116"/>
      <c r="K147" s="116"/>
      <c r="L147" s="115"/>
      <c r="M147" s="116"/>
      <c r="N147" s="116"/>
      <c r="O147" s="116"/>
      <c r="P147" s="115"/>
    </row>
    <row r="148" customFormat="false" ht="15" hidden="false" customHeight="false" outlineLevel="0" collapsed="false">
      <c r="G148" s="118" t="s">
        <v>162</v>
      </c>
      <c r="H148" s="119"/>
      <c r="I148" s="113" t="n">
        <f aca="false">Flujos!G67*Flujos!H67</f>
        <v>0</v>
      </c>
      <c r="J148" s="116"/>
      <c r="K148" s="116"/>
      <c r="L148" s="115"/>
      <c r="M148" s="116"/>
      <c r="N148" s="116"/>
      <c r="O148" s="116"/>
      <c r="P148" s="115"/>
    </row>
    <row r="149" customFormat="false" ht="15" hidden="false" customHeight="false" outlineLevel="0" collapsed="false">
      <c r="G149" s="118" t="s">
        <v>163</v>
      </c>
      <c r="H149" s="119"/>
      <c r="I149" s="113" t="n">
        <f aca="false">Flujos!G70*Flujos!H70</f>
        <v>0</v>
      </c>
      <c r="J149" s="116"/>
      <c r="K149" s="116"/>
      <c r="L149" s="115"/>
      <c r="M149" s="116"/>
      <c r="N149" s="116"/>
      <c r="O149" s="116"/>
      <c r="P149" s="115"/>
    </row>
    <row r="150" customFormat="false" ht="15" hidden="false" customHeight="false" outlineLevel="0" collapsed="false">
      <c r="G150" s="117"/>
      <c r="H150" s="117"/>
      <c r="I150" s="113"/>
      <c r="J150" s="116"/>
      <c r="K150" s="116"/>
      <c r="L150" s="115"/>
      <c r="M150" s="116"/>
      <c r="N150" s="116"/>
      <c r="O150" s="116"/>
      <c r="P150" s="115"/>
    </row>
    <row r="151" customFormat="false" ht="17.35" hidden="false" customHeight="false" outlineLevel="0" collapsed="false">
      <c r="G151" s="121" t="s">
        <v>164</v>
      </c>
      <c r="H151" s="121"/>
      <c r="I151" s="122" t="n">
        <f aca="false">+SUM(I128:I150)</f>
        <v>58920.9762</v>
      </c>
      <c r="J151" s="123" t="s">
        <v>165</v>
      </c>
      <c r="K151" s="123"/>
      <c r="L151" s="124" t="n">
        <f aca="false">+SUM(L128:L141)</f>
        <v>-8126.56751018255</v>
      </c>
      <c r="M151" s="123" t="s">
        <v>166</v>
      </c>
      <c r="N151" s="123"/>
      <c r="O151" s="123"/>
      <c r="P151" s="122" t="n">
        <f aca="false">+SUM(P128:P141)</f>
        <v>67047.5437101496</v>
      </c>
    </row>
    <row r="152" customFormat="false" ht="15" hidden="false" customHeight="false" outlineLevel="0" collapsed="false"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</row>
    <row r="153" customFormat="false" ht="17.35" hidden="false" customHeight="false" outlineLevel="0" collapsed="false">
      <c r="G153" s="125"/>
      <c r="J153" s="125"/>
      <c r="K153" s="125"/>
      <c r="L153" s="126" t="s">
        <v>167</v>
      </c>
      <c r="M153" s="127"/>
      <c r="N153" s="128"/>
      <c r="O153" s="127"/>
      <c r="P153" s="129" t="n">
        <f aca="false">+I151-L151-P151</f>
        <v>3.29164322465658E-008</v>
      </c>
    </row>
  </sheetData>
  <mergeCells count="88">
    <mergeCell ref="G96:I96"/>
    <mergeCell ref="J96:L96"/>
    <mergeCell ref="M96:P96"/>
    <mergeCell ref="G97:H97"/>
    <mergeCell ref="J97:K97"/>
    <mergeCell ref="M97:O97"/>
    <mergeCell ref="G98:H98"/>
    <mergeCell ref="J98:K98"/>
    <mergeCell ref="M98:O98"/>
    <mergeCell ref="G99:H99"/>
    <mergeCell ref="J99:K99"/>
    <mergeCell ref="M99:O99"/>
    <mergeCell ref="G100:H100"/>
    <mergeCell ref="J100:K100"/>
    <mergeCell ref="M100:O100"/>
    <mergeCell ref="G101:H101"/>
    <mergeCell ref="J101:K101"/>
    <mergeCell ref="M101:O101"/>
    <mergeCell ref="G102:H102"/>
    <mergeCell ref="M102:O102"/>
    <mergeCell ref="G103:H103"/>
    <mergeCell ref="M103:O103"/>
    <mergeCell ref="G104:H104"/>
    <mergeCell ref="M104:O104"/>
    <mergeCell ref="G105:H105"/>
    <mergeCell ref="M105:O105"/>
    <mergeCell ref="G106:H106"/>
    <mergeCell ref="J106:K106"/>
    <mergeCell ref="M106:O106"/>
    <mergeCell ref="M107:O107"/>
    <mergeCell ref="J108:K108"/>
    <mergeCell ref="M108:O108"/>
    <mergeCell ref="J109:K109"/>
    <mergeCell ref="M109:O109"/>
    <mergeCell ref="G110:H110"/>
    <mergeCell ref="J110:K110"/>
    <mergeCell ref="M110:O110"/>
    <mergeCell ref="G111:H111"/>
    <mergeCell ref="J111:K111"/>
    <mergeCell ref="M111:O111"/>
    <mergeCell ref="G112:H112"/>
    <mergeCell ref="J112:K112"/>
    <mergeCell ref="M112:O112"/>
    <mergeCell ref="G113:H113"/>
    <mergeCell ref="J113:K113"/>
    <mergeCell ref="M113:O113"/>
    <mergeCell ref="G114:H114"/>
    <mergeCell ref="J114:K114"/>
    <mergeCell ref="M114:O114"/>
    <mergeCell ref="G115:H115"/>
    <mergeCell ref="J115:K115"/>
    <mergeCell ref="M115:O115"/>
    <mergeCell ref="G116:H116"/>
    <mergeCell ref="J116:K116"/>
    <mergeCell ref="M116:O116"/>
    <mergeCell ref="G119:H119"/>
    <mergeCell ref="J119:K119"/>
    <mergeCell ref="M119:O119"/>
    <mergeCell ref="G120:H120"/>
    <mergeCell ref="J120:K120"/>
    <mergeCell ref="M120:O120"/>
    <mergeCell ref="G127:I127"/>
    <mergeCell ref="J127:L127"/>
    <mergeCell ref="M127:P127"/>
    <mergeCell ref="G128:H128"/>
    <mergeCell ref="J128:K128"/>
    <mergeCell ref="M128:O128"/>
    <mergeCell ref="M138:O138"/>
    <mergeCell ref="M139:O139"/>
    <mergeCell ref="J141:K141"/>
    <mergeCell ref="G142:H142"/>
    <mergeCell ref="G143:H143"/>
    <mergeCell ref="J143:K143"/>
    <mergeCell ref="G144:H144"/>
    <mergeCell ref="J144:K144"/>
    <mergeCell ref="G145:H145"/>
    <mergeCell ref="J145:K145"/>
    <mergeCell ref="G146:H146"/>
    <mergeCell ref="J146:K146"/>
    <mergeCell ref="G147:H147"/>
    <mergeCell ref="J149:K149"/>
    <mergeCell ref="M149:O149"/>
    <mergeCell ref="G150:H150"/>
    <mergeCell ref="J150:K150"/>
    <mergeCell ref="M150:O150"/>
    <mergeCell ref="G151:H151"/>
    <mergeCell ref="J151:K151"/>
    <mergeCell ref="M151:O1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E3AC113B-8B90-428C-8DC0-95E54890BEE5}">
            <x14:iconSet iconSet="3Arrows" custom="1" reverse="0" showValu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E16</xm:sqref>
        </x14:conditionalFormatting>
        <x14:conditionalFormatting xmlns:xm="http://schemas.microsoft.com/office/excel/2006/main">
          <x14:cfRule type="iconSet" priority="3" id="{F0EDEA16-95C9-4A6B-B475-C2C378E85CAD}">
            <x14:iconSet iconSet="3Arrows" custom="1" reverse="0" showValu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F29</xm:sqref>
        </x14:conditionalFormatting>
        <x14:conditionalFormatting xmlns:xm="http://schemas.microsoft.com/office/excel/2006/main">
          <x14:cfRule type="iconSet" priority="4" id="{C2F88A8B-FDC4-4F6E-9954-601621D0A550}">
            <x14:iconSet iconSet="3Arrows" custom="1" reverse="0" showValu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F38</xm:sqref>
        </x14:conditionalFormatting>
        <x14:conditionalFormatting xmlns:xm="http://schemas.microsoft.com/office/excel/2006/main">
          <x14:cfRule type="iconSet" priority="5" id="{88C15AE4-5ADB-44EA-AB22-ED27BDB6E942}">
            <x14:iconSet iconSet="3Arrows" custom="1" reverse="0" showValu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F48</xm:sqref>
        </x14:conditionalFormatting>
        <x14:conditionalFormatting xmlns:xm="http://schemas.microsoft.com/office/excel/2006/main">
          <x14:cfRule type="iconSet" priority="6" id="{F230B3E3-AD4A-45AE-8943-A3E0B0CDEE70}">
            <x14:iconSet iconSet="3Arrows" custom="1" reverse="0" showValu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J14</xm:sqref>
        </x14:conditionalFormatting>
        <x14:conditionalFormatting xmlns:xm="http://schemas.microsoft.com/office/excel/2006/main">
          <x14:cfRule type="iconSet" priority="7" id="{452BF7F0-A280-408D-8CE3-831B447D20C1}">
            <x14:iconSet iconSet="3Arrows" custom="1" reverse="0" showValu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J75</xm:sqref>
        </x14:conditionalFormatting>
        <x14:conditionalFormatting xmlns:xm="http://schemas.microsoft.com/office/excel/2006/main">
          <x14:cfRule type="iconSet" priority="8" id="{DE937D8F-6842-4762-8DA0-E379861D5239}">
            <x14:iconSet iconSet="3Arrows" custom="1" reverse="0" showValu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K39</xm:sqref>
        </x14:conditionalFormatting>
        <x14:conditionalFormatting xmlns:xm="http://schemas.microsoft.com/office/excel/2006/main">
          <x14:cfRule type="iconSet" priority="9" id="{FB24AAC7-41F1-4AC7-9B70-816E8EEB2D8D}">
            <x14:iconSet iconSet="3Arrows" custom="1" reverse="0" showValu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L34</xm:sqref>
        </x14:conditionalFormatting>
        <x14:conditionalFormatting xmlns:xm="http://schemas.microsoft.com/office/excel/2006/main">
          <x14:cfRule type="iconSet" priority="10" id="{85A1AC5B-E2D8-4D9A-AECC-D39522D5BDA9}">
            <x14:iconSet iconSet="3Arrows" custom="1" reverse="0" showValu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L120</xm:sqref>
        </x14:conditionalFormatting>
        <x14:conditionalFormatting xmlns:xm="http://schemas.microsoft.com/office/excel/2006/main">
          <x14:cfRule type="iconSet" priority="11" id="{CAF63E70-FCA5-4E4F-B4FC-BB29B42AC02B}">
            <x14:iconSet iconSet="3Arrows" custom="1" reverse="0" showValu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L151</xm:sqref>
        </x14:conditionalFormatting>
        <x14:conditionalFormatting xmlns:xm="http://schemas.microsoft.com/office/excel/2006/main">
          <x14:cfRule type="iconSet" priority="12" id="{F0D03031-E56B-44A8-A45B-6B94A397F063}">
            <x14:iconSet iconSet="3Arrows" custom="1" reverse="0" showValu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N20</xm:sqref>
        </x14:conditionalFormatting>
        <x14:conditionalFormatting xmlns:xm="http://schemas.microsoft.com/office/excel/2006/main">
          <x14:cfRule type="iconSet" priority="13" id="{589FE793-C083-461F-A37C-B042693D7E33}">
            <x14:iconSet iconSet="3Arrows" custom="1" reverse="0" showValu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N67</xm:sqref>
        </x14:conditionalFormatting>
        <x14:conditionalFormatting xmlns:xm="http://schemas.microsoft.com/office/excel/2006/main">
          <x14:cfRule type="iconSet" priority="14" id="{BA705EF4-97E3-4C9C-8170-5312227081A0}">
            <x14:iconSet iconSet="3Arrows" custom="1" reverse="0" showValu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N75</xm:sqref>
        </x14:conditionalFormatting>
        <x14:conditionalFormatting xmlns:xm="http://schemas.microsoft.com/office/excel/2006/main">
          <x14:cfRule type="iconSet" priority="15" id="{DFA5C7F9-5CCC-41B0-95FC-69C788832CC0}">
            <x14:iconSet iconSet="3Arrows" custom="1" reverse="0" showValu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N88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U49"/>
  <sheetViews>
    <sheetView showFormulas="false" showGridLines="true" showRowColHeaders="true" showZeros="true" rightToLeft="false" tabSelected="false" showOutlineSymbols="true" defaultGridColor="true" view="normal" topLeftCell="B17" colorId="64" zoomScale="90" zoomScaleNormal="90" zoomScalePageLayoutView="100" workbookViewId="0">
      <selection pane="topLeft" activeCell="L38" activeCellId="0" sqref="L38"/>
    </sheetView>
  </sheetViews>
  <sheetFormatPr defaultColWidth="6.5078125" defaultRowHeight="15" customHeight="true" zeroHeight="false" outlineLevelRow="0" outlineLevelCol="0"/>
  <cols>
    <col collapsed="false" customWidth="true" hidden="false" outlineLevel="0" max="2" min="1" style="140" width="2.5"/>
    <col collapsed="false" customWidth="true" hidden="true" outlineLevel="0" max="3" min="3" style="140" width="15.51"/>
    <col collapsed="false" customWidth="true" hidden="false" outlineLevel="0" max="5" min="4" style="140" width="12.5"/>
    <col collapsed="false" customWidth="true" hidden="false" outlineLevel="0" max="6" min="6" style="140" width="15.51"/>
    <col collapsed="false" customWidth="true" hidden="false" outlineLevel="0" max="8" min="7" style="140" width="12"/>
    <col collapsed="false" customWidth="true" hidden="false" outlineLevel="0" max="9" min="9" style="140" width="14.83"/>
    <col collapsed="false" customWidth="true" hidden="false" outlineLevel="0" max="10" min="10" style="140" width="15.66"/>
    <col collapsed="false" customWidth="true" hidden="false" outlineLevel="0" max="13" min="11" style="140" width="13"/>
    <col collapsed="false" customWidth="true" hidden="false" outlineLevel="0" max="15" min="14" style="140" width="14.51"/>
    <col collapsed="false" customWidth="true" hidden="false" outlineLevel="0" max="17" min="16" style="140" width="13.5"/>
    <col collapsed="false" customWidth="true" hidden="false" outlineLevel="0" max="18" min="18" style="140" width="2.5"/>
    <col collapsed="false" customWidth="true" hidden="false" outlineLevel="0" max="19" min="19" style="140" width="13.5"/>
    <col collapsed="false" customWidth="true" hidden="false" outlineLevel="0" max="20" min="20" style="140" width="10.51"/>
    <col collapsed="false" customWidth="true" hidden="false" outlineLevel="0" max="21" min="21" style="140" width="12"/>
    <col collapsed="false" customWidth="true" hidden="false" outlineLevel="0" max="22" min="22" style="140" width="11.5"/>
    <col collapsed="false" customWidth="true" hidden="false" outlineLevel="0" max="23" min="23" style="140" width="16"/>
    <col collapsed="false" customWidth="true" hidden="false" outlineLevel="0" max="25" min="24" style="140" width="10.51"/>
    <col collapsed="false" customWidth="true" hidden="false" outlineLevel="0" max="26" min="26" style="140" width="15.51"/>
    <col collapsed="false" customWidth="true" hidden="false" outlineLevel="0" max="27" min="27" style="140" width="11.5"/>
    <col collapsed="false" customWidth="true" hidden="false" outlineLevel="0" max="28" min="28" style="140" width="12"/>
    <col collapsed="false" customWidth="true" hidden="false" outlineLevel="0" max="29" min="29" style="140" width="11.5"/>
    <col collapsed="false" customWidth="true" hidden="false" outlineLevel="0" max="30" min="30" style="140" width="12"/>
    <col collapsed="false" customWidth="true" hidden="false" outlineLevel="0" max="31" min="31" style="140" width="11.5"/>
    <col collapsed="false" customWidth="true" hidden="false" outlineLevel="0" max="32" min="32" style="140" width="12.5"/>
    <col collapsed="false" customWidth="true" hidden="false" outlineLevel="0" max="33" min="33" style="140" width="10.51"/>
    <col collapsed="false" customWidth="true" hidden="false" outlineLevel="0" max="34" min="34" style="140" width="19"/>
    <col collapsed="false" customWidth="true" hidden="false" outlineLevel="0" max="35" min="35" style="140" width="13.5"/>
    <col collapsed="false" customWidth="true" hidden="false" outlineLevel="0" max="36" min="36" style="140" width="18"/>
    <col collapsed="false" customWidth="true" hidden="false" outlineLevel="0" max="37" min="37" style="140" width="42.5"/>
    <col collapsed="false" customWidth="true" hidden="false" outlineLevel="0" max="38" min="38" style="140" width="31"/>
    <col collapsed="false" customWidth="true" hidden="false" outlineLevel="0" max="39" min="39" style="140" width="35"/>
    <col collapsed="false" customWidth="true" hidden="false" outlineLevel="0" max="40" min="40" style="140" width="31"/>
    <col collapsed="false" customWidth="true" hidden="false" outlineLevel="0" max="41" min="41" style="140" width="35"/>
    <col collapsed="false" customWidth="true" hidden="false" outlineLevel="0" max="42" min="42" style="140" width="31"/>
    <col collapsed="false" customWidth="true" hidden="false" outlineLevel="0" max="43" min="43" style="140" width="37.5"/>
    <col collapsed="false" customWidth="true" hidden="false" outlineLevel="0" max="44" min="44" style="140" width="11.5"/>
    <col collapsed="false" customWidth="true" hidden="false" outlineLevel="0" max="45" min="45" style="140" width="54"/>
    <col collapsed="false" customWidth="true" hidden="false" outlineLevel="0" max="46" min="46" style="140" width="43.51"/>
    <col collapsed="false" customWidth="true" hidden="false" outlineLevel="0" max="47" min="47" style="140" width="44.51"/>
    <col collapsed="false" customWidth="false" hidden="false" outlineLevel="0" max="257" min="48" style="140" width="6.51"/>
    <col collapsed="false" customWidth="true" hidden="false" outlineLevel="0" max="259" min="258" style="140" width="2.5"/>
    <col collapsed="false" customWidth="true" hidden="true" outlineLevel="0" max="260" min="260" style="140" width="11.53"/>
    <col collapsed="false" customWidth="true" hidden="false" outlineLevel="0" max="263" min="261" style="140" width="12.5"/>
    <col collapsed="false" customWidth="true" hidden="false" outlineLevel="0" max="264" min="264" style="140" width="12"/>
    <col collapsed="false" customWidth="true" hidden="false" outlineLevel="0" max="265" min="265" style="140" width="12.5"/>
    <col collapsed="false" customWidth="true" hidden="false" outlineLevel="0" max="266" min="266" style="140" width="13.5"/>
    <col collapsed="false" customWidth="true" hidden="true" outlineLevel="0" max="267" min="267" style="140" width="11.53"/>
    <col collapsed="false" customWidth="true" hidden="false" outlineLevel="0" max="270" min="268" style="140" width="13"/>
    <col collapsed="false" customWidth="true" hidden="false" outlineLevel="0" max="271" min="271" style="140" width="14.51"/>
    <col collapsed="false" customWidth="true" hidden="false" outlineLevel="0" max="273" min="272" style="140" width="13.5"/>
    <col collapsed="false" customWidth="true" hidden="false" outlineLevel="0" max="274" min="274" style="140" width="2.5"/>
    <col collapsed="false" customWidth="true" hidden="false" outlineLevel="0" max="275" min="275" style="140" width="13.5"/>
    <col collapsed="false" customWidth="true" hidden="false" outlineLevel="0" max="276" min="276" style="140" width="10.51"/>
    <col collapsed="false" customWidth="true" hidden="false" outlineLevel="0" max="277" min="277" style="140" width="12"/>
    <col collapsed="false" customWidth="true" hidden="false" outlineLevel="0" max="278" min="278" style="140" width="11.5"/>
    <col collapsed="false" customWidth="true" hidden="false" outlineLevel="0" max="279" min="279" style="140" width="16"/>
    <col collapsed="false" customWidth="true" hidden="false" outlineLevel="0" max="281" min="280" style="140" width="10.51"/>
    <col collapsed="false" customWidth="true" hidden="false" outlineLevel="0" max="282" min="282" style="140" width="15.51"/>
    <col collapsed="false" customWidth="true" hidden="false" outlineLevel="0" max="283" min="283" style="140" width="11.5"/>
    <col collapsed="false" customWidth="true" hidden="false" outlineLevel="0" max="284" min="284" style="140" width="12"/>
    <col collapsed="false" customWidth="true" hidden="false" outlineLevel="0" max="285" min="285" style="140" width="11.5"/>
    <col collapsed="false" customWidth="true" hidden="false" outlineLevel="0" max="286" min="286" style="140" width="12"/>
    <col collapsed="false" customWidth="true" hidden="false" outlineLevel="0" max="287" min="287" style="140" width="11.5"/>
    <col collapsed="false" customWidth="true" hidden="false" outlineLevel="0" max="288" min="288" style="140" width="12.5"/>
    <col collapsed="false" customWidth="true" hidden="false" outlineLevel="0" max="289" min="289" style="140" width="10.51"/>
    <col collapsed="false" customWidth="true" hidden="false" outlineLevel="0" max="290" min="290" style="140" width="19"/>
    <col collapsed="false" customWidth="true" hidden="false" outlineLevel="0" max="291" min="291" style="140" width="13.5"/>
    <col collapsed="false" customWidth="true" hidden="false" outlineLevel="0" max="292" min="292" style="140" width="18"/>
    <col collapsed="false" customWidth="true" hidden="false" outlineLevel="0" max="293" min="293" style="140" width="42.5"/>
    <col collapsed="false" customWidth="true" hidden="false" outlineLevel="0" max="294" min="294" style="140" width="31"/>
    <col collapsed="false" customWidth="true" hidden="false" outlineLevel="0" max="295" min="295" style="140" width="35"/>
    <col collapsed="false" customWidth="true" hidden="false" outlineLevel="0" max="296" min="296" style="140" width="31"/>
    <col collapsed="false" customWidth="true" hidden="false" outlineLevel="0" max="297" min="297" style="140" width="35"/>
    <col collapsed="false" customWidth="true" hidden="false" outlineLevel="0" max="298" min="298" style="140" width="31"/>
    <col collapsed="false" customWidth="true" hidden="false" outlineLevel="0" max="299" min="299" style="140" width="37.5"/>
    <col collapsed="false" customWidth="true" hidden="false" outlineLevel="0" max="300" min="300" style="140" width="11.5"/>
    <col collapsed="false" customWidth="true" hidden="false" outlineLevel="0" max="301" min="301" style="140" width="54"/>
    <col collapsed="false" customWidth="true" hidden="false" outlineLevel="0" max="302" min="302" style="140" width="43.51"/>
    <col collapsed="false" customWidth="true" hidden="false" outlineLevel="0" max="303" min="303" style="140" width="44.51"/>
    <col collapsed="false" customWidth="false" hidden="false" outlineLevel="0" max="513" min="304" style="140" width="6.51"/>
    <col collapsed="false" customWidth="true" hidden="false" outlineLevel="0" max="515" min="514" style="140" width="2.5"/>
    <col collapsed="false" customWidth="true" hidden="true" outlineLevel="0" max="516" min="516" style="140" width="11.53"/>
    <col collapsed="false" customWidth="true" hidden="false" outlineLevel="0" max="519" min="517" style="140" width="12.5"/>
    <col collapsed="false" customWidth="true" hidden="false" outlineLevel="0" max="520" min="520" style="140" width="12"/>
    <col collapsed="false" customWidth="true" hidden="false" outlineLevel="0" max="521" min="521" style="140" width="12.5"/>
    <col collapsed="false" customWidth="true" hidden="false" outlineLevel="0" max="522" min="522" style="140" width="13.5"/>
    <col collapsed="false" customWidth="true" hidden="true" outlineLevel="0" max="523" min="523" style="140" width="11.53"/>
    <col collapsed="false" customWidth="true" hidden="false" outlineLevel="0" max="526" min="524" style="140" width="13"/>
    <col collapsed="false" customWidth="true" hidden="false" outlineLevel="0" max="527" min="527" style="140" width="14.51"/>
    <col collapsed="false" customWidth="true" hidden="false" outlineLevel="0" max="529" min="528" style="140" width="13.5"/>
    <col collapsed="false" customWidth="true" hidden="false" outlineLevel="0" max="530" min="530" style="140" width="2.5"/>
    <col collapsed="false" customWidth="true" hidden="false" outlineLevel="0" max="531" min="531" style="140" width="13.5"/>
    <col collapsed="false" customWidth="true" hidden="false" outlineLevel="0" max="532" min="532" style="140" width="10.51"/>
    <col collapsed="false" customWidth="true" hidden="false" outlineLevel="0" max="533" min="533" style="140" width="12"/>
    <col collapsed="false" customWidth="true" hidden="false" outlineLevel="0" max="534" min="534" style="140" width="11.5"/>
    <col collapsed="false" customWidth="true" hidden="false" outlineLevel="0" max="535" min="535" style="140" width="16"/>
    <col collapsed="false" customWidth="true" hidden="false" outlineLevel="0" max="537" min="536" style="140" width="10.51"/>
    <col collapsed="false" customWidth="true" hidden="false" outlineLevel="0" max="538" min="538" style="140" width="15.51"/>
    <col collapsed="false" customWidth="true" hidden="false" outlineLevel="0" max="539" min="539" style="140" width="11.5"/>
    <col collapsed="false" customWidth="true" hidden="false" outlineLevel="0" max="540" min="540" style="140" width="12"/>
    <col collapsed="false" customWidth="true" hidden="false" outlineLevel="0" max="541" min="541" style="140" width="11.5"/>
    <col collapsed="false" customWidth="true" hidden="false" outlineLevel="0" max="542" min="542" style="140" width="12"/>
    <col collapsed="false" customWidth="true" hidden="false" outlineLevel="0" max="543" min="543" style="140" width="11.5"/>
    <col collapsed="false" customWidth="true" hidden="false" outlineLevel="0" max="544" min="544" style="140" width="12.5"/>
    <col collapsed="false" customWidth="true" hidden="false" outlineLevel="0" max="545" min="545" style="140" width="10.51"/>
    <col collapsed="false" customWidth="true" hidden="false" outlineLevel="0" max="546" min="546" style="140" width="19"/>
    <col collapsed="false" customWidth="true" hidden="false" outlineLevel="0" max="547" min="547" style="140" width="13.5"/>
    <col collapsed="false" customWidth="true" hidden="false" outlineLevel="0" max="548" min="548" style="140" width="18"/>
    <col collapsed="false" customWidth="true" hidden="false" outlineLevel="0" max="549" min="549" style="140" width="42.5"/>
    <col collapsed="false" customWidth="true" hidden="false" outlineLevel="0" max="550" min="550" style="140" width="31"/>
    <col collapsed="false" customWidth="true" hidden="false" outlineLevel="0" max="551" min="551" style="140" width="35"/>
    <col collapsed="false" customWidth="true" hidden="false" outlineLevel="0" max="552" min="552" style="140" width="31"/>
    <col collapsed="false" customWidth="true" hidden="false" outlineLevel="0" max="553" min="553" style="140" width="35"/>
    <col collapsed="false" customWidth="true" hidden="false" outlineLevel="0" max="554" min="554" style="140" width="31"/>
    <col collapsed="false" customWidth="true" hidden="false" outlineLevel="0" max="555" min="555" style="140" width="37.5"/>
    <col collapsed="false" customWidth="true" hidden="false" outlineLevel="0" max="556" min="556" style="140" width="11.5"/>
    <col collapsed="false" customWidth="true" hidden="false" outlineLevel="0" max="557" min="557" style="140" width="54"/>
    <col collapsed="false" customWidth="true" hidden="false" outlineLevel="0" max="558" min="558" style="140" width="43.51"/>
    <col collapsed="false" customWidth="true" hidden="false" outlineLevel="0" max="559" min="559" style="140" width="44.51"/>
    <col collapsed="false" customWidth="false" hidden="false" outlineLevel="0" max="769" min="560" style="140" width="6.51"/>
    <col collapsed="false" customWidth="true" hidden="false" outlineLevel="0" max="771" min="770" style="140" width="2.5"/>
    <col collapsed="false" customWidth="true" hidden="true" outlineLevel="0" max="772" min="772" style="140" width="11.53"/>
    <col collapsed="false" customWidth="true" hidden="false" outlineLevel="0" max="775" min="773" style="140" width="12.5"/>
    <col collapsed="false" customWidth="true" hidden="false" outlineLevel="0" max="776" min="776" style="140" width="12"/>
    <col collapsed="false" customWidth="true" hidden="false" outlineLevel="0" max="777" min="777" style="140" width="12.5"/>
    <col collapsed="false" customWidth="true" hidden="false" outlineLevel="0" max="778" min="778" style="140" width="13.5"/>
    <col collapsed="false" customWidth="true" hidden="true" outlineLevel="0" max="779" min="779" style="140" width="11.53"/>
    <col collapsed="false" customWidth="true" hidden="false" outlineLevel="0" max="782" min="780" style="140" width="13"/>
    <col collapsed="false" customWidth="true" hidden="false" outlineLevel="0" max="783" min="783" style="140" width="14.51"/>
    <col collapsed="false" customWidth="true" hidden="false" outlineLevel="0" max="785" min="784" style="140" width="13.5"/>
    <col collapsed="false" customWidth="true" hidden="false" outlineLevel="0" max="786" min="786" style="140" width="2.5"/>
    <col collapsed="false" customWidth="true" hidden="false" outlineLevel="0" max="787" min="787" style="140" width="13.5"/>
    <col collapsed="false" customWidth="true" hidden="false" outlineLevel="0" max="788" min="788" style="140" width="10.51"/>
    <col collapsed="false" customWidth="true" hidden="false" outlineLevel="0" max="789" min="789" style="140" width="12"/>
    <col collapsed="false" customWidth="true" hidden="false" outlineLevel="0" max="790" min="790" style="140" width="11.5"/>
    <col collapsed="false" customWidth="true" hidden="false" outlineLevel="0" max="791" min="791" style="140" width="16"/>
    <col collapsed="false" customWidth="true" hidden="false" outlineLevel="0" max="793" min="792" style="140" width="10.51"/>
    <col collapsed="false" customWidth="true" hidden="false" outlineLevel="0" max="794" min="794" style="140" width="15.51"/>
    <col collapsed="false" customWidth="true" hidden="false" outlineLevel="0" max="795" min="795" style="140" width="11.5"/>
    <col collapsed="false" customWidth="true" hidden="false" outlineLevel="0" max="796" min="796" style="140" width="12"/>
    <col collapsed="false" customWidth="true" hidden="false" outlineLevel="0" max="797" min="797" style="140" width="11.5"/>
    <col collapsed="false" customWidth="true" hidden="false" outlineLevel="0" max="798" min="798" style="140" width="12"/>
    <col collapsed="false" customWidth="true" hidden="false" outlineLevel="0" max="799" min="799" style="140" width="11.5"/>
    <col collapsed="false" customWidth="true" hidden="false" outlineLevel="0" max="800" min="800" style="140" width="12.5"/>
    <col collapsed="false" customWidth="true" hidden="false" outlineLevel="0" max="801" min="801" style="140" width="10.51"/>
    <col collapsed="false" customWidth="true" hidden="false" outlineLevel="0" max="802" min="802" style="140" width="19"/>
    <col collapsed="false" customWidth="true" hidden="false" outlineLevel="0" max="803" min="803" style="140" width="13.5"/>
    <col collapsed="false" customWidth="true" hidden="false" outlineLevel="0" max="804" min="804" style="140" width="18"/>
    <col collapsed="false" customWidth="true" hidden="false" outlineLevel="0" max="805" min="805" style="140" width="42.5"/>
    <col collapsed="false" customWidth="true" hidden="false" outlineLevel="0" max="806" min="806" style="140" width="31"/>
    <col collapsed="false" customWidth="true" hidden="false" outlineLevel="0" max="807" min="807" style="140" width="35"/>
    <col collapsed="false" customWidth="true" hidden="false" outlineLevel="0" max="808" min="808" style="140" width="31"/>
    <col collapsed="false" customWidth="true" hidden="false" outlineLevel="0" max="809" min="809" style="140" width="35"/>
    <col collapsed="false" customWidth="true" hidden="false" outlineLevel="0" max="810" min="810" style="140" width="31"/>
    <col collapsed="false" customWidth="true" hidden="false" outlineLevel="0" max="811" min="811" style="140" width="37.5"/>
    <col collapsed="false" customWidth="true" hidden="false" outlineLevel="0" max="812" min="812" style="140" width="11.5"/>
    <col collapsed="false" customWidth="true" hidden="false" outlineLevel="0" max="813" min="813" style="140" width="54"/>
    <col collapsed="false" customWidth="true" hidden="false" outlineLevel="0" max="814" min="814" style="140" width="43.51"/>
    <col collapsed="false" customWidth="true" hidden="false" outlineLevel="0" max="815" min="815" style="140" width="44.51"/>
    <col collapsed="false" customWidth="false" hidden="false" outlineLevel="0" max="1025" min="816" style="140" width="6.51"/>
    <col collapsed="false" customWidth="true" hidden="false" outlineLevel="0" max="1027" min="1026" style="140" width="2.5"/>
    <col collapsed="false" customWidth="true" hidden="true" outlineLevel="0" max="1028" min="1028" style="140" width="11.53"/>
    <col collapsed="false" customWidth="true" hidden="false" outlineLevel="0" max="1031" min="1029" style="140" width="12.5"/>
    <col collapsed="false" customWidth="true" hidden="false" outlineLevel="0" max="1032" min="1032" style="140" width="12"/>
    <col collapsed="false" customWidth="true" hidden="false" outlineLevel="0" max="1033" min="1033" style="140" width="12.5"/>
    <col collapsed="false" customWidth="true" hidden="false" outlineLevel="0" max="1034" min="1034" style="140" width="13.5"/>
    <col collapsed="false" customWidth="true" hidden="true" outlineLevel="0" max="1035" min="1035" style="140" width="11.53"/>
    <col collapsed="false" customWidth="true" hidden="false" outlineLevel="0" max="1038" min="1036" style="140" width="13"/>
    <col collapsed="false" customWidth="true" hidden="false" outlineLevel="0" max="1039" min="1039" style="140" width="14.51"/>
    <col collapsed="false" customWidth="true" hidden="false" outlineLevel="0" max="1041" min="1040" style="140" width="13.5"/>
    <col collapsed="false" customWidth="true" hidden="false" outlineLevel="0" max="1042" min="1042" style="140" width="2.5"/>
    <col collapsed="false" customWidth="true" hidden="false" outlineLevel="0" max="1043" min="1043" style="140" width="13.5"/>
    <col collapsed="false" customWidth="true" hidden="false" outlineLevel="0" max="1044" min="1044" style="140" width="10.51"/>
    <col collapsed="false" customWidth="true" hidden="false" outlineLevel="0" max="1045" min="1045" style="140" width="12"/>
    <col collapsed="false" customWidth="true" hidden="false" outlineLevel="0" max="1046" min="1046" style="140" width="11.5"/>
    <col collapsed="false" customWidth="true" hidden="false" outlineLevel="0" max="1047" min="1047" style="140" width="16"/>
    <col collapsed="false" customWidth="true" hidden="false" outlineLevel="0" max="1049" min="1048" style="140" width="10.51"/>
    <col collapsed="false" customWidth="true" hidden="false" outlineLevel="0" max="1050" min="1050" style="140" width="15.51"/>
    <col collapsed="false" customWidth="true" hidden="false" outlineLevel="0" max="1051" min="1051" style="140" width="11.5"/>
    <col collapsed="false" customWidth="true" hidden="false" outlineLevel="0" max="1052" min="1052" style="140" width="12"/>
    <col collapsed="false" customWidth="true" hidden="false" outlineLevel="0" max="1053" min="1053" style="140" width="11.5"/>
    <col collapsed="false" customWidth="true" hidden="false" outlineLevel="0" max="1054" min="1054" style="140" width="12"/>
    <col collapsed="false" customWidth="true" hidden="false" outlineLevel="0" max="1055" min="1055" style="140" width="11.5"/>
    <col collapsed="false" customWidth="true" hidden="false" outlineLevel="0" max="1056" min="1056" style="140" width="12.5"/>
    <col collapsed="false" customWidth="true" hidden="false" outlineLevel="0" max="1057" min="1057" style="140" width="10.51"/>
    <col collapsed="false" customWidth="true" hidden="false" outlineLevel="0" max="1058" min="1058" style="140" width="19"/>
    <col collapsed="false" customWidth="true" hidden="false" outlineLevel="0" max="1059" min="1059" style="140" width="13.5"/>
    <col collapsed="false" customWidth="true" hidden="false" outlineLevel="0" max="1060" min="1060" style="140" width="18"/>
    <col collapsed="false" customWidth="true" hidden="false" outlineLevel="0" max="1061" min="1061" style="140" width="42.5"/>
    <col collapsed="false" customWidth="true" hidden="false" outlineLevel="0" max="1062" min="1062" style="140" width="31"/>
    <col collapsed="false" customWidth="true" hidden="false" outlineLevel="0" max="1063" min="1063" style="140" width="35"/>
    <col collapsed="false" customWidth="true" hidden="false" outlineLevel="0" max="1064" min="1064" style="140" width="31"/>
    <col collapsed="false" customWidth="true" hidden="false" outlineLevel="0" max="1065" min="1065" style="140" width="35"/>
    <col collapsed="false" customWidth="true" hidden="false" outlineLevel="0" max="1066" min="1066" style="140" width="31"/>
    <col collapsed="false" customWidth="true" hidden="false" outlineLevel="0" max="1067" min="1067" style="140" width="37.5"/>
    <col collapsed="false" customWidth="true" hidden="false" outlineLevel="0" max="1068" min="1068" style="140" width="11.5"/>
    <col collapsed="false" customWidth="true" hidden="false" outlineLevel="0" max="1069" min="1069" style="140" width="54"/>
    <col collapsed="false" customWidth="true" hidden="false" outlineLevel="0" max="1070" min="1070" style="140" width="43.51"/>
    <col collapsed="false" customWidth="true" hidden="false" outlineLevel="0" max="1071" min="1071" style="140" width="44.51"/>
    <col collapsed="false" customWidth="false" hidden="false" outlineLevel="0" max="1281" min="1072" style="140" width="6.51"/>
    <col collapsed="false" customWidth="true" hidden="false" outlineLevel="0" max="1283" min="1282" style="140" width="2.5"/>
    <col collapsed="false" customWidth="true" hidden="true" outlineLevel="0" max="1284" min="1284" style="140" width="11.53"/>
    <col collapsed="false" customWidth="true" hidden="false" outlineLevel="0" max="1287" min="1285" style="140" width="12.5"/>
    <col collapsed="false" customWidth="true" hidden="false" outlineLevel="0" max="1288" min="1288" style="140" width="12"/>
    <col collapsed="false" customWidth="true" hidden="false" outlineLevel="0" max="1289" min="1289" style="140" width="12.5"/>
    <col collapsed="false" customWidth="true" hidden="false" outlineLevel="0" max="1290" min="1290" style="140" width="13.5"/>
    <col collapsed="false" customWidth="true" hidden="true" outlineLevel="0" max="1291" min="1291" style="140" width="11.53"/>
    <col collapsed="false" customWidth="true" hidden="false" outlineLevel="0" max="1294" min="1292" style="140" width="13"/>
    <col collapsed="false" customWidth="true" hidden="false" outlineLevel="0" max="1295" min="1295" style="140" width="14.51"/>
    <col collapsed="false" customWidth="true" hidden="false" outlineLevel="0" max="1297" min="1296" style="140" width="13.5"/>
    <col collapsed="false" customWidth="true" hidden="false" outlineLevel="0" max="1298" min="1298" style="140" width="2.5"/>
    <col collapsed="false" customWidth="true" hidden="false" outlineLevel="0" max="1299" min="1299" style="140" width="13.5"/>
    <col collapsed="false" customWidth="true" hidden="false" outlineLevel="0" max="1300" min="1300" style="140" width="10.51"/>
    <col collapsed="false" customWidth="true" hidden="false" outlineLevel="0" max="1301" min="1301" style="140" width="12"/>
    <col collapsed="false" customWidth="true" hidden="false" outlineLevel="0" max="1302" min="1302" style="140" width="11.5"/>
    <col collapsed="false" customWidth="true" hidden="false" outlineLevel="0" max="1303" min="1303" style="140" width="16"/>
    <col collapsed="false" customWidth="true" hidden="false" outlineLevel="0" max="1305" min="1304" style="140" width="10.51"/>
    <col collapsed="false" customWidth="true" hidden="false" outlineLevel="0" max="1306" min="1306" style="140" width="15.51"/>
    <col collapsed="false" customWidth="true" hidden="false" outlineLevel="0" max="1307" min="1307" style="140" width="11.5"/>
    <col collapsed="false" customWidth="true" hidden="false" outlineLevel="0" max="1308" min="1308" style="140" width="12"/>
    <col collapsed="false" customWidth="true" hidden="false" outlineLevel="0" max="1309" min="1309" style="140" width="11.5"/>
    <col collapsed="false" customWidth="true" hidden="false" outlineLevel="0" max="1310" min="1310" style="140" width="12"/>
    <col collapsed="false" customWidth="true" hidden="false" outlineLevel="0" max="1311" min="1311" style="140" width="11.5"/>
    <col collapsed="false" customWidth="true" hidden="false" outlineLevel="0" max="1312" min="1312" style="140" width="12.5"/>
    <col collapsed="false" customWidth="true" hidden="false" outlineLevel="0" max="1313" min="1313" style="140" width="10.51"/>
    <col collapsed="false" customWidth="true" hidden="false" outlineLevel="0" max="1314" min="1314" style="140" width="19"/>
    <col collapsed="false" customWidth="true" hidden="false" outlineLevel="0" max="1315" min="1315" style="140" width="13.5"/>
    <col collapsed="false" customWidth="true" hidden="false" outlineLevel="0" max="1316" min="1316" style="140" width="18"/>
    <col collapsed="false" customWidth="true" hidden="false" outlineLevel="0" max="1317" min="1317" style="140" width="42.5"/>
    <col collapsed="false" customWidth="true" hidden="false" outlineLevel="0" max="1318" min="1318" style="140" width="31"/>
    <col collapsed="false" customWidth="true" hidden="false" outlineLevel="0" max="1319" min="1319" style="140" width="35"/>
    <col collapsed="false" customWidth="true" hidden="false" outlineLevel="0" max="1320" min="1320" style="140" width="31"/>
    <col collapsed="false" customWidth="true" hidden="false" outlineLevel="0" max="1321" min="1321" style="140" width="35"/>
    <col collapsed="false" customWidth="true" hidden="false" outlineLevel="0" max="1322" min="1322" style="140" width="31"/>
    <col collapsed="false" customWidth="true" hidden="false" outlineLevel="0" max="1323" min="1323" style="140" width="37.5"/>
    <col collapsed="false" customWidth="true" hidden="false" outlineLevel="0" max="1324" min="1324" style="140" width="11.5"/>
    <col collapsed="false" customWidth="true" hidden="false" outlineLevel="0" max="1325" min="1325" style="140" width="54"/>
    <col collapsed="false" customWidth="true" hidden="false" outlineLevel="0" max="1326" min="1326" style="140" width="43.51"/>
    <col collapsed="false" customWidth="true" hidden="false" outlineLevel="0" max="1327" min="1327" style="140" width="44.51"/>
    <col collapsed="false" customWidth="false" hidden="false" outlineLevel="0" max="1537" min="1328" style="140" width="6.51"/>
    <col collapsed="false" customWidth="true" hidden="false" outlineLevel="0" max="1539" min="1538" style="140" width="2.5"/>
    <col collapsed="false" customWidth="true" hidden="true" outlineLevel="0" max="1540" min="1540" style="140" width="11.53"/>
    <col collapsed="false" customWidth="true" hidden="false" outlineLevel="0" max="1543" min="1541" style="140" width="12.5"/>
    <col collapsed="false" customWidth="true" hidden="false" outlineLevel="0" max="1544" min="1544" style="140" width="12"/>
    <col collapsed="false" customWidth="true" hidden="false" outlineLevel="0" max="1545" min="1545" style="140" width="12.5"/>
    <col collapsed="false" customWidth="true" hidden="false" outlineLevel="0" max="1546" min="1546" style="140" width="13.5"/>
    <col collapsed="false" customWidth="true" hidden="true" outlineLevel="0" max="1547" min="1547" style="140" width="11.53"/>
    <col collapsed="false" customWidth="true" hidden="false" outlineLevel="0" max="1550" min="1548" style="140" width="13"/>
    <col collapsed="false" customWidth="true" hidden="false" outlineLevel="0" max="1551" min="1551" style="140" width="14.51"/>
    <col collapsed="false" customWidth="true" hidden="false" outlineLevel="0" max="1553" min="1552" style="140" width="13.5"/>
    <col collapsed="false" customWidth="true" hidden="false" outlineLevel="0" max="1554" min="1554" style="140" width="2.5"/>
    <col collapsed="false" customWidth="true" hidden="false" outlineLevel="0" max="1555" min="1555" style="140" width="13.5"/>
    <col collapsed="false" customWidth="true" hidden="false" outlineLevel="0" max="1556" min="1556" style="140" width="10.51"/>
    <col collapsed="false" customWidth="true" hidden="false" outlineLevel="0" max="1557" min="1557" style="140" width="12"/>
    <col collapsed="false" customWidth="true" hidden="false" outlineLevel="0" max="1558" min="1558" style="140" width="11.5"/>
    <col collapsed="false" customWidth="true" hidden="false" outlineLevel="0" max="1559" min="1559" style="140" width="16"/>
    <col collapsed="false" customWidth="true" hidden="false" outlineLevel="0" max="1561" min="1560" style="140" width="10.51"/>
    <col collapsed="false" customWidth="true" hidden="false" outlineLevel="0" max="1562" min="1562" style="140" width="15.51"/>
    <col collapsed="false" customWidth="true" hidden="false" outlineLevel="0" max="1563" min="1563" style="140" width="11.5"/>
    <col collapsed="false" customWidth="true" hidden="false" outlineLevel="0" max="1564" min="1564" style="140" width="12"/>
    <col collapsed="false" customWidth="true" hidden="false" outlineLevel="0" max="1565" min="1565" style="140" width="11.5"/>
    <col collapsed="false" customWidth="true" hidden="false" outlineLevel="0" max="1566" min="1566" style="140" width="12"/>
    <col collapsed="false" customWidth="true" hidden="false" outlineLevel="0" max="1567" min="1567" style="140" width="11.5"/>
    <col collapsed="false" customWidth="true" hidden="false" outlineLevel="0" max="1568" min="1568" style="140" width="12.5"/>
    <col collapsed="false" customWidth="true" hidden="false" outlineLevel="0" max="1569" min="1569" style="140" width="10.51"/>
    <col collapsed="false" customWidth="true" hidden="false" outlineLevel="0" max="1570" min="1570" style="140" width="19"/>
    <col collapsed="false" customWidth="true" hidden="false" outlineLevel="0" max="1571" min="1571" style="140" width="13.5"/>
    <col collapsed="false" customWidth="true" hidden="false" outlineLevel="0" max="1572" min="1572" style="140" width="18"/>
    <col collapsed="false" customWidth="true" hidden="false" outlineLevel="0" max="1573" min="1573" style="140" width="42.5"/>
    <col collapsed="false" customWidth="true" hidden="false" outlineLevel="0" max="1574" min="1574" style="140" width="31"/>
    <col collapsed="false" customWidth="true" hidden="false" outlineLevel="0" max="1575" min="1575" style="140" width="35"/>
    <col collapsed="false" customWidth="true" hidden="false" outlineLevel="0" max="1576" min="1576" style="140" width="31"/>
    <col collapsed="false" customWidth="true" hidden="false" outlineLevel="0" max="1577" min="1577" style="140" width="35"/>
    <col collapsed="false" customWidth="true" hidden="false" outlineLevel="0" max="1578" min="1578" style="140" width="31"/>
    <col collapsed="false" customWidth="true" hidden="false" outlineLevel="0" max="1579" min="1579" style="140" width="37.5"/>
    <col collapsed="false" customWidth="true" hidden="false" outlineLevel="0" max="1580" min="1580" style="140" width="11.5"/>
    <col collapsed="false" customWidth="true" hidden="false" outlineLevel="0" max="1581" min="1581" style="140" width="54"/>
    <col collapsed="false" customWidth="true" hidden="false" outlineLevel="0" max="1582" min="1582" style="140" width="43.51"/>
    <col collapsed="false" customWidth="true" hidden="false" outlineLevel="0" max="1583" min="1583" style="140" width="44.51"/>
    <col collapsed="false" customWidth="false" hidden="false" outlineLevel="0" max="1793" min="1584" style="140" width="6.51"/>
    <col collapsed="false" customWidth="true" hidden="false" outlineLevel="0" max="1795" min="1794" style="140" width="2.5"/>
    <col collapsed="false" customWidth="true" hidden="true" outlineLevel="0" max="1796" min="1796" style="140" width="11.53"/>
    <col collapsed="false" customWidth="true" hidden="false" outlineLevel="0" max="1799" min="1797" style="140" width="12.5"/>
    <col collapsed="false" customWidth="true" hidden="false" outlineLevel="0" max="1800" min="1800" style="140" width="12"/>
    <col collapsed="false" customWidth="true" hidden="false" outlineLevel="0" max="1801" min="1801" style="140" width="12.5"/>
    <col collapsed="false" customWidth="true" hidden="false" outlineLevel="0" max="1802" min="1802" style="140" width="13.5"/>
    <col collapsed="false" customWidth="true" hidden="true" outlineLevel="0" max="1803" min="1803" style="140" width="11.53"/>
    <col collapsed="false" customWidth="true" hidden="false" outlineLevel="0" max="1806" min="1804" style="140" width="13"/>
    <col collapsed="false" customWidth="true" hidden="false" outlineLevel="0" max="1807" min="1807" style="140" width="14.51"/>
    <col collapsed="false" customWidth="true" hidden="false" outlineLevel="0" max="1809" min="1808" style="140" width="13.5"/>
    <col collapsed="false" customWidth="true" hidden="false" outlineLevel="0" max="1810" min="1810" style="140" width="2.5"/>
    <col collapsed="false" customWidth="true" hidden="false" outlineLevel="0" max="1811" min="1811" style="140" width="13.5"/>
    <col collapsed="false" customWidth="true" hidden="false" outlineLevel="0" max="1812" min="1812" style="140" width="10.51"/>
    <col collapsed="false" customWidth="true" hidden="false" outlineLevel="0" max="1813" min="1813" style="140" width="12"/>
    <col collapsed="false" customWidth="true" hidden="false" outlineLevel="0" max="1814" min="1814" style="140" width="11.5"/>
    <col collapsed="false" customWidth="true" hidden="false" outlineLevel="0" max="1815" min="1815" style="140" width="16"/>
    <col collapsed="false" customWidth="true" hidden="false" outlineLevel="0" max="1817" min="1816" style="140" width="10.51"/>
    <col collapsed="false" customWidth="true" hidden="false" outlineLevel="0" max="1818" min="1818" style="140" width="15.51"/>
    <col collapsed="false" customWidth="true" hidden="false" outlineLevel="0" max="1819" min="1819" style="140" width="11.5"/>
    <col collapsed="false" customWidth="true" hidden="false" outlineLevel="0" max="1820" min="1820" style="140" width="12"/>
    <col collapsed="false" customWidth="true" hidden="false" outlineLevel="0" max="1821" min="1821" style="140" width="11.5"/>
    <col collapsed="false" customWidth="true" hidden="false" outlineLevel="0" max="1822" min="1822" style="140" width="12"/>
    <col collapsed="false" customWidth="true" hidden="false" outlineLevel="0" max="1823" min="1823" style="140" width="11.5"/>
    <col collapsed="false" customWidth="true" hidden="false" outlineLevel="0" max="1824" min="1824" style="140" width="12.5"/>
    <col collapsed="false" customWidth="true" hidden="false" outlineLevel="0" max="1825" min="1825" style="140" width="10.51"/>
    <col collapsed="false" customWidth="true" hidden="false" outlineLevel="0" max="1826" min="1826" style="140" width="19"/>
    <col collapsed="false" customWidth="true" hidden="false" outlineLevel="0" max="1827" min="1827" style="140" width="13.5"/>
    <col collapsed="false" customWidth="true" hidden="false" outlineLevel="0" max="1828" min="1828" style="140" width="18"/>
    <col collapsed="false" customWidth="true" hidden="false" outlineLevel="0" max="1829" min="1829" style="140" width="42.5"/>
    <col collapsed="false" customWidth="true" hidden="false" outlineLevel="0" max="1830" min="1830" style="140" width="31"/>
    <col collapsed="false" customWidth="true" hidden="false" outlineLevel="0" max="1831" min="1831" style="140" width="35"/>
    <col collapsed="false" customWidth="true" hidden="false" outlineLevel="0" max="1832" min="1832" style="140" width="31"/>
    <col collapsed="false" customWidth="true" hidden="false" outlineLevel="0" max="1833" min="1833" style="140" width="35"/>
    <col collapsed="false" customWidth="true" hidden="false" outlineLevel="0" max="1834" min="1834" style="140" width="31"/>
    <col collapsed="false" customWidth="true" hidden="false" outlineLevel="0" max="1835" min="1835" style="140" width="37.5"/>
    <col collapsed="false" customWidth="true" hidden="false" outlineLevel="0" max="1836" min="1836" style="140" width="11.5"/>
    <col collapsed="false" customWidth="true" hidden="false" outlineLevel="0" max="1837" min="1837" style="140" width="54"/>
    <col collapsed="false" customWidth="true" hidden="false" outlineLevel="0" max="1838" min="1838" style="140" width="43.51"/>
    <col collapsed="false" customWidth="true" hidden="false" outlineLevel="0" max="1839" min="1839" style="140" width="44.51"/>
    <col collapsed="false" customWidth="false" hidden="false" outlineLevel="0" max="2049" min="1840" style="140" width="6.51"/>
    <col collapsed="false" customWidth="true" hidden="false" outlineLevel="0" max="2051" min="2050" style="140" width="2.5"/>
    <col collapsed="false" customWidth="true" hidden="true" outlineLevel="0" max="2052" min="2052" style="140" width="11.53"/>
    <col collapsed="false" customWidth="true" hidden="false" outlineLevel="0" max="2055" min="2053" style="140" width="12.5"/>
    <col collapsed="false" customWidth="true" hidden="false" outlineLevel="0" max="2056" min="2056" style="140" width="12"/>
    <col collapsed="false" customWidth="true" hidden="false" outlineLevel="0" max="2057" min="2057" style="140" width="12.5"/>
    <col collapsed="false" customWidth="true" hidden="false" outlineLevel="0" max="2058" min="2058" style="140" width="13.5"/>
    <col collapsed="false" customWidth="true" hidden="true" outlineLevel="0" max="2059" min="2059" style="140" width="11.53"/>
    <col collapsed="false" customWidth="true" hidden="false" outlineLevel="0" max="2062" min="2060" style="140" width="13"/>
    <col collapsed="false" customWidth="true" hidden="false" outlineLevel="0" max="2063" min="2063" style="140" width="14.51"/>
    <col collapsed="false" customWidth="true" hidden="false" outlineLevel="0" max="2065" min="2064" style="140" width="13.5"/>
    <col collapsed="false" customWidth="true" hidden="false" outlineLevel="0" max="2066" min="2066" style="140" width="2.5"/>
    <col collapsed="false" customWidth="true" hidden="false" outlineLevel="0" max="2067" min="2067" style="140" width="13.5"/>
    <col collapsed="false" customWidth="true" hidden="false" outlineLevel="0" max="2068" min="2068" style="140" width="10.51"/>
    <col collapsed="false" customWidth="true" hidden="false" outlineLevel="0" max="2069" min="2069" style="140" width="12"/>
    <col collapsed="false" customWidth="true" hidden="false" outlineLevel="0" max="2070" min="2070" style="140" width="11.5"/>
    <col collapsed="false" customWidth="true" hidden="false" outlineLevel="0" max="2071" min="2071" style="140" width="16"/>
    <col collapsed="false" customWidth="true" hidden="false" outlineLevel="0" max="2073" min="2072" style="140" width="10.51"/>
    <col collapsed="false" customWidth="true" hidden="false" outlineLevel="0" max="2074" min="2074" style="140" width="15.51"/>
    <col collapsed="false" customWidth="true" hidden="false" outlineLevel="0" max="2075" min="2075" style="140" width="11.5"/>
    <col collapsed="false" customWidth="true" hidden="false" outlineLevel="0" max="2076" min="2076" style="140" width="12"/>
    <col collapsed="false" customWidth="true" hidden="false" outlineLevel="0" max="2077" min="2077" style="140" width="11.5"/>
    <col collapsed="false" customWidth="true" hidden="false" outlineLevel="0" max="2078" min="2078" style="140" width="12"/>
    <col collapsed="false" customWidth="true" hidden="false" outlineLevel="0" max="2079" min="2079" style="140" width="11.5"/>
    <col collapsed="false" customWidth="true" hidden="false" outlineLevel="0" max="2080" min="2080" style="140" width="12.5"/>
    <col collapsed="false" customWidth="true" hidden="false" outlineLevel="0" max="2081" min="2081" style="140" width="10.51"/>
    <col collapsed="false" customWidth="true" hidden="false" outlineLevel="0" max="2082" min="2082" style="140" width="19"/>
    <col collapsed="false" customWidth="true" hidden="false" outlineLevel="0" max="2083" min="2083" style="140" width="13.5"/>
    <col collapsed="false" customWidth="true" hidden="false" outlineLevel="0" max="2084" min="2084" style="140" width="18"/>
    <col collapsed="false" customWidth="true" hidden="false" outlineLevel="0" max="2085" min="2085" style="140" width="42.5"/>
    <col collapsed="false" customWidth="true" hidden="false" outlineLevel="0" max="2086" min="2086" style="140" width="31"/>
    <col collapsed="false" customWidth="true" hidden="false" outlineLevel="0" max="2087" min="2087" style="140" width="35"/>
    <col collapsed="false" customWidth="true" hidden="false" outlineLevel="0" max="2088" min="2088" style="140" width="31"/>
    <col collapsed="false" customWidth="true" hidden="false" outlineLevel="0" max="2089" min="2089" style="140" width="35"/>
    <col collapsed="false" customWidth="true" hidden="false" outlineLevel="0" max="2090" min="2090" style="140" width="31"/>
    <col collapsed="false" customWidth="true" hidden="false" outlineLevel="0" max="2091" min="2091" style="140" width="37.5"/>
    <col collapsed="false" customWidth="true" hidden="false" outlineLevel="0" max="2092" min="2092" style="140" width="11.5"/>
    <col collapsed="false" customWidth="true" hidden="false" outlineLevel="0" max="2093" min="2093" style="140" width="54"/>
    <col collapsed="false" customWidth="true" hidden="false" outlineLevel="0" max="2094" min="2094" style="140" width="43.51"/>
    <col collapsed="false" customWidth="true" hidden="false" outlineLevel="0" max="2095" min="2095" style="140" width="44.51"/>
    <col collapsed="false" customWidth="false" hidden="false" outlineLevel="0" max="2305" min="2096" style="140" width="6.51"/>
    <col collapsed="false" customWidth="true" hidden="false" outlineLevel="0" max="2307" min="2306" style="140" width="2.5"/>
    <col collapsed="false" customWidth="true" hidden="true" outlineLevel="0" max="2308" min="2308" style="140" width="11.53"/>
    <col collapsed="false" customWidth="true" hidden="false" outlineLevel="0" max="2311" min="2309" style="140" width="12.5"/>
    <col collapsed="false" customWidth="true" hidden="false" outlineLevel="0" max="2312" min="2312" style="140" width="12"/>
    <col collapsed="false" customWidth="true" hidden="false" outlineLevel="0" max="2313" min="2313" style="140" width="12.5"/>
    <col collapsed="false" customWidth="true" hidden="false" outlineLevel="0" max="2314" min="2314" style="140" width="13.5"/>
    <col collapsed="false" customWidth="true" hidden="true" outlineLevel="0" max="2315" min="2315" style="140" width="11.53"/>
    <col collapsed="false" customWidth="true" hidden="false" outlineLevel="0" max="2318" min="2316" style="140" width="13"/>
    <col collapsed="false" customWidth="true" hidden="false" outlineLevel="0" max="2319" min="2319" style="140" width="14.51"/>
    <col collapsed="false" customWidth="true" hidden="false" outlineLevel="0" max="2321" min="2320" style="140" width="13.5"/>
    <col collapsed="false" customWidth="true" hidden="false" outlineLevel="0" max="2322" min="2322" style="140" width="2.5"/>
    <col collapsed="false" customWidth="true" hidden="false" outlineLevel="0" max="2323" min="2323" style="140" width="13.5"/>
    <col collapsed="false" customWidth="true" hidden="false" outlineLevel="0" max="2324" min="2324" style="140" width="10.51"/>
    <col collapsed="false" customWidth="true" hidden="false" outlineLevel="0" max="2325" min="2325" style="140" width="12"/>
    <col collapsed="false" customWidth="true" hidden="false" outlineLevel="0" max="2326" min="2326" style="140" width="11.5"/>
    <col collapsed="false" customWidth="true" hidden="false" outlineLevel="0" max="2327" min="2327" style="140" width="16"/>
    <col collapsed="false" customWidth="true" hidden="false" outlineLevel="0" max="2329" min="2328" style="140" width="10.51"/>
    <col collapsed="false" customWidth="true" hidden="false" outlineLevel="0" max="2330" min="2330" style="140" width="15.51"/>
    <col collapsed="false" customWidth="true" hidden="false" outlineLevel="0" max="2331" min="2331" style="140" width="11.5"/>
    <col collapsed="false" customWidth="true" hidden="false" outlineLevel="0" max="2332" min="2332" style="140" width="12"/>
    <col collapsed="false" customWidth="true" hidden="false" outlineLevel="0" max="2333" min="2333" style="140" width="11.5"/>
    <col collapsed="false" customWidth="true" hidden="false" outlineLevel="0" max="2334" min="2334" style="140" width="12"/>
    <col collapsed="false" customWidth="true" hidden="false" outlineLevel="0" max="2335" min="2335" style="140" width="11.5"/>
    <col collapsed="false" customWidth="true" hidden="false" outlineLevel="0" max="2336" min="2336" style="140" width="12.5"/>
    <col collapsed="false" customWidth="true" hidden="false" outlineLevel="0" max="2337" min="2337" style="140" width="10.51"/>
    <col collapsed="false" customWidth="true" hidden="false" outlineLevel="0" max="2338" min="2338" style="140" width="19"/>
    <col collapsed="false" customWidth="true" hidden="false" outlineLevel="0" max="2339" min="2339" style="140" width="13.5"/>
    <col collapsed="false" customWidth="true" hidden="false" outlineLevel="0" max="2340" min="2340" style="140" width="18"/>
    <col collapsed="false" customWidth="true" hidden="false" outlineLevel="0" max="2341" min="2341" style="140" width="42.5"/>
    <col collapsed="false" customWidth="true" hidden="false" outlineLevel="0" max="2342" min="2342" style="140" width="31"/>
    <col collapsed="false" customWidth="true" hidden="false" outlineLevel="0" max="2343" min="2343" style="140" width="35"/>
    <col collapsed="false" customWidth="true" hidden="false" outlineLevel="0" max="2344" min="2344" style="140" width="31"/>
    <col collapsed="false" customWidth="true" hidden="false" outlineLevel="0" max="2345" min="2345" style="140" width="35"/>
    <col collapsed="false" customWidth="true" hidden="false" outlineLevel="0" max="2346" min="2346" style="140" width="31"/>
    <col collapsed="false" customWidth="true" hidden="false" outlineLevel="0" max="2347" min="2347" style="140" width="37.5"/>
    <col collapsed="false" customWidth="true" hidden="false" outlineLevel="0" max="2348" min="2348" style="140" width="11.5"/>
    <col collapsed="false" customWidth="true" hidden="false" outlineLevel="0" max="2349" min="2349" style="140" width="54"/>
    <col collapsed="false" customWidth="true" hidden="false" outlineLevel="0" max="2350" min="2350" style="140" width="43.51"/>
    <col collapsed="false" customWidth="true" hidden="false" outlineLevel="0" max="2351" min="2351" style="140" width="44.51"/>
    <col collapsed="false" customWidth="false" hidden="false" outlineLevel="0" max="2561" min="2352" style="140" width="6.51"/>
    <col collapsed="false" customWidth="true" hidden="false" outlineLevel="0" max="2563" min="2562" style="140" width="2.5"/>
    <col collapsed="false" customWidth="true" hidden="true" outlineLevel="0" max="2564" min="2564" style="140" width="11.53"/>
    <col collapsed="false" customWidth="true" hidden="false" outlineLevel="0" max="2567" min="2565" style="140" width="12.5"/>
    <col collapsed="false" customWidth="true" hidden="false" outlineLevel="0" max="2568" min="2568" style="140" width="12"/>
    <col collapsed="false" customWidth="true" hidden="false" outlineLevel="0" max="2569" min="2569" style="140" width="12.5"/>
    <col collapsed="false" customWidth="true" hidden="false" outlineLevel="0" max="2570" min="2570" style="140" width="13.5"/>
    <col collapsed="false" customWidth="true" hidden="true" outlineLevel="0" max="2571" min="2571" style="140" width="11.53"/>
    <col collapsed="false" customWidth="true" hidden="false" outlineLevel="0" max="2574" min="2572" style="140" width="13"/>
    <col collapsed="false" customWidth="true" hidden="false" outlineLevel="0" max="2575" min="2575" style="140" width="14.51"/>
    <col collapsed="false" customWidth="true" hidden="false" outlineLevel="0" max="2577" min="2576" style="140" width="13.5"/>
    <col collapsed="false" customWidth="true" hidden="false" outlineLevel="0" max="2578" min="2578" style="140" width="2.5"/>
    <col collapsed="false" customWidth="true" hidden="false" outlineLevel="0" max="2579" min="2579" style="140" width="13.5"/>
    <col collapsed="false" customWidth="true" hidden="false" outlineLevel="0" max="2580" min="2580" style="140" width="10.51"/>
    <col collapsed="false" customWidth="true" hidden="false" outlineLevel="0" max="2581" min="2581" style="140" width="12"/>
    <col collapsed="false" customWidth="true" hidden="false" outlineLevel="0" max="2582" min="2582" style="140" width="11.5"/>
    <col collapsed="false" customWidth="true" hidden="false" outlineLevel="0" max="2583" min="2583" style="140" width="16"/>
    <col collapsed="false" customWidth="true" hidden="false" outlineLevel="0" max="2585" min="2584" style="140" width="10.51"/>
    <col collapsed="false" customWidth="true" hidden="false" outlineLevel="0" max="2586" min="2586" style="140" width="15.51"/>
    <col collapsed="false" customWidth="true" hidden="false" outlineLevel="0" max="2587" min="2587" style="140" width="11.5"/>
    <col collapsed="false" customWidth="true" hidden="false" outlineLevel="0" max="2588" min="2588" style="140" width="12"/>
    <col collapsed="false" customWidth="true" hidden="false" outlineLevel="0" max="2589" min="2589" style="140" width="11.5"/>
    <col collapsed="false" customWidth="true" hidden="false" outlineLevel="0" max="2590" min="2590" style="140" width="12"/>
    <col collapsed="false" customWidth="true" hidden="false" outlineLevel="0" max="2591" min="2591" style="140" width="11.5"/>
    <col collapsed="false" customWidth="true" hidden="false" outlineLevel="0" max="2592" min="2592" style="140" width="12.5"/>
    <col collapsed="false" customWidth="true" hidden="false" outlineLevel="0" max="2593" min="2593" style="140" width="10.51"/>
    <col collapsed="false" customWidth="true" hidden="false" outlineLevel="0" max="2594" min="2594" style="140" width="19"/>
    <col collapsed="false" customWidth="true" hidden="false" outlineLevel="0" max="2595" min="2595" style="140" width="13.5"/>
    <col collapsed="false" customWidth="true" hidden="false" outlineLevel="0" max="2596" min="2596" style="140" width="18"/>
    <col collapsed="false" customWidth="true" hidden="false" outlineLevel="0" max="2597" min="2597" style="140" width="42.5"/>
    <col collapsed="false" customWidth="true" hidden="false" outlineLevel="0" max="2598" min="2598" style="140" width="31"/>
    <col collapsed="false" customWidth="true" hidden="false" outlineLevel="0" max="2599" min="2599" style="140" width="35"/>
    <col collapsed="false" customWidth="true" hidden="false" outlineLevel="0" max="2600" min="2600" style="140" width="31"/>
    <col collapsed="false" customWidth="true" hidden="false" outlineLevel="0" max="2601" min="2601" style="140" width="35"/>
    <col collapsed="false" customWidth="true" hidden="false" outlineLevel="0" max="2602" min="2602" style="140" width="31"/>
    <col collapsed="false" customWidth="true" hidden="false" outlineLevel="0" max="2603" min="2603" style="140" width="37.5"/>
    <col collapsed="false" customWidth="true" hidden="false" outlineLevel="0" max="2604" min="2604" style="140" width="11.5"/>
    <col collapsed="false" customWidth="true" hidden="false" outlineLevel="0" max="2605" min="2605" style="140" width="54"/>
    <col collapsed="false" customWidth="true" hidden="false" outlineLevel="0" max="2606" min="2606" style="140" width="43.51"/>
    <col collapsed="false" customWidth="true" hidden="false" outlineLevel="0" max="2607" min="2607" style="140" width="44.51"/>
    <col collapsed="false" customWidth="false" hidden="false" outlineLevel="0" max="2817" min="2608" style="140" width="6.51"/>
    <col collapsed="false" customWidth="true" hidden="false" outlineLevel="0" max="2819" min="2818" style="140" width="2.5"/>
    <col collapsed="false" customWidth="true" hidden="true" outlineLevel="0" max="2820" min="2820" style="140" width="11.53"/>
    <col collapsed="false" customWidth="true" hidden="false" outlineLevel="0" max="2823" min="2821" style="140" width="12.5"/>
    <col collapsed="false" customWidth="true" hidden="false" outlineLevel="0" max="2824" min="2824" style="140" width="12"/>
    <col collapsed="false" customWidth="true" hidden="false" outlineLevel="0" max="2825" min="2825" style="140" width="12.5"/>
    <col collapsed="false" customWidth="true" hidden="false" outlineLevel="0" max="2826" min="2826" style="140" width="13.5"/>
    <col collapsed="false" customWidth="true" hidden="true" outlineLevel="0" max="2827" min="2827" style="140" width="11.53"/>
    <col collapsed="false" customWidth="true" hidden="false" outlineLevel="0" max="2830" min="2828" style="140" width="13"/>
    <col collapsed="false" customWidth="true" hidden="false" outlineLevel="0" max="2831" min="2831" style="140" width="14.51"/>
    <col collapsed="false" customWidth="true" hidden="false" outlineLevel="0" max="2833" min="2832" style="140" width="13.5"/>
    <col collapsed="false" customWidth="true" hidden="false" outlineLevel="0" max="2834" min="2834" style="140" width="2.5"/>
    <col collapsed="false" customWidth="true" hidden="false" outlineLevel="0" max="2835" min="2835" style="140" width="13.5"/>
    <col collapsed="false" customWidth="true" hidden="false" outlineLevel="0" max="2836" min="2836" style="140" width="10.51"/>
    <col collapsed="false" customWidth="true" hidden="false" outlineLevel="0" max="2837" min="2837" style="140" width="12"/>
    <col collapsed="false" customWidth="true" hidden="false" outlineLevel="0" max="2838" min="2838" style="140" width="11.5"/>
    <col collapsed="false" customWidth="true" hidden="false" outlineLevel="0" max="2839" min="2839" style="140" width="16"/>
    <col collapsed="false" customWidth="true" hidden="false" outlineLevel="0" max="2841" min="2840" style="140" width="10.51"/>
    <col collapsed="false" customWidth="true" hidden="false" outlineLevel="0" max="2842" min="2842" style="140" width="15.51"/>
    <col collapsed="false" customWidth="true" hidden="false" outlineLevel="0" max="2843" min="2843" style="140" width="11.5"/>
    <col collapsed="false" customWidth="true" hidden="false" outlineLevel="0" max="2844" min="2844" style="140" width="12"/>
    <col collapsed="false" customWidth="true" hidden="false" outlineLevel="0" max="2845" min="2845" style="140" width="11.5"/>
    <col collapsed="false" customWidth="true" hidden="false" outlineLevel="0" max="2846" min="2846" style="140" width="12"/>
    <col collapsed="false" customWidth="true" hidden="false" outlineLevel="0" max="2847" min="2847" style="140" width="11.5"/>
    <col collapsed="false" customWidth="true" hidden="false" outlineLevel="0" max="2848" min="2848" style="140" width="12.5"/>
    <col collapsed="false" customWidth="true" hidden="false" outlineLevel="0" max="2849" min="2849" style="140" width="10.51"/>
    <col collapsed="false" customWidth="true" hidden="false" outlineLevel="0" max="2850" min="2850" style="140" width="19"/>
    <col collapsed="false" customWidth="true" hidden="false" outlineLevel="0" max="2851" min="2851" style="140" width="13.5"/>
    <col collapsed="false" customWidth="true" hidden="false" outlineLevel="0" max="2852" min="2852" style="140" width="18"/>
    <col collapsed="false" customWidth="true" hidden="false" outlineLevel="0" max="2853" min="2853" style="140" width="42.5"/>
    <col collapsed="false" customWidth="true" hidden="false" outlineLevel="0" max="2854" min="2854" style="140" width="31"/>
    <col collapsed="false" customWidth="true" hidden="false" outlineLevel="0" max="2855" min="2855" style="140" width="35"/>
    <col collapsed="false" customWidth="true" hidden="false" outlineLevel="0" max="2856" min="2856" style="140" width="31"/>
    <col collapsed="false" customWidth="true" hidden="false" outlineLevel="0" max="2857" min="2857" style="140" width="35"/>
    <col collapsed="false" customWidth="true" hidden="false" outlineLevel="0" max="2858" min="2858" style="140" width="31"/>
    <col collapsed="false" customWidth="true" hidden="false" outlineLevel="0" max="2859" min="2859" style="140" width="37.5"/>
    <col collapsed="false" customWidth="true" hidden="false" outlineLevel="0" max="2860" min="2860" style="140" width="11.5"/>
    <col collapsed="false" customWidth="true" hidden="false" outlineLevel="0" max="2861" min="2861" style="140" width="54"/>
    <col collapsed="false" customWidth="true" hidden="false" outlineLevel="0" max="2862" min="2862" style="140" width="43.51"/>
    <col collapsed="false" customWidth="true" hidden="false" outlineLevel="0" max="2863" min="2863" style="140" width="44.51"/>
    <col collapsed="false" customWidth="false" hidden="false" outlineLevel="0" max="3073" min="2864" style="140" width="6.51"/>
    <col collapsed="false" customWidth="true" hidden="false" outlineLevel="0" max="3075" min="3074" style="140" width="2.5"/>
    <col collapsed="false" customWidth="true" hidden="true" outlineLevel="0" max="3076" min="3076" style="140" width="11.53"/>
    <col collapsed="false" customWidth="true" hidden="false" outlineLevel="0" max="3079" min="3077" style="140" width="12.5"/>
    <col collapsed="false" customWidth="true" hidden="false" outlineLevel="0" max="3080" min="3080" style="140" width="12"/>
    <col collapsed="false" customWidth="true" hidden="false" outlineLevel="0" max="3081" min="3081" style="140" width="12.5"/>
    <col collapsed="false" customWidth="true" hidden="false" outlineLevel="0" max="3082" min="3082" style="140" width="13.5"/>
    <col collapsed="false" customWidth="true" hidden="true" outlineLevel="0" max="3083" min="3083" style="140" width="11.53"/>
    <col collapsed="false" customWidth="true" hidden="false" outlineLevel="0" max="3086" min="3084" style="140" width="13"/>
    <col collapsed="false" customWidth="true" hidden="false" outlineLevel="0" max="3087" min="3087" style="140" width="14.51"/>
    <col collapsed="false" customWidth="true" hidden="false" outlineLevel="0" max="3089" min="3088" style="140" width="13.5"/>
    <col collapsed="false" customWidth="true" hidden="false" outlineLevel="0" max="3090" min="3090" style="140" width="2.5"/>
    <col collapsed="false" customWidth="true" hidden="false" outlineLevel="0" max="3091" min="3091" style="140" width="13.5"/>
    <col collapsed="false" customWidth="true" hidden="false" outlineLevel="0" max="3092" min="3092" style="140" width="10.51"/>
    <col collapsed="false" customWidth="true" hidden="false" outlineLevel="0" max="3093" min="3093" style="140" width="12"/>
    <col collapsed="false" customWidth="true" hidden="false" outlineLevel="0" max="3094" min="3094" style="140" width="11.5"/>
    <col collapsed="false" customWidth="true" hidden="false" outlineLevel="0" max="3095" min="3095" style="140" width="16"/>
    <col collapsed="false" customWidth="true" hidden="false" outlineLevel="0" max="3097" min="3096" style="140" width="10.51"/>
    <col collapsed="false" customWidth="true" hidden="false" outlineLevel="0" max="3098" min="3098" style="140" width="15.51"/>
    <col collapsed="false" customWidth="true" hidden="false" outlineLevel="0" max="3099" min="3099" style="140" width="11.5"/>
    <col collapsed="false" customWidth="true" hidden="false" outlineLevel="0" max="3100" min="3100" style="140" width="12"/>
    <col collapsed="false" customWidth="true" hidden="false" outlineLevel="0" max="3101" min="3101" style="140" width="11.5"/>
    <col collapsed="false" customWidth="true" hidden="false" outlineLevel="0" max="3102" min="3102" style="140" width="12"/>
    <col collapsed="false" customWidth="true" hidden="false" outlineLevel="0" max="3103" min="3103" style="140" width="11.5"/>
    <col collapsed="false" customWidth="true" hidden="false" outlineLevel="0" max="3104" min="3104" style="140" width="12.5"/>
    <col collapsed="false" customWidth="true" hidden="false" outlineLevel="0" max="3105" min="3105" style="140" width="10.51"/>
    <col collapsed="false" customWidth="true" hidden="false" outlineLevel="0" max="3106" min="3106" style="140" width="19"/>
    <col collapsed="false" customWidth="true" hidden="false" outlineLevel="0" max="3107" min="3107" style="140" width="13.5"/>
    <col collapsed="false" customWidth="true" hidden="false" outlineLevel="0" max="3108" min="3108" style="140" width="18"/>
    <col collapsed="false" customWidth="true" hidden="false" outlineLevel="0" max="3109" min="3109" style="140" width="42.5"/>
    <col collapsed="false" customWidth="true" hidden="false" outlineLevel="0" max="3110" min="3110" style="140" width="31"/>
    <col collapsed="false" customWidth="true" hidden="false" outlineLevel="0" max="3111" min="3111" style="140" width="35"/>
    <col collapsed="false" customWidth="true" hidden="false" outlineLevel="0" max="3112" min="3112" style="140" width="31"/>
    <col collapsed="false" customWidth="true" hidden="false" outlineLevel="0" max="3113" min="3113" style="140" width="35"/>
    <col collapsed="false" customWidth="true" hidden="false" outlineLevel="0" max="3114" min="3114" style="140" width="31"/>
    <col collapsed="false" customWidth="true" hidden="false" outlineLevel="0" max="3115" min="3115" style="140" width="37.5"/>
    <col collapsed="false" customWidth="true" hidden="false" outlineLevel="0" max="3116" min="3116" style="140" width="11.5"/>
    <col collapsed="false" customWidth="true" hidden="false" outlineLevel="0" max="3117" min="3117" style="140" width="54"/>
    <col collapsed="false" customWidth="true" hidden="false" outlineLevel="0" max="3118" min="3118" style="140" width="43.51"/>
    <col collapsed="false" customWidth="true" hidden="false" outlineLevel="0" max="3119" min="3119" style="140" width="44.51"/>
    <col collapsed="false" customWidth="false" hidden="false" outlineLevel="0" max="3329" min="3120" style="140" width="6.51"/>
    <col collapsed="false" customWidth="true" hidden="false" outlineLevel="0" max="3331" min="3330" style="140" width="2.5"/>
    <col collapsed="false" customWidth="true" hidden="true" outlineLevel="0" max="3332" min="3332" style="140" width="11.53"/>
    <col collapsed="false" customWidth="true" hidden="false" outlineLevel="0" max="3335" min="3333" style="140" width="12.5"/>
    <col collapsed="false" customWidth="true" hidden="false" outlineLevel="0" max="3336" min="3336" style="140" width="12"/>
    <col collapsed="false" customWidth="true" hidden="false" outlineLevel="0" max="3337" min="3337" style="140" width="12.5"/>
    <col collapsed="false" customWidth="true" hidden="false" outlineLevel="0" max="3338" min="3338" style="140" width="13.5"/>
    <col collapsed="false" customWidth="true" hidden="true" outlineLevel="0" max="3339" min="3339" style="140" width="11.53"/>
    <col collapsed="false" customWidth="true" hidden="false" outlineLevel="0" max="3342" min="3340" style="140" width="13"/>
    <col collapsed="false" customWidth="true" hidden="false" outlineLevel="0" max="3343" min="3343" style="140" width="14.51"/>
    <col collapsed="false" customWidth="true" hidden="false" outlineLevel="0" max="3345" min="3344" style="140" width="13.5"/>
    <col collapsed="false" customWidth="true" hidden="false" outlineLevel="0" max="3346" min="3346" style="140" width="2.5"/>
    <col collapsed="false" customWidth="true" hidden="false" outlineLevel="0" max="3347" min="3347" style="140" width="13.5"/>
    <col collapsed="false" customWidth="true" hidden="false" outlineLevel="0" max="3348" min="3348" style="140" width="10.51"/>
    <col collapsed="false" customWidth="true" hidden="false" outlineLevel="0" max="3349" min="3349" style="140" width="12"/>
    <col collapsed="false" customWidth="true" hidden="false" outlineLevel="0" max="3350" min="3350" style="140" width="11.5"/>
    <col collapsed="false" customWidth="true" hidden="false" outlineLevel="0" max="3351" min="3351" style="140" width="16"/>
    <col collapsed="false" customWidth="true" hidden="false" outlineLevel="0" max="3353" min="3352" style="140" width="10.51"/>
    <col collapsed="false" customWidth="true" hidden="false" outlineLevel="0" max="3354" min="3354" style="140" width="15.51"/>
    <col collapsed="false" customWidth="true" hidden="false" outlineLevel="0" max="3355" min="3355" style="140" width="11.5"/>
    <col collapsed="false" customWidth="true" hidden="false" outlineLevel="0" max="3356" min="3356" style="140" width="12"/>
    <col collapsed="false" customWidth="true" hidden="false" outlineLevel="0" max="3357" min="3357" style="140" width="11.5"/>
    <col collapsed="false" customWidth="true" hidden="false" outlineLevel="0" max="3358" min="3358" style="140" width="12"/>
    <col collapsed="false" customWidth="true" hidden="false" outlineLevel="0" max="3359" min="3359" style="140" width="11.5"/>
    <col collapsed="false" customWidth="true" hidden="false" outlineLevel="0" max="3360" min="3360" style="140" width="12.5"/>
    <col collapsed="false" customWidth="true" hidden="false" outlineLevel="0" max="3361" min="3361" style="140" width="10.51"/>
    <col collapsed="false" customWidth="true" hidden="false" outlineLevel="0" max="3362" min="3362" style="140" width="19"/>
    <col collapsed="false" customWidth="true" hidden="false" outlineLevel="0" max="3363" min="3363" style="140" width="13.5"/>
    <col collapsed="false" customWidth="true" hidden="false" outlineLevel="0" max="3364" min="3364" style="140" width="18"/>
    <col collapsed="false" customWidth="true" hidden="false" outlineLevel="0" max="3365" min="3365" style="140" width="42.5"/>
    <col collapsed="false" customWidth="true" hidden="false" outlineLevel="0" max="3366" min="3366" style="140" width="31"/>
    <col collapsed="false" customWidth="true" hidden="false" outlineLevel="0" max="3367" min="3367" style="140" width="35"/>
    <col collapsed="false" customWidth="true" hidden="false" outlineLevel="0" max="3368" min="3368" style="140" width="31"/>
    <col collapsed="false" customWidth="true" hidden="false" outlineLevel="0" max="3369" min="3369" style="140" width="35"/>
    <col collapsed="false" customWidth="true" hidden="false" outlineLevel="0" max="3370" min="3370" style="140" width="31"/>
    <col collapsed="false" customWidth="true" hidden="false" outlineLevel="0" max="3371" min="3371" style="140" width="37.5"/>
    <col collapsed="false" customWidth="true" hidden="false" outlineLevel="0" max="3372" min="3372" style="140" width="11.5"/>
    <col collapsed="false" customWidth="true" hidden="false" outlineLevel="0" max="3373" min="3373" style="140" width="54"/>
    <col collapsed="false" customWidth="true" hidden="false" outlineLevel="0" max="3374" min="3374" style="140" width="43.51"/>
    <col collapsed="false" customWidth="true" hidden="false" outlineLevel="0" max="3375" min="3375" style="140" width="44.51"/>
    <col collapsed="false" customWidth="false" hidden="false" outlineLevel="0" max="3585" min="3376" style="140" width="6.51"/>
    <col collapsed="false" customWidth="true" hidden="false" outlineLevel="0" max="3587" min="3586" style="140" width="2.5"/>
    <col collapsed="false" customWidth="true" hidden="true" outlineLevel="0" max="3588" min="3588" style="140" width="11.53"/>
    <col collapsed="false" customWidth="true" hidden="false" outlineLevel="0" max="3591" min="3589" style="140" width="12.5"/>
    <col collapsed="false" customWidth="true" hidden="false" outlineLevel="0" max="3592" min="3592" style="140" width="12"/>
    <col collapsed="false" customWidth="true" hidden="false" outlineLevel="0" max="3593" min="3593" style="140" width="12.5"/>
    <col collapsed="false" customWidth="true" hidden="false" outlineLevel="0" max="3594" min="3594" style="140" width="13.5"/>
    <col collapsed="false" customWidth="true" hidden="true" outlineLevel="0" max="3595" min="3595" style="140" width="11.53"/>
    <col collapsed="false" customWidth="true" hidden="false" outlineLevel="0" max="3598" min="3596" style="140" width="13"/>
    <col collapsed="false" customWidth="true" hidden="false" outlineLevel="0" max="3599" min="3599" style="140" width="14.51"/>
    <col collapsed="false" customWidth="true" hidden="false" outlineLevel="0" max="3601" min="3600" style="140" width="13.5"/>
    <col collapsed="false" customWidth="true" hidden="false" outlineLevel="0" max="3602" min="3602" style="140" width="2.5"/>
    <col collapsed="false" customWidth="true" hidden="false" outlineLevel="0" max="3603" min="3603" style="140" width="13.5"/>
    <col collapsed="false" customWidth="true" hidden="false" outlineLevel="0" max="3604" min="3604" style="140" width="10.51"/>
    <col collapsed="false" customWidth="true" hidden="false" outlineLevel="0" max="3605" min="3605" style="140" width="12"/>
    <col collapsed="false" customWidth="true" hidden="false" outlineLevel="0" max="3606" min="3606" style="140" width="11.5"/>
    <col collapsed="false" customWidth="true" hidden="false" outlineLevel="0" max="3607" min="3607" style="140" width="16"/>
    <col collapsed="false" customWidth="true" hidden="false" outlineLevel="0" max="3609" min="3608" style="140" width="10.51"/>
    <col collapsed="false" customWidth="true" hidden="false" outlineLevel="0" max="3610" min="3610" style="140" width="15.51"/>
    <col collapsed="false" customWidth="true" hidden="false" outlineLevel="0" max="3611" min="3611" style="140" width="11.5"/>
    <col collapsed="false" customWidth="true" hidden="false" outlineLevel="0" max="3612" min="3612" style="140" width="12"/>
    <col collapsed="false" customWidth="true" hidden="false" outlineLevel="0" max="3613" min="3613" style="140" width="11.5"/>
    <col collapsed="false" customWidth="true" hidden="false" outlineLevel="0" max="3614" min="3614" style="140" width="12"/>
    <col collapsed="false" customWidth="true" hidden="false" outlineLevel="0" max="3615" min="3615" style="140" width="11.5"/>
    <col collapsed="false" customWidth="true" hidden="false" outlineLevel="0" max="3616" min="3616" style="140" width="12.5"/>
    <col collapsed="false" customWidth="true" hidden="false" outlineLevel="0" max="3617" min="3617" style="140" width="10.51"/>
    <col collapsed="false" customWidth="true" hidden="false" outlineLevel="0" max="3618" min="3618" style="140" width="19"/>
    <col collapsed="false" customWidth="true" hidden="false" outlineLevel="0" max="3619" min="3619" style="140" width="13.5"/>
    <col collapsed="false" customWidth="true" hidden="false" outlineLevel="0" max="3620" min="3620" style="140" width="18"/>
    <col collapsed="false" customWidth="true" hidden="false" outlineLevel="0" max="3621" min="3621" style="140" width="42.5"/>
    <col collapsed="false" customWidth="true" hidden="false" outlineLevel="0" max="3622" min="3622" style="140" width="31"/>
    <col collapsed="false" customWidth="true" hidden="false" outlineLevel="0" max="3623" min="3623" style="140" width="35"/>
    <col collapsed="false" customWidth="true" hidden="false" outlineLevel="0" max="3624" min="3624" style="140" width="31"/>
    <col collapsed="false" customWidth="true" hidden="false" outlineLevel="0" max="3625" min="3625" style="140" width="35"/>
    <col collapsed="false" customWidth="true" hidden="false" outlineLevel="0" max="3626" min="3626" style="140" width="31"/>
    <col collapsed="false" customWidth="true" hidden="false" outlineLevel="0" max="3627" min="3627" style="140" width="37.5"/>
    <col collapsed="false" customWidth="true" hidden="false" outlineLevel="0" max="3628" min="3628" style="140" width="11.5"/>
    <col collapsed="false" customWidth="true" hidden="false" outlineLevel="0" max="3629" min="3629" style="140" width="54"/>
    <col collapsed="false" customWidth="true" hidden="false" outlineLevel="0" max="3630" min="3630" style="140" width="43.51"/>
    <col collapsed="false" customWidth="true" hidden="false" outlineLevel="0" max="3631" min="3631" style="140" width="44.51"/>
    <col collapsed="false" customWidth="false" hidden="false" outlineLevel="0" max="3841" min="3632" style="140" width="6.51"/>
    <col collapsed="false" customWidth="true" hidden="false" outlineLevel="0" max="3843" min="3842" style="140" width="2.5"/>
    <col collapsed="false" customWidth="true" hidden="true" outlineLevel="0" max="3844" min="3844" style="140" width="11.53"/>
    <col collapsed="false" customWidth="true" hidden="false" outlineLevel="0" max="3847" min="3845" style="140" width="12.5"/>
    <col collapsed="false" customWidth="true" hidden="false" outlineLevel="0" max="3848" min="3848" style="140" width="12"/>
    <col collapsed="false" customWidth="true" hidden="false" outlineLevel="0" max="3849" min="3849" style="140" width="12.5"/>
    <col collapsed="false" customWidth="true" hidden="false" outlineLevel="0" max="3850" min="3850" style="140" width="13.5"/>
    <col collapsed="false" customWidth="true" hidden="true" outlineLevel="0" max="3851" min="3851" style="140" width="11.53"/>
    <col collapsed="false" customWidth="true" hidden="false" outlineLevel="0" max="3854" min="3852" style="140" width="13"/>
    <col collapsed="false" customWidth="true" hidden="false" outlineLevel="0" max="3855" min="3855" style="140" width="14.51"/>
    <col collapsed="false" customWidth="true" hidden="false" outlineLevel="0" max="3857" min="3856" style="140" width="13.5"/>
    <col collapsed="false" customWidth="true" hidden="false" outlineLevel="0" max="3858" min="3858" style="140" width="2.5"/>
    <col collapsed="false" customWidth="true" hidden="false" outlineLevel="0" max="3859" min="3859" style="140" width="13.5"/>
    <col collapsed="false" customWidth="true" hidden="false" outlineLevel="0" max="3860" min="3860" style="140" width="10.51"/>
    <col collapsed="false" customWidth="true" hidden="false" outlineLevel="0" max="3861" min="3861" style="140" width="12"/>
    <col collapsed="false" customWidth="true" hidden="false" outlineLevel="0" max="3862" min="3862" style="140" width="11.5"/>
    <col collapsed="false" customWidth="true" hidden="false" outlineLevel="0" max="3863" min="3863" style="140" width="16"/>
    <col collapsed="false" customWidth="true" hidden="false" outlineLevel="0" max="3865" min="3864" style="140" width="10.51"/>
    <col collapsed="false" customWidth="true" hidden="false" outlineLevel="0" max="3866" min="3866" style="140" width="15.51"/>
    <col collapsed="false" customWidth="true" hidden="false" outlineLevel="0" max="3867" min="3867" style="140" width="11.5"/>
    <col collapsed="false" customWidth="true" hidden="false" outlineLevel="0" max="3868" min="3868" style="140" width="12"/>
    <col collapsed="false" customWidth="true" hidden="false" outlineLevel="0" max="3869" min="3869" style="140" width="11.5"/>
    <col collapsed="false" customWidth="true" hidden="false" outlineLevel="0" max="3870" min="3870" style="140" width="12"/>
    <col collapsed="false" customWidth="true" hidden="false" outlineLevel="0" max="3871" min="3871" style="140" width="11.5"/>
    <col collapsed="false" customWidth="true" hidden="false" outlineLevel="0" max="3872" min="3872" style="140" width="12.5"/>
    <col collapsed="false" customWidth="true" hidden="false" outlineLevel="0" max="3873" min="3873" style="140" width="10.51"/>
    <col collapsed="false" customWidth="true" hidden="false" outlineLevel="0" max="3874" min="3874" style="140" width="19"/>
    <col collapsed="false" customWidth="true" hidden="false" outlineLevel="0" max="3875" min="3875" style="140" width="13.5"/>
    <col collapsed="false" customWidth="true" hidden="false" outlineLevel="0" max="3876" min="3876" style="140" width="18"/>
    <col collapsed="false" customWidth="true" hidden="false" outlineLevel="0" max="3877" min="3877" style="140" width="42.5"/>
    <col collapsed="false" customWidth="true" hidden="false" outlineLevel="0" max="3878" min="3878" style="140" width="31"/>
    <col collapsed="false" customWidth="true" hidden="false" outlineLevel="0" max="3879" min="3879" style="140" width="35"/>
    <col collapsed="false" customWidth="true" hidden="false" outlineLevel="0" max="3880" min="3880" style="140" width="31"/>
    <col collapsed="false" customWidth="true" hidden="false" outlineLevel="0" max="3881" min="3881" style="140" width="35"/>
    <col collapsed="false" customWidth="true" hidden="false" outlineLevel="0" max="3882" min="3882" style="140" width="31"/>
    <col collapsed="false" customWidth="true" hidden="false" outlineLevel="0" max="3883" min="3883" style="140" width="37.5"/>
    <col collapsed="false" customWidth="true" hidden="false" outlineLevel="0" max="3884" min="3884" style="140" width="11.5"/>
    <col collapsed="false" customWidth="true" hidden="false" outlineLevel="0" max="3885" min="3885" style="140" width="54"/>
    <col collapsed="false" customWidth="true" hidden="false" outlineLevel="0" max="3886" min="3886" style="140" width="43.51"/>
    <col collapsed="false" customWidth="true" hidden="false" outlineLevel="0" max="3887" min="3887" style="140" width="44.51"/>
    <col collapsed="false" customWidth="false" hidden="false" outlineLevel="0" max="4097" min="3888" style="140" width="6.51"/>
    <col collapsed="false" customWidth="true" hidden="false" outlineLevel="0" max="4099" min="4098" style="140" width="2.5"/>
    <col collapsed="false" customWidth="true" hidden="true" outlineLevel="0" max="4100" min="4100" style="140" width="11.53"/>
    <col collapsed="false" customWidth="true" hidden="false" outlineLevel="0" max="4103" min="4101" style="140" width="12.5"/>
    <col collapsed="false" customWidth="true" hidden="false" outlineLevel="0" max="4104" min="4104" style="140" width="12"/>
    <col collapsed="false" customWidth="true" hidden="false" outlineLevel="0" max="4105" min="4105" style="140" width="12.5"/>
    <col collapsed="false" customWidth="true" hidden="false" outlineLevel="0" max="4106" min="4106" style="140" width="13.5"/>
    <col collapsed="false" customWidth="true" hidden="true" outlineLevel="0" max="4107" min="4107" style="140" width="11.53"/>
    <col collapsed="false" customWidth="true" hidden="false" outlineLevel="0" max="4110" min="4108" style="140" width="13"/>
    <col collapsed="false" customWidth="true" hidden="false" outlineLevel="0" max="4111" min="4111" style="140" width="14.51"/>
    <col collapsed="false" customWidth="true" hidden="false" outlineLevel="0" max="4113" min="4112" style="140" width="13.5"/>
    <col collapsed="false" customWidth="true" hidden="false" outlineLevel="0" max="4114" min="4114" style="140" width="2.5"/>
    <col collapsed="false" customWidth="true" hidden="false" outlineLevel="0" max="4115" min="4115" style="140" width="13.5"/>
    <col collapsed="false" customWidth="true" hidden="false" outlineLevel="0" max="4116" min="4116" style="140" width="10.51"/>
    <col collapsed="false" customWidth="true" hidden="false" outlineLevel="0" max="4117" min="4117" style="140" width="12"/>
    <col collapsed="false" customWidth="true" hidden="false" outlineLevel="0" max="4118" min="4118" style="140" width="11.5"/>
    <col collapsed="false" customWidth="true" hidden="false" outlineLevel="0" max="4119" min="4119" style="140" width="16"/>
    <col collapsed="false" customWidth="true" hidden="false" outlineLevel="0" max="4121" min="4120" style="140" width="10.51"/>
    <col collapsed="false" customWidth="true" hidden="false" outlineLevel="0" max="4122" min="4122" style="140" width="15.51"/>
    <col collapsed="false" customWidth="true" hidden="false" outlineLevel="0" max="4123" min="4123" style="140" width="11.5"/>
    <col collapsed="false" customWidth="true" hidden="false" outlineLevel="0" max="4124" min="4124" style="140" width="12"/>
    <col collapsed="false" customWidth="true" hidden="false" outlineLevel="0" max="4125" min="4125" style="140" width="11.5"/>
    <col collapsed="false" customWidth="true" hidden="false" outlineLevel="0" max="4126" min="4126" style="140" width="12"/>
    <col collapsed="false" customWidth="true" hidden="false" outlineLevel="0" max="4127" min="4127" style="140" width="11.5"/>
    <col collapsed="false" customWidth="true" hidden="false" outlineLevel="0" max="4128" min="4128" style="140" width="12.5"/>
    <col collapsed="false" customWidth="true" hidden="false" outlineLevel="0" max="4129" min="4129" style="140" width="10.51"/>
    <col collapsed="false" customWidth="true" hidden="false" outlineLevel="0" max="4130" min="4130" style="140" width="19"/>
    <col collapsed="false" customWidth="true" hidden="false" outlineLevel="0" max="4131" min="4131" style="140" width="13.5"/>
    <col collapsed="false" customWidth="true" hidden="false" outlineLevel="0" max="4132" min="4132" style="140" width="18"/>
    <col collapsed="false" customWidth="true" hidden="false" outlineLevel="0" max="4133" min="4133" style="140" width="42.5"/>
    <col collapsed="false" customWidth="true" hidden="false" outlineLevel="0" max="4134" min="4134" style="140" width="31"/>
    <col collapsed="false" customWidth="true" hidden="false" outlineLevel="0" max="4135" min="4135" style="140" width="35"/>
    <col collapsed="false" customWidth="true" hidden="false" outlineLevel="0" max="4136" min="4136" style="140" width="31"/>
    <col collapsed="false" customWidth="true" hidden="false" outlineLevel="0" max="4137" min="4137" style="140" width="35"/>
    <col collapsed="false" customWidth="true" hidden="false" outlineLevel="0" max="4138" min="4138" style="140" width="31"/>
    <col collapsed="false" customWidth="true" hidden="false" outlineLevel="0" max="4139" min="4139" style="140" width="37.5"/>
    <col collapsed="false" customWidth="true" hidden="false" outlineLevel="0" max="4140" min="4140" style="140" width="11.5"/>
    <col collapsed="false" customWidth="true" hidden="false" outlineLevel="0" max="4141" min="4141" style="140" width="54"/>
    <col collapsed="false" customWidth="true" hidden="false" outlineLevel="0" max="4142" min="4142" style="140" width="43.51"/>
    <col collapsed="false" customWidth="true" hidden="false" outlineLevel="0" max="4143" min="4143" style="140" width="44.51"/>
    <col collapsed="false" customWidth="false" hidden="false" outlineLevel="0" max="4353" min="4144" style="140" width="6.51"/>
    <col collapsed="false" customWidth="true" hidden="false" outlineLevel="0" max="4355" min="4354" style="140" width="2.5"/>
    <col collapsed="false" customWidth="true" hidden="true" outlineLevel="0" max="4356" min="4356" style="140" width="11.53"/>
    <col collapsed="false" customWidth="true" hidden="false" outlineLevel="0" max="4359" min="4357" style="140" width="12.5"/>
    <col collapsed="false" customWidth="true" hidden="false" outlineLevel="0" max="4360" min="4360" style="140" width="12"/>
    <col collapsed="false" customWidth="true" hidden="false" outlineLevel="0" max="4361" min="4361" style="140" width="12.5"/>
    <col collapsed="false" customWidth="true" hidden="false" outlineLevel="0" max="4362" min="4362" style="140" width="13.5"/>
    <col collapsed="false" customWidth="true" hidden="true" outlineLevel="0" max="4363" min="4363" style="140" width="11.53"/>
    <col collapsed="false" customWidth="true" hidden="false" outlineLevel="0" max="4366" min="4364" style="140" width="13"/>
    <col collapsed="false" customWidth="true" hidden="false" outlineLevel="0" max="4367" min="4367" style="140" width="14.51"/>
    <col collapsed="false" customWidth="true" hidden="false" outlineLevel="0" max="4369" min="4368" style="140" width="13.5"/>
    <col collapsed="false" customWidth="true" hidden="false" outlineLevel="0" max="4370" min="4370" style="140" width="2.5"/>
    <col collapsed="false" customWidth="true" hidden="false" outlineLevel="0" max="4371" min="4371" style="140" width="13.5"/>
    <col collapsed="false" customWidth="true" hidden="false" outlineLevel="0" max="4372" min="4372" style="140" width="10.51"/>
    <col collapsed="false" customWidth="true" hidden="false" outlineLevel="0" max="4373" min="4373" style="140" width="12"/>
    <col collapsed="false" customWidth="true" hidden="false" outlineLevel="0" max="4374" min="4374" style="140" width="11.5"/>
    <col collapsed="false" customWidth="true" hidden="false" outlineLevel="0" max="4375" min="4375" style="140" width="16"/>
    <col collapsed="false" customWidth="true" hidden="false" outlineLevel="0" max="4377" min="4376" style="140" width="10.51"/>
    <col collapsed="false" customWidth="true" hidden="false" outlineLevel="0" max="4378" min="4378" style="140" width="15.51"/>
    <col collapsed="false" customWidth="true" hidden="false" outlineLevel="0" max="4379" min="4379" style="140" width="11.5"/>
    <col collapsed="false" customWidth="true" hidden="false" outlineLevel="0" max="4380" min="4380" style="140" width="12"/>
    <col collapsed="false" customWidth="true" hidden="false" outlineLevel="0" max="4381" min="4381" style="140" width="11.5"/>
    <col collapsed="false" customWidth="true" hidden="false" outlineLevel="0" max="4382" min="4382" style="140" width="12"/>
    <col collapsed="false" customWidth="true" hidden="false" outlineLevel="0" max="4383" min="4383" style="140" width="11.5"/>
    <col collapsed="false" customWidth="true" hidden="false" outlineLevel="0" max="4384" min="4384" style="140" width="12.5"/>
    <col collapsed="false" customWidth="true" hidden="false" outlineLevel="0" max="4385" min="4385" style="140" width="10.51"/>
    <col collapsed="false" customWidth="true" hidden="false" outlineLevel="0" max="4386" min="4386" style="140" width="19"/>
    <col collapsed="false" customWidth="true" hidden="false" outlineLevel="0" max="4387" min="4387" style="140" width="13.5"/>
    <col collapsed="false" customWidth="true" hidden="false" outlineLevel="0" max="4388" min="4388" style="140" width="18"/>
    <col collapsed="false" customWidth="true" hidden="false" outlineLevel="0" max="4389" min="4389" style="140" width="42.5"/>
    <col collapsed="false" customWidth="true" hidden="false" outlineLevel="0" max="4390" min="4390" style="140" width="31"/>
    <col collapsed="false" customWidth="true" hidden="false" outlineLevel="0" max="4391" min="4391" style="140" width="35"/>
    <col collapsed="false" customWidth="true" hidden="false" outlineLevel="0" max="4392" min="4392" style="140" width="31"/>
    <col collapsed="false" customWidth="true" hidden="false" outlineLevel="0" max="4393" min="4393" style="140" width="35"/>
    <col collapsed="false" customWidth="true" hidden="false" outlineLevel="0" max="4394" min="4394" style="140" width="31"/>
    <col collapsed="false" customWidth="true" hidden="false" outlineLevel="0" max="4395" min="4395" style="140" width="37.5"/>
    <col collapsed="false" customWidth="true" hidden="false" outlineLevel="0" max="4396" min="4396" style="140" width="11.5"/>
    <col collapsed="false" customWidth="true" hidden="false" outlineLevel="0" max="4397" min="4397" style="140" width="54"/>
    <col collapsed="false" customWidth="true" hidden="false" outlineLevel="0" max="4398" min="4398" style="140" width="43.51"/>
    <col collapsed="false" customWidth="true" hidden="false" outlineLevel="0" max="4399" min="4399" style="140" width="44.51"/>
    <col collapsed="false" customWidth="false" hidden="false" outlineLevel="0" max="4609" min="4400" style="140" width="6.51"/>
    <col collapsed="false" customWidth="true" hidden="false" outlineLevel="0" max="4611" min="4610" style="140" width="2.5"/>
    <col collapsed="false" customWidth="true" hidden="true" outlineLevel="0" max="4612" min="4612" style="140" width="11.53"/>
    <col collapsed="false" customWidth="true" hidden="false" outlineLevel="0" max="4615" min="4613" style="140" width="12.5"/>
    <col collapsed="false" customWidth="true" hidden="false" outlineLevel="0" max="4616" min="4616" style="140" width="12"/>
    <col collapsed="false" customWidth="true" hidden="false" outlineLevel="0" max="4617" min="4617" style="140" width="12.5"/>
    <col collapsed="false" customWidth="true" hidden="false" outlineLevel="0" max="4618" min="4618" style="140" width="13.5"/>
    <col collapsed="false" customWidth="true" hidden="true" outlineLevel="0" max="4619" min="4619" style="140" width="11.53"/>
    <col collapsed="false" customWidth="true" hidden="false" outlineLevel="0" max="4622" min="4620" style="140" width="13"/>
    <col collapsed="false" customWidth="true" hidden="false" outlineLevel="0" max="4623" min="4623" style="140" width="14.51"/>
    <col collapsed="false" customWidth="true" hidden="false" outlineLevel="0" max="4625" min="4624" style="140" width="13.5"/>
    <col collapsed="false" customWidth="true" hidden="false" outlineLevel="0" max="4626" min="4626" style="140" width="2.5"/>
    <col collapsed="false" customWidth="true" hidden="false" outlineLevel="0" max="4627" min="4627" style="140" width="13.5"/>
    <col collapsed="false" customWidth="true" hidden="false" outlineLevel="0" max="4628" min="4628" style="140" width="10.51"/>
    <col collapsed="false" customWidth="true" hidden="false" outlineLevel="0" max="4629" min="4629" style="140" width="12"/>
    <col collapsed="false" customWidth="true" hidden="false" outlineLevel="0" max="4630" min="4630" style="140" width="11.5"/>
    <col collapsed="false" customWidth="true" hidden="false" outlineLevel="0" max="4631" min="4631" style="140" width="16"/>
    <col collapsed="false" customWidth="true" hidden="false" outlineLevel="0" max="4633" min="4632" style="140" width="10.51"/>
    <col collapsed="false" customWidth="true" hidden="false" outlineLevel="0" max="4634" min="4634" style="140" width="15.51"/>
    <col collapsed="false" customWidth="true" hidden="false" outlineLevel="0" max="4635" min="4635" style="140" width="11.5"/>
    <col collapsed="false" customWidth="true" hidden="false" outlineLevel="0" max="4636" min="4636" style="140" width="12"/>
    <col collapsed="false" customWidth="true" hidden="false" outlineLevel="0" max="4637" min="4637" style="140" width="11.5"/>
    <col collapsed="false" customWidth="true" hidden="false" outlineLevel="0" max="4638" min="4638" style="140" width="12"/>
    <col collapsed="false" customWidth="true" hidden="false" outlineLevel="0" max="4639" min="4639" style="140" width="11.5"/>
    <col collapsed="false" customWidth="true" hidden="false" outlineLevel="0" max="4640" min="4640" style="140" width="12.5"/>
    <col collapsed="false" customWidth="true" hidden="false" outlineLevel="0" max="4641" min="4641" style="140" width="10.51"/>
    <col collapsed="false" customWidth="true" hidden="false" outlineLevel="0" max="4642" min="4642" style="140" width="19"/>
    <col collapsed="false" customWidth="true" hidden="false" outlineLevel="0" max="4643" min="4643" style="140" width="13.5"/>
    <col collapsed="false" customWidth="true" hidden="false" outlineLevel="0" max="4644" min="4644" style="140" width="18"/>
    <col collapsed="false" customWidth="true" hidden="false" outlineLevel="0" max="4645" min="4645" style="140" width="42.5"/>
    <col collapsed="false" customWidth="true" hidden="false" outlineLevel="0" max="4646" min="4646" style="140" width="31"/>
    <col collapsed="false" customWidth="true" hidden="false" outlineLevel="0" max="4647" min="4647" style="140" width="35"/>
    <col collapsed="false" customWidth="true" hidden="false" outlineLevel="0" max="4648" min="4648" style="140" width="31"/>
    <col collapsed="false" customWidth="true" hidden="false" outlineLevel="0" max="4649" min="4649" style="140" width="35"/>
    <col collapsed="false" customWidth="true" hidden="false" outlineLevel="0" max="4650" min="4650" style="140" width="31"/>
    <col collapsed="false" customWidth="true" hidden="false" outlineLevel="0" max="4651" min="4651" style="140" width="37.5"/>
    <col collapsed="false" customWidth="true" hidden="false" outlineLevel="0" max="4652" min="4652" style="140" width="11.5"/>
    <col collapsed="false" customWidth="true" hidden="false" outlineLevel="0" max="4653" min="4653" style="140" width="54"/>
    <col collapsed="false" customWidth="true" hidden="false" outlineLevel="0" max="4654" min="4654" style="140" width="43.51"/>
    <col collapsed="false" customWidth="true" hidden="false" outlineLevel="0" max="4655" min="4655" style="140" width="44.51"/>
    <col collapsed="false" customWidth="false" hidden="false" outlineLevel="0" max="4865" min="4656" style="140" width="6.51"/>
    <col collapsed="false" customWidth="true" hidden="false" outlineLevel="0" max="4867" min="4866" style="140" width="2.5"/>
    <col collapsed="false" customWidth="true" hidden="true" outlineLevel="0" max="4868" min="4868" style="140" width="11.53"/>
    <col collapsed="false" customWidth="true" hidden="false" outlineLevel="0" max="4871" min="4869" style="140" width="12.5"/>
    <col collapsed="false" customWidth="true" hidden="false" outlineLevel="0" max="4872" min="4872" style="140" width="12"/>
    <col collapsed="false" customWidth="true" hidden="false" outlineLevel="0" max="4873" min="4873" style="140" width="12.5"/>
    <col collapsed="false" customWidth="true" hidden="false" outlineLevel="0" max="4874" min="4874" style="140" width="13.5"/>
    <col collapsed="false" customWidth="true" hidden="true" outlineLevel="0" max="4875" min="4875" style="140" width="11.53"/>
    <col collapsed="false" customWidth="true" hidden="false" outlineLevel="0" max="4878" min="4876" style="140" width="13"/>
    <col collapsed="false" customWidth="true" hidden="false" outlineLevel="0" max="4879" min="4879" style="140" width="14.51"/>
    <col collapsed="false" customWidth="true" hidden="false" outlineLevel="0" max="4881" min="4880" style="140" width="13.5"/>
    <col collapsed="false" customWidth="true" hidden="false" outlineLevel="0" max="4882" min="4882" style="140" width="2.5"/>
    <col collapsed="false" customWidth="true" hidden="false" outlineLevel="0" max="4883" min="4883" style="140" width="13.5"/>
    <col collapsed="false" customWidth="true" hidden="false" outlineLevel="0" max="4884" min="4884" style="140" width="10.51"/>
    <col collapsed="false" customWidth="true" hidden="false" outlineLevel="0" max="4885" min="4885" style="140" width="12"/>
    <col collapsed="false" customWidth="true" hidden="false" outlineLevel="0" max="4886" min="4886" style="140" width="11.5"/>
    <col collapsed="false" customWidth="true" hidden="false" outlineLevel="0" max="4887" min="4887" style="140" width="16"/>
    <col collapsed="false" customWidth="true" hidden="false" outlineLevel="0" max="4889" min="4888" style="140" width="10.51"/>
    <col collapsed="false" customWidth="true" hidden="false" outlineLevel="0" max="4890" min="4890" style="140" width="15.51"/>
    <col collapsed="false" customWidth="true" hidden="false" outlineLevel="0" max="4891" min="4891" style="140" width="11.5"/>
    <col collapsed="false" customWidth="true" hidden="false" outlineLevel="0" max="4892" min="4892" style="140" width="12"/>
    <col collapsed="false" customWidth="true" hidden="false" outlineLevel="0" max="4893" min="4893" style="140" width="11.5"/>
    <col collapsed="false" customWidth="true" hidden="false" outlineLevel="0" max="4894" min="4894" style="140" width="12"/>
    <col collapsed="false" customWidth="true" hidden="false" outlineLevel="0" max="4895" min="4895" style="140" width="11.5"/>
    <col collapsed="false" customWidth="true" hidden="false" outlineLevel="0" max="4896" min="4896" style="140" width="12.5"/>
    <col collapsed="false" customWidth="true" hidden="false" outlineLevel="0" max="4897" min="4897" style="140" width="10.51"/>
    <col collapsed="false" customWidth="true" hidden="false" outlineLevel="0" max="4898" min="4898" style="140" width="19"/>
    <col collapsed="false" customWidth="true" hidden="false" outlineLevel="0" max="4899" min="4899" style="140" width="13.5"/>
    <col collapsed="false" customWidth="true" hidden="false" outlineLevel="0" max="4900" min="4900" style="140" width="18"/>
    <col collapsed="false" customWidth="true" hidden="false" outlineLevel="0" max="4901" min="4901" style="140" width="42.5"/>
    <col collapsed="false" customWidth="true" hidden="false" outlineLevel="0" max="4902" min="4902" style="140" width="31"/>
    <col collapsed="false" customWidth="true" hidden="false" outlineLevel="0" max="4903" min="4903" style="140" width="35"/>
    <col collapsed="false" customWidth="true" hidden="false" outlineLevel="0" max="4904" min="4904" style="140" width="31"/>
    <col collapsed="false" customWidth="true" hidden="false" outlineLevel="0" max="4905" min="4905" style="140" width="35"/>
    <col collapsed="false" customWidth="true" hidden="false" outlineLevel="0" max="4906" min="4906" style="140" width="31"/>
    <col collapsed="false" customWidth="true" hidden="false" outlineLevel="0" max="4907" min="4907" style="140" width="37.5"/>
    <col collapsed="false" customWidth="true" hidden="false" outlineLevel="0" max="4908" min="4908" style="140" width="11.5"/>
    <col collapsed="false" customWidth="true" hidden="false" outlineLevel="0" max="4909" min="4909" style="140" width="54"/>
    <col collapsed="false" customWidth="true" hidden="false" outlineLevel="0" max="4910" min="4910" style="140" width="43.51"/>
    <col collapsed="false" customWidth="true" hidden="false" outlineLevel="0" max="4911" min="4911" style="140" width="44.51"/>
    <col collapsed="false" customWidth="false" hidden="false" outlineLevel="0" max="5121" min="4912" style="140" width="6.51"/>
    <col collapsed="false" customWidth="true" hidden="false" outlineLevel="0" max="5123" min="5122" style="140" width="2.5"/>
    <col collapsed="false" customWidth="true" hidden="true" outlineLevel="0" max="5124" min="5124" style="140" width="11.53"/>
    <col collapsed="false" customWidth="true" hidden="false" outlineLevel="0" max="5127" min="5125" style="140" width="12.5"/>
    <col collapsed="false" customWidth="true" hidden="false" outlineLevel="0" max="5128" min="5128" style="140" width="12"/>
    <col collapsed="false" customWidth="true" hidden="false" outlineLevel="0" max="5129" min="5129" style="140" width="12.5"/>
    <col collapsed="false" customWidth="true" hidden="false" outlineLevel="0" max="5130" min="5130" style="140" width="13.5"/>
    <col collapsed="false" customWidth="true" hidden="true" outlineLevel="0" max="5131" min="5131" style="140" width="11.53"/>
    <col collapsed="false" customWidth="true" hidden="false" outlineLevel="0" max="5134" min="5132" style="140" width="13"/>
    <col collapsed="false" customWidth="true" hidden="false" outlineLevel="0" max="5135" min="5135" style="140" width="14.51"/>
    <col collapsed="false" customWidth="true" hidden="false" outlineLevel="0" max="5137" min="5136" style="140" width="13.5"/>
    <col collapsed="false" customWidth="true" hidden="false" outlineLevel="0" max="5138" min="5138" style="140" width="2.5"/>
    <col collapsed="false" customWidth="true" hidden="false" outlineLevel="0" max="5139" min="5139" style="140" width="13.5"/>
    <col collapsed="false" customWidth="true" hidden="false" outlineLevel="0" max="5140" min="5140" style="140" width="10.51"/>
    <col collapsed="false" customWidth="true" hidden="false" outlineLevel="0" max="5141" min="5141" style="140" width="12"/>
    <col collapsed="false" customWidth="true" hidden="false" outlineLevel="0" max="5142" min="5142" style="140" width="11.5"/>
    <col collapsed="false" customWidth="true" hidden="false" outlineLevel="0" max="5143" min="5143" style="140" width="16"/>
    <col collapsed="false" customWidth="true" hidden="false" outlineLevel="0" max="5145" min="5144" style="140" width="10.51"/>
    <col collapsed="false" customWidth="true" hidden="false" outlineLevel="0" max="5146" min="5146" style="140" width="15.51"/>
    <col collapsed="false" customWidth="true" hidden="false" outlineLevel="0" max="5147" min="5147" style="140" width="11.5"/>
    <col collapsed="false" customWidth="true" hidden="false" outlineLevel="0" max="5148" min="5148" style="140" width="12"/>
    <col collapsed="false" customWidth="true" hidden="false" outlineLevel="0" max="5149" min="5149" style="140" width="11.5"/>
    <col collapsed="false" customWidth="true" hidden="false" outlineLevel="0" max="5150" min="5150" style="140" width="12"/>
    <col collapsed="false" customWidth="true" hidden="false" outlineLevel="0" max="5151" min="5151" style="140" width="11.5"/>
    <col collapsed="false" customWidth="true" hidden="false" outlineLevel="0" max="5152" min="5152" style="140" width="12.5"/>
    <col collapsed="false" customWidth="true" hidden="false" outlineLevel="0" max="5153" min="5153" style="140" width="10.51"/>
    <col collapsed="false" customWidth="true" hidden="false" outlineLevel="0" max="5154" min="5154" style="140" width="19"/>
    <col collapsed="false" customWidth="true" hidden="false" outlineLevel="0" max="5155" min="5155" style="140" width="13.5"/>
    <col collapsed="false" customWidth="true" hidden="false" outlineLevel="0" max="5156" min="5156" style="140" width="18"/>
    <col collapsed="false" customWidth="true" hidden="false" outlineLevel="0" max="5157" min="5157" style="140" width="42.5"/>
    <col collapsed="false" customWidth="true" hidden="false" outlineLevel="0" max="5158" min="5158" style="140" width="31"/>
    <col collapsed="false" customWidth="true" hidden="false" outlineLevel="0" max="5159" min="5159" style="140" width="35"/>
    <col collapsed="false" customWidth="true" hidden="false" outlineLevel="0" max="5160" min="5160" style="140" width="31"/>
    <col collapsed="false" customWidth="true" hidden="false" outlineLevel="0" max="5161" min="5161" style="140" width="35"/>
    <col collapsed="false" customWidth="true" hidden="false" outlineLevel="0" max="5162" min="5162" style="140" width="31"/>
    <col collapsed="false" customWidth="true" hidden="false" outlineLevel="0" max="5163" min="5163" style="140" width="37.5"/>
    <col collapsed="false" customWidth="true" hidden="false" outlineLevel="0" max="5164" min="5164" style="140" width="11.5"/>
    <col collapsed="false" customWidth="true" hidden="false" outlineLevel="0" max="5165" min="5165" style="140" width="54"/>
    <col collapsed="false" customWidth="true" hidden="false" outlineLevel="0" max="5166" min="5166" style="140" width="43.51"/>
    <col collapsed="false" customWidth="true" hidden="false" outlineLevel="0" max="5167" min="5167" style="140" width="44.51"/>
    <col collapsed="false" customWidth="false" hidden="false" outlineLevel="0" max="5377" min="5168" style="140" width="6.51"/>
    <col collapsed="false" customWidth="true" hidden="false" outlineLevel="0" max="5379" min="5378" style="140" width="2.5"/>
    <col collapsed="false" customWidth="true" hidden="true" outlineLevel="0" max="5380" min="5380" style="140" width="11.53"/>
    <col collapsed="false" customWidth="true" hidden="false" outlineLevel="0" max="5383" min="5381" style="140" width="12.5"/>
    <col collapsed="false" customWidth="true" hidden="false" outlineLevel="0" max="5384" min="5384" style="140" width="12"/>
    <col collapsed="false" customWidth="true" hidden="false" outlineLevel="0" max="5385" min="5385" style="140" width="12.5"/>
    <col collapsed="false" customWidth="true" hidden="false" outlineLevel="0" max="5386" min="5386" style="140" width="13.5"/>
    <col collapsed="false" customWidth="true" hidden="true" outlineLevel="0" max="5387" min="5387" style="140" width="11.53"/>
    <col collapsed="false" customWidth="true" hidden="false" outlineLevel="0" max="5390" min="5388" style="140" width="13"/>
    <col collapsed="false" customWidth="true" hidden="false" outlineLevel="0" max="5391" min="5391" style="140" width="14.51"/>
    <col collapsed="false" customWidth="true" hidden="false" outlineLevel="0" max="5393" min="5392" style="140" width="13.5"/>
    <col collapsed="false" customWidth="true" hidden="false" outlineLevel="0" max="5394" min="5394" style="140" width="2.5"/>
    <col collapsed="false" customWidth="true" hidden="false" outlineLevel="0" max="5395" min="5395" style="140" width="13.5"/>
    <col collapsed="false" customWidth="true" hidden="false" outlineLevel="0" max="5396" min="5396" style="140" width="10.51"/>
    <col collapsed="false" customWidth="true" hidden="false" outlineLevel="0" max="5397" min="5397" style="140" width="12"/>
    <col collapsed="false" customWidth="true" hidden="false" outlineLevel="0" max="5398" min="5398" style="140" width="11.5"/>
    <col collapsed="false" customWidth="true" hidden="false" outlineLevel="0" max="5399" min="5399" style="140" width="16"/>
    <col collapsed="false" customWidth="true" hidden="false" outlineLevel="0" max="5401" min="5400" style="140" width="10.51"/>
    <col collapsed="false" customWidth="true" hidden="false" outlineLevel="0" max="5402" min="5402" style="140" width="15.51"/>
    <col collapsed="false" customWidth="true" hidden="false" outlineLevel="0" max="5403" min="5403" style="140" width="11.5"/>
    <col collapsed="false" customWidth="true" hidden="false" outlineLevel="0" max="5404" min="5404" style="140" width="12"/>
    <col collapsed="false" customWidth="true" hidden="false" outlineLevel="0" max="5405" min="5405" style="140" width="11.5"/>
    <col collapsed="false" customWidth="true" hidden="false" outlineLevel="0" max="5406" min="5406" style="140" width="12"/>
    <col collapsed="false" customWidth="true" hidden="false" outlineLevel="0" max="5407" min="5407" style="140" width="11.5"/>
    <col collapsed="false" customWidth="true" hidden="false" outlineLevel="0" max="5408" min="5408" style="140" width="12.5"/>
    <col collapsed="false" customWidth="true" hidden="false" outlineLevel="0" max="5409" min="5409" style="140" width="10.51"/>
    <col collapsed="false" customWidth="true" hidden="false" outlineLevel="0" max="5410" min="5410" style="140" width="19"/>
    <col collapsed="false" customWidth="true" hidden="false" outlineLevel="0" max="5411" min="5411" style="140" width="13.5"/>
    <col collapsed="false" customWidth="true" hidden="false" outlineLevel="0" max="5412" min="5412" style="140" width="18"/>
    <col collapsed="false" customWidth="true" hidden="false" outlineLevel="0" max="5413" min="5413" style="140" width="42.5"/>
    <col collapsed="false" customWidth="true" hidden="false" outlineLevel="0" max="5414" min="5414" style="140" width="31"/>
    <col collapsed="false" customWidth="true" hidden="false" outlineLevel="0" max="5415" min="5415" style="140" width="35"/>
    <col collapsed="false" customWidth="true" hidden="false" outlineLevel="0" max="5416" min="5416" style="140" width="31"/>
    <col collapsed="false" customWidth="true" hidden="false" outlineLevel="0" max="5417" min="5417" style="140" width="35"/>
    <col collapsed="false" customWidth="true" hidden="false" outlineLevel="0" max="5418" min="5418" style="140" width="31"/>
    <col collapsed="false" customWidth="true" hidden="false" outlineLevel="0" max="5419" min="5419" style="140" width="37.5"/>
    <col collapsed="false" customWidth="true" hidden="false" outlineLevel="0" max="5420" min="5420" style="140" width="11.5"/>
    <col collapsed="false" customWidth="true" hidden="false" outlineLevel="0" max="5421" min="5421" style="140" width="54"/>
    <col collapsed="false" customWidth="true" hidden="false" outlineLevel="0" max="5422" min="5422" style="140" width="43.51"/>
    <col collapsed="false" customWidth="true" hidden="false" outlineLevel="0" max="5423" min="5423" style="140" width="44.51"/>
    <col collapsed="false" customWidth="false" hidden="false" outlineLevel="0" max="5633" min="5424" style="140" width="6.51"/>
    <col collapsed="false" customWidth="true" hidden="false" outlineLevel="0" max="5635" min="5634" style="140" width="2.5"/>
    <col collapsed="false" customWidth="true" hidden="true" outlineLevel="0" max="5636" min="5636" style="140" width="11.53"/>
    <col collapsed="false" customWidth="true" hidden="false" outlineLevel="0" max="5639" min="5637" style="140" width="12.5"/>
    <col collapsed="false" customWidth="true" hidden="false" outlineLevel="0" max="5640" min="5640" style="140" width="12"/>
    <col collapsed="false" customWidth="true" hidden="false" outlineLevel="0" max="5641" min="5641" style="140" width="12.5"/>
    <col collapsed="false" customWidth="true" hidden="false" outlineLevel="0" max="5642" min="5642" style="140" width="13.5"/>
    <col collapsed="false" customWidth="true" hidden="true" outlineLevel="0" max="5643" min="5643" style="140" width="11.53"/>
    <col collapsed="false" customWidth="true" hidden="false" outlineLevel="0" max="5646" min="5644" style="140" width="13"/>
    <col collapsed="false" customWidth="true" hidden="false" outlineLevel="0" max="5647" min="5647" style="140" width="14.51"/>
    <col collapsed="false" customWidth="true" hidden="false" outlineLevel="0" max="5649" min="5648" style="140" width="13.5"/>
    <col collapsed="false" customWidth="true" hidden="false" outlineLevel="0" max="5650" min="5650" style="140" width="2.5"/>
    <col collapsed="false" customWidth="true" hidden="false" outlineLevel="0" max="5651" min="5651" style="140" width="13.5"/>
    <col collapsed="false" customWidth="true" hidden="false" outlineLevel="0" max="5652" min="5652" style="140" width="10.51"/>
    <col collapsed="false" customWidth="true" hidden="false" outlineLevel="0" max="5653" min="5653" style="140" width="12"/>
    <col collapsed="false" customWidth="true" hidden="false" outlineLevel="0" max="5654" min="5654" style="140" width="11.5"/>
    <col collapsed="false" customWidth="true" hidden="false" outlineLevel="0" max="5655" min="5655" style="140" width="16"/>
    <col collapsed="false" customWidth="true" hidden="false" outlineLevel="0" max="5657" min="5656" style="140" width="10.51"/>
    <col collapsed="false" customWidth="true" hidden="false" outlineLevel="0" max="5658" min="5658" style="140" width="15.51"/>
    <col collapsed="false" customWidth="true" hidden="false" outlineLevel="0" max="5659" min="5659" style="140" width="11.5"/>
    <col collapsed="false" customWidth="true" hidden="false" outlineLevel="0" max="5660" min="5660" style="140" width="12"/>
    <col collapsed="false" customWidth="true" hidden="false" outlineLevel="0" max="5661" min="5661" style="140" width="11.5"/>
    <col collapsed="false" customWidth="true" hidden="false" outlineLevel="0" max="5662" min="5662" style="140" width="12"/>
    <col collapsed="false" customWidth="true" hidden="false" outlineLevel="0" max="5663" min="5663" style="140" width="11.5"/>
    <col collapsed="false" customWidth="true" hidden="false" outlineLevel="0" max="5664" min="5664" style="140" width="12.5"/>
    <col collapsed="false" customWidth="true" hidden="false" outlineLevel="0" max="5665" min="5665" style="140" width="10.51"/>
    <col collapsed="false" customWidth="true" hidden="false" outlineLevel="0" max="5666" min="5666" style="140" width="19"/>
    <col collapsed="false" customWidth="true" hidden="false" outlineLevel="0" max="5667" min="5667" style="140" width="13.5"/>
    <col collapsed="false" customWidth="true" hidden="false" outlineLevel="0" max="5668" min="5668" style="140" width="18"/>
    <col collapsed="false" customWidth="true" hidden="false" outlineLevel="0" max="5669" min="5669" style="140" width="42.5"/>
    <col collapsed="false" customWidth="true" hidden="false" outlineLevel="0" max="5670" min="5670" style="140" width="31"/>
    <col collapsed="false" customWidth="true" hidden="false" outlineLevel="0" max="5671" min="5671" style="140" width="35"/>
    <col collapsed="false" customWidth="true" hidden="false" outlineLevel="0" max="5672" min="5672" style="140" width="31"/>
    <col collapsed="false" customWidth="true" hidden="false" outlineLevel="0" max="5673" min="5673" style="140" width="35"/>
    <col collapsed="false" customWidth="true" hidden="false" outlineLevel="0" max="5674" min="5674" style="140" width="31"/>
    <col collapsed="false" customWidth="true" hidden="false" outlineLevel="0" max="5675" min="5675" style="140" width="37.5"/>
    <col collapsed="false" customWidth="true" hidden="false" outlineLevel="0" max="5676" min="5676" style="140" width="11.5"/>
    <col collapsed="false" customWidth="true" hidden="false" outlineLevel="0" max="5677" min="5677" style="140" width="54"/>
    <col collapsed="false" customWidth="true" hidden="false" outlineLevel="0" max="5678" min="5678" style="140" width="43.51"/>
    <col collapsed="false" customWidth="true" hidden="false" outlineLevel="0" max="5679" min="5679" style="140" width="44.51"/>
    <col collapsed="false" customWidth="false" hidden="false" outlineLevel="0" max="5889" min="5680" style="140" width="6.51"/>
    <col collapsed="false" customWidth="true" hidden="false" outlineLevel="0" max="5891" min="5890" style="140" width="2.5"/>
    <col collapsed="false" customWidth="true" hidden="true" outlineLevel="0" max="5892" min="5892" style="140" width="11.53"/>
    <col collapsed="false" customWidth="true" hidden="false" outlineLevel="0" max="5895" min="5893" style="140" width="12.5"/>
    <col collapsed="false" customWidth="true" hidden="false" outlineLevel="0" max="5896" min="5896" style="140" width="12"/>
    <col collapsed="false" customWidth="true" hidden="false" outlineLevel="0" max="5897" min="5897" style="140" width="12.5"/>
    <col collapsed="false" customWidth="true" hidden="false" outlineLevel="0" max="5898" min="5898" style="140" width="13.5"/>
    <col collapsed="false" customWidth="true" hidden="true" outlineLevel="0" max="5899" min="5899" style="140" width="11.53"/>
    <col collapsed="false" customWidth="true" hidden="false" outlineLevel="0" max="5902" min="5900" style="140" width="13"/>
    <col collapsed="false" customWidth="true" hidden="false" outlineLevel="0" max="5903" min="5903" style="140" width="14.51"/>
    <col collapsed="false" customWidth="true" hidden="false" outlineLevel="0" max="5905" min="5904" style="140" width="13.5"/>
    <col collapsed="false" customWidth="true" hidden="false" outlineLevel="0" max="5906" min="5906" style="140" width="2.5"/>
    <col collapsed="false" customWidth="true" hidden="false" outlineLevel="0" max="5907" min="5907" style="140" width="13.5"/>
    <col collapsed="false" customWidth="true" hidden="false" outlineLevel="0" max="5908" min="5908" style="140" width="10.51"/>
    <col collapsed="false" customWidth="true" hidden="false" outlineLevel="0" max="5909" min="5909" style="140" width="12"/>
    <col collapsed="false" customWidth="true" hidden="false" outlineLevel="0" max="5910" min="5910" style="140" width="11.5"/>
    <col collapsed="false" customWidth="true" hidden="false" outlineLevel="0" max="5911" min="5911" style="140" width="16"/>
    <col collapsed="false" customWidth="true" hidden="false" outlineLevel="0" max="5913" min="5912" style="140" width="10.51"/>
    <col collapsed="false" customWidth="true" hidden="false" outlineLevel="0" max="5914" min="5914" style="140" width="15.51"/>
    <col collapsed="false" customWidth="true" hidden="false" outlineLevel="0" max="5915" min="5915" style="140" width="11.5"/>
    <col collapsed="false" customWidth="true" hidden="false" outlineLevel="0" max="5916" min="5916" style="140" width="12"/>
    <col collapsed="false" customWidth="true" hidden="false" outlineLevel="0" max="5917" min="5917" style="140" width="11.5"/>
    <col collapsed="false" customWidth="true" hidden="false" outlineLevel="0" max="5918" min="5918" style="140" width="12"/>
    <col collapsed="false" customWidth="true" hidden="false" outlineLevel="0" max="5919" min="5919" style="140" width="11.5"/>
    <col collapsed="false" customWidth="true" hidden="false" outlineLevel="0" max="5920" min="5920" style="140" width="12.5"/>
    <col collapsed="false" customWidth="true" hidden="false" outlineLevel="0" max="5921" min="5921" style="140" width="10.51"/>
    <col collapsed="false" customWidth="true" hidden="false" outlineLevel="0" max="5922" min="5922" style="140" width="19"/>
    <col collapsed="false" customWidth="true" hidden="false" outlineLevel="0" max="5923" min="5923" style="140" width="13.5"/>
    <col collapsed="false" customWidth="true" hidden="false" outlineLevel="0" max="5924" min="5924" style="140" width="18"/>
    <col collapsed="false" customWidth="true" hidden="false" outlineLevel="0" max="5925" min="5925" style="140" width="42.5"/>
    <col collapsed="false" customWidth="true" hidden="false" outlineLevel="0" max="5926" min="5926" style="140" width="31"/>
    <col collapsed="false" customWidth="true" hidden="false" outlineLevel="0" max="5927" min="5927" style="140" width="35"/>
    <col collapsed="false" customWidth="true" hidden="false" outlineLevel="0" max="5928" min="5928" style="140" width="31"/>
    <col collapsed="false" customWidth="true" hidden="false" outlineLevel="0" max="5929" min="5929" style="140" width="35"/>
    <col collapsed="false" customWidth="true" hidden="false" outlineLevel="0" max="5930" min="5930" style="140" width="31"/>
    <col collapsed="false" customWidth="true" hidden="false" outlineLevel="0" max="5931" min="5931" style="140" width="37.5"/>
    <col collapsed="false" customWidth="true" hidden="false" outlineLevel="0" max="5932" min="5932" style="140" width="11.5"/>
    <col collapsed="false" customWidth="true" hidden="false" outlineLevel="0" max="5933" min="5933" style="140" width="54"/>
    <col collapsed="false" customWidth="true" hidden="false" outlineLevel="0" max="5934" min="5934" style="140" width="43.51"/>
    <col collapsed="false" customWidth="true" hidden="false" outlineLevel="0" max="5935" min="5935" style="140" width="44.51"/>
    <col collapsed="false" customWidth="false" hidden="false" outlineLevel="0" max="6145" min="5936" style="140" width="6.51"/>
    <col collapsed="false" customWidth="true" hidden="false" outlineLevel="0" max="6147" min="6146" style="140" width="2.5"/>
    <col collapsed="false" customWidth="true" hidden="true" outlineLevel="0" max="6148" min="6148" style="140" width="11.53"/>
    <col collapsed="false" customWidth="true" hidden="false" outlineLevel="0" max="6151" min="6149" style="140" width="12.5"/>
    <col collapsed="false" customWidth="true" hidden="false" outlineLevel="0" max="6152" min="6152" style="140" width="12"/>
    <col collapsed="false" customWidth="true" hidden="false" outlineLevel="0" max="6153" min="6153" style="140" width="12.5"/>
    <col collapsed="false" customWidth="true" hidden="false" outlineLevel="0" max="6154" min="6154" style="140" width="13.5"/>
    <col collapsed="false" customWidth="true" hidden="true" outlineLevel="0" max="6155" min="6155" style="140" width="11.53"/>
    <col collapsed="false" customWidth="true" hidden="false" outlineLevel="0" max="6158" min="6156" style="140" width="13"/>
    <col collapsed="false" customWidth="true" hidden="false" outlineLevel="0" max="6159" min="6159" style="140" width="14.51"/>
    <col collapsed="false" customWidth="true" hidden="false" outlineLevel="0" max="6161" min="6160" style="140" width="13.5"/>
    <col collapsed="false" customWidth="true" hidden="false" outlineLevel="0" max="6162" min="6162" style="140" width="2.5"/>
    <col collapsed="false" customWidth="true" hidden="false" outlineLevel="0" max="6163" min="6163" style="140" width="13.5"/>
    <col collapsed="false" customWidth="true" hidden="false" outlineLevel="0" max="6164" min="6164" style="140" width="10.51"/>
    <col collapsed="false" customWidth="true" hidden="false" outlineLevel="0" max="6165" min="6165" style="140" width="12"/>
    <col collapsed="false" customWidth="true" hidden="false" outlineLevel="0" max="6166" min="6166" style="140" width="11.5"/>
    <col collapsed="false" customWidth="true" hidden="false" outlineLevel="0" max="6167" min="6167" style="140" width="16"/>
    <col collapsed="false" customWidth="true" hidden="false" outlineLevel="0" max="6169" min="6168" style="140" width="10.51"/>
    <col collapsed="false" customWidth="true" hidden="false" outlineLevel="0" max="6170" min="6170" style="140" width="15.51"/>
    <col collapsed="false" customWidth="true" hidden="false" outlineLevel="0" max="6171" min="6171" style="140" width="11.5"/>
    <col collapsed="false" customWidth="true" hidden="false" outlineLevel="0" max="6172" min="6172" style="140" width="12"/>
    <col collapsed="false" customWidth="true" hidden="false" outlineLevel="0" max="6173" min="6173" style="140" width="11.5"/>
    <col collapsed="false" customWidth="true" hidden="false" outlineLevel="0" max="6174" min="6174" style="140" width="12"/>
    <col collapsed="false" customWidth="true" hidden="false" outlineLevel="0" max="6175" min="6175" style="140" width="11.5"/>
    <col collapsed="false" customWidth="true" hidden="false" outlineLevel="0" max="6176" min="6176" style="140" width="12.5"/>
    <col collapsed="false" customWidth="true" hidden="false" outlineLevel="0" max="6177" min="6177" style="140" width="10.51"/>
    <col collapsed="false" customWidth="true" hidden="false" outlineLevel="0" max="6178" min="6178" style="140" width="19"/>
    <col collapsed="false" customWidth="true" hidden="false" outlineLevel="0" max="6179" min="6179" style="140" width="13.5"/>
    <col collapsed="false" customWidth="true" hidden="false" outlineLevel="0" max="6180" min="6180" style="140" width="18"/>
    <col collapsed="false" customWidth="true" hidden="false" outlineLevel="0" max="6181" min="6181" style="140" width="42.5"/>
    <col collapsed="false" customWidth="true" hidden="false" outlineLevel="0" max="6182" min="6182" style="140" width="31"/>
    <col collapsed="false" customWidth="true" hidden="false" outlineLevel="0" max="6183" min="6183" style="140" width="35"/>
    <col collapsed="false" customWidth="true" hidden="false" outlineLevel="0" max="6184" min="6184" style="140" width="31"/>
    <col collapsed="false" customWidth="true" hidden="false" outlineLevel="0" max="6185" min="6185" style="140" width="35"/>
    <col collapsed="false" customWidth="true" hidden="false" outlineLevel="0" max="6186" min="6186" style="140" width="31"/>
    <col collapsed="false" customWidth="true" hidden="false" outlineLevel="0" max="6187" min="6187" style="140" width="37.5"/>
    <col collapsed="false" customWidth="true" hidden="false" outlineLevel="0" max="6188" min="6188" style="140" width="11.5"/>
    <col collapsed="false" customWidth="true" hidden="false" outlineLevel="0" max="6189" min="6189" style="140" width="54"/>
    <col collapsed="false" customWidth="true" hidden="false" outlineLevel="0" max="6190" min="6190" style="140" width="43.51"/>
    <col collapsed="false" customWidth="true" hidden="false" outlineLevel="0" max="6191" min="6191" style="140" width="44.51"/>
    <col collapsed="false" customWidth="false" hidden="false" outlineLevel="0" max="6401" min="6192" style="140" width="6.51"/>
    <col collapsed="false" customWidth="true" hidden="false" outlineLevel="0" max="6403" min="6402" style="140" width="2.5"/>
    <col collapsed="false" customWidth="true" hidden="true" outlineLevel="0" max="6404" min="6404" style="140" width="11.53"/>
    <col collapsed="false" customWidth="true" hidden="false" outlineLevel="0" max="6407" min="6405" style="140" width="12.5"/>
    <col collapsed="false" customWidth="true" hidden="false" outlineLevel="0" max="6408" min="6408" style="140" width="12"/>
    <col collapsed="false" customWidth="true" hidden="false" outlineLevel="0" max="6409" min="6409" style="140" width="12.5"/>
    <col collapsed="false" customWidth="true" hidden="false" outlineLevel="0" max="6410" min="6410" style="140" width="13.5"/>
    <col collapsed="false" customWidth="true" hidden="true" outlineLevel="0" max="6411" min="6411" style="140" width="11.53"/>
    <col collapsed="false" customWidth="true" hidden="false" outlineLevel="0" max="6414" min="6412" style="140" width="13"/>
    <col collapsed="false" customWidth="true" hidden="false" outlineLevel="0" max="6415" min="6415" style="140" width="14.51"/>
    <col collapsed="false" customWidth="true" hidden="false" outlineLevel="0" max="6417" min="6416" style="140" width="13.5"/>
    <col collapsed="false" customWidth="true" hidden="false" outlineLevel="0" max="6418" min="6418" style="140" width="2.5"/>
    <col collapsed="false" customWidth="true" hidden="false" outlineLevel="0" max="6419" min="6419" style="140" width="13.5"/>
    <col collapsed="false" customWidth="true" hidden="false" outlineLevel="0" max="6420" min="6420" style="140" width="10.51"/>
    <col collapsed="false" customWidth="true" hidden="false" outlineLevel="0" max="6421" min="6421" style="140" width="12"/>
    <col collapsed="false" customWidth="true" hidden="false" outlineLevel="0" max="6422" min="6422" style="140" width="11.5"/>
    <col collapsed="false" customWidth="true" hidden="false" outlineLevel="0" max="6423" min="6423" style="140" width="16"/>
    <col collapsed="false" customWidth="true" hidden="false" outlineLevel="0" max="6425" min="6424" style="140" width="10.51"/>
    <col collapsed="false" customWidth="true" hidden="false" outlineLevel="0" max="6426" min="6426" style="140" width="15.51"/>
    <col collapsed="false" customWidth="true" hidden="false" outlineLevel="0" max="6427" min="6427" style="140" width="11.5"/>
    <col collapsed="false" customWidth="true" hidden="false" outlineLevel="0" max="6428" min="6428" style="140" width="12"/>
    <col collapsed="false" customWidth="true" hidden="false" outlineLevel="0" max="6429" min="6429" style="140" width="11.5"/>
    <col collapsed="false" customWidth="true" hidden="false" outlineLevel="0" max="6430" min="6430" style="140" width="12"/>
    <col collapsed="false" customWidth="true" hidden="false" outlineLevel="0" max="6431" min="6431" style="140" width="11.5"/>
    <col collapsed="false" customWidth="true" hidden="false" outlineLevel="0" max="6432" min="6432" style="140" width="12.5"/>
    <col collapsed="false" customWidth="true" hidden="false" outlineLevel="0" max="6433" min="6433" style="140" width="10.51"/>
    <col collapsed="false" customWidth="true" hidden="false" outlineLevel="0" max="6434" min="6434" style="140" width="19"/>
    <col collapsed="false" customWidth="true" hidden="false" outlineLevel="0" max="6435" min="6435" style="140" width="13.5"/>
    <col collapsed="false" customWidth="true" hidden="false" outlineLevel="0" max="6436" min="6436" style="140" width="18"/>
    <col collapsed="false" customWidth="true" hidden="false" outlineLevel="0" max="6437" min="6437" style="140" width="42.5"/>
    <col collapsed="false" customWidth="true" hidden="false" outlineLevel="0" max="6438" min="6438" style="140" width="31"/>
    <col collapsed="false" customWidth="true" hidden="false" outlineLevel="0" max="6439" min="6439" style="140" width="35"/>
    <col collapsed="false" customWidth="true" hidden="false" outlineLevel="0" max="6440" min="6440" style="140" width="31"/>
    <col collapsed="false" customWidth="true" hidden="false" outlineLevel="0" max="6441" min="6441" style="140" width="35"/>
    <col collapsed="false" customWidth="true" hidden="false" outlineLevel="0" max="6442" min="6442" style="140" width="31"/>
    <col collapsed="false" customWidth="true" hidden="false" outlineLevel="0" max="6443" min="6443" style="140" width="37.5"/>
    <col collapsed="false" customWidth="true" hidden="false" outlineLevel="0" max="6444" min="6444" style="140" width="11.5"/>
    <col collapsed="false" customWidth="true" hidden="false" outlineLevel="0" max="6445" min="6445" style="140" width="54"/>
    <col collapsed="false" customWidth="true" hidden="false" outlineLevel="0" max="6446" min="6446" style="140" width="43.51"/>
    <col collapsed="false" customWidth="true" hidden="false" outlineLevel="0" max="6447" min="6447" style="140" width="44.51"/>
    <col collapsed="false" customWidth="false" hidden="false" outlineLevel="0" max="6657" min="6448" style="140" width="6.51"/>
    <col collapsed="false" customWidth="true" hidden="false" outlineLevel="0" max="6659" min="6658" style="140" width="2.5"/>
    <col collapsed="false" customWidth="true" hidden="true" outlineLevel="0" max="6660" min="6660" style="140" width="11.53"/>
    <col collapsed="false" customWidth="true" hidden="false" outlineLevel="0" max="6663" min="6661" style="140" width="12.5"/>
    <col collapsed="false" customWidth="true" hidden="false" outlineLevel="0" max="6664" min="6664" style="140" width="12"/>
    <col collapsed="false" customWidth="true" hidden="false" outlineLevel="0" max="6665" min="6665" style="140" width="12.5"/>
    <col collapsed="false" customWidth="true" hidden="false" outlineLevel="0" max="6666" min="6666" style="140" width="13.5"/>
    <col collapsed="false" customWidth="true" hidden="true" outlineLevel="0" max="6667" min="6667" style="140" width="11.53"/>
    <col collapsed="false" customWidth="true" hidden="false" outlineLevel="0" max="6670" min="6668" style="140" width="13"/>
    <col collapsed="false" customWidth="true" hidden="false" outlineLevel="0" max="6671" min="6671" style="140" width="14.51"/>
    <col collapsed="false" customWidth="true" hidden="false" outlineLevel="0" max="6673" min="6672" style="140" width="13.5"/>
    <col collapsed="false" customWidth="true" hidden="false" outlineLevel="0" max="6674" min="6674" style="140" width="2.5"/>
    <col collapsed="false" customWidth="true" hidden="false" outlineLevel="0" max="6675" min="6675" style="140" width="13.5"/>
    <col collapsed="false" customWidth="true" hidden="false" outlineLevel="0" max="6676" min="6676" style="140" width="10.51"/>
    <col collapsed="false" customWidth="true" hidden="false" outlineLevel="0" max="6677" min="6677" style="140" width="12"/>
    <col collapsed="false" customWidth="true" hidden="false" outlineLevel="0" max="6678" min="6678" style="140" width="11.5"/>
    <col collapsed="false" customWidth="true" hidden="false" outlineLevel="0" max="6679" min="6679" style="140" width="16"/>
    <col collapsed="false" customWidth="true" hidden="false" outlineLevel="0" max="6681" min="6680" style="140" width="10.51"/>
    <col collapsed="false" customWidth="true" hidden="false" outlineLevel="0" max="6682" min="6682" style="140" width="15.51"/>
    <col collapsed="false" customWidth="true" hidden="false" outlineLevel="0" max="6683" min="6683" style="140" width="11.5"/>
    <col collapsed="false" customWidth="true" hidden="false" outlineLevel="0" max="6684" min="6684" style="140" width="12"/>
    <col collapsed="false" customWidth="true" hidden="false" outlineLevel="0" max="6685" min="6685" style="140" width="11.5"/>
    <col collapsed="false" customWidth="true" hidden="false" outlineLevel="0" max="6686" min="6686" style="140" width="12"/>
    <col collapsed="false" customWidth="true" hidden="false" outlineLevel="0" max="6687" min="6687" style="140" width="11.5"/>
    <col collapsed="false" customWidth="true" hidden="false" outlineLevel="0" max="6688" min="6688" style="140" width="12.5"/>
    <col collapsed="false" customWidth="true" hidden="false" outlineLevel="0" max="6689" min="6689" style="140" width="10.51"/>
    <col collapsed="false" customWidth="true" hidden="false" outlineLevel="0" max="6690" min="6690" style="140" width="19"/>
    <col collapsed="false" customWidth="true" hidden="false" outlineLevel="0" max="6691" min="6691" style="140" width="13.5"/>
    <col collapsed="false" customWidth="true" hidden="false" outlineLevel="0" max="6692" min="6692" style="140" width="18"/>
    <col collapsed="false" customWidth="true" hidden="false" outlineLevel="0" max="6693" min="6693" style="140" width="42.5"/>
    <col collapsed="false" customWidth="true" hidden="false" outlineLevel="0" max="6694" min="6694" style="140" width="31"/>
    <col collapsed="false" customWidth="true" hidden="false" outlineLevel="0" max="6695" min="6695" style="140" width="35"/>
    <col collapsed="false" customWidth="true" hidden="false" outlineLevel="0" max="6696" min="6696" style="140" width="31"/>
    <col collapsed="false" customWidth="true" hidden="false" outlineLevel="0" max="6697" min="6697" style="140" width="35"/>
    <col collapsed="false" customWidth="true" hidden="false" outlineLevel="0" max="6698" min="6698" style="140" width="31"/>
    <col collapsed="false" customWidth="true" hidden="false" outlineLevel="0" max="6699" min="6699" style="140" width="37.5"/>
    <col collapsed="false" customWidth="true" hidden="false" outlineLevel="0" max="6700" min="6700" style="140" width="11.5"/>
    <col collapsed="false" customWidth="true" hidden="false" outlineLevel="0" max="6701" min="6701" style="140" width="54"/>
    <col collapsed="false" customWidth="true" hidden="false" outlineLevel="0" max="6702" min="6702" style="140" width="43.51"/>
    <col collapsed="false" customWidth="true" hidden="false" outlineLevel="0" max="6703" min="6703" style="140" width="44.51"/>
    <col collapsed="false" customWidth="false" hidden="false" outlineLevel="0" max="6913" min="6704" style="140" width="6.51"/>
    <col collapsed="false" customWidth="true" hidden="false" outlineLevel="0" max="6915" min="6914" style="140" width="2.5"/>
    <col collapsed="false" customWidth="true" hidden="true" outlineLevel="0" max="6916" min="6916" style="140" width="11.53"/>
    <col collapsed="false" customWidth="true" hidden="false" outlineLevel="0" max="6919" min="6917" style="140" width="12.5"/>
    <col collapsed="false" customWidth="true" hidden="false" outlineLevel="0" max="6920" min="6920" style="140" width="12"/>
    <col collapsed="false" customWidth="true" hidden="false" outlineLevel="0" max="6921" min="6921" style="140" width="12.5"/>
    <col collapsed="false" customWidth="true" hidden="false" outlineLevel="0" max="6922" min="6922" style="140" width="13.5"/>
    <col collapsed="false" customWidth="true" hidden="true" outlineLevel="0" max="6923" min="6923" style="140" width="11.53"/>
    <col collapsed="false" customWidth="true" hidden="false" outlineLevel="0" max="6926" min="6924" style="140" width="13"/>
    <col collapsed="false" customWidth="true" hidden="false" outlineLevel="0" max="6927" min="6927" style="140" width="14.51"/>
    <col collapsed="false" customWidth="true" hidden="false" outlineLevel="0" max="6929" min="6928" style="140" width="13.5"/>
    <col collapsed="false" customWidth="true" hidden="false" outlineLevel="0" max="6930" min="6930" style="140" width="2.5"/>
    <col collapsed="false" customWidth="true" hidden="false" outlineLevel="0" max="6931" min="6931" style="140" width="13.5"/>
    <col collapsed="false" customWidth="true" hidden="false" outlineLevel="0" max="6932" min="6932" style="140" width="10.51"/>
    <col collapsed="false" customWidth="true" hidden="false" outlineLevel="0" max="6933" min="6933" style="140" width="12"/>
    <col collapsed="false" customWidth="true" hidden="false" outlineLevel="0" max="6934" min="6934" style="140" width="11.5"/>
    <col collapsed="false" customWidth="true" hidden="false" outlineLevel="0" max="6935" min="6935" style="140" width="16"/>
    <col collapsed="false" customWidth="true" hidden="false" outlineLevel="0" max="6937" min="6936" style="140" width="10.51"/>
    <col collapsed="false" customWidth="true" hidden="false" outlineLevel="0" max="6938" min="6938" style="140" width="15.51"/>
    <col collapsed="false" customWidth="true" hidden="false" outlineLevel="0" max="6939" min="6939" style="140" width="11.5"/>
    <col collapsed="false" customWidth="true" hidden="false" outlineLevel="0" max="6940" min="6940" style="140" width="12"/>
    <col collapsed="false" customWidth="true" hidden="false" outlineLevel="0" max="6941" min="6941" style="140" width="11.5"/>
    <col collapsed="false" customWidth="true" hidden="false" outlineLevel="0" max="6942" min="6942" style="140" width="12"/>
    <col collapsed="false" customWidth="true" hidden="false" outlineLevel="0" max="6943" min="6943" style="140" width="11.5"/>
    <col collapsed="false" customWidth="true" hidden="false" outlineLevel="0" max="6944" min="6944" style="140" width="12.5"/>
    <col collapsed="false" customWidth="true" hidden="false" outlineLevel="0" max="6945" min="6945" style="140" width="10.51"/>
    <col collapsed="false" customWidth="true" hidden="false" outlineLevel="0" max="6946" min="6946" style="140" width="19"/>
    <col collapsed="false" customWidth="true" hidden="false" outlineLevel="0" max="6947" min="6947" style="140" width="13.5"/>
    <col collapsed="false" customWidth="true" hidden="false" outlineLevel="0" max="6948" min="6948" style="140" width="18"/>
    <col collapsed="false" customWidth="true" hidden="false" outlineLevel="0" max="6949" min="6949" style="140" width="42.5"/>
    <col collapsed="false" customWidth="true" hidden="false" outlineLevel="0" max="6950" min="6950" style="140" width="31"/>
    <col collapsed="false" customWidth="true" hidden="false" outlineLevel="0" max="6951" min="6951" style="140" width="35"/>
    <col collapsed="false" customWidth="true" hidden="false" outlineLevel="0" max="6952" min="6952" style="140" width="31"/>
    <col collapsed="false" customWidth="true" hidden="false" outlineLevel="0" max="6953" min="6953" style="140" width="35"/>
    <col collapsed="false" customWidth="true" hidden="false" outlineLevel="0" max="6954" min="6954" style="140" width="31"/>
    <col collapsed="false" customWidth="true" hidden="false" outlineLevel="0" max="6955" min="6955" style="140" width="37.5"/>
    <col collapsed="false" customWidth="true" hidden="false" outlineLevel="0" max="6956" min="6956" style="140" width="11.5"/>
    <col collapsed="false" customWidth="true" hidden="false" outlineLevel="0" max="6957" min="6957" style="140" width="54"/>
    <col collapsed="false" customWidth="true" hidden="false" outlineLevel="0" max="6958" min="6958" style="140" width="43.51"/>
    <col collapsed="false" customWidth="true" hidden="false" outlineLevel="0" max="6959" min="6959" style="140" width="44.51"/>
    <col collapsed="false" customWidth="false" hidden="false" outlineLevel="0" max="7169" min="6960" style="140" width="6.51"/>
    <col collapsed="false" customWidth="true" hidden="false" outlineLevel="0" max="7171" min="7170" style="140" width="2.5"/>
    <col collapsed="false" customWidth="true" hidden="true" outlineLevel="0" max="7172" min="7172" style="140" width="11.53"/>
    <col collapsed="false" customWidth="true" hidden="false" outlineLevel="0" max="7175" min="7173" style="140" width="12.5"/>
    <col collapsed="false" customWidth="true" hidden="false" outlineLevel="0" max="7176" min="7176" style="140" width="12"/>
    <col collapsed="false" customWidth="true" hidden="false" outlineLevel="0" max="7177" min="7177" style="140" width="12.5"/>
    <col collapsed="false" customWidth="true" hidden="false" outlineLevel="0" max="7178" min="7178" style="140" width="13.5"/>
    <col collapsed="false" customWidth="true" hidden="true" outlineLevel="0" max="7179" min="7179" style="140" width="11.53"/>
    <col collapsed="false" customWidth="true" hidden="false" outlineLevel="0" max="7182" min="7180" style="140" width="13"/>
    <col collapsed="false" customWidth="true" hidden="false" outlineLevel="0" max="7183" min="7183" style="140" width="14.51"/>
    <col collapsed="false" customWidth="true" hidden="false" outlineLevel="0" max="7185" min="7184" style="140" width="13.5"/>
    <col collapsed="false" customWidth="true" hidden="false" outlineLevel="0" max="7186" min="7186" style="140" width="2.5"/>
    <col collapsed="false" customWidth="true" hidden="false" outlineLevel="0" max="7187" min="7187" style="140" width="13.5"/>
    <col collapsed="false" customWidth="true" hidden="false" outlineLevel="0" max="7188" min="7188" style="140" width="10.51"/>
    <col collapsed="false" customWidth="true" hidden="false" outlineLevel="0" max="7189" min="7189" style="140" width="12"/>
    <col collapsed="false" customWidth="true" hidden="false" outlineLevel="0" max="7190" min="7190" style="140" width="11.5"/>
    <col collapsed="false" customWidth="true" hidden="false" outlineLevel="0" max="7191" min="7191" style="140" width="16"/>
    <col collapsed="false" customWidth="true" hidden="false" outlineLevel="0" max="7193" min="7192" style="140" width="10.51"/>
    <col collapsed="false" customWidth="true" hidden="false" outlineLevel="0" max="7194" min="7194" style="140" width="15.51"/>
    <col collapsed="false" customWidth="true" hidden="false" outlineLevel="0" max="7195" min="7195" style="140" width="11.5"/>
    <col collapsed="false" customWidth="true" hidden="false" outlineLevel="0" max="7196" min="7196" style="140" width="12"/>
    <col collapsed="false" customWidth="true" hidden="false" outlineLevel="0" max="7197" min="7197" style="140" width="11.5"/>
    <col collapsed="false" customWidth="true" hidden="false" outlineLevel="0" max="7198" min="7198" style="140" width="12"/>
    <col collapsed="false" customWidth="true" hidden="false" outlineLevel="0" max="7199" min="7199" style="140" width="11.5"/>
    <col collapsed="false" customWidth="true" hidden="false" outlineLevel="0" max="7200" min="7200" style="140" width="12.5"/>
    <col collapsed="false" customWidth="true" hidden="false" outlineLevel="0" max="7201" min="7201" style="140" width="10.51"/>
    <col collapsed="false" customWidth="true" hidden="false" outlineLevel="0" max="7202" min="7202" style="140" width="19"/>
    <col collapsed="false" customWidth="true" hidden="false" outlineLevel="0" max="7203" min="7203" style="140" width="13.5"/>
    <col collapsed="false" customWidth="true" hidden="false" outlineLevel="0" max="7204" min="7204" style="140" width="18"/>
    <col collapsed="false" customWidth="true" hidden="false" outlineLevel="0" max="7205" min="7205" style="140" width="42.5"/>
    <col collapsed="false" customWidth="true" hidden="false" outlineLevel="0" max="7206" min="7206" style="140" width="31"/>
    <col collapsed="false" customWidth="true" hidden="false" outlineLevel="0" max="7207" min="7207" style="140" width="35"/>
    <col collapsed="false" customWidth="true" hidden="false" outlineLevel="0" max="7208" min="7208" style="140" width="31"/>
    <col collapsed="false" customWidth="true" hidden="false" outlineLevel="0" max="7209" min="7209" style="140" width="35"/>
    <col collapsed="false" customWidth="true" hidden="false" outlineLevel="0" max="7210" min="7210" style="140" width="31"/>
    <col collapsed="false" customWidth="true" hidden="false" outlineLevel="0" max="7211" min="7211" style="140" width="37.5"/>
    <col collapsed="false" customWidth="true" hidden="false" outlineLevel="0" max="7212" min="7212" style="140" width="11.5"/>
    <col collapsed="false" customWidth="true" hidden="false" outlineLevel="0" max="7213" min="7213" style="140" width="54"/>
    <col collapsed="false" customWidth="true" hidden="false" outlineLevel="0" max="7214" min="7214" style="140" width="43.51"/>
    <col collapsed="false" customWidth="true" hidden="false" outlineLevel="0" max="7215" min="7215" style="140" width="44.51"/>
    <col collapsed="false" customWidth="false" hidden="false" outlineLevel="0" max="7425" min="7216" style="140" width="6.51"/>
    <col collapsed="false" customWidth="true" hidden="false" outlineLevel="0" max="7427" min="7426" style="140" width="2.5"/>
    <col collapsed="false" customWidth="true" hidden="true" outlineLevel="0" max="7428" min="7428" style="140" width="11.53"/>
    <col collapsed="false" customWidth="true" hidden="false" outlineLevel="0" max="7431" min="7429" style="140" width="12.5"/>
    <col collapsed="false" customWidth="true" hidden="false" outlineLevel="0" max="7432" min="7432" style="140" width="12"/>
    <col collapsed="false" customWidth="true" hidden="false" outlineLevel="0" max="7433" min="7433" style="140" width="12.5"/>
    <col collapsed="false" customWidth="true" hidden="false" outlineLevel="0" max="7434" min="7434" style="140" width="13.5"/>
    <col collapsed="false" customWidth="true" hidden="true" outlineLevel="0" max="7435" min="7435" style="140" width="11.53"/>
    <col collapsed="false" customWidth="true" hidden="false" outlineLevel="0" max="7438" min="7436" style="140" width="13"/>
    <col collapsed="false" customWidth="true" hidden="false" outlineLevel="0" max="7439" min="7439" style="140" width="14.51"/>
    <col collapsed="false" customWidth="true" hidden="false" outlineLevel="0" max="7441" min="7440" style="140" width="13.5"/>
    <col collapsed="false" customWidth="true" hidden="false" outlineLevel="0" max="7442" min="7442" style="140" width="2.5"/>
    <col collapsed="false" customWidth="true" hidden="false" outlineLevel="0" max="7443" min="7443" style="140" width="13.5"/>
    <col collapsed="false" customWidth="true" hidden="false" outlineLevel="0" max="7444" min="7444" style="140" width="10.51"/>
    <col collapsed="false" customWidth="true" hidden="false" outlineLevel="0" max="7445" min="7445" style="140" width="12"/>
    <col collapsed="false" customWidth="true" hidden="false" outlineLevel="0" max="7446" min="7446" style="140" width="11.5"/>
    <col collapsed="false" customWidth="true" hidden="false" outlineLevel="0" max="7447" min="7447" style="140" width="16"/>
    <col collapsed="false" customWidth="true" hidden="false" outlineLevel="0" max="7449" min="7448" style="140" width="10.51"/>
    <col collapsed="false" customWidth="true" hidden="false" outlineLevel="0" max="7450" min="7450" style="140" width="15.51"/>
    <col collapsed="false" customWidth="true" hidden="false" outlineLevel="0" max="7451" min="7451" style="140" width="11.5"/>
    <col collapsed="false" customWidth="true" hidden="false" outlineLevel="0" max="7452" min="7452" style="140" width="12"/>
    <col collapsed="false" customWidth="true" hidden="false" outlineLevel="0" max="7453" min="7453" style="140" width="11.5"/>
    <col collapsed="false" customWidth="true" hidden="false" outlineLevel="0" max="7454" min="7454" style="140" width="12"/>
    <col collapsed="false" customWidth="true" hidden="false" outlineLevel="0" max="7455" min="7455" style="140" width="11.5"/>
    <col collapsed="false" customWidth="true" hidden="false" outlineLevel="0" max="7456" min="7456" style="140" width="12.5"/>
    <col collapsed="false" customWidth="true" hidden="false" outlineLevel="0" max="7457" min="7457" style="140" width="10.51"/>
    <col collapsed="false" customWidth="true" hidden="false" outlineLevel="0" max="7458" min="7458" style="140" width="19"/>
    <col collapsed="false" customWidth="true" hidden="false" outlineLevel="0" max="7459" min="7459" style="140" width="13.5"/>
    <col collapsed="false" customWidth="true" hidden="false" outlineLevel="0" max="7460" min="7460" style="140" width="18"/>
    <col collapsed="false" customWidth="true" hidden="false" outlineLevel="0" max="7461" min="7461" style="140" width="42.5"/>
    <col collapsed="false" customWidth="true" hidden="false" outlineLevel="0" max="7462" min="7462" style="140" width="31"/>
    <col collapsed="false" customWidth="true" hidden="false" outlineLevel="0" max="7463" min="7463" style="140" width="35"/>
    <col collapsed="false" customWidth="true" hidden="false" outlineLevel="0" max="7464" min="7464" style="140" width="31"/>
    <col collapsed="false" customWidth="true" hidden="false" outlineLevel="0" max="7465" min="7465" style="140" width="35"/>
    <col collapsed="false" customWidth="true" hidden="false" outlineLevel="0" max="7466" min="7466" style="140" width="31"/>
    <col collapsed="false" customWidth="true" hidden="false" outlineLevel="0" max="7467" min="7467" style="140" width="37.5"/>
    <col collapsed="false" customWidth="true" hidden="false" outlineLevel="0" max="7468" min="7468" style="140" width="11.5"/>
    <col collapsed="false" customWidth="true" hidden="false" outlineLevel="0" max="7469" min="7469" style="140" width="54"/>
    <col collapsed="false" customWidth="true" hidden="false" outlineLevel="0" max="7470" min="7470" style="140" width="43.51"/>
    <col collapsed="false" customWidth="true" hidden="false" outlineLevel="0" max="7471" min="7471" style="140" width="44.51"/>
    <col collapsed="false" customWidth="false" hidden="false" outlineLevel="0" max="7681" min="7472" style="140" width="6.51"/>
    <col collapsed="false" customWidth="true" hidden="false" outlineLevel="0" max="7683" min="7682" style="140" width="2.5"/>
    <col collapsed="false" customWidth="true" hidden="true" outlineLevel="0" max="7684" min="7684" style="140" width="11.53"/>
    <col collapsed="false" customWidth="true" hidden="false" outlineLevel="0" max="7687" min="7685" style="140" width="12.5"/>
    <col collapsed="false" customWidth="true" hidden="false" outlineLevel="0" max="7688" min="7688" style="140" width="12"/>
    <col collapsed="false" customWidth="true" hidden="false" outlineLevel="0" max="7689" min="7689" style="140" width="12.5"/>
    <col collapsed="false" customWidth="true" hidden="false" outlineLevel="0" max="7690" min="7690" style="140" width="13.5"/>
    <col collapsed="false" customWidth="true" hidden="true" outlineLevel="0" max="7691" min="7691" style="140" width="11.53"/>
    <col collapsed="false" customWidth="true" hidden="false" outlineLevel="0" max="7694" min="7692" style="140" width="13"/>
    <col collapsed="false" customWidth="true" hidden="false" outlineLevel="0" max="7695" min="7695" style="140" width="14.51"/>
    <col collapsed="false" customWidth="true" hidden="false" outlineLevel="0" max="7697" min="7696" style="140" width="13.5"/>
    <col collapsed="false" customWidth="true" hidden="false" outlineLevel="0" max="7698" min="7698" style="140" width="2.5"/>
    <col collapsed="false" customWidth="true" hidden="false" outlineLevel="0" max="7699" min="7699" style="140" width="13.5"/>
    <col collapsed="false" customWidth="true" hidden="false" outlineLevel="0" max="7700" min="7700" style="140" width="10.51"/>
    <col collapsed="false" customWidth="true" hidden="false" outlineLevel="0" max="7701" min="7701" style="140" width="12"/>
    <col collapsed="false" customWidth="true" hidden="false" outlineLevel="0" max="7702" min="7702" style="140" width="11.5"/>
    <col collapsed="false" customWidth="true" hidden="false" outlineLevel="0" max="7703" min="7703" style="140" width="16"/>
    <col collapsed="false" customWidth="true" hidden="false" outlineLevel="0" max="7705" min="7704" style="140" width="10.51"/>
    <col collapsed="false" customWidth="true" hidden="false" outlineLevel="0" max="7706" min="7706" style="140" width="15.51"/>
    <col collapsed="false" customWidth="true" hidden="false" outlineLevel="0" max="7707" min="7707" style="140" width="11.5"/>
    <col collapsed="false" customWidth="true" hidden="false" outlineLevel="0" max="7708" min="7708" style="140" width="12"/>
    <col collapsed="false" customWidth="true" hidden="false" outlineLevel="0" max="7709" min="7709" style="140" width="11.5"/>
    <col collapsed="false" customWidth="true" hidden="false" outlineLevel="0" max="7710" min="7710" style="140" width="12"/>
    <col collapsed="false" customWidth="true" hidden="false" outlineLevel="0" max="7711" min="7711" style="140" width="11.5"/>
    <col collapsed="false" customWidth="true" hidden="false" outlineLevel="0" max="7712" min="7712" style="140" width="12.5"/>
    <col collapsed="false" customWidth="true" hidden="false" outlineLevel="0" max="7713" min="7713" style="140" width="10.51"/>
    <col collapsed="false" customWidth="true" hidden="false" outlineLevel="0" max="7714" min="7714" style="140" width="19"/>
    <col collapsed="false" customWidth="true" hidden="false" outlineLevel="0" max="7715" min="7715" style="140" width="13.5"/>
    <col collapsed="false" customWidth="true" hidden="false" outlineLevel="0" max="7716" min="7716" style="140" width="18"/>
    <col collapsed="false" customWidth="true" hidden="false" outlineLevel="0" max="7717" min="7717" style="140" width="42.5"/>
    <col collapsed="false" customWidth="true" hidden="false" outlineLevel="0" max="7718" min="7718" style="140" width="31"/>
    <col collapsed="false" customWidth="true" hidden="false" outlineLevel="0" max="7719" min="7719" style="140" width="35"/>
    <col collapsed="false" customWidth="true" hidden="false" outlineLevel="0" max="7720" min="7720" style="140" width="31"/>
    <col collapsed="false" customWidth="true" hidden="false" outlineLevel="0" max="7721" min="7721" style="140" width="35"/>
    <col collapsed="false" customWidth="true" hidden="false" outlineLevel="0" max="7722" min="7722" style="140" width="31"/>
    <col collapsed="false" customWidth="true" hidden="false" outlineLevel="0" max="7723" min="7723" style="140" width="37.5"/>
    <col collapsed="false" customWidth="true" hidden="false" outlineLevel="0" max="7724" min="7724" style="140" width="11.5"/>
    <col collapsed="false" customWidth="true" hidden="false" outlineLevel="0" max="7725" min="7725" style="140" width="54"/>
    <col collapsed="false" customWidth="true" hidden="false" outlineLevel="0" max="7726" min="7726" style="140" width="43.51"/>
    <col collapsed="false" customWidth="true" hidden="false" outlineLevel="0" max="7727" min="7727" style="140" width="44.51"/>
    <col collapsed="false" customWidth="false" hidden="false" outlineLevel="0" max="7937" min="7728" style="140" width="6.51"/>
    <col collapsed="false" customWidth="true" hidden="false" outlineLevel="0" max="7939" min="7938" style="140" width="2.5"/>
    <col collapsed="false" customWidth="true" hidden="true" outlineLevel="0" max="7940" min="7940" style="140" width="11.53"/>
    <col collapsed="false" customWidth="true" hidden="false" outlineLevel="0" max="7943" min="7941" style="140" width="12.5"/>
    <col collapsed="false" customWidth="true" hidden="false" outlineLevel="0" max="7944" min="7944" style="140" width="12"/>
    <col collapsed="false" customWidth="true" hidden="false" outlineLevel="0" max="7945" min="7945" style="140" width="12.5"/>
    <col collapsed="false" customWidth="true" hidden="false" outlineLevel="0" max="7946" min="7946" style="140" width="13.5"/>
    <col collapsed="false" customWidth="true" hidden="true" outlineLevel="0" max="7947" min="7947" style="140" width="11.53"/>
    <col collapsed="false" customWidth="true" hidden="false" outlineLevel="0" max="7950" min="7948" style="140" width="13"/>
    <col collapsed="false" customWidth="true" hidden="false" outlineLevel="0" max="7951" min="7951" style="140" width="14.51"/>
    <col collapsed="false" customWidth="true" hidden="false" outlineLevel="0" max="7953" min="7952" style="140" width="13.5"/>
    <col collapsed="false" customWidth="true" hidden="false" outlineLevel="0" max="7954" min="7954" style="140" width="2.5"/>
    <col collapsed="false" customWidth="true" hidden="false" outlineLevel="0" max="7955" min="7955" style="140" width="13.5"/>
    <col collapsed="false" customWidth="true" hidden="false" outlineLevel="0" max="7956" min="7956" style="140" width="10.51"/>
    <col collapsed="false" customWidth="true" hidden="false" outlineLevel="0" max="7957" min="7957" style="140" width="12"/>
    <col collapsed="false" customWidth="true" hidden="false" outlineLevel="0" max="7958" min="7958" style="140" width="11.5"/>
    <col collapsed="false" customWidth="true" hidden="false" outlineLevel="0" max="7959" min="7959" style="140" width="16"/>
    <col collapsed="false" customWidth="true" hidden="false" outlineLevel="0" max="7961" min="7960" style="140" width="10.51"/>
    <col collapsed="false" customWidth="true" hidden="false" outlineLevel="0" max="7962" min="7962" style="140" width="15.51"/>
    <col collapsed="false" customWidth="true" hidden="false" outlineLevel="0" max="7963" min="7963" style="140" width="11.5"/>
    <col collapsed="false" customWidth="true" hidden="false" outlineLevel="0" max="7964" min="7964" style="140" width="12"/>
    <col collapsed="false" customWidth="true" hidden="false" outlineLevel="0" max="7965" min="7965" style="140" width="11.5"/>
    <col collapsed="false" customWidth="true" hidden="false" outlineLevel="0" max="7966" min="7966" style="140" width="12"/>
    <col collapsed="false" customWidth="true" hidden="false" outlineLevel="0" max="7967" min="7967" style="140" width="11.5"/>
    <col collapsed="false" customWidth="true" hidden="false" outlineLevel="0" max="7968" min="7968" style="140" width="12.5"/>
    <col collapsed="false" customWidth="true" hidden="false" outlineLevel="0" max="7969" min="7969" style="140" width="10.51"/>
    <col collapsed="false" customWidth="true" hidden="false" outlineLevel="0" max="7970" min="7970" style="140" width="19"/>
    <col collapsed="false" customWidth="true" hidden="false" outlineLevel="0" max="7971" min="7971" style="140" width="13.5"/>
    <col collapsed="false" customWidth="true" hidden="false" outlineLevel="0" max="7972" min="7972" style="140" width="18"/>
    <col collapsed="false" customWidth="true" hidden="false" outlineLevel="0" max="7973" min="7973" style="140" width="42.5"/>
    <col collapsed="false" customWidth="true" hidden="false" outlineLevel="0" max="7974" min="7974" style="140" width="31"/>
    <col collapsed="false" customWidth="true" hidden="false" outlineLevel="0" max="7975" min="7975" style="140" width="35"/>
    <col collapsed="false" customWidth="true" hidden="false" outlineLevel="0" max="7976" min="7976" style="140" width="31"/>
    <col collapsed="false" customWidth="true" hidden="false" outlineLevel="0" max="7977" min="7977" style="140" width="35"/>
    <col collapsed="false" customWidth="true" hidden="false" outlineLevel="0" max="7978" min="7978" style="140" width="31"/>
    <col collapsed="false" customWidth="true" hidden="false" outlineLevel="0" max="7979" min="7979" style="140" width="37.5"/>
    <col collapsed="false" customWidth="true" hidden="false" outlineLevel="0" max="7980" min="7980" style="140" width="11.5"/>
    <col collapsed="false" customWidth="true" hidden="false" outlineLevel="0" max="7981" min="7981" style="140" width="54"/>
    <col collapsed="false" customWidth="true" hidden="false" outlineLevel="0" max="7982" min="7982" style="140" width="43.51"/>
    <col collapsed="false" customWidth="true" hidden="false" outlineLevel="0" max="7983" min="7983" style="140" width="44.51"/>
    <col collapsed="false" customWidth="false" hidden="false" outlineLevel="0" max="8193" min="7984" style="140" width="6.51"/>
    <col collapsed="false" customWidth="true" hidden="false" outlineLevel="0" max="8195" min="8194" style="140" width="2.5"/>
    <col collapsed="false" customWidth="true" hidden="true" outlineLevel="0" max="8196" min="8196" style="140" width="11.53"/>
    <col collapsed="false" customWidth="true" hidden="false" outlineLevel="0" max="8199" min="8197" style="140" width="12.5"/>
    <col collapsed="false" customWidth="true" hidden="false" outlineLevel="0" max="8200" min="8200" style="140" width="12"/>
    <col collapsed="false" customWidth="true" hidden="false" outlineLevel="0" max="8201" min="8201" style="140" width="12.5"/>
    <col collapsed="false" customWidth="true" hidden="false" outlineLevel="0" max="8202" min="8202" style="140" width="13.5"/>
    <col collapsed="false" customWidth="true" hidden="true" outlineLevel="0" max="8203" min="8203" style="140" width="11.53"/>
    <col collapsed="false" customWidth="true" hidden="false" outlineLevel="0" max="8206" min="8204" style="140" width="13"/>
    <col collapsed="false" customWidth="true" hidden="false" outlineLevel="0" max="8207" min="8207" style="140" width="14.51"/>
    <col collapsed="false" customWidth="true" hidden="false" outlineLevel="0" max="8209" min="8208" style="140" width="13.5"/>
    <col collapsed="false" customWidth="true" hidden="false" outlineLevel="0" max="8210" min="8210" style="140" width="2.5"/>
    <col collapsed="false" customWidth="true" hidden="false" outlineLevel="0" max="8211" min="8211" style="140" width="13.5"/>
    <col collapsed="false" customWidth="true" hidden="false" outlineLevel="0" max="8212" min="8212" style="140" width="10.51"/>
    <col collapsed="false" customWidth="true" hidden="false" outlineLevel="0" max="8213" min="8213" style="140" width="12"/>
    <col collapsed="false" customWidth="true" hidden="false" outlineLevel="0" max="8214" min="8214" style="140" width="11.5"/>
    <col collapsed="false" customWidth="true" hidden="false" outlineLevel="0" max="8215" min="8215" style="140" width="16"/>
    <col collapsed="false" customWidth="true" hidden="false" outlineLevel="0" max="8217" min="8216" style="140" width="10.51"/>
    <col collapsed="false" customWidth="true" hidden="false" outlineLevel="0" max="8218" min="8218" style="140" width="15.51"/>
    <col collapsed="false" customWidth="true" hidden="false" outlineLevel="0" max="8219" min="8219" style="140" width="11.5"/>
    <col collapsed="false" customWidth="true" hidden="false" outlineLevel="0" max="8220" min="8220" style="140" width="12"/>
    <col collapsed="false" customWidth="true" hidden="false" outlineLevel="0" max="8221" min="8221" style="140" width="11.5"/>
    <col collapsed="false" customWidth="true" hidden="false" outlineLevel="0" max="8222" min="8222" style="140" width="12"/>
    <col collapsed="false" customWidth="true" hidden="false" outlineLevel="0" max="8223" min="8223" style="140" width="11.5"/>
    <col collapsed="false" customWidth="true" hidden="false" outlineLevel="0" max="8224" min="8224" style="140" width="12.5"/>
    <col collapsed="false" customWidth="true" hidden="false" outlineLevel="0" max="8225" min="8225" style="140" width="10.51"/>
    <col collapsed="false" customWidth="true" hidden="false" outlineLevel="0" max="8226" min="8226" style="140" width="19"/>
    <col collapsed="false" customWidth="true" hidden="false" outlineLevel="0" max="8227" min="8227" style="140" width="13.5"/>
    <col collapsed="false" customWidth="true" hidden="false" outlineLevel="0" max="8228" min="8228" style="140" width="18"/>
    <col collapsed="false" customWidth="true" hidden="false" outlineLevel="0" max="8229" min="8229" style="140" width="42.5"/>
    <col collapsed="false" customWidth="true" hidden="false" outlineLevel="0" max="8230" min="8230" style="140" width="31"/>
    <col collapsed="false" customWidth="true" hidden="false" outlineLevel="0" max="8231" min="8231" style="140" width="35"/>
    <col collapsed="false" customWidth="true" hidden="false" outlineLevel="0" max="8232" min="8232" style="140" width="31"/>
    <col collapsed="false" customWidth="true" hidden="false" outlineLevel="0" max="8233" min="8233" style="140" width="35"/>
    <col collapsed="false" customWidth="true" hidden="false" outlineLevel="0" max="8234" min="8234" style="140" width="31"/>
    <col collapsed="false" customWidth="true" hidden="false" outlineLevel="0" max="8235" min="8235" style="140" width="37.5"/>
    <col collapsed="false" customWidth="true" hidden="false" outlineLevel="0" max="8236" min="8236" style="140" width="11.5"/>
    <col collapsed="false" customWidth="true" hidden="false" outlineLevel="0" max="8237" min="8237" style="140" width="54"/>
    <col collapsed="false" customWidth="true" hidden="false" outlineLevel="0" max="8238" min="8238" style="140" width="43.51"/>
    <col collapsed="false" customWidth="true" hidden="false" outlineLevel="0" max="8239" min="8239" style="140" width="44.51"/>
    <col collapsed="false" customWidth="false" hidden="false" outlineLevel="0" max="8449" min="8240" style="140" width="6.51"/>
    <col collapsed="false" customWidth="true" hidden="false" outlineLevel="0" max="8451" min="8450" style="140" width="2.5"/>
    <col collapsed="false" customWidth="true" hidden="true" outlineLevel="0" max="8452" min="8452" style="140" width="11.53"/>
    <col collapsed="false" customWidth="true" hidden="false" outlineLevel="0" max="8455" min="8453" style="140" width="12.5"/>
    <col collapsed="false" customWidth="true" hidden="false" outlineLevel="0" max="8456" min="8456" style="140" width="12"/>
    <col collapsed="false" customWidth="true" hidden="false" outlineLevel="0" max="8457" min="8457" style="140" width="12.5"/>
    <col collapsed="false" customWidth="true" hidden="false" outlineLevel="0" max="8458" min="8458" style="140" width="13.5"/>
    <col collapsed="false" customWidth="true" hidden="true" outlineLevel="0" max="8459" min="8459" style="140" width="11.53"/>
    <col collapsed="false" customWidth="true" hidden="false" outlineLevel="0" max="8462" min="8460" style="140" width="13"/>
    <col collapsed="false" customWidth="true" hidden="false" outlineLevel="0" max="8463" min="8463" style="140" width="14.51"/>
    <col collapsed="false" customWidth="true" hidden="false" outlineLevel="0" max="8465" min="8464" style="140" width="13.5"/>
    <col collapsed="false" customWidth="true" hidden="false" outlineLevel="0" max="8466" min="8466" style="140" width="2.5"/>
    <col collapsed="false" customWidth="true" hidden="false" outlineLevel="0" max="8467" min="8467" style="140" width="13.5"/>
    <col collapsed="false" customWidth="true" hidden="false" outlineLevel="0" max="8468" min="8468" style="140" width="10.51"/>
    <col collapsed="false" customWidth="true" hidden="false" outlineLevel="0" max="8469" min="8469" style="140" width="12"/>
    <col collapsed="false" customWidth="true" hidden="false" outlineLevel="0" max="8470" min="8470" style="140" width="11.5"/>
    <col collapsed="false" customWidth="true" hidden="false" outlineLevel="0" max="8471" min="8471" style="140" width="16"/>
    <col collapsed="false" customWidth="true" hidden="false" outlineLevel="0" max="8473" min="8472" style="140" width="10.51"/>
    <col collapsed="false" customWidth="true" hidden="false" outlineLevel="0" max="8474" min="8474" style="140" width="15.51"/>
    <col collapsed="false" customWidth="true" hidden="false" outlineLevel="0" max="8475" min="8475" style="140" width="11.5"/>
    <col collapsed="false" customWidth="true" hidden="false" outlineLevel="0" max="8476" min="8476" style="140" width="12"/>
    <col collapsed="false" customWidth="true" hidden="false" outlineLevel="0" max="8477" min="8477" style="140" width="11.5"/>
    <col collapsed="false" customWidth="true" hidden="false" outlineLevel="0" max="8478" min="8478" style="140" width="12"/>
    <col collapsed="false" customWidth="true" hidden="false" outlineLevel="0" max="8479" min="8479" style="140" width="11.5"/>
    <col collapsed="false" customWidth="true" hidden="false" outlineLevel="0" max="8480" min="8480" style="140" width="12.5"/>
    <col collapsed="false" customWidth="true" hidden="false" outlineLevel="0" max="8481" min="8481" style="140" width="10.51"/>
    <col collapsed="false" customWidth="true" hidden="false" outlineLevel="0" max="8482" min="8482" style="140" width="19"/>
    <col collapsed="false" customWidth="true" hidden="false" outlineLevel="0" max="8483" min="8483" style="140" width="13.5"/>
    <col collapsed="false" customWidth="true" hidden="false" outlineLevel="0" max="8484" min="8484" style="140" width="18"/>
    <col collapsed="false" customWidth="true" hidden="false" outlineLevel="0" max="8485" min="8485" style="140" width="42.5"/>
    <col collapsed="false" customWidth="true" hidden="false" outlineLevel="0" max="8486" min="8486" style="140" width="31"/>
    <col collapsed="false" customWidth="true" hidden="false" outlineLevel="0" max="8487" min="8487" style="140" width="35"/>
    <col collapsed="false" customWidth="true" hidden="false" outlineLevel="0" max="8488" min="8488" style="140" width="31"/>
    <col collapsed="false" customWidth="true" hidden="false" outlineLevel="0" max="8489" min="8489" style="140" width="35"/>
    <col collapsed="false" customWidth="true" hidden="false" outlineLevel="0" max="8490" min="8490" style="140" width="31"/>
    <col collapsed="false" customWidth="true" hidden="false" outlineLevel="0" max="8491" min="8491" style="140" width="37.5"/>
    <col collapsed="false" customWidth="true" hidden="false" outlineLevel="0" max="8492" min="8492" style="140" width="11.5"/>
    <col collapsed="false" customWidth="true" hidden="false" outlineLevel="0" max="8493" min="8493" style="140" width="54"/>
    <col collapsed="false" customWidth="true" hidden="false" outlineLevel="0" max="8494" min="8494" style="140" width="43.51"/>
    <col collapsed="false" customWidth="true" hidden="false" outlineLevel="0" max="8495" min="8495" style="140" width="44.51"/>
    <col collapsed="false" customWidth="false" hidden="false" outlineLevel="0" max="8705" min="8496" style="140" width="6.51"/>
    <col collapsed="false" customWidth="true" hidden="false" outlineLevel="0" max="8707" min="8706" style="140" width="2.5"/>
    <col collapsed="false" customWidth="true" hidden="true" outlineLevel="0" max="8708" min="8708" style="140" width="11.53"/>
    <col collapsed="false" customWidth="true" hidden="false" outlineLevel="0" max="8711" min="8709" style="140" width="12.5"/>
    <col collapsed="false" customWidth="true" hidden="false" outlineLevel="0" max="8712" min="8712" style="140" width="12"/>
    <col collapsed="false" customWidth="true" hidden="false" outlineLevel="0" max="8713" min="8713" style="140" width="12.5"/>
    <col collapsed="false" customWidth="true" hidden="false" outlineLevel="0" max="8714" min="8714" style="140" width="13.5"/>
    <col collapsed="false" customWidth="true" hidden="true" outlineLevel="0" max="8715" min="8715" style="140" width="11.53"/>
    <col collapsed="false" customWidth="true" hidden="false" outlineLevel="0" max="8718" min="8716" style="140" width="13"/>
    <col collapsed="false" customWidth="true" hidden="false" outlineLevel="0" max="8719" min="8719" style="140" width="14.51"/>
    <col collapsed="false" customWidth="true" hidden="false" outlineLevel="0" max="8721" min="8720" style="140" width="13.5"/>
    <col collapsed="false" customWidth="true" hidden="false" outlineLevel="0" max="8722" min="8722" style="140" width="2.5"/>
    <col collapsed="false" customWidth="true" hidden="false" outlineLevel="0" max="8723" min="8723" style="140" width="13.5"/>
    <col collapsed="false" customWidth="true" hidden="false" outlineLevel="0" max="8724" min="8724" style="140" width="10.51"/>
    <col collapsed="false" customWidth="true" hidden="false" outlineLevel="0" max="8725" min="8725" style="140" width="12"/>
    <col collapsed="false" customWidth="true" hidden="false" outlineLevel="0" max="8726" min="8726" style="140" width="11.5"/>
    <col collapsed="false" customWidth="true" hidden="false" outlineLevel="0" max="8727" min="8727" style="140" width="16"/>
    <col collapsed="false" customWidth="true" hidden="false" outlineLevel="0" max="8729" min="8728" style="140" width="10.51"/>
    <col collapsed="false" customWidth="true" hidden="false" outlineLevel="0" max="8730" min="8730" style="140" width="15.51"/>
    <col collapsed="false" customWidth="true" hidden="false" outlineLevel="0" max="8731" min="8731" style="140" width="11.5"/>
    <col collapsed="false" customWidth="true" hidden="false" outlineLevel="0" max="8732" min="8732" style="140" width="12"/>
    <col collapsed="false" customWidth="true" hidden="false" outlineLevel="0" max="8733" min="8733" style="140" width="11.5"/>
    <col collapsed="false" customWidth="true" hidden="false" outlineLevel="0" max="8734" min="8734" style="140" width="12"/>
    <col collapsed="false" customWidth="true" hidden="false" outlineLevel="0" max="8735" min="8735" style="140" width="11.5"/>
    <col collapsed="false" customWidth="true" hidden="false" outlineLevel="0" max="8736" min="8736" style="140" width="12.5"/>
    <col collapsed="false" customWidth="true" hidden="false" outlineLevel="0" max="8737" min="8737" style="140" width="10.51"/>
    <col collapsed="false" customWidth="true" hidden="false" outlineLevel="0" max="8738" min="8738" style="140" width="19"/>
    <col collapsed="false" customWidth="true" hidden="false" outlineLevel="0" max="8739" min="8739" style="140" width="13.5"/>
    <col collapsed="false" customWidth="true" hidden="false" outlineLevel="0" max="8740" min="8740" style="140" width="18"/>
    <col collapsed="false" customWidth="true" hidden="false" outlineLevel="0" max="8741" min="8741" style="140" width="42.5"/>
    <col collapsed="false" customWidth="true" hidden="false" outlineLevel="0" max="8742" min="8742" style="140" width="31"/>
    <col collapsed="false" customWidth="true" hidden="false" outlineLevel="0" max="8743" min="8743" style="140" width="35"/>
    <col collapsed="false" customWidth="true" hidden="false" outlineLevel="0" max="8744" min="8744" style="140" width="31"/>
    <col collapsed="false" customWidth="true" hidden="false" outlineLevel="0" max="8745" min="8745" style="140" width="35"/>
    <col collapsed="false" customWidth="true" hidden="false" outlineLevel="0" max="8746" min="8746" style="140" width="31"/>
    <col collapsed="false" customWidth="true" hidden="false" outlineLevel="0" max="8747" min="8747" style="140" width="37.5"/>
    <col collapsed="false" customWidth="true" hidden="false" outlineLevel="0" max="8748" min="8748" style="140" width="11.5"/>
    <col collapsed="false" customWidth="true" hidden="false" outlineLevel="0" max="8749" min="8749" style="140" width="54"/>
    <col collapsed="false" customWidth="true" hidden="false" outlineLevel="0" max="8750" min="8750" style="140" width="43.51"/>
    <col collapsed="false" customWidth="true" hidden="false" outlineLevel="0" max="8751" min="8751" style="140" width="44.51"/>
    <col collapsed="false" customWidth="false" hidden="false" outlineLevel="0" max="8961" min="8752" style="140" width="6.51"/>
    <col collapsed="false" customWidth="true" hidden="false" outlineLevel="0" max="8963" min="8962" style="140" width="2.5"/>
    <col collapsed="false" customWidth="true" hidden="true" outlineLevel="0" max="8964" min="8964" style="140" width="11.53"/>
    <col collapsed="false" customWidth="true" hidden="false" outlineLevel="0" max="8967" min="8965" style="140" width="12.5"/>
    <col collapsed="false" customWidth="true" hidden="false" outlineLevel="0" max="8968" min="8968" style="140" width="12"/>
    <col collapsed="false" customWidth="true" hidden="false" outlineLevel="0" max="8969" min="8969" style="140" width="12.5"/>
    <col collapsed="false" customWidth="true" hidden="false" outlineLevel="0" max="8970" min="8970" style="140" width="13.5"/>
    <col collapsed="false" customWidth="true" hidden="true" outlineLevel="0" max="8971" min="8971" style="140" width="11.53"/>
    <col collapsed="false" customWidth="true" hidden="false" outlineLevel="0" max="8974" min="8972" style="140" width="13"/>
    <col collapsed="false" customWidth="true" hidden="false" outlineLevel="0" max="8975" min="8975" style="140" width="14.51"/>
    <col collapsed="false" customWidth="true" hidden="false" outlineLevel="0" max="8977" min="8976" style="140" width="13.5"/>
    <col collapsed="false" customWidth="true" hidden="false" outlineLevel="0" max="8978" min="8978" style="140" width="2.5"/>
    <col collapsed="false" customWidth="true" hidden="false" outlineLevel="0" max="8979" min="8979" style="140" width="13.5"/>
    <col collapsed="false" customWidth="true" hidden="false" outlineLevel="0" max="8980" min="8980" style="140" width="10.51"/>
    <col collapsed="false" customWidth="true" hidden="false" outlineLevel="0" max="8981" min="8981" style="140" width="12"/>
    <col collapsed="false" customWidth="true" hidden="false" outlineLevel="0" max="8982" min="8982" style="140" width="11.5"/>
    <col collapsed="false" customWidth="true" hidden="false" outlineLevel="0" max="8983" min="8983" style="140" width="16"/>
    <col collapsed="false" customWidth="true" hidden="false" outlineLevel="0" max="8985" min="8984" style="140" width="10.51"/>
    <col collapsed="false" customWidth="true" hidden="false" outlineLevel="0" max="8986" min="8986" style="140" width="15.51"/>
    <col collapsed="false" customWidth="true" hidden="false" outlineLevel="0" max="8987" min="8987" style="140" width="11.5"/>
    <col collapsed="false" customWidth="true" hidden="false" outlineLevel="0" max="8988" min="8988" style="140" width="12"/>
    <col collapsed="false" customWidth="true" hidden="false" outlineLevel="0" max="8989" min="8989" style="140" width="11.5"/>
    <col collapsed="false" customWidth="true" hidden="false" outlineLevel="0" max="8990" min="8990" style="140" width="12"/>
    <col collapsed="false" customWidth="true" hidden="false" outlineLevel="0" max="8991" min="8991" style="140" width="11.5"/>
    <col collapsed="false" customWidth="true" hidden="false" outlineLevel="0" max="8992" min="8992" style="140" width="12.5"/>
    <col collapsed="false" customWidth="true" hidden="false" outlineLevel="0" max="8993" min="8993" style="140" width="10.51"/>
    <col collapsed="false" customWidth="true" hidden="false" outlineLevel="0" max="8994" min="8994" style="140" width="19"/>
    <col collapsed="false" customWidth="true" hidden="false" outlineLevel="0" max="8995" min="8995" style="140" width="13.5"/>
    <col collapsed="false" customWidth="true" hidden="false" outlineLevel="0" max="8996" min="8996" style="140" width="18"/>
    <col collapsed="false" customWidth="true" hidden="false" outlineLevel="0" max="8997" min="8997" style="140" width="42.5"/>
    <col collapsed="false" customWidth="true" hidden="false" outlineLevel="0" max="8998" min="8998" style="140" width="31"/>
    <col collapsed="false" customWidth="true" hidden="false" outlineLevel="0" max="8999" min="8999" style="140" width="35"/>
    <col collapsed="false" customWidth="true" hidden="false" outlineLevel="0" max="9000" min="9000" style="140" width="31"/>
    <col collapsed="false" customWidth="true" hidden="false" outlineLevel="0" max="9001" min="9001" style="140" width="35"/>
    <col collapsed="false" customWidth="true" hidden="false" outlineLevel="0" max="9002" min="9002" style="140" width="31"/>
    <col collapsed="false" customWidth="true" hidden="false" outlineLevel="0" max="9003" min="9003" style="140" width="37.5"/>
    <col collapsed="false" customWidth="true" hidden="false" outlineLevel="0" max="9004" min="9004" style="140" width="11.5"/>
    <col collapsed="false" customWidth="true" hidden="false" outlineLevel="0" max="9005" min="9005" style="140" width="54"/>
    <col collapsed="false" customWidth="true" hidden="false" outlineLevel="0" max="9006" min="9006" style="140" width="43.51"/>
    <col collapsed="false" customWidth="true" hidden="false" outlineLevel="0" max="9007" min="9007" style="140" width="44.51"/>
    <col collapsed="false" customWidth="false" hidden="false" outlineLevel="0" max="9217" min="9008" style="140" width="6.51"/>
    <col collapsed="false" customWidth="true" hidden="false" outlineLevel="0" max="9219" min="9218" style="140" width="2.5"/>
    <col collapsed="false" customWidth="true" hidden="true" outlineLevel="0" max="9220" min="9220" style="140" width="11.53"/>
    <col collapsed="false" customWidth="true" hidden="false" outlineLevel="0" max="9223" min="9221" style="140" width="12.5"/>
    <col collapsed="false" customWidth="true" hidden="false" outlineLevel="0" max="9224" min="9224" style="140" width="12"/>
    <col collapsed="false" customWidth="true" hidden="false" outlineLevel="0" max="9225" min="9225" style="140" width="12.5"/>
    <col collapsed="false" customWidth="true" hidden="false" outlineLevel="0" max="9226" min="9226" style="140" width="13.5"/>
    <col collapsed="false" customWidth="true" hidden="true" outlineLevel="0" max="9227" min="9227" style="140" width="11.53"/>
    <col collapsed="false" customWidth="true" hidden="false" outlineLevel="0" max="9230" min="9228" style="140" width="13"/>
    <col collapsed="false" customWidth="true" hidden="false" outlineLevel="0" max="9231" min="9231" style="140" width="14.51"/>
    <col collapsed="false" customWidth="true" hidden="false" outlineLevel="0" max="9233" min="9232" style="140" width="13.5"/>
    <col collapsed="false" customWidth="true" hidden="false" outlineLevel="0" max="9234" min="9234" style="140" width="2.5"/>
    <col collapsed="false" customWidth="true" hidden="false" outlineLevel="0" max="9235" min="9235" style="140" width="13.5"/>
    <col collapsed="false" customWidth="true" hidden="false" outlineLevel="0" max="9236" min="9236" style="140" width="10.51"/>
    <col collapsed="false" customWidth="true" hidden="false" outlineLevel="0" max="9237" min="9237" style="140" width="12"/>
    <col collapsed="false" customWidth="true" hidden="false" outlineLevel="0" max="9238" min="9238" style="140" width="11.5"/>
    <col collapsed="false" customWidth="true" hidden="false" outlineLevel="0" max="9239" min="9239" style="140" width="16"/>
    <col collapsed="false" customWidth="true" hidden="false" outlineLevel="0" max="9241" min="9240" style="140" width="10.51"/>
    <col collapsed="false" customWidth="true" hidden="false" outlineLevel="0" max="9242" min="9242" style="140" width="15.51"/>
    <col collapsed="false" customWidth="true" hidden="false" outlineLevel="0" max="9243" min="9243" style="140" width="11.5"/>
    <col collapsed="false" customWidth="true" hidden="false" outlineLevel="0" max="9244" min="9244" style="140" width="12"/>
    <col collapsed="false" customWidth="true" hidden="false" outlineLevel="0" max="9245" min="9245" style="140" width="11.5"/>
    <col collapsed="false" customWidth="true" hidden="false" outlineLevel="0" max="9246" min="9246" style="140" width="12"/>
    <col collapsed="false" customWidth="true" hidden="false" outlineLevel="0" max="9247" min="9247" style="140" width="11.5"/>
    <col collapsed="false" customWidth="true" hidden="false" outlineLevel="0" max="9248" min="9248" style="140" width="12.5"/>
    <col collapsed="false" customWidth="true" hidden="false" outlineLevel="0" max="9249" min="9249" style="140" width="10.51"/>
    <col collapsed="false" customWidth="true" hidden="false" outlineLevel="0" max="9250" min="9250" style="140" width="19"/>
    <col collapsed="false" customWidth="true" hidden="false" outlineLevel="0" max="9251" min="9251" style="140" width="13.5"/>
    <col collapsed="false" customWidth="true" hidden="false" outlineLevel="0" max="9252" min="9252" style="140" width="18"/>
    <col collapsed="false" customWidth="true" hidden="false" outlineLevel="0" max="9253" min="9253" style="140" width="42.5"/>
    <col collapsed="false" customWidth="true" hidden="false" outlineLevel="0" max="9254" min="9254" style="140" width="31"/>
    <col collapsed="false" customWidth="true" hidden="false" outlineLevel="0" max="9255" min="9255" style="140" width="35"/>
    <col collapsed="false" customWidth="true" hidden="false" outlineLevel="0" max="9256" min="9256" style="140" width="31"/>
    <col collapsed="false" customWidth="true" hidden="false" outlineLevel="0" max="9257" min="9257" style="140" width="35"/>
    <col collapsed="false" customWidth="true" hidden="false" outlineLevel="0" max="9258" min="9258" style="140" width="31"/>
    <col collapsed="false" customWidth="true" hidden="false" outlineLevel="0" max="9259" min="9259" style="140" width="37.5"/>
    <col collapsed="false" customWidth="true" hidden="false" outlineLevel="0" max="9260" min="9260" style="140" width="11.5"/>
    <col collapsed="false" customWidth="true" hidden="false" outlineLevel="0" max="9261" min="9261" style="140" width="54"/>
    <col collapsed="false" customWidth="true" hidden="false" outlineLevel="0" max="9262" min="9262" style="140" width="43.51"/>
    <col collapsed="false" customWidth="true" hidden="false" outlineLevel="0" max="9263" min="9263" style="140" width="44.51"/>
    <col collapsed="false" customWidth="false" hidden="false" outlineLevel="0" max="9473" min="9264" style="140" width="6.51"/>
    <col collapsed="false" customWidth="true" hidden="false" outlineLevel="0" max="9475" min="9474" style="140" width="2.5"/>
    <col collapsed="false" customWidth="true" hidden="true" outlineLevel="0" max="9476" min="9476" style="140" width="11.53"/>
    <col collapsed="false" customWidth="true" hidden="false" outlineLevel="0" max="9479" min="9477" style="140" width="12.5"/>
    <col collapsed="false" customWidth="true" hidden="false" outlineLevel="0" max="9480" min="9480" style="140" width="12"/>
    <col collapsed="false" customWidth="true" hidden="false" outlineLevel="0" max="9481" min="9481" style="140" width="12.5"/>
    <col collapsed="false" customWidth="true" hidden="false" outlineLevel="0" max="9482" min="9482" style="140" width="13.5"/>
    <col collapsed="false" customWidth="true" hidden="true" outlineLevel="0" max="9483" min="9483" style="140" width="11.53"/>
    <col collapsed="false" customWidth="true" hidden="false" outlineLevel="0" max="9486" min="9484" style="140" width="13"/>
    <col collapsed="false" customWidth="true" hidden="false" outlineLevel="0" max="9487" min="9487" style="140" width="14.51"/>
    <col collapsed="false" customWidth="true" hidden="false" outlineLevel="0" max="9489" min="9488" style="140" width="13.5"/>
    <col collapsed="false" customWidth="true" hidden="false" outlineLevel="0" max="9490" min="9490" style="140" width="2.5"/>
    <col collapsed="false" customWidth="true" hidden="false" outlineLevel="0" max="9491" min="9491" style="140" width="13.5"/>
    <col collapsed="false" customWidth="true" hidden="false" outlineLevel="0" max="9492" min="9492" style="140" width="10.51"/>
    <col collapsed="false" customWidth="true" hidden="false" outlineLevel="0" max="9493" min="9493" style="140" width="12"/>
    <col collapsed="false" customWidth="true" hidden="false" outlineLevel="0" max="9494" min="9494" style="140" width="11.5"/>
    <col collapsed="false" customWidth="true" hidden="false" outlineLevel="0" max="9495" min="9495" style="140" width="16"/>
    <col collapsed="false" customWidth="true" hidden="false" outlineLevel="0" max="9497" min="9496" style="140" width="10.51"/>
    <col collapsed="false" customWidth="true" hidden="false" outlineLevel="0" max="9498" min="9498" style="140" width="15.51"/>
    <col collapsed="false" customWidth="true" hidden="false" outlineLevel="0" max="9499" min="9499" style="140" width="11.5"/>
    <col collapsed="false" customWidth="true" hidden="false" outlineLevel="0" max="9500" min="9500" style="140" width="12"/>
    <col collapsed="false" customWidth="true" hidden="false" outlineLevel="0" max="9501" min="9501" style="140" width="11.5"/>
    <col collapsed="false" customWidth="true" hidden="false" outlineLevel="0" max="9502" min="9502" style="140" width="12"/>
    <col collapsed="false" customWidth="true" hidden="false" outlineLevel="0" max="9503" min="9503" style="140" width="11.5"/>
    <col collapsed="false" customWidth="true" hidden="false" outlineLevel="0" max="9504" min="9504" style="140" width="12.5"/>
    <col collapsed="false" customWidth="true" hidden="false" outlineLevel="0" max="9505" min="9505" style="140" width="10.51"/>
    <col collapsed="false" customWidth="true" hidden="false" outlineLevel="0" max="9506" min="9506" style="140" width="19"/>
    <col collapsed="false" customWidth="true" hidden="false" outlineLevel="0" max="9507" min="9507" style="140" width="13.5"/>
    <col collapsed="false" customWidth="true" hidden="false" outlineLevel="0" max="9508" min="9508" style="140" width="18"/>
    <col collapsed="false" customWidth="true" hidden="false" outlineLevel="0" max="9509" min="9509" style="140" width="42.5"/>
    <col collapsed="false" customWidth="true" hidden="false" outlineLevel="0" max="9510" min="9510" style="140" width="31"/>
    <col collapsed="false" customWidth="true" hidden="false" outlineLevel="0" max="9511" min="9511" style="140" width="35"/>
    <col collapsed="false" customWidth="true" hidden="false" outlineLevel="0" max="9512" min="9512" style="140" width="31"/>
    <col collapsed="false" customWidth="true" hidden="false" outlineLevel="0" max="9513" min="9513" style="140" width="35"/>
    <col collapsed="false" customWidth="true" hidden="false" outlineLevel="0" max="9514" min="9514" style="140" width="31"/>
    <col collapsed="false" customWidth="true" hidden="false" outlineLevel="0" max="9515" min="9515" style="140" width="37.5"/>
    <col collapsed="false" customWidth="true" hidden="false" outlineLevel="0" max="9516" min="9516" style="140" width="11.5"/>
    <col collapsed="false" customWidth="true" hidden="false" outlineLevel="0" max="9517" min="9517" style="140" width="54"/>
    <col collapsed="false" customWidth="true" hidden="false" outlineLevel="0" max="9518" min="9518" style="140" width="43.51"/>
    <col collapsed="false" customWidth="true" hidden="false" outlineLevel="0" max="9519" min="9519" style="140" width="44.51"/>
    <col collapsed="false" customWidth="false" hidden="false" outlineLevel="0" max="9729" min="9520" style="140" width="6.51"/>
    <col collapsed="false" customWidth="true" hidden="false" outlineLevel="0" max="9731" min="9730" style="140" width="2.5"/>
    <col collapsed="false" customWidth="true" hidden="true" outlineLevel="0" max="9732" min="9732" style="140" width="11.53"/>
    <col collapsed="false" customWidth="true" hidden="false" outlineLevel="0" max="9735" min="9733" style="140" width="12.5"/>
    <col collapsed="false" customWidth="true" hidden="false" outlineLevel="0" max="9736" min="9736" style="140" width="12"/>
    <col collapsed="false" customWidth="true" hidden="false" outlineLevel="0" max="9737" min="9737" style="140" width="12.5"/>
    <col collapsed="false" customWidth="true" hidden="false" outlineLevel="0" max="9738" min="9738" style="140" width="13.5"/>
    <col collapsed="false" customWidth="true" hidden="true" outlineLevel="0" max="9739" min="9739" style="140" width="11.53"/>
    <col collapsed="false" customWidth="true" hidden="false" outlineLevel="0" max="9742" min="9740" style="140" width="13"/>
    <col collapsed="false" customWidth="true" hidden="false" outlineLevel="0" max="9743" min="9743" style="140" width="14.51"/>
    <col collapsed="false" customWidth="true" hidden="false" outlineLevel="0" max="9745" min="9744" style="140" width="13.5"/>
    <col collapsed="false" customWidth="true" hidden="false" outlineLevel="0" max="9746" min="9746" style="140" width="2.5"/>
    <col collapsed="false" customWidth="true" hidden="false" outlineLevel="0" max="9747" min="9747" style="140" width="13.5"/>
    <col collapsed="false" customWidth="true" hidden="false" outlineLevel="0" max="9748" min="9748" style="140" width="10.51"/>
    <col collapsed="false" customWidth="true" hidden="false" outlineLevel="0" max="9749" min="9749" style="140" width="12"/>
    <col collapsed="false" customWidth="true" hidden="false" outlineLevel="0" max="9750" min="9750" style="140" width="11.5"/>
    <col collapsed="false" customWidth="true" hidden="false" outlineLevel="0" max="9751" min="9751" style="140" width="16"/>
    <col collapsed="false" customWidth="true" hidden="false" outlineLevel="0" max="9753" min="9752" style="140" width="10.51"/>
    <col collapsed="false" customWidth="true" hidden="false" outlineLevel="0" max="9754" min="9754" style="140" width="15.51"/>
    <col collapsed="false" customWidth="true" hidden="false" outlineLevel="0" max="9755" min="9755" style="140" width="11.5"/>
    <col collapsed="false" customWidth="true" hidden="false" outlineLevel="0" max="9756" min="9756" style="140" width="12"/>
    <col collapsed="false" customWidth="true" hidden="false" outlineLevel="0" max="9757" min="9757" style="140" width="11.5"/>
    <col collapsed="false" customWidth="true" hidden="false" outlineLevel="0" max="9758" min="9758" style="140" width="12"/>
    <col collapsed="false" customWidth="true" hidden="false" outlineLevel="0" max="9759" min="9759" style="140" width="11.5"/>
    <col collapsed="false" customWidth="true" hidden="false" outlineLevel="0" max="9760" min="9760" style="140" width="12.5"/>
    <col collapsed="false" customWidth="true" hidden="false" outlineLevel="0" max="9761" min="9761" style="140" width="10.51"/>
    <col collapsed="false" customWidth="true" hidden="false" outlineLevel="0" max="9762" min="9762" style="140" width="19"/>
    <col collapsed="false" customWidth="true" hidden="false" outlineLevel="0" max="9763" min="9763" style="140" width="13.5"/>
    <col collapsed="false" customWidth="true" hidden="false" outlineLevel="0" max="9764" min="9764" style="140" width="18"/>
    <col collapsed="false" customWidth="true" hidden="false" outlineLevel="0" max="9765" min="9765" style="140" width="42.5"/>
    <col collapsed="false" customWidth="true" hidden="false" outlineLevel="0" max="9766" min="9766" style="140" width="31"/>
    <col collapsed="false" customWidth="true" hidden="false" outlineLevel="0" max="9767" min="9767" style="140" width="35"/>
    <col collapsed="false" customWidth="true" hidden="false" outlineLevel="0" max="9768" min="9768" style="140" width="31"/>
    <col collapsed="false" customWidth="true" hidden="false" outlineLevel="0" max="9769" min="9769" style="140" width="35"/>
    <col collapsed="false" customWidth="true" hidden="false" outlineLevel="0" max="9770" min="9770" style="140" width="31"/>
    <col collapsed="false" customWidth="true" hidden="false" outlineLevel="0" max="9771" min="9771" style="140" width="37.5"/>
    <col collapsed="false" customWidth="true" hidden="false" outlineLevel="0" max="9772" min="9772" style="140" width="11.5"/>
    <col collapsed="false" customWidth="true" hidden="false" outlineLevel="0" max="9773" min="9773" style="140" width="54"/>
    <col collapsed="false" customWidth="true" hidden="false" outlineLevel="0" max="9774" min="9774" style="140" width="43.51"/>
    <col collapsed="false" customWidth="true" hidden="false" outlineLevel="0" max="9775" min="9775" style="140" width="44.51"/>
    <col collapsed="false" customWidth="false" hidden="false" outlineLevel="0" max="9985" min="9776" style="140" width="6.51"/>
    <col collapsed="false" customWidth="true" hidden="false" outlineLevel="0" max="9987" min="9986" style="140" width="2.5"/>
    <col collapsed="false" customWidth="true" hidden="true" outlineLevel="0" max="9988" min="9988" style="140" width="11.53"/>
    <col collapsed="false" customWidth="true" hidden="false" outlineLevel="0" max="9991" min="9989" style="140" width="12.5"/>
    <col collapsed="false" customWidth="true" hidden="false" outlineLevel="0" max="9992" min="9992" style="140" width="12"/>
    <col collapsed="false" customWidth="true" hidden="false" outlineLevel="0" max="9993" min="9993" style="140" width="12.5"/>
    <col collapsed="false" customWidth="true" hidden="false" outlineLevel="0" max="9994" min="9994" style="140" width="13.5"/>
    <col collapsed="false" customWidth="true" hidden="true" outlineLevel="0" max="9995" min="9995" style="140" width="11.53"/>
    <col collapsed="false" customWidth="true" hidden="false" outlineLevel="0" max="9998" min="9996" style="140" width="13"/>
    <col collapsed="false" customWidth="true" hidden="false" outlineLevel="0" max="9999" min="9999" style="140" width="14.51"/>
    <col collapsed="false" customWidth="true" hidden="false" outlineLevel="0" max="10001" min="10000" style="140" width="13.5"/>
    <col collapsed="false" customWidth="true" hidden="false" outlineLevel="0" max="10002" min="10002" style="140" width="2.5"/>
    <col collapsed="false" customWidth="true" hidden="false" outlineLevel="0" max="10003" min="10003" style="140" width="13.5"/>
    <col collapsed="false" customWidth="true" hidden="false" outlineLevel="0" max="10004" min="10004" style="140" width="10.51"/>
    <col collapsed="false" customWidth="true" hidden="false" outlineLevel="0" max="10005" min="10005" style="140" width="12"/>
    <col collapsed="false" customWidth="true" hidden="false" outlineLevel="0" max="10006" min="10006" style="140" width="11.5"/>
    <col collapsed="false" customWidth="true" hidden="false" outlineLevel="0" max="10007" min="10007" style="140" width="16"/>
    <col collapsed="false" customWidth="true" hidden="false" outlineLevel="0" max="10009" min="10008" style="140" width="10.51"/>
    <col collapsed="false" customWidth="true" hidden="false" outlineLevel="0" max="10010" min="10010" style="140" width="15.51"/>
    <col collapsed="false" customWidth="true" hidden="false" outlineLevel="0" max="10011" min="10011" style="140" width="11.5"/>
    <col collapsed="false" customWidth="true" hidden="false" outlineLevel="0" max="10012" min="10012" style="140" width="12"/>
    <col collapsed="false" customWidth="true" hidden="false" outlineLevel="0" max="10013" min="10013" style="140" width="11.5"/>
    <col collapsed="false" customWidth="true" hidden="false" outlineLevel="0" max="10014" min="10014" style="140" width="12"/>
    <col collapsed="false" customWidth="true" hidden="false" outlineLevel="0" max="10015" min="10015" style="140" width="11.5"/>
    <col collapsed="false" customWidth="true" hidden="false" outlineLevel="0" max="10016" min="10016" style="140" width="12.5"/>
    <col collapsed="false" customWidth="true" hidden="false" outlineLevel="0" max="10017" min="10017" style="140" width="10.51"/>
    <col collapsed="false" customWidth="true" hidden="false" outlineLevel="0" max="10018" min="10018" style="140" width="19"/>
    <col collapsed="false" customWidth="true" hidden="false" outlineLevel="0" max="10019" min="10019" style="140" width="13.5"/>
    <col collapsed="false" customWidth="true" hidden="false" outlineLevel="0" max="10020" min="10020" style="140" width="18"/>
    <col collapsed="false" customWidth="true" hidden="false" outlineLevel="0" max="10021" min="10021" style="140" width="42.5"/>
    <col collapsed="false" customWidth="true" hidden="false" outlineLevel="0" max="10022" min="10022" style="140" width="31"/>
    <col collapsed="false" customWidth="true" hidden="false" outlineLevel="0" max="10023" min="10023" style="140" width="35"/>
    <col collapsed="false" customWidth="true" hidden="false" outlineLevel="0" max="10024" min="10024" style="140" width="31"/>
    <col collapsed="false" customWidth="true" hidden="false" outlineLevel="0" max="10025" min="10025" style="140" width="35"/>
    <col collapsed="false" customWidth="true" hidden="false" outlineLevel="0" max="10026" min="10026" style="140" width="31"/>
    <col collapsed="false" customWidth="true" hidden="false" outlineLevel="0" max="10027" min="10027" style="140" width="37.5"/>
    <col collapsed="false" customWidth="true" hidden="false" outlineLevel="0" max="10028" min="10028" style="140" width="11.5"/>
    <col collapsed="false" customWidth="true" hidden="false" outlineLevel="0" max="10029" min="10029" style="140" width="54"/>
    <col collapsed="false" customWidth="true" hidden="false" outlineLevel="0" max="10030" min="10030" style="140" width="43.51"/>
    <col collapsed="false" customWidth="true" hidden="false" outlineLevel="0" max="10031" min="10031" style="140" width="44.51"/>
    <col collapsed="false" customWidth="false" hidden="false" outlineLevel="0" max="10241" min="10032" style="140" width="6.51"/>
    <col collapsed="false" customWidth="true" hidden="false" outlineLevel="0" max="10243" min="10242" style="140" width="2.5"/>
    <col collapsed="false" customWidth="true" hidden="true" outlineLevel="0" max="10244" min="10244" style="140" width="11.53"/>
    <col collapsed="false" customWidth="true" hidden="false" outlineLevel="0" max="10247" min="10245" style="140" width="12.5"/>
    <col collapsed="false" customWidth="true" hidden="false" outlineLevel="0" max="10248" min="10248" style="140" width="12"/>
    <col collapsed="false" customWidth="true" hidden="false" outlineLevel="0" max="10249" min="10249" style="140" width="12.5"/>
    <col collapsed="false" customWidth="true" hidden="false" outlineLevel="0" max="10250" min="10250" style="140" width="13.5"/>
    <col collapsed="false" customWidth="true" hidden="true" outlineLevel="0" max="10251" min="10251" style="140" width="11.53"/>
    <col collapsed="false" customWidth="true" hidden="false" outlineLevel="0" max="10254" min="10252" style="140" width="13"/>
    <col collapsed="false" customWidth="true" hidden="false" outlineLevel="0" max="10255" min="10255" style="140" width="14.51"/>
    <col collapsed="false" customWidth="true" hidden="false" outlineLevel="0" max="10257" min="10256" style="140" width="13.5"/>
    <col collapsed="false" customWidth="true" hidden="false" outlineLevel="0" max="10258" min="10258" style="140" width="2.5"/>
    <col collapsed="false" customWidth="true" hidden="false" outlineLevel="0" max="10259" min="10259" style="140" width="13.5"/>
    <col collapsed="false" customWidth="true" hidden="false" outlineLevel="0" max="10260" min="10260" style="140" width="10.51"/>
    <col collapsed="false" customWidth="true" hidden="false" outlineLevel="0" max="10261" min="10261" style="140" width="12"/>
    <col collapsed="false" customWidth="true" hidden="false" outlineLevel="0" max="10262" min="10262" style="140" width="11.5"/>
    <col collapsed="false" customWidth="true" hidden="false" outlineLevel="0" max="10263" min="10263" style="140" width="16"/>
    <col collapsed="false" customWidth="true" hidden="false" outlineLevel="0" max="10265" min="10264" style="140" width="10.51"/>
    <col collapsed="false" customWidth="true" hidden="false" outlineLevel="0" max="10266" min="10266" style="140" width="15.51"/>
    <col collapsed="false" customWidth="true" hidden="false" outlineLevel="0" max="10267" min="10267" style="140" width="11.5"/>
    <col collapsed="false" customWidth="true" hidden="false" outlineLevel="0" max="10268" min="10268" style="140" width="12"/>
    <col collapsed="false" customWidth="true" hidden="false" outlineLevel="0" max="10269" min="10269" style="140" width="11.5"/>
    <col collapsed="false" customWidth="true" hidden="false" outlineLevel="0" max="10270" min="10270" style="140" width="12"/>
    <col collapsed="false" customWidth="true" hidden="false" outlineLevel="0" max="10271" min="10271" style="140" width="11.5"/>
    <col collapsed="false" customWidth="true" hidden="false" outlineLevel="0" max="10272" min="10272" style="140" width="12.5"/>
    <col collapsed="false" customWidth="true" hidden="false" outlineLevel="0" max="10273" min="10273" style="140" width="10.51"/>
    <col collapsed="false" customWidth="true" hidden="false" outlineLevel="0" max="10274" min="10274" style="140" width="19"/>
    <col collapsed="false" customWidth="true" hidden="false" outlineLevel="0" max="10275" min="10275" style="140" width="13.5"/>
    <col collapsed="false" customWidth="true" hidden="false" outlineLevel="0" max="10276" min="10276" style="140" width="18"/>
    <col collapsed="false" customWidth="true" hidden="false" outlineLevel="0" max="10277" min="10277" style="140" width="42.5"/>
    <col collapsed="false" customWidth="true" hidden="false" outlineLevel="0" max="10278" min="10278" style="140" width="31"/>
    <col collapsed="false" customWidth="true" hidden="false" outlineLevel="0" max="10279" min="10279" style="140" width="35"/>
    <col collapsed="false" customWidth="true" hidden="false" outlineLevel="0" max="10280" min="10280" style="140" width="31"/>
    <col collapsed="false" customWidth="true" hidden="false" outlineLevel="0" max="10281" min="10281" style="140" width="35"/>
    <col collapsed="false" customWidth="true" hidden="false" outlineLevel="0" max="10282" min="10282" style="140" width="31"/>
    <col collapsed="false" customWidth="true" hidden="false" outlineLevel="0" max="10283" min="10283" style="140" width="37.5"/>
    <col collapsed="false" customWidth="true" hidden="false" outlineLevel="0" max="10284" min="10284" style="140" width="11.5"/>
    <col collapsed="false" customWidth="true" hidden="false" outlineLevel="0" max="10285" min="10285" style="140" width="54"/>
    <col collapsed="false" customWidth="true" hidden="false" outlineLevel="0" max="10286" min="10286" style="140" width="43.51"/>
    <col collapsed="false" customWidth="true" hidden="false" outlineLevel="0" max="10287" min="10287" style="140" width="44.51"/>
    <col collapsed="false" customWidth="false" hidden="false" outlineLevel="0" max="10497" min="10288" style="140" width="6.51"/>
    <col collapsed="false" customWidth="true" hidden="false" outlineLevel="0" max="10499" min="10498" style="140" width="2.5"/>
    <col collapsed="false" customWidth="true" hidden="true" outlineLevel="0" max="10500" min="10500" style="140" width="11.53"/>
    <col collapsed="false" customWidth="true" hidden="false" outlineLevel="0" max="10503" min="10501" style="140" width="12.5"/>
    <col collapsed="false" customWidth="true" hidden="false" outlineLevel="0" max="10504" min="10504" style="140" width="12"/>
    <col collapsed="false" customWidth="true" hidden="false" outlineLevel="0" max="10505" min="10505" style="140" width="12.5"/>
    <col collapsed="false" customWidth="true" hidden="false" outlineLevel="0" max="10506" min="10506" style="140" width="13.5"/>
    <col collapsed="false" customWidth="true" hidden="true" outlineLevel="0" max="10507" min="10507" style="140" width="11.53"/>
    <col collapsed="false" customWidth="true" hidden="false" outlineLevel="0" max="10510" min="10508" style="140" width="13"/>
    <col collapsed="false" customWidth="true" hidden="false" outlineLevel="0" max="10511" min="10511" style="140" width="14.51"/>
    <col collapsed="false" customWidth="true" hidden="false" outlineLevel="0" max="10513" min="10512" style="140" width="13.5"/>
    <col collapsed="false" customWidth="true" hidden="false" outlineLevel="0" max="10514" min="10514" style="140" width="2.5"/>
    <col collapsed="false" customWidth="true" hidden="false" outlineLevel="0" max="10515" min="10515" style="140" width="13.5"/>
    <col collapsed="false" customWidth="true" hidden="false" outlineLevel="0" max="10516" min="10516" style="140" width="10.51"/>
    <col collapsed="false" customWidth="true" hidden="false" outlineLevel="0" max="10517" min="10517" style="140" width="12"/>
    <col collapsed="false" customWidth="true" hidden="false" outlineLevel="0" max="10518" min="10518" style="140" width="11.5"/>
    <col collapsed="false" customWidth="true" hidden="false" outlineLevel="0" max="10519" min="10519" style="140" width="16"/>
    <col collapsed="false" customWidth="true" hidden="false" outlineLevel="0" max="10521" min="10520" style="140" width="10.51"/>
    <col collapsed="false" customWidth="true" hidden="false" outlineLevel="0" max="10522" min="10522" style="140" width="15.51"/>
    <col collapsed="false" customWidth="true" hidden="false" outlineLevel="0" max="10523" min="10523" style="140" width="11.5"/>
    <col collapsed="false" customWidth="true" hidden="false" outlineLevel="0" max="10524" min="10524" style="140" width="12"/>
    <col collapsed="false" customWidth="true" hidden="false" outlineLevel="0" max="10525" min="10525" style="140" width="11.5"/>
    <col collapsed="false" customWidth="true" hidden="false" outlineLevel="0" max="10526" min="10526" style="140" width="12"/>
    <col collapsed="false" customWidth="true" hidden="false" outlineLevel="0" max="10527" min="10527" style="140" width="11.5"/>
    <col collapsed="false" customWidth="true" hidden="false" outlineLevel="0" max="10528" min="10528" style="140" width="12.5"/>
    <col collapsed="false" customWidth="true" hidden="false" outlineLevel="0" max="10529" min="10529" style="140" width="10.51"/>
    <col collapsed="false" customWidth="true" hidden="false" outlineLevel="0" max="10530" min="10530" style="140" width="19"/>
    <col collapsed="false" customWidth="true" hidden="false" outlineLevel="0" max="10531" min="10531" style="140" width="13.5"/>
    <col collapsed="false" customWidth="true" hidden="false" outlineLevel="0" max="10532" min="10532" style="140" width="18"/>
    <col collapsed="false" customWidth="true" hidden="false" outlineLevel="0" max="10533" min="10533" style="140" width="42.5"/>
    <col collapsed="false" customWidth="true" hidden="false" outlineLevel="0" max="10534" min="10534" style="140" width="31"/>
    <col collapsed="false" customWidth="true" hidden="false" outlineLevel="0" max="10535" min="10535" style="140" width="35"/>
    <col collapsed="false" customWidth="true" hidden="false" outlineLevel="0" max="10536" min="10536" style="140" width="31"/>
    <col collapsed="false" customWidth="true" hidden="false" outlineLevel="0" max="10537" min="10537" style="140" width="35"/>
    <col collapsed="false" customWidth="true" hidden="false" outlineLevel="0" max="10538" min="10538" style="140" width="31"/>
    <col collapsed="false" customWidth="true" hidden="false" outlineLevel="0" max="10539" min="10539" style="140" width="37.5"/>
    <col collapsed="false" customWidth="true" hidden="false" outlineLevel="0" max="10540" min="10540" style="140" width="11.5"/>
    <col collapsed="false" customWidth="true" hidden="false" outlineLevel="0" max="10541" min="10541" style="140" width="54"/>
    <col collapsed="false" customWidth="true" hidden="false" outlineLevel="0" max="10542" min="10542" style="140" width="43.51"/>
    <col collapsed="false" customWidth="true" hidden="false" outlineLevel="0" max="10543" min="10543" style="140" width="44.51"/>
    <col collapsed="false" customWidth="false" hidden="false" outlineLevel="0" max="10753" min="10544" style="140" width="6.51"/>
    <col collapsed="false" customWidth="true" hidden="false" outlineLevel="0" max="10755" min="10754" style="140" width="2.5"/>
    <col collapsed="false" customWidth="true" hidden="true" outlineLevel="0" max="10756" min="10756" style="140" width="11.53"/>
    <col collapsed="false" customWidth="true" hidden="false" outlineLevel="0" max="10759" min="10757" style="140" width="12.5"/>
    <col collapsed="false" customWidth="true" hidden="false" outlineLevel="0" max="10760" min="10760" style="140" width="12"/>
    <col collapsed="false" customWidth="true" hidden="false" outlineLevel="0" max="10761" min="10761" style="140" width="12.5"/>
    <col collapsed="false" customWidth="true" hidden="false" outlineLevel="0" max="10762" min="10762" style="140" width="13.5"/>
    <col collapsed="false" customWidth="true" hidden="true" outlineLevel="0" max="10763" min="10763" style="140" width="11.53"/>
    <col collapsed="false" customWidth="true" hidden="false" outlineLevel="0" max="10766" min="10764" style="140" width="13"/>
    <col collapsed="false" customWidth="true" hidden="false" outlineLevel="0" max="10767" min="10767" style="140" width="14.51"/>
    <col collapsed="false" customWidth="true" hidden="false" outlineLevel="0" max="10769" min="10768" style="140" width="13.5"/>
    <col collapsed="false" customWidth="true" hidden="false" outlineLevel="0" max="10770" min="10770" style="140" width="2.5"/>
    <col collapsed="false" customWidth="true" hidden="false" outlineLevel="0" max="10771" min="10771" style="140" width="13.5"/>
    <col collapsed="false" customWidth="true" hidden="false" outlineLevel="0" max="10772" min="10772" style="140" width="10.51"/>
    <col collapsed="false" customWidth="true" hidden="false" outlineLevel="0" max="10773" min="10773" style="140" width="12"/>
    <col collapsed="false" customWidth="true" hidden="false" outlineLevel="0" max="10774" min="10774" style="140" width="11.5"/>
    <col collapsed="false" customWidth="true" hidden="false" outlineLevel="0" max="10775" min="10775" style="140" width="16"/>
    <col collapsed="false" customWidth="true" hidden="false" outlineLevel="0" max="10777" min="10776" style="140" width="10.51"/>
    <col collapsed="false" customWidth="true" hidden="false" outlineLevel="0" max="10778" min="10778" style="140" width="15.51"/>
    <col collapsed="false" customWidth="true" hidden="false" outlineLevel="0" max="10779" min="10779" style="140" width="11.5"/>
    <col collapsed="false" customWidth="true" hidden="false" outlineLevel="0" max="10780" min="10780" style="140" width="12"/>
    <col collapsed="false" customWidth="true" hidden="false" outlineLevel="0" max="10781" min="10781" style="140" width="11.5"/>
    <col collapsed="false" customWidth="true" hidden="false" outlineLevel="0" max="10782" min="10782" style="140" width="12"/>
    <col collapsed="false" customWidth="true" hidden="false" outlineLevel="0" max="10783" min="10783" style="140" width="11.5"/>
    <col collapsed="false" customWidth="true" hidden="false" outlineLevel="0" max="10784" min="10784" style="140" width="12.5"/>
    <col collapsed="false" customWidth="true" hidden="false" outlineLevel="0" max="10785" min="10785" style="140" width="10.51"/>
    <col collapsed="false" customWidth="true" hidden="false" outlineLevel="0" max="10786" min="10786" style="140" width="19"/>
    <col collapsed="false" customWidth="true" hidden="false" outlineLevel="0" max="10787" min="10787" style="140" width="13.5"/>
    <col collapsed="false" customWidth="true" hidden="false" outlineLevel="0" max="10788" min="10788" style="140" width="18"/>
    <col collapsed="false" customWidth="true" hidden="false" outlineLevel="0" max="10789" min="10789" style="140" width="42.5"/>
    <col collapsed="false" customWidth="true" hidden="false" outlineLevel="0" max="10790" min="10790" style="140" width="31"/>
    <col collapsed="false" customWidth="true" hidden="false" outlineLevel="0" max="10791" min="10791" style="140" width="35"/>
    <col collapsed="false" customWidth="true" hidden="false" outlineLevel="0" max="10792" min="10792" style="140" width="31"/>
    <col collapsed="false" customWidth="true" hidden="false" outlineLevel="0" max="10793" min="10793" style="140" width="35"/>
    <col collapsed="false" customWidth="true" hidden="false" outlineLevel="0" max="10794" min="10794" style="140" width="31"/>
    <col collapsed="false" customWidth="true" hidden="false" outlineLevel="0" max="10795" min="10795" style="140" width="37.5"/>
    <col collapsed="false" customWidth="true" hidden="false" outlineLevel="0" max="10796" min="10796" style="140" width="11.5"/>
    <col collapsed="false" customWidth="true" hidden="false" outlineLevel="0" max="10797" min="10797" style="140" width="54"/>
    <col collapsed="false" customWidth="true" hidden="false" outlineLevel="0" max="10798" min="10798" style="140" width="43.51"/>
    <col collapsed="false" customWidth="true" hidden="false" outlineLevel="0" max="10799" min="10799" style="140" width="44.51"/>
    <col collapsed="false" customWidth="false" hidden="false" outlineLevel="0" max="11009" min="10800" style="140" width="6.51"/>
    <col collapsed="false" customWidth="true" hidden="false" outlineLevel="0" max="11011" min="11010" style="140" width="2.5"/>
    <col collapsed="false" customWidth="true" hidden="true" outlineLevel="0" max="11012" min="11012" style="140" width="11.53"/>
    <col collapsed="false" customWidth="true" hidden="false" outlineLevel="0" max="11015" min="11013" style="140" width="12.5"/>
    <col collapsed="false" customWidth="true" hidden="false" outlineLevel="0" max="11016" min="11016" style="140" width="12"/>
    <col collapsed="false" customWidth="true" hidden="false" outlineLevel="0" max="11017" min="11017" style="140" width="12.5"/>
    <col collapsed="false" customWidth="true" hidden="false" outlineLevel="0" max="11018" min="11018" style="140" width="13.5"/>
    <col collapsed="false" customWidth="true" hidden="true" outlineLevel="0" max="11019" min="11019" style="140" width="11.53"/>
    <col collapsed="false" customWidth="true" hidden="false" outlineLevel="0" max="11022" min="11020" style="140" width="13"/>
    <col collapsed="false" customWidth="true" hidden="false" outlineLevel="0" max="11023" min="11023" style="140" width="14.51"/>
    <col collapsed="false" customWidth="true" hidden="false" outlineLevel="0" max="11025" min="11024" style="140" width="13.5"/>
    <col collapsed="false" customWidth="true" hidden="false" outlineLevel="0" max="11026" min="11026" style="140" width="2.5"/>
    <col collapsed="false" customWidth="true" hidden="false" outlineLevel="0" max="11027" min="11027" style="140" width="13.5"/>
    <col collapsed="false" customWidth="true" hidden="false" outlineLevel="0" max="11028" min="11028" style="140" width="10.51"/>
    <col collapsed="false" customWidth="true" hidden="false" outlineLevel="0" max="11029" min="11029" style="140" width="12"/>
    <col collapsed="false" customWidth="true" hidden="false" outlineLevel="0" max="11030" min="11030" style="140" width="11.5"/>
    <col collapsed="false" customWidth="true" hidden="false" outlineLevel="0" max="11031" min="11031" style="140" width="16"/>
    <col collapsed="false" customWidth="true" hidden="false" outlineLevel="0" max="11033" min="11032" style="140" width="10.51"/>
    <col collapsed="false" customWidth="true" hidden="false" outlineLevel="0" max="11034" min="11034" style="140" width="15.51"/>
    <col collapsed="false" customWidth="true" hidden="false" outlineLevel="0" max="11035" min="11035" style="140" width="11.5"/>
    <col collapsed="false" customWidth="true" hidden="false" outlineLevel="0" max="11036" min="11036" style="140" width="12"/>
    <col collapsed="false" customWidth="true" hidden="false" outlineLevel="0" max="11037" min="11037" style="140" width="11.5"/>
    <col collapsed="false" customWidth="true" hidden="false" outlineLevel="0" max="11038" min="11038" style="140" width="12"/>
    <col collapsed="false" customWidth="true" hidden="false" outlineLevel="0" max="11039" min="11039" style="140" width="11.5"/>
    <col collapsed="false" customWidth="true" hidden="false" outlineLevel="0" max="11040" min="11040" style="140" width="12.5"/>
    <col collapsed="false" customWidth="true" hidden="false" outlineLevel="0" max="11041" min="11041" style="140" width="10.51"/>
    <col collapsed="false" customWidth="true" hidden="false" outlineLevel="0" max="11042" min="11042" style="140" width="19"/>
    <col collapsed="false" customWidth="true" hidden="false" outlineLevel="0" max="11043" min="11043" style="140" width="13.5"/>
    <col collapsed="false" customWidth="true" hidden="false" outlineLevel="0" max="11044" min="11044" style="140" width="18"/>
    <col collapsed="false" customWidth="true" hidden="false" outlineLevel="0" max="11045" min="11045" style="140" width="42.5"/>
    <col collapsed="false" customWidth="true" hidden="false" outlineLevel="0" max="11046" min="11046" style="140" width="31"/>
    <col collapsed="false" customWidth="true" hidden="false" outlineLevel="0" max="11047" min="11047" style="140" width="35"/>
    <col collapsed="false" customWidth="true" hidden="false" outlineLevel="0" max="11048" min="11048" style="140" width="31"/>
    <col collapsed="false" customWidth="true" hidden="false" outlineLevel="0" max="11049" min="11049" style="140" width="35"/>
    <col collapsed="false" customWidth="true" hidden="false" outlineLevel="0" max="11050" min="11050" style="140" width="31"/>
    <col collapsed="false" customWidth="true" hidden="false" outlineLevel="0" max="11051" min="11051" style="140" width="37.5"/>
    <col collapsed="false" customWidth="true" hidden="false" outlineLevel="0" max="11052" min="11052" style="140" width="11.5"/>
    <col collapsed="false" customWidth="true" hidden="false" outlineLevel="0" max="11053" min="11053" style="140" width="54"/>
    <col collapsed="false" customWidth="true" hidden="false" outlineLevel="0" max="11054" min="11054" style="140" width="43.51"/>
    <col collapsed="false" customWidth="true" hidden="false" outlineLevel="0" max="11055" min="11055" style="140" width="44.51"/>
    <col collapsed="false" customWidth="false" hidden="false" outlineLevel="0" max="11265" min="11056" style="140" width="6.51"/>
    <col collapsed="false" customWidth="true" hidden="false" outlineLevel="0" max="11267" min="11266" style="140" width="2.5"/>
    <col collapsed="false" customWidth="true" hidden="true" outlineLevel="0" max="11268" min="11268" style="140" width="11.53"/>
    <col collapsed="false" customWidth="true" hidden="false" outlineLevel="0" max="11271" min="11269" style="140" width="12.5"/>
    <col collapsed="false" customWidth="true" hidden="false" outlineLevel="0" max="11272" min="11272" style="140" width="12"/>
    <col collapsed="false" customWidth="true" hidden="false" outlineLevel="0" max="11273" min="11273" style="140" width="12.5"/>
    <col collapsed="false" customWidth="true" hidden="false" outlineLevel="0" max="11274" min="11274" style="140" width="13.5"/>
    <col collapsed="false" customWidth="true" hidden="true" outlineLevel="0" max="11275" min="11275" style="140" width="11.53"/>
    <col collapsed="false" customWidth="true" hidden="false" outlineLevel="0" max="11278" min="11276" style="140" width="13"/>
    <col collapsed="false" customWidth="true" hidden="false" outlineLevel="0" max="11279" min="11279" style="140" width="14.51"/>
    <col collapsed="false" customWidth="true" hidden="false" outlineLevel="0" max="11281" min="11280" style="140" width="13.5"/>
    <col collapsed="false" customWidth="true" hidden="false" outlineLevel="0" max="11282" min="11282" style="140" width="2.5"/>
    <col collapsed="false" customWidth="true" hidden="false" outlineLevel="0" max="11283" min="11283" style="140" width="13.5"/>
    <col collapsed="false" customWidth="true" hidden="false" outlineLevel="0" max="11284" min="11284" style="140" width="10.51"/>
    <col collapsed="false" customWidth="true" hidden="false" outlineLevel="0" max="11285" min="11285" style="140" width="12"/>
    <col collapsed="false" customWidth="true" hidden="false" outlineLevel="0" max="11286" min="11286" style="140" width="11.5"/>
    <col collapsed="false" customWidth="true" hidden="false" outlineLevel="0" max="11287" min="11287" style="140" width="16"/>
    <col collapsed="false" customWidth="true" hidden="false" outlineLevel="0" max="11289" min="11288" style="140" width="10.51"/>
    <col collapsed="false" customWidth="true" hidden="false" outlineLevel="0" max="11290" min="11290" style="140" width="15.51"/>
    <col collapsed="false" customWidth="true" hidden="false" outlineLevel="0" max="11291" min="11291" style="140" width="11.5"/>
    <col collapsed="false" customWidth="true" hidden="false" outlineLevel="0" max="11292" min="11292" style="140" width="12"/>
    <col collapsed="false" customWidth="true" hidden="false" outlineLevel="0" max="11293" min="11293" style="140" width="11.5"/>
    <col collapsed="false" customWidth="true" hidden="false" outlineLevel="0" max="11294" min="11294" style="140" width="12"/>
    <col collapsed="false" customWidth="true" hidden="false" outlineLevel="0" max="11295" min="11295" style="140" width="11.5"/>
    <col collapsed="false" customWidth="true" hidden="false" outlineLevel="0" max="11296" min="11296" style="140" width="12.5"/>
    <col collapsed="false" customWidth="true" hidden="false" outlineLevel="0" max="11297" min="11297" style="140" width="10.51"/>
    <col collapsed="false" customWidth="true" hidden="false" outlineLevel="0" max="11298" min="11298" style="140" width="19"/>
    <col collapsed="false" customWidth="true" hidden="false" outlineLevel="0" max="11299" min="11299" style="140" width="13.5"/>
    <col collapsed="false" customWidth="true" hidden="false" outlineLevel="0" max="11300" min="11300" style="140" width="18"/>
    <col collapsed="false" customWidth="true" hidden="false" outlineLevel="0" max="11301" min="11301" style="140" width="42.5"/>
    <col collapsed="false" customWidth="true" hidden="false" outlineLevel="0" max="11302" min="11302" style="140" width="31"/>
    <col collapsed="false" customWidth="true" hidden="false" outlineLevel="0" max="11303" min="11303" style="140" width="35"/>
    <col collapsed="false" customWidth="true" hidden="false" outlineLevel="0" max="11304" min="11304" style="140" width="31"/>
    <col collapsed="false" customWidth="true" hidden="false" outlineLevel="0" max="11305" min="11305" style="140" width="35"/>
    <col collapsed="false" customWidth="true" hidden="false" outlineLevel="0" max="11306" min="11306" style="140" width="31"/>
    <col collapsed="false" customWidth="true" hidden="false" outlineLevel="0" max="11307" min="11307" style="140" width="37.5"/>
    <col collapsed="false" customWidth="true" hidden="false" outlineLevel="0" max="11308" min="11308" style="140" width="11.5"/>
    <col collapsed="false" customWidth="true" hidden="false" outlineLevel="0" max="11309" min="11309" style="140" width="54"/>
    <col collapsed="false" customWidth="true" hidden="false" outlineLevel="0" max="11310" min="11310" style="140" width="43.51"/>
    <col collapsed="false" customWidth="true" hidden="false" outlineLevel="0" max="11311" min="11311" style="140" width="44.51"/>
    <col collapsed="false" customWidth="false" hidden="false" outlineLevel="0" max="11521" min="11312" style="140" width="6.51"/>
    <col collapsed="false" customWidth="true" hidden="false" outlineLevel="0" max="11523" min="11522" style="140" width="2.5"/>
    <col collapsed="false" customWidth="true" hidden="true" outlineLevel="0" max="11524" min="11524" style="140" width="11.53"/>
    <col collapsed="false" customWidth="true" hidden="false" outlineLevel="0" max="11527" min="11525" style="140" width="12.5"/>
    <col collapsed="false" customWidth="true" hidden="false" outlineLevel="0" max="11528" min="11528" style="140" width="12"/>
    <col collapsed="false" customWidth="true" hidden="false" outlineLevel="0" max="11529" min="11529" style="140" width="12.5"/>
    <col collapsed="false" customWidth="true" hidden="false" outlineLevel="0" max="11530" min="11530" style="140" width="13.5"/>
    <col collapsed="false" customWidth="true" hidden="true" outlineLevel="0" max="11531" min="11531" style="140" width="11.53"/>
    <col collapsed="false" customWidth="true" hidden="false" outlineLevel="0" max="11534" min="11532" style="140" width="13"/>
    <col collapsed="false" customWidth="true" hidden="false" outlineLevel="0" max="11535" min="11535" style="140" width="14.51"/>
    <col collapsed="false" customWidth="true" hidden="false" outlineLevel="0" max="11537" min="11536" style="140" width="13.5"/>
    <col collapsed="false" customWidth="true" hidden="false" outlineLevel="0" max="11538" min="11538" style="140" width="2.5"/>
    <col collapsed="false" customWidth="true" hidden="false" outlineLevel="0" max="11539" min="11539" style="140" width="13.5"/>
    <col collapsed="false" customWidth="true" hidden="false" outlineLevel="0" max="11540" min="11540" style="140" width="10.51"/>
    <col collapsed="false" customWidth="true" hidden="false" outlineLevel="0" max="11541" min="11541" style="140" width="12"/>
    <col collapsed="false" customWidth="true" hidden="false" outlineLevel="0" max="11542" min="11542" style="140" width="11.5"/>
    <col collapsed="false" customWidth="true" hidden="false" outlineLevel="0" max="11543" min="11543" style="140" width="16"/>
    <col collapsed="false" customWidth="true" hidden="false" outlineLevel="0" max="11545" min="11544" style="140" width="10.51"/>
    <col collapsed="false" customWidth="true" hidden="false" outlineLevel="0" max="11546" min="11546" style="140" width="15.51"/>
    <col collapsed="false" customWidth="true" hidden="false" outlineLevel="0" max="11547" min="11547" style="140" width="11.5"/>
    <col collapsed="false" customWidth="true" hidden="false" outlineLevel="0" max="11548" min="11548" style="140" width="12"/>
    <col collapsed="false" customWidth="true" hidden="false" outlineLevel="0" max="11549" min="11549" style="140" width="11.5"/>
    <col collapsed="false" customWidth="true" hidden="false" outlineLevel="0" max="11550" min="11550" style="140" width="12"/>
    <col collapsed="false" customWidth="true" hidden="false" outlineLevel="0" max="11551" min="11551" style="140" width="11.5"/>
    <col collapsed="false" customWidth="true" hidden="false" outlineLevel="0" max="11552" min="11552" style="140" width="12.5"/>
    <col collapsed="false" customWidth="true" hidden="false" outlineLevel="0" max="11553" min="11553" style="140" width="10.51"/>
    <col collapsed="false" customWidth="true" hidden="false" outlineLevel="0" max="11554" min="11554" style="140" width="19"/>
    <col collapsed="false" customWidth="true" hidden="false" outlineLevel="0" max="11555" min="11555" style="140" width="13.5"/>
    <col collapsed="false" customWidth="true" hidden="false" outlineLevel="0" max="11556" min="11556" style="140" width="18"/>
    <col collapsed="false" customWidth="true" hidden="false" outlineLevel="0" max="11557" min="11557" style="140" width="42.5"/>
    <col collapsed="false" customWidth="true" hidden="false" outlineLevel="0" max="11558" min="11558" style="140" width="31"/>
    <col collapsed="false" customWidth="true" hidden="false" outlineLevel="0" max="11559" min="11559" style="140" width="35"/>
    <col collapsed="false" customWidth="true" hidden="false" outlineLevel="0" max="11560" min="11560" style="140" width="31"/>
    <col collapsed="false" customWidth="true" hidden="false" outlineLevel="0" max="11561" min="11561" style="140" width="35"/>
    <col collapsed="false" customWidth="true" hidden="false" outlineLevel="0" max="11562" min="11562" style="140" width="31"/>
    <col collapsed="false" customWidth="true" hidden="false" outlineLevel="0" max="11563" min="11563" style="140" width="37.5"/>
    <col collapsed="false" customWidth="true" hidden="false" outlineLevel="0" max="11564" min="11564" style="140" width="11.5"/>
    <col collapsed="false" customWidth="true" hidden="false" outlineLevel="0" max="11565" min="11565" style="140" width="54"/>
    <col collapsed="false" customWidth="true" hidden="false" outlineLevel="0" max="11566" min="11566" style="140" width="43.51"/>
    <col collapsed="false" customWidth="true" hidden="false" outlineLevel="0" max="11567" min="11567" style="140" width="44.51"/>
    <col collapsed="false" customWidth="false" hidden="false" outlineLevel="0" max="11777" min="11568" style="140" width="6.51"/>
    <col collapsed="false" customWidth="true" hidden="false" outlineLevel="0" max="11779" min="11778" style="140" width="2.5"/>
    <col collapsed="false" customWidth="true" hidden="true" outlineLevel="0" max="11780" min="11780" style="140" width="11.53"/>
    <col collapsed="false" customWidth="true" hidden="false" outlineLevel="0" max="11783" min="11781" style="140" width="12.5"/>
    <col collapsed="false" customWidth="true" hidden="false" outlineLevel="0" max="11784" min="11784" style="140" width="12"/>
    <col collapsed="false" customWidth="true" hidden="false" outlineLevel="0" max="11785" min="11785" style="140" width="12.5"/>
    <col collapsed="false" customWidth="true" hidden="false" outlineLevel="0" max="11786" min="11786" style="140" width="13.5"/>
    <col collapsed="false" customWidth="true" hidden="true" outlineLevel="0" max="11787" min="11787" style="140" width="11.53"/>
    <col collapsed="false" customWidth="true" hidden="false" outlineLevel="0" max="11790" min="11788" style="140" width="13"/>
    <col collapsed="false" customWidth="true" hidden="false" outlineLevel="0" max="11791" min="11791" style="140" width="14.51"/>
    <col collapsed="false" customWidth="true" hidden="false" outlineLevel="0" max="11793" min="11792" style="140" width="13.5"/>
    <col collapsed="false" customWidth="true" hidden="false" outlineLevel="0" max="11794" min="11794" style="140" width="2.5"/>
    <col collapsed="false" customWidth="true" hidden="false" outlineLevel="0" max="11795" min="11795" style="140" width="13.5"/>
    <col collapsed="false" customWidth="true" hidden="false" outlineLevel="0" max="11796" min="11796" style="140" width="10.51"/>
    <col collapsed="false" customWidth="true" hidden="false" outlineLevel="0" max="11797" min="11797" style="140" width="12"/>
    <col collapsed="false" customWidth="true" hidden="false" outlineLevel="0" max="11798" min="11798" style="140" width="11.5"/>
    <col collapsed="false" customWidth="true" hidden="false" outlineLevel="0" max="11799" min="11799" style="140" width="16"/>
    <col collapsed="false" customWidth="true" hidden="false" outlineLevel="0" max="11801" min="11800" style="140" width="10.51"/>
    <col collapsed="false" customWidth="true" hidden="false" outlineLevel="0" max="11802" min="11802" style="140" width="15.51"/>
    <col collapsed="false" customWidth="true" hidden="false" outlineLevel="0" max="11803" min="11803" style="140" width="11.5"/>
    <col collapsed="false" customWidth="true" hidden="false" outlineLevel="0" max="11804" min="11804" style="140" width="12"/>
    <col collapsed="false" customWidth="true" hidden="false" outlineLevel="0" max="11805" min="11805" style="140" width="11.5"/>
    <col collapsed="false" customWidth="true" hidden="false" outlineLevel="0" max="11806" min="11806" style="140" width="12"/>
    <col collapsed="false" customWidth="true" hidden="false" outlineLevel="0" max="11807" min="11807" style="140" width="11.5"/>
    <col collapsed="false" customWidth="true" hidden="false" outlineLevel="0" max="11808" min="11808" style="140" width="12.5"/>
    <col collapsed="false" customWidth="true" hidden="false" outlineLevel="0" max="11809" min="11809" style="140" width="10.51"/>
    <col collapsed="false" customWidth="true" hidden="false" outlineLevel="0" max="11810" min="11810" style="140" width="19"/>
    <col collapsed="false" customWidth="true" hidden="false" outlineLevel="0" max="11811" min="11811" style="140" width="13.5"/>
    <col collapsed="false" customWidth="true" hidden="false" outlineLevel="0" max="11812" min="11812" style="140" width="18"/>
    <col collapsed="false" customWidth="true" hidden="false" outlineLevel="0" max="11813" min="11813" style="140" width="42.5"/>
    <col collapsed="false" customWidth="true" hidden="false" outlineLevel="0" max="11814" min="11814" style="140" width="31"/>
    <col collapsed="false" customWidth="true" hidden="false" outlineLevel="0" max="11815" min="11815" style="140" width="35"/>
    <col collapsed="false" customWidth="true" hidden="false" outlineLevel="0" max="11816" min="11816" style="140" width="31"/>
    <col collapsed="false" customWidth="true" hidden="false" outlineLevel="0" max="11817" min="11817" style="140" width="35"/>
    <col collapsed="false" customWidth="true" hidden="false" outlineLevel="0" max="11818" min="11818" style="140" width="31"/>
    <col collapsed="false" customWidth="true" hidden="false" outlineLevel="0" max="11819" min="11819" style="140" width="37.5"/>
    <col collapsed="false" customWidth="true" hidden="false" outlineLevel="0" max="11820" min="11820" style="140" width="11.5"/>
    <col collapsed="false" customWidth="true" hidden="false" outlineLevel="0" max="11821" min="11821" style="140" width="54"/>
    <col collapsed="false" customWidth="true" hidden="false" outlineLevel="0" max="11822" min="11822" style="140" width="43.51"/>
    <col collapsed="false" customWidth="true" hidden="false" outlineLevel="0" max="11823" min="11823" style="140" width="44.51"/>
    <col collapsed="false" customWidth="false" hidden="false" outlineLevel="0" max="12033" min="11824" style="140" width="6.51"/>
    <col collapsed="false" customWidth="true" hidden="false" outlineLevel="0" max="12035" min="12034" style="140" width="2.5"/>
    <col collapsed="false" customWidth="true" hidden="true" outlineLevel="0" max="12036" min="12036" style="140" width="11.53"/>
    <col collapsed="false" customWidth="true" hidden="false" outlineLevel="0" max="12039" min="12037" style="140" width="12.5"/>
    <col collapsed="false" customWidth="true" hidden="false" outlineLevel="0" max="12040" min="12040" style="140" width="12"/>
    <col collapsed="false" customWidth="true" hidden="false" outlineLevel="0" max="12041" min="12041" style="140" width="12.5"/>
    <col collapsed="false" customWidth="true" hidden="false" outlineLevel="0" max="12042" min="12042" style="140" width="13.5"/>
    <col collapsed="false" customWidth="true" hidden="true" outlineLevel="0" max="12043" min="12043" style="140" width="11.53"/>
    <col collapsed="false" customWidth="true" hidden="false" outlineLevel="0" max="12046" min="12044" style="140" width="13"/>
    <col collapsed="false" customWidth="true" hidden="false" outlineLevel="0" max="12047" min="12047" style="140" width="14.51"/>
    <col collapsed="false" customWidth="true" hidden="false" outlineLevel="0" max="12049" min="12048" style="140" width="13.5"/>
    <col collapsed="false" customWidth="true" hidden="false" outlineLevel="0" max="12050" min="12050" style="140" width="2.5"/>
    <col collapsed="false" customWidth="true" hidden="false" outlineLevel="0" max="12051" min="12051" style="140" width="13.5"/>
    <col collapsed="false" customWidth="true" hidden="false" outlineLevel="0" max="12052" min="12052" style="140" width="10.51"/>
    <col collapsed="false" customWidth="true" hidden="false" outlineLevel="0" max="12053" min="12053" style="140" width="12"/>
    <col collapsed="false" customWidth="true" hidden="false" outlineLevel="0" max="12054" min="12054" style="140" width="11.5"/>
    <col collapsed="false" customWidth="true" hidden="false" outlineLevel="0" max="12055" min="12055" style="140" width="16"/>
    <col collapsed="false" customWidth="true" hidden="false" outlineLevel="0" max="12057" min="12056" style="140" width="10.51"/>
    <col collapsed="false" customWidth="true" hidden="false" outlineLevel="0" max="12058" min="12058" style="140" width="15.51"/>
    <col collapsed="false" customWidth="true" hidden="false" outlineLevel="0" max="12059" min="12059" style="140" width="11.5"/>
    <col collapsed="false" customWidth="true" hidden="false" outlineLevel="0" max="12060" min="12060" style="140" width="12"/>
    <col collapsed="false" customWidth="true" hidden="false" outlineLevel="0" max="12061" min="12061" style="140" width="11.5"/>
    <col collapsed="false" customWidth="true" hidden="false" outlineLevel="0" max="12062" min="12062" style="140" width="12"/>
    <col collapsed="false" customWidth="true" hidden="false" outlineLevel="0" max="12063" min="12063" style="140" width="11.5"/>
    <col collapsed="false" customWidth="true" hidden="false" outlineLevel="0" max="12064" min="12064" style="140" width="12.5"/>
    <col collapsed="false" customWidth="true" hidden="false" outlineLevel="0" max="12065" min="12065" style="140" width="10.51"/>
    <col collapsed="false" customWidth="true" hidden="false" outlineLevel="0" max="12066" min="12066" style="140" width="19"/>
    <col collapsed="false" customWidth="true" hidden="false" outlineLevel="0" max="12067" min="12067" style="140" width="13.5"/>
    <col collapsed="false" customWidth="true" hidden="false" outlineLevel="0" max="12068" min="12068" style="140" width="18"/>
    <col collapsed="false" customWidth="true" hidden="false" outlineLevel="0" max="12069" min="12069" style="140" width="42.5"/>
    <col collapsed="false" customWidth="true" hidden="false" outlineLevel="0" max="12070" min="12070" style="140" width="31"/>
    <col collapsed="false" customWidth="true" hidden="false" outlineLevel="0" max="12071" min="12071" style="140" width="35"/>
    <col collapsed="false" customWidth="true" hidden="false" outlineLevel="0" max="12072" min="12072" style="140" width="31"/>
    <col collapsed="false" customWidth="true" hidden="false" outlineLevel="0" max="12073" min="12073" style="140" width="35"/>
    <col collapsed="false" customWidth="true" hidden="false" outlineLevel="0" max="12074" min="12074" style="140" width="31"/>
    <col collapsed="false" customWidth="true" hidden="false" outlineLevel="0" max="12075" min="12075" style="140" width="37.5"/>
    <col collapsed="false" customWidth="true" hidden="false" outlineLevel="0" max="12076" min="12076" style="140" width="11.5"/>
    <col collapsed="false" customWidth="true" hidden="false" outlineLevel="0" max="12077" min="12077" style="140" width="54"/>
    <col collapsed="false" customWidth="true" hidden="false" outlineLevel="0" max="12078" min="12078" style="140" width="43.51"/>
    <col collapsed="false" customWidth="true" hidden="false" outlineLevel="0" max="12079" min="12079" style="140" width="44.51"/>
    <col collapsed="false" customWidth="false" hidden="false" outlineLevel="0" max="12289" min="12080" style="140" width="6.51"/>
    <col collapsed="false" customWidth="true" hidden="false" outlineLevel="0" max="12291" min="12290" style="140" width="2.5"/>
    <col collapsed="false" customWidth="true" hidden="true" outlineLevel="0" max="12292" min="12292" style="140" width="11.53"/>
    <col collapsed="false" customWidth="true" hidden="false" outlineLevel="0" max="12295" min="12293" style="140" width="12.5"/>
    <col collapsed="false" customWidth="true" hidden="false" outlineLevel="0" max="12296" min="12296" style="140" width="12"/>
    <col collapsed="false" customWidth="true" hidden="false" outlineLevel="0" max="12297" min="12297" style="140" width="12.5"/>
    <col collapsed="false" customWidth="true" hidden="false" outlineLevel="0" max="12298" min="12298" style="140" width="13.5"/>
    <col collapsed="false" customWidth="true" hidden="true" outlineLevel="0" max="12299" min="12299" style="140" width="11.53"/>
    <col collapsed="false" customWidth="true" hidden="false" outlineLevel="0" max="12302" min="12300" style="140" width="13"/>
    <col collapsed="false" customWidth="true" hidden="false" outlineLevel="0" max="12303" min="12303" style="140" width="14.51"/>
    <col collapsed="false" customWidth="true" hidden="false" outlineLevel="0" max="12305" min="12304" style="140" width="13.5"/>
    <col collapsed="false" customWidth="true" hidden="false" outlineLevel="0" max="12306" min="12306" style="140" width="2.5"/>
    <col collapsed="false" customWidth="true" hidden="false" outlineLevel="0" max="12307" min="12307" style="140" width="13.5"/>
    <col collapsed="false" customWidth="true" hidden="false" outlineLevel="0" max="12308" min="12308" style="140" width="10.51"/>
    <col collapsed="false" customWidth="true" hidden="false" outlineLevel="0" max="12309" min="12309" style="140" width="12"/>
    <col collapsed="false" customWidth="true" hidden="false" outlineLevel="0" max="12310" min="12310" style="140" width="11.5"/>
    <col collapsed="false" customWidth="true" hidden="false" outlineLevel="0" max="12311" min="12311" style="140" width="16"/>
    <col collapsed="false" customWidth="true" hidden="false" outlineLevel="0" max="12313" min="12312" style="140" width="10.51"/>
    <col collapsed="false" customWidth="true" hidden="false" outlineLevel="0" max="12314" min="12314" style="140" width="15.51"/>
    <col collapsed="false" customWidth="true" hidden="false" outlineLevel="0" max="12315" min="12315" style="140" width="11.5"/>
    <col collapsed="false" customWidth="true" hidden="false" outlineLevel="0" max="12316" min="12316" style="140" width="12"/>
    <col collapsed="false" customWidth="true" hidden="false" outlineLevel="0" max="12317" min="12317" style="140" width="11.5"/>
    <col collapsed="false" customWidth="true" hidden="false" outlineLevel="0" max="12318" min="12318" style="140" width="12"/>
    <col collapsed="false" customWidth="true" hidden="false" outlineLevel="0" max="12319" min="12319" style="140" width="11.5"/>
    <col collapsed="false" customWidth="true" hidden="false" outlineLevel="0" max="12320" min="12320" style="140" width="12.5"/>
    <col collapsed="false" customWidth="true" hidden="false" outlineLevel="0" max="12321" min="12321" style="140" width="10.51"/>
    <col collapsed="false" customWidth="true" hidden="false" outlineLevel="0" max="12322" min="12322" style="140" width="19"/>
    <col collapsed="false" customWidth="true" hidden="false" outlineLevel="0" max="12323" min="12323" style="140" width="13.5"/>
    <col collapsed="false" customWidth="true" hidden="false" outlineLevel="0" max="12324" min="12324" style="140" width="18"/>
    <col collapsed="false" customWidth="true" hidden="false" outlineLevel="0" max="12325" min="12325" style="140" width="42.5"/>
    <col collapsed="false" customWidth="true" hidden="false" outlineLevel="0" max="12326" min="12326" style="140" width="31"/>
    <col collapsed="false" customWidth="true" hidden="false" outlineLevel="0" max="12327" min="12327" style="140" width="35"/>
    <col collapsed="false" customWidth="true" hidden="false" outlineLevel="0" max="12328" min="12328" style="140" width="31"/>
    <col collapsed="false" customWidth="true" hidden="false" outlineLevel="0" max="12329" min="12329" style="140" width="35"/>
    <col collapsed="false" customWidth="true" hidden="false" outlineLevel="0" max="12330" min="12330" style="140" width="31"/>
    <col collapsed="false" customWidth="true" hidden="false" outlineLevel="0" max="12331" min="12331" style="140" width="37.5"/>
    <col collapsed="false" customWidth="true" hidden="false" outlineLevel="0" max="12332" min="12332" style="140" width="11.5"/>
    <col collapsed="false" customWidth="true" hidden="false" outlineLevel="0" max="12333" min="12333" style="140" width="54"/>
    <col collapsed="false" customWidth="true" hidden="false" outlineLevel="0" max="12334" min="12334" style="140" width="43.51"/>
    <col collapsed="false" customWidth="true" hidden="false" outlineLevel="0" max="12335" min="12335" style="140" width="44.51"/>
    <col collapsed="false" customWidth="false" hidden="false" outlineLevel="0" max="12545" min="12336" style="140" width="6.51"/>
    <col collapsed="false" customWidth="true" hidden="false" outlineLevel="0" max="12547" min="12546" style="140" width="2.5"/>
    <col collapsed="false" customWidth="true" hidden="true" outlineLevel="0" max="12548" min="12548" style="140" width="11.53"/>
    <col collapsed="false" customWidth="true" hidden="false" outlineLevel="0" max="12551" min="12549" style="140" width="12.5"/>
    <col collapsed="false" customWidth="true" hidden="false" outlineLevel="0" max="12552" min="12552" style="140" width="12"/>
    <col collapsed="false" customWidth="true" hidden="false" outlineLevel="0" max="12553" min="12553" style="140" width="12.5"/>
    <col collapsed="false" customWidth="true" hidden="false" outlineLevel="0" max="12554" min="12554" style="140" width="13.5"/>
    <col collapsed="false" customWidth="true" hidden="true" outlineLevel="0" max="12555" min="12555" style="140" width="11.53"/>
    <col collapsed="false" customWidth="true" hidden="false" outlineLevel="0" max="12558" min="12556" style="140" width="13"/>
    <col collapsed="false" customWidth="true" hidden="false" outlineLevel="0" max="12559" min="12559" style="140" width="14.51"/>
    <col collapsed="false" customWidth="true" hidden="false" outlineLevel="0" max="12561" min="12560" style="140" width="13.5"/>
    <col collapsed="false" customWidth="true" hidden="false" outlineLevel="0" max="12562" min="12562" style="140" width="2.5"/>
    <col collapsed="false" customWidth="true" hidden="false" outlineLevel="0" max="12563" min="12563" style="140" width="13.5"/>
    <col collapsed="false" customWidth="true" hidden="false" outlineLevel="0" max="12564" min="12564" style="140" width="10.51"/>
    <col collapsed="false" customWidth="true" hidden="false" outlineLevel="0" max="12565" min="12565" style="140" width="12"/>
    <col collapsed="false" customWidth="true" hidden="false" outlineLevel="0" max="12566" min="12566" style="140" width="11.5"/>
    <col collapsed="false" customWidth="true" hidden="false" outlineLevel="0" max="12567" min="12567" style="140" width="16"/>
    <col collapsed="false" customWidth="true" hidden="false" outlineLevel="0" max="12569" min="12568" style="140" width="10.51"/>
    <col collapsed="false" customWidth="true" hidden="false" outlineLevel="0" max="12570" min="12570" style="140" width="15.51"/>
    <col collapsed="false" customWidth="true" hidden="false" outlineLevel="0" max="12571" min="12571" style="140" width="11.5"/>
    <col collapsed="false" customWidth="true" hidden="false" outlineLevel="0" max="12572" min="12572" style="140" width="12"/>
    <col collapsed="false" customWidth="true" hidden="false" outlineLevel="0" max="12573" min="12573" style="140" width="11.5"/>
    <col collapsed="false" customWidth="true" hidden="false" outlineLevel="0" max="12574" min="12574" style="140" width="12"/>
    <col collapsed="false" customWidth="true" hidden="false" outlineLevel="0" max="12575" min="12575" style="140" width="11.5"/>
    <col collapsed="false" customWidth="true" hidden="false" outlineLevel="0" max="12576" min="12576" style="140" width="12.5"/>
    <col collapsed="false" customWidth="true" hidden="false" outlineLevel="0" max="12577" min="12577" style="140" width="10.51"/>
    <col collapsed="false" customWidth="true" hidden="false" outlineLevel="0" max="12578" min="12578" style="140" width="19"/>
    <col collapsed="false" customWidth="true" hidden="false" outlineLevel="0" max="12579" min="12579" style="140" width="13.5"/>
    <col collapsed="false" customWidth="true" hidden="false" outlineLevel="0" max="12580" min="12580" style="140" width="18"/>
    <col collapsed="false" customWidth="true" hidden="false" outlineLevel="0" max="12581" min="12581" style="140" width="42.5"/>
    <col collapsed="false" customWidth="true" hidden="false" outlineLevel="0" max="12582" min="12582" style="140" width="31"/>
    <col collapsed="false" customWidth="true" hidden="false" outlineLevel="0" max="12583" min="12583" style="140" width="35"/>
    <col collapsed="false" customWidth="true" hidden="false" outlineLevel="0" max="12584" min="12584" style="140" width="31"/>
    <col collapsed="false" customWidth="true" hidden="false" outlineLevel="0" max="12585" min="12585" style="140" width="35"/>
    <col collapsed="false" customWidth="true" hidden="false" outlineLevel="0" max="12586" min="12586" style="140" width="31"/>
    <col collapsed="false" customWidth="true" hidden="false" outlineLevel="0" max="12587" min="12587" style="140" width="37.5"/>
    <col collapsed="false" customWidth="true" hidden="false" outlineLevel="0" max="12588" min="12588" style="140" width="11.5"/>
    <col collapsed="false" customWidth="true" hidden="false" outlineLevel="0" max="12589" min="12589" style="140" width="54"/>
    <col collapsed="false" customWidth="true" hidden="false" outlineLevel="0" max="12590" min="12590" style="140" width="43.51"/>
    <col collapsed="false" customWidth="true" hidden="false" outlineLevel="0" max="12591" min="12591" style="140" width="44.51"/>
    <col collapsed="false" customWidth="false" hidden="false" outlineLevel="0" max="12801" min="12592" style="140" width="6.51"/>
    <col collapsed="false" customWidth="true" hidden="false" outlineLevel="0" max="12803" min="12802" style="140" width="2.5"/>
    <col collapsed="false" customWidth="true" hidden="true" outlineLevel="0" max="12804" min="12804" style="140" width="11.53"/>
    <col collapsed="false" customWidth="true" hidden="false" outlineLevel="0" max="12807" min="12805" style="140" width="12.5"/>
    <col collapsed="false" customWidth="true" hidden="false" outlineLevel="0" max="12808" min="12808" style="140" width="12"/>
    <col collapsed="false" customWidth="true" hidden="false" outlineLevel="0" max="12809" min="12809" style="140" width="12.5"/>
    <col collapsed="false" customWidth="true" hidden="false" outlineLevel="0" max="12810" min="12810" style="140" width="13.5"/>
    <col collapsed="false" customWidth="true" hidden="true" outlineLevel="0" max="12811" min="12811" style="140" width="11.53"/>
    <col collapsed="false" customWidth="true" hidden="false" outlineLevel="0" max="12814" min="12812" style="140" width="13"/>
    <col collapsed="false" customWidth="true" hidden="false" outlineLevel="0" max="12815" min="12815" style="140" width="14.51"/>
    <col collapsed="false" customWidth="true" hidden="false" outlineLevel="0" max="12817" min="12816" style="140" width="13.5"/>
    <col collapsed="false" customWidth="true" hidden="false" outlineLevel="0" max="12818" min="12818" style="140" width="2.5"/>
    <col collapsed="false" customWidth="true" hidden="false" outlineLevel="0" max="12819" min="12819" style="140" width="13.5"/>
    <col collapsed="false" customWidth="true" hidden="false" outlineLevel="0" max="12820" min="12820" style="140" width="10.51"/>
    <col collapsed="false" customWidth="true" hidden="false" outlineLevel="0" max="12821" min="12821" style="140" width="12"/>
    <col collapsed="false" customWidth="true" hidden="false" outlineLevel="0" max="12822" min="12822" style="140" width="11.5"/>
    <col collapsed="false" customWidth="true" hidden="false" outlineLevel="0" max="12823" min="12823" style="140" width="16"/>
    <col collapsed="false" customWidth="true" hidden="false" outlineLevel="0" max="12825" min="12824" style="140" width="10.51"/>
    <col collapsed="false" customWidth="true" hidden="false" outlineLevel="0" max="12826" min="12826" style="140" width="15.51"/>
    <col collapsed="false" customWidth="true" hidden="false" outlineLevel="0" max="12827" min="12827" style="140" width="11.5"/>
    <col collapsed="false" customWidth="true" hidden="false" outlineLevel="0" max="12828" min="12828" style="140" width="12"/>
    <col collapsed="false" customWidth="true" hidden="false" outlineLevel="0" max="12829" min="12829" style="140" width="11.5"/>
    <col collapsed="false" customWidth="true" hidden="false" outlineLevel="0" max="12830" min="12830" style="140" width="12"/>
    <col collapsed="false" customWidth="true" hidden="false" outlineLevel="0" max="12831" min="12831" style="140" width="11.5"/>
    <col collapsed="false" customWidth="true" hidden="false" outlineLevel="0" max="12832" min="12832" style="140" width="12.5"/>
    <col collapsed="false" customWidth="true" hidden="false" outlineLevel="0" max="12833" min="12833" style="140" width="10.51"/>
    <col collapsed="false" customWidth="true" hidden="false" outlineLevel="0" max="12834" min="12834" style="140" width="19"/>
    <col collapsed="false" customWidth="true" hidden="false" outlineLevel="0" max="12835" min="12835" style="140" width="13.5"/>
    <col collapsed="false" customWidth="true" hidden="false" outlineLevel="0" max="12836" min="12836" style="140" width="18"/>
    <col collapsed="false" customWidth="true" hidden="false" outlineLevel="0" max="12837" min="12837" style="140" width="42.5"/>
    <col collapsed="false" customWidth="true" hidden="false" outlineLevel="0" max="12838" min="12838" style="140" width="31"/>
    <col collapsed="false" customWidth="true" hidden="false" outlineLevel="0" max="12839" min="12839" style="140" width="35"/>
    <col collapsed="false" customWidth="true" hidden="false" outlineLevel="0" max="12840" min="12840" style="140" width="31"/>
    <col collapsed="false" customWidth="true" hidden="false" outlineLevel="0" max="12841" min="12841" style="140" width="35"/>
    <col collapsed="false" customWidth="true" hidden="false" outlineLevel="0" max="12842" min="12842" style="140" width="31"/>
    <col collapsed="false" customWidth="true" hidden="false" outlineLevel="0" max="12843" min="12843" style="140" width="37.5"/>
    <col collapsed="false" customWidth="true" hidden="false" outlineLevel="0" max="12844" min="12844" style="140" width="11.5"/>
    <col collapsed="false" customWidth="true" hidden="false" outlineLevel="0" max="12845" min="12845" style="140" width="54"/>
    <col collapsed="false" customWidth="true" hidden="false" outlineLevel="0" max="12846" min="12846" style="140" width="43.51"/>
    <col collapsed="false" customWidth="true" hidden="false" outlineLevel="0" max="12847" min="12847" style="140" width="44.51"/>
    <col collapsed="false" customWidth="false" hidden="false" outlineLevel="0" max="13057" min="12848" style="140" width="6.51"/>
    <col collapsed="false" customWidth="true" hidden="false" outlineLevel="0" max="13059" min="13058" style="140" width="2.5"/>
    <col collapsed="false" customWidth="true" hidden="true" outlineLevel="0" max="13060" min="13060" style="140" width="11.53"/>
    <col collapsed="false" customWidth="true" hidden="false" outlineLevel="0" max="13063" min="13061" style="140" width="12.5"/>
    <col collapsed="false" customWidth="true" hidden="false" outlineLevel="0" max="13064" min="13064" style="140" width="12"/>
    <col collapsed="false" customWidth="true" hidden="false" outlineLevel="0" max="13065" min="13065" style="140" width="12.5"/>
    <col collapsed="false" customWidth="true" hidden="false" outlineLevel="0" max="13066" min="13066" style="140" width="13.5"/>
    <col collapsed="false" customWidth="true" hidden="true" outlineLevel="0" max="13067" min="13067" style="140" width="11.53"/>
    <col collapsed="false" customWidth="true" hidden="false" outlineLevel="0" max="13070" min="13068" style="140" width="13"/>
    <col collapsed="false" customWidth="true" hidden="false" outlineLevel="0" max="13071" min="13071" style="140" width="14.51"/>
    <col collapsed="false" customWidth="true" hidden="false" outlineLevel="0" max="13073" min="13072" style="140" width="13.5"/>
    <col collapsed="false" customWidth="true" hidden="false" outlineLevel="0" max="13074" min="13074" style="140" width="2.5"/>
    <col collapsed="false" customWidth="true" hidden="false" outlineLevel="0" max="13075" min="13075" style="140" width="13.5"/>
    <col collapsed="false" customWidth="true" hidden="false" outlineLevel="0" max="13076" min="13076" style="140" width="10.51"/>
    <col collapsed="false" customWidth="true" hidden="false" outlineLevel="0" max="13077" min="13077" style="140" width="12"/>
    <col collapsed="false" customWidth="true" hidden="false" outlineLevel="0" max="13078" min="13078" style="140" width="11.5"/>
    <col collapsed="false" customWidth="true" hidden="false" outlineLevel="0" max="13079" min="13079" style="140" width="16"/>
    <col collapsed="false" customWidth="true" hidden="false" outlineLevel="0" max="13081" min="13080" style="140" width="10.51"/>
    <col collapsed="false" customWidth="true" hidden="false" outlineLevel="0" max="13082" min="13082" style="140" width="15.51"/>
    <col collapsed="false" customWidth="true" hidden="false" outlineLevel="0" max="13083" min="13083" style="140" width="11.5"/>
    <col collapsed="false" customWidth="true" hidden="false" outlineLevel="0" max="13084" min="13084" style="140" width="12"/>
    <col collapsed="false" customWidth="true" hidden="false" outlineLevel="0" max="13085" min="13085" style="140" width="11.5"/>
    <col collapsed="false" customWidth="true" hidden="false" outlineLevel="0" max="13086" min="13086" style="140" width="12"/>
    <col collapsed="false" customWidth="true" hidden="false" outlineLevel="0" max="13087" min="13087" style="140" width="11.5"/>
    <col collapsed="false" customWidth="true" hidden="false" outlineLevel="0" max="13088" min="13088" style="140" width="12.5"/>
    <col collapsed="false" customWidth="true" hidden="false" outlineLevel="0" max="13089" min="13089" style="140" width="10.51"/>
    <col collapsed="false" customWidth="true" hidden="false" outlineLevel="0" max="13090" min="13090" style="140" width="19"/>
    <col collapsed="false" customWidth="true" hidden="false" outlineLevel="0" max="13091" min="13091" style="140" width="13.5"/>
    <col collapsed="false" customWidth="true" hidden="false" outlineLevel="0" max="13092" min="13092" style="140" width="18"/>
    <col collapsed="false" customWidth="true" hidden="false" outlineLevel="0" max="13093" min="13093" style="140" width="42.5"/>
    <col collapsed="false" customWidth="true" hidden="false" outlineLevel="0" max="13094" min="13094" style="140" width="31"/>
    <col collapsed="false" customWidth="true" hidden="false" outlineLevel="0" max="13095" min="13095" style="140" width="35"/>
    <col collapsed="false" customWidth="true" hidden="false" outlineLevel="0" max="13096" min="13096" style="140" width="31"/>
    <col collapsed="false" customWidth="true" hidden="false" outlineLevel="0" max="13097" min="13097" style="140" width="35"/>
    <col collapsed="false" customWidth="true" hidden="false" outlineLevel="0" max="13098" min="13098" style="140" width="31"/>
    <col collapsed="false" customWidth="true" hidden="false" outlineLevel="0" max="13099" min="13099" style="140" width="37.5"/>
    <col collapsed="false" customWidth="true" hidden="false" outlineLevel="0" max="13100" min="13100" style="140" width="11.5"/>
    <col collapsed="false" customWidth="true" hidden="false" outlineLevel="0" max="13101" min="13101" style="140" width="54"/>
    <col collapsed="false" customWidth="true" hidden="false" outlineLevel="0" max="13102" min="13102" style="140" width="43.51"/>
    <col collapsed="false" customWidth="true" hidden="false" outlineLevel="0" max="13103" min="13103" style="140" width="44.51"/>
    <col collapsed="false" customWidth="false" hidden="false" outlineLevel="0" max="13313" min="13104" style="140" width="6.51"/>
    <col collapsed="false" customWidth="true" hidden="false" outlineLevel="0" max="13315" min="13314" style="140" width="2.5"/>
    <col collapsed="false" customWidth="true" hidden="true" outlineLevel="0" max="13316" min="13316" style="140" width="11.53"/>
    <col collapsed="false" customWidth="true" hidden="false" outlineLevel="0" max="13319" min="13317" style="140" width="12.5"/>
    <col collapsed="false" customWidth="true" hidden="false" outlineLevel="0" max="13320" min="13320" style="140" width="12"/>
    <col collapsed="false" customWidth="true" hidden="false" outlineLevel="0" max="13321" min="13321" style="140" width="12.5"/>
    <col collapsed="false" customWidth="true" hidden="false" outlineLevel="0" max="13322" min="13322" style="140" width="13.5"/>
    <col collapsed="false" customWidth="true" hidden="true" outlineLevel="0" max="13323" min="13323" style="140" width="11.53"/>
    <col collapsed="false" customWidth="true" hidden="false" outlineLevel="0" max="13326" min="13324" style="140" width="13"/>
    <col collapsed="false" customWidth="true" hidden="false" outlineLevel="0" max="13327" min="13327" style="140" width="14.51"/>
    <col collapsed="false" customWidth="true" hidden="false" outlineLevel="0" max="13329" min="13328" style="140" width="13.5"/>
    <col collapsed="false" customWidth="true" hidden="false" outlineLevel="0" max="13330" min="13330" style="140" width="2.5"/>
    <col collapsed="false" customWidth="true" hidden="false" outlineLevel="0" max="13331" min="13331" style="140" width="13.5"/>
    <col collapsed="false" customWidth="true" hidden="false" outlineLevel="0" max="13332" min="13332" style="140" width="10.51"/>
    <col collapsed="false" customWidth="true" hidden="false" outlineLevel="0" max="13333" min="13333" style="140" width="12"/>
    <col collapsed="false" customWidth="true" hidden="false" outlineLevel="0" max="13334" min="13334" style="140" width="11.5"/>
    <col collapsed="false" customWidth="true" hidden="false" outlineLevel="0" max="13335" min="13335" style="140" width="16"/>
    <col collapsed="false" customWidth="true" hidden="false" outlineLevel="0" max="13337" min="13336" style="140" width="10.51"/>
    <col collapsed="false" customWidth="true" hidden="false" outlineLevel="0" max="13338" min="13338" style="140" width="15.51"/>
    <col collapsed="false" customWidth="true" hidden="false" outlineLevel="0" max="13339" min="13339" style="140" width="11.5"/>
    <col collapsed="false" customWidth="true" hidden="false" outlineLevel="0" max="13340" min="13340" style="140" width="12"/>
    <col collapsed="false" customWidth="true" hidden="false" outlineLevel="0" max="13341" min="13341" style="140" width="11.5"/>
    <col collapsed="false" customWidth="true" hidden="false" outlineLevel="0" max="13342" min="13342" style="140" width="12"/>
    <col collapsed="false" customWidth="true" hidden="false" outlineLevel="0" max="13343" min="13343" style="140" width="11.5"/>
    <col collapsed="false" customWidth="true" hidden="false" outlineLevel="0" max="13344" min="13344" style="140" width="12.5"/>
    <col collapsed="false" customWidth="true" hidden="false" outlineLevel="0" max="13345" min="13345" style="140" width="10.51"/>
    <col collapsed="false" customWidth="true" hidden="false" outlineLevel="0" max="13346" min="13346" style="140" width="19"/>
    <col collapsed="false" customWidth="true" hidden="false" outlineLevel="0" max="13347" min="13347" style="140" width="13.5"/>
    <col collapsed="false" customWidth="true" hidden="false" outlineLevel="0" max="13348" min="13348" style="140" width="18"/>
    <col collapsed="false" customWidth="true" hidden="false" outlineLevel="0" max="13349" min="13349" style="140" width="42.5"/>
    <col collapsed="false" customWidth="true" hidden="false" outlineLevel="0" max="13350" min="13350" style="140" width="31"/>
    <col collapsed="false" customWidth="true" hidden="false" outlineLevel="0" max="13351" min="13351" style="140" width="35"/>
    <col collapsed="false" customWidth="true" hidden="false" outlineLevel="0" max="13352" min="13352" style="140" width="31"/>
    <col collapsed="false" customWidth="true" hidden="false" outlineLevel="0" max="13353" min="13353" style="140" width="35"/>
    <col collapsed="false" customWidth="true" hidden="false" outlineLevel="0" max="13354" min="13354" style="140" width="31"/>
    <col collapsed="false" customWidth="true" hidden="false" outlineLevel="0" max="13355" min="13355" style="140" width="37.5"/>
    <col collapsed="false" customWidth="true" hidden="false" outlineLevel="0" max="13356" min="13356" style="140" width="11.5"/>
    <col collapsed="false" customWidth="true" hidden="false" outlineLevel="0" max="13357" min="13357" style="140" width="54"/>
    <col collapsed="false" customWidth="true" hidden="false" outlineLevel="0" max="13358" min="13358" style="140" width="43.51"/>
    <col collapsed="false" customWidth="true" hidden="false" outlineLevel="0" max="13359" min="13359" style="140" width="44.51"/>
    <col collapsed="false" customWidth="false" hidden="false" outlineLevel="0" max="13569" min="13360" style="140" width="6.51"/>
    <col collapsed="false" customWidth="true" hidden="false" outlineLevel="0" max="13571" min="13570" style="140" width="2.5"/>
    <col collapsed="false" customWidth="true" hidden="true" outlineLevel="0" max="13572" min="13572" style="140" width="11.53"/>
    <col collapsed="false" customWidth="true" hidden="false" outlineLevel="0" max="13575" min="13573" style="140" width="12.5"/>
    <col collapsed="false" customWidth="true" hidden="false" outlineLevel="0" max="13576" min="13576" style="140" width="12"/>
    <col collapsed="false" customWidth="true" hidden="false" outlineLevel="0" max="13577" min="13577" style="140" width="12.5"/>
    <col collapsed="false" customWidth="true" hidden="false" outlineLevel="0" max="13578" min="13578" style="140" width="13.5"/>
    <col collapsed="false" customWidth="true" hidden="true" outlineLevel="0" max="13579" min="13579" style="140" width="11.53"/>
    <col collapsed="false" customWidth="true" hidden="false" outlineLevel="0" max="13582" min="13580" style="140" width="13"/>
    <col collapsed="false" customWidth="true" hidden="false" outlineLevel="0" max="13583" min="13583" style="140" width="14.51"/>
    <col collapsed="false" customWidth="true" hidden="false" outlineLevel="0" max="13585" min="13584" style="140" width="13.5"/>
    <col collapsed="false" customWidth="true" hidden="false" outlineLevel="0" max="13586" min="13586" style="140" width="2.5"/>
    <col collapsed="false" customWidth="true" hidden="false" outlineLevel="0" max="13587" min="13587" style="140" width="13.5"/>
    <col collapsed="false" customWidth="true" hidden="false" outlineLevel="0" max="13588" min="13588" style="140" width="10.51"/>
    <col collapsed="false" customWidth="true" hidden="false" outlineLevel="0" max="13589" min="13589" style="140" width="12"/>
    <col collapsed="false" customWidth="true" hidden="false" outlineLevel="0" max="13590" min="13590" style="140" width="11.5"/>
    <col collapsed="false" customWidth="true" hidden="false" outlineLevel="0" max="13591" min="13591" style="140" width="16"/>
    <col collapsed="false" customWidth="true" hidden="false" outlineLevel="0" max="13593" min="13592" style="140" width="10.51"/>
    <col collapsed="false" customWidth="true" hidden="false" outlineLevel="0" max="13594" min="13594" style="140" width="15.51"/>
    <col collapsed="false" customWidth="true" hidden="false" outlineLevel="0" max="13595" min="13595" style="140" width="11.5"/>
    <col collapsed="false" customWidth="true" hidden="false" outlineLevel="0" max="13596" min="13596" style="140" width="12"/>
    <col collapsed="false" customWidth="true" hidden="false" outlineLevel="0" max="13597" min="13597" style="140" width="11.5"/>
    <col collapsed="false" customWidth="true" hidden="false" outlineLevel="0" max="13598" min="13598" style="140" width="12"/>
    <col collapsed="false" customWidth="true" hidden="false" outlineLevel="0" max="13599" min="13599" style="140" width="11.5"/>
    <col collapsed="false" customWidth="true" hidden="false" outlineLevel="0" max="13600" min="13600" style="140" width="12.5"/>
    <col collapsed="false" customWidth="true" hidden="false" outlineLevel="0" max="13601" min="13601" style="140" width="10.51"/>
    <col collapsed="false" customWidth="true" hidden="false" outlineLevel="0" max="13602" min="13602" style="140" width="19"/>
    <col collapsed="false" customWidth="true" hidden="false" outlineLevel="0" max="13603" min="13603" style="140" width="13.5"/>
    <col collapsed="false" customWidth="true" hidden="false" outlineLevel="0" max="13604" min="13604" style="140" width="18"/>
    <col collapsed="false" customWidth="true" hidden="false" outlineLevel="0" max="13605" min="13605" style="140" width="42.5"/>
    <col collapsed="false" customWidth="true" hidden="false" outlineLevel="0" max="13606" min="13606" style="140" width="31"/>
    <col collapsed="false" customWidth="true" hidden="false" outlineLevel="0" max="13607" min="13607" style="140" width="35"/>
    <col collapsed="false" customWidth="true" hidden="false" outlineLevel="0" max="13608" min="13608" style="140" width="31"/>
    <col collapsed="false" customWidth="true" hidden="false" outlineLevel="0" max="13609" min="13609" style="140" width="35"/>
    <col collapsed="false" customWidth="true" hidden="false" outlineLevel="0" max="13610" min="13610" style="140" width="31"/>
    <col collapsed="false" customWidth="true" hidden="false" outlineLevel="0" max="13611" min="13611" style="140" width="37.5"/>
    <col collapsed="false" customWidth="true" hidden="false" outlineLevel="0" max="13612" min="13612" style="140" width="11.5"/>
    <col collapsed="false" customWidth="true" hidden="false" outlineLevel="0" max="13613" min="13613" style="140" width="54"/>
    <col collapsed="false" customWidth="true" hidden="false" outlineLevel="0" max="13614" min="13614" style="140" width="43.51"/>
    <col collapsed="false" customWidth="true" hidden="false" outlineLevel="0" max="13615" min="13615" style="140" width="44.51"/>
    <col collapsed="false" customWidth="false" hidden="false" outlineLevel="0" max="13825" min="13616" style="140" width="6.51"/>
    <col collapsed="false" customWidth="true" hidden="false" outlineLevel="0" max="13827" min="13826" style="140" width="2.5"/>
    <col collapsed="false" customWidth="true" hidden="true" outlineLevel="0" max="13828" min="13828" style="140" width="11.53"/>
    <col collapsed="false" customWidth="true" hidden="false" outlineLevel="0" max="13831" min="13829" style="140" width="12.5"/>
    <col collapsed="false" customWidth="true" hidden="false" outlineLevel="0" max="13832" min="13832" style="140" width="12"/>
    <col collapsed="false" customWidth="true" hidden="false" outlineLevel="0" max="13833" min="13833" style="140" width="12.5"/>
    <col collapsed="false" customWidth="true" hidden="false" outlineLevel="0" max="13834" min="13834" style="140" width="13.5"/>
    <col collapsed="false" customWidth="true" hidden="true" outlineLevel="0" max="13835" min="13835" style="140" width="11.53"/>
    <col collapsed="false" customWidth="true" hidden="false" outlineLevel="0" max="13838" min="13836" style="140" width="13"/>
    <col collapsed="false" customWidth="true" hidden="false" outlineLevel="0" max="13839" min="13839" style="140" width="14.51"/>
    <col collapsed="false" customWidth="true" hidden="false" outlineLevel="0" max="13841" min="13840" style="140" width="13.5"/>
    <col collapsed="false" customWidth="true" hidden="false" outlineLevel="0" max="13842" min="13842" style="140" width="2.5"/>
    <col collapsed="false" customWidth="true" hidden="false" outlineLevel="0" max="13843" min="13843" style="140" width="13.5"/>
    <col collapsed="false" customWidth="true" hidden="false" outlineLevel="0" max="13844" min="13844" style="140" width="10.51"/>
    <col collapsed="false" customWidth="true" hidden="false" outlineLevel="0" max="13845" min="13845" style="140" width="12"/>
    <col collapsed="false" customWidth="true" hidden="false" outlineLevel="0" max="13846" min="13846" style="140" width="11.5"/>
    <col collapsed="false" customWidth="true" hidden="false" outlineLevel="0" max="13847" min="13847" style="140" width="16"/>
    <col collapsed="false" customWidth="true" hidden="false" outlineLevel="0" max="13849" min="13848" style="140" width="10.51"/>
    <col collapsed="false" customWidth="true" hidden="false" outlineLevel="0" max="13850" min="13850" style="140" width="15.51"/>
    <col collapsed="false" customWidth="true" hidden="false" outlineLevel="0" max="13851" min="13851" style="140" width="11.5"/>
    <col collapsed="false" customWidth="true" hidden="false" outlineLevel="0" max="13852" min="13852" style="140" width="12"/>
    <col collapsed="false" customWidth="true" hidden="false" outlineLevel="0" max="13853" min="13853" style="140" width="11.5"/>
    <col collapsed="false" customWidth="true" hidden="false" outlineLevel="0" max="13854" min="13854" style="140" width="12"/>
    <col collapsed="false" customWidth="true" hidden="false" outlineLevel="0" max="13855" min="13855" style="140" width="11.5"/>
    <col collapsed="false" customWidth="true" hidden="false" outlineLevel="0" max="13856" min="13856" style="140" width="12.5"/>
    <col collapsed="false" customWidth="true" hidden="false" outlineLevel="0" max="13857" min="13857" style="140" width="10.51"/>
    <col collapsed="false" customWidth="true" hidden="false" outlineLevel="0" max="13858" min="13858" style="140" width="19"/>
    <col collapsed="false" customWidth="true" hidden="false" outlineLevel="0" max="13859" min="13859" style="140" width="13.5"/>
    <col collapsed="false" customWidth="true" hidden="false" outlineLevel="0" max="13860" min="13860" style="140" width="18"/>
    <col collapsed="false" customWidth="true" hidden="false" outlineLevel="0" max="13861" min="13861" style="140" width="42.5"/>
    <col collapsed="false" customWidth="true" hidden="false" outlineLevel="0" max="13862" min="13862" style="140" width="31"/>
    <col collapsed="false" customWidth="true" hidden="false" outlineLevel="0" max="13863" min="13863" style="140" width="35"/>
    <col collapsed="false" customWidth="true" hidden="false" outlineLevel="0" max="13864" min="13864" style="140" width="31"/>
    <col collapsed="false" customWidth="true" hidden="false" outlineLevel="0" max="13865" min="13865" style="140" width="35"/>
    <col collapsed="false" customWidth="true" hidden="false" outlineLevel="0" max="13866" min="13866" style="140" width="31"/>
    <col collapsed="false" customWidth="true" hidden="false" outlineLevel="0" max="13867" min="13867" style="140" width="37.5"/>
    <col collapsed="false" customWidth="true" hidden="false" outlineLevel="0" max="13868" min="13868" style="140" width="11.5"/>
    <col collapsed="false" customWidth="true" hidden="false" outlineLevel="0" max="13869" min="13869" style="140" width="54"/>
    <col collapsed="false" customWidth="true" hidden="false" outlineLevel="0" max="13870" min="13870" style="140" width="43.51"/>
    <col collapsed="false" customWidth="true" hidden="false" outlineLevel="0" max="13871" min="13871" style="140" width="44.51"/>
    <col collapsed="false" customWidth="false" hidden="false" outlineLevel="0" max="14081" min="13872" style="140" width="6.51"/>
    <col collapsed="false" customWidth="true" hidden="false" outlineLevel="0" max="14083" min="14082" style="140" width="2.5"/>
    <col collapsed="false" customWidth="true" hidden="true" outlineLevel="0" max="14084" min="14084" style="140" width="11.53"/>
    <col collapsed="false" customWidth="true" hidden="false" outlineLevel="0" max="14087" min="14085" style="140" width="12.5"/>
    <col collapsed="false" customWidth="true" hidden="false" outlineLevel="0" max="14088" min="14088" style="140" width="12"/>
    <col collapsed="false" customWidth="true" hidden="false" outlineLevel="0" max="14089" min="14089" style="140" width="12.5"/>
    <col collapsed="false" customWidth="true" hidden="false" outlineLevel="0" max="14090" min="14090" style="140" width="13.5"/>
    <col collapsed="false" customWidth="true" hidden="true" outlineLevel="0" max="14091" min="14091" style="140" width="11.53"/>
    <col collapsed="false" customWidth="true" hidden="false" outlineLevel="0" max="14094" min="14092" style="140" width="13"/>
    <col collapsed="false" customWidth="true" hidden="false" outlineLevel="0" max="14095" min="14095" style="140" width="14.51"/>
    <col collapsed="false" customWidth="true" hidden="false" outlineLevel="0" max="14097" min="14096" style="140" width="13.5"/>
    <col collapsed="false" customWidth="true" hidden="false" outlineLevel="0" max="14098" min="14098" style="140" width="2.5"/>
    <col collapsed="false" customWidth="true" hidden="false" outlineLevel="0" max="14099" min="14099" style="140" width="13.5"/>
    <col collapsed="false" customWidth="true" hidden="false" outlineLevel="0" max="14100" min="14100" style="140" width="10.51"/>
    <col collapsed="false" customWidth="true" hidden="false" outlineLevel="0" max="14101" min="14101" style="140" width="12"/>
    <col collapsed="false" customWidth="true" hidden="false" outlineLevel="0" max="14102" min="14102" style="140" width="11.5"/>
    <col collapsed="false" customWidth="true" hidden="false" outlineLevel="0" max="14103" min="14103" style="140" width="16"/>
    <col collapsed="false" customWidth="true" hidden="false" outlineLevel="0" max="14105" min="14104" style="140" width="10.51"/>
    <col collapsed="false" customWidth="true" hidden="false" outlineLevel="0" max="14106" min="14106" style="140" width="15.51"/>
    <col collapsed="false" customWidth="true" hidden="false" outlineLevel="0" max="14107" min="14107" style="140" width="11.5"/>
    <col collapsed="false" customWidth="true" hidden="false" outlineLevel="0" max="14108" min="14108" style="140" width="12"/>
    <col collapsed="false" customWidth="true" hidden="false" outlineLevel="0" max="14109" min="14109" style="140" width="11.5"/>
    <col collapsed="false" customWidth="true" hidden="false" outlineLevel="0" max="14110" min="14110" style="140" width="12"/>
    <col collapsed="false" customWidth="true" hidden="false" outlineLevel="0" max="14111" min="14111" style="140" width="11.5"/>
    <col collapsed="false" customWidth="true" hidden="false" outlineLevel="0" max="14112" min="14112" style="140" width="12.5"/>
    <col collapsed="false" customWidth="true" hidden="false" outlineLevel="0" max="14113" min="14113" style="140" width="10.51"/>
    <col collapsed="false" customWidth="true" hidden="false" outlineLevel="0" max="14114" min="14114" style="140" width="19"/>
    <col collapsed="false" customWidth="true" hidden="false" outlineLevel="0" max="14115" min="14115" style="140" width="13.5"/>
    <col collapsed="false" customWidth="true" hidden="false" outlineLevel="0" max="14116" min="14116" style="140" width="18"/>
    <col collapsed="false" customWidth="true" hidden="false" outlineLevel="0" max="14117" min="14117" style="140" width="42.5"/>
    <col collapsed="false" customWidth="true" hidden="false" outlineLevel="0" max="14118" min="14118" style="140" width="31"/>
    <col collapsed="false" customWidth="true" hidden="false" outlineLevel="0" max="14119" min="14119" style="140" width="35"/>
    <col collapsed="false" customWidth="true" hidden="false" outlineLevel="0" max="14120" min="14120" style="140" width="31"/>
    <col collapsed="false" customWidth="true" hidden="false" outlineLevel="0" max="14121" min="14121" style="140" width="35"/>
    <col collapsed="false" customWidth="true" hidden="false" outlineLevel="0" max="14122" min="14122" style="140" width="31"/>
    <col collapsed="false" customWidth="true" hidden="false" outlineLevel="0" max="14123" min="14123" style="140" width="37.5"/>
    <col collapsed="false" customWidth="true" hidden="false" outlineLevel="0" max="14124" min="14124" style="140" width="11.5"/>
    <col collapsed="false" customWidth="true" hidden="false" outlineLevel="0" max="14125" min="14125" style="140" width="54"/>
    <col collapsed="false" customWidth="true" hidden="false" outlineLevel="0" max="14126" min="14126" style="140" width="43.51"/>
    <col collapsed="false" customWidth="true" hidden="false" outlineLevel="0" max="14127" min="14127" style="140" width="44.51"/>
    <col collapsed="false" customWidth="false" hidden="false" outlineLevel="0" max="14337" min="14128" style="140" width="6.51"/>
    <col collapsed="false" customWidth="true" hidden="false" outlineLevel="0" max="14339" min="14338" style="140" width="2.5"/>
    <col collapsed="false" customWidth="true" hidden="true" outlineLevel="0" max="14340" min="14340" style="140" width="11.53"/>
    <col collapsed="false" customWidth="true" hidden="false" outlineLevel="0" max="14343" min="14341" style="140" width="12.5"/>
    <col collapsed="false" customWidth="true" hidden="false" outlineLevel="0" max="14344" min="14344" style="140" width="12"/>
    <col collapsed="false" customWidth="true" hidden="false" outlineLevel="0" max="14345" min="14345" style="140" width="12.5"/>
    <col collapsed="false" customWidth="true" hidden="false" outlineLevel="0" max="14346" min="14346" style="140" width="13.5"/>
    <col collapsed="false" customWidth="true" hidden="true" outlineLevel="0" max="14347" min="14347" style="140" width="11.53"/>
    <col collapsed="false" customWidth="true" hidden="false" outlineLevel="0" max="14350" min="14348" style="140" width="13"/>
    <col collapsed="false" customWidth="true" hidden="false" outlineLevel="0" max="14351" min="14351" style="140" width="14.51"/>
    <col collapsed="false" customWidth="true" hidden="false" outlineLevel="0" max="14353" min="14352" style="140" width="13.5"/>
    <col collapsed="false" customWidth="true" hidden="false" outlineLevel="0" max="14354" min="14354" style="140" width="2.5"/>
    <col collapsed="false" customWidth="true" hidden="false" outlineLevel="0" max="14355" min="14355" style="140" width="13.5"/>
    <col collapsed="false" customWidth="true" hidden="false" outlineLevel="0" max="14356" min="14356" style="140" width="10.51"/>
    <col collapsed="false" customWidth="true" hidden="false" outlineLevel="0" max="14357" min="14357" style="140" width="12"/>
    <col collapsed="false" customWidth="true" hidden="false" outlineLevel="0" max="14358" min="14358" style="140" width="11.5"/>
    <col collapsed="false" customWidth="true" hidden="false" outlineLevel="0" max="14359" min="14359" style="140" width="16"/>
    <col collapsed="false" customWidth="true" hidden="false" outlineLevel="0" max="14361" min="14360" style="140" width="10.51"/>
    <col collapsed="false" customWidth="true" hidden="false" outlineLevel="0" max="14362" min="14362" style="140" width="15.51"/>
    <col collapsed="false" customWidth="true" hidden="false" outlineLevel="0" max="14363" min="14363" style="140" width="11.5"/>
    <col collapsed="false" customWidth="true" hidden="false" outlineLevel="0" max="14364" min="14364" style="140" width="12"/>
    <col collapsed="false" customWidth="true" hidden="false" outlineLevel="0" max="14365" min="14365" style="140" width="11.5"/>
    <col collapsed="false" customWidth="true" hidden="false" outlineLevel="0" max="14366" min="14366" style="140" width="12"/>
    <col collapsed="false" customWidth="true" hidden="false" outlineLevel="0" max="14367" min="14367" style="140" width="11.5"/>
    <col collapsed="false" customWidth="true" hidden="false" outlineLevel="0" max="14368" min="14368" style="140" width="12.5"/>
    <col collapsed="false" customWidth="true" hidden="false" outlineLevel="0" max="14369" min="14369" style="140" width="10.51"/>
    <col collapsed="false" customWidth="true" hidden="false" outlineLevel="0" max="14370" min="14370" style="140" width="19"/>
    <col collapsed="false" customWidth="true" hidden="false" outlineLevel="0" max="14371" min="14371" style="140" width="13.5"/>
    <col collapsed="false" customWidth="true" hidden="false" outlineLevel="0" max="14372" min="14372" style="140" width="18"/>
    <col collapsed="false" customWidth="true" hidden="false" outlineLevel="0" max="14373" min="14373" style="140" width="42.5"/>
    <col collapsed="false" customWidth="true" hidden="false" outlineLevel="0" max="14374" min="14374" style="140" width="31"/>
    <col collapsed="false" customWidth="true" hidden="false" outlineLevel="0" max="14375" min="14375" style="140" width="35"/>
    <col collapsed="false" customWidth="true" hidden="false" outlineLevel="0" max="14376" min="14376" style="140" width="31"/>
    <col collapsed="false" customWidth="true" hidden="false" outlineLevel="0" max="14377" min="14377" style="140" width="35"/>
    <col collapsed="false" customWidth="true" hidden="false" outlineLevel="0" max="14378" min="14378" style="140" width="31"/>
    <col collapsed="false" customWidth="true" hidden="false" outlineLevel="0" max="14379" min="14379" style="140" width="37.5"/>
    <col collapsed="false" customWidth="true" hidden="false" outlineLevel="0" max="14380" min="14380" style="140" width="11.5"/>
    <col collapsed="false" customWidth="true" hidden="false" outlineLevel="0" max="14381" min="14381" style="140" width="54"/>
    <col collapsed="false" customWidth="true" hidden="false" outlineLevel="0" max="14382" min="14382" style="140" width="43.51"/>
    <col collapsed="false" customWidth="true" hidden="false" outlineLevel="0" max="14383" min="14383" style="140" width="44.51"/>
    <col collapsed="false" customWidth="false" hidden="false" outlineLevel="0" max="14593" min="14384" style="140" width="6.51"/>
    <col collapsed="false" customWidth="true" hidden="false" outlineLevel="0" max="14595" min="14594" style="140" width="2.5"/>
    <col collapsed="false" customWidth="true" hidden="true" outlineLevel="0" max="14596" min="14596" style="140" width="11.53"/>
    <col collapsed="false" customWidth="true" hidden="false" outlineLevel="0" max="14599" min="14597" style="140" width="12.5"/>
    <col collapsed="false" customWidth="true" hidden="false" outlineLevel="0" max="14600" min="14600" style="140" width="12"/>
    <col collapsed="false" customWidth="true" hidden="false" outlineLevel="0" max="14601" min="14601" style="140" width="12.5"/>
    <col collapsed="false" customWidth="true" hidden="false" outlineLevel="0" max="14602" min="14602" style="140" width="13.5"/>
    <col collapsed="false" customWidth="true" hidden="true" outlineLevel="0" max="14603" min="14603" style="140" width="11.53"/>
    <col collapsed="false" customWidth="true" hidden="false" outlineLevel="0" max="14606" min="14604" style="140" width="13"/>
    <col collapsed="false" customWidth="true" hidden="false" outlineLevel="0" max="14607" min="14607" style="140" width="14.51"/>
    <col collapsed="false" customWidth="true" hidden="false" outlineLevel="0" max="14609" min="14608" style="140" width="13.5"/>
    <col collapsed="false" customWidth="true" hidden="false" outlineLevel="0" max="14610" min="14610" style="140" width="2.5"/>
    <col collapsed="false" customWidth="true" hidden="false" outlineLevel="0" max="14611" min="14611" style="140" width="13.5"/>
    <col collapsed="false" customWidth="true" hidden="false" outlineLevel="0" max="14612" min="14612" style="140" width="10.51"/>
    <col collapsed="false" customWidth="true" hidden="false" outlineLevel="0" max="14613" min="14613" style="140" width="12"/>
    <col collapsed="false" customWidth="true" hidden="false" outlineLevel="0" max="14614" min="14614" style="140" width="11.5"/>
    <col collapsed="false" customWidth="true" hidden="false" outlineLevel="0" max="14615" min="14615" style="140" width="16"/>
    <col collapsed="false" customWidth="true" hidden="false" outlineLevel="0" max="14617" min="14616" style="140" width="10.51"/>
    <col collapsed="false" customWidth="true" hidden="false" outlineLevel="0" max="14618" min="14618" style="140" width="15.51"/>
    <col collapsed="false" customWidth="true" hidden="false" outlineLevel="0" max="14619" min="14619" style="140" width="11.5"/>
    <col collapsed="false" customWidth="true" hidden="false" outlineLevel="0" max="14620" min="14620" style="140" width="12"/>
    <col collapsed="false" customWidth="true" hidden="false" outlineLevel="0" max="14621" min="14621" style="140" width="11.5"/>
    <col collapsed="false" customWidth="true" hidden="false" outlineLevel="0" max="14622" min="14622" style="140" width="12"/>
    <col collapsed="false" customWidth="true" hidden="false" outlineLevel="0" max="14623" min="14623" style="140" width="11.5"/>
    <col collapsed="false" customWidth="true" hidden="false" outlineLevel="0" max="14624" min="14624" style="140" width="12.5"/>
    <col collapsed="false" customWidth="true" hidden="false" outlineLevel="0" max="14625" min="14625" style="140" width="10.51"/>
    <col collapsed="false" customWidth="true" hidden="false" outlineLevel="0" max="14626" min="14626" style="140" width="19"/>
    <col collapsed="false" customWidth="true" hidden="false" outlineLevel="0" max="14627" min="14627" style="140" width="13.5"/>
    <col collapsed="false" customWidth="true" hidden="false" outlineLevel="0" max="14628" min="14628" style="140" width="18"/>
    <col collapsed="false" customWidth="true" hidden="false" outlineLevel="0" max="14629" min="14629" style="140" width="42.5"/>
    <col collapsed="false" customWidth="true" hidden="false" outlineLevel="0" max="14630" min="14630" style="140" width="31"/>
    <col collapsed="false" customWidth="true" hidden="false" outlineLevel="0" max="14631" min="14631" style="140" width="35"/>
    <col collapsed="false" customWidth="true" hidden="false" outlineLevel="0" max="14632" min="14632" style="140" width="31"/>
    <col collapsed="false" customWidth="true" hidden="false" outlineLevel="0" max="14633" min="14633" style="140" width="35"/>
    <col collapsed="false" customWidth="true" hidden="false" outlineLevel="0" max="14634" min="14634" style="140" width="31"/>
    <col collapsed="false" customWidth="true" hidden="false" outlineLevel="0" max="14635" min="14635" style="140" width="37.5"/>
    <col collapsed="false" customWidth="true" hidden="false" outlineLevel="0" max="14636" min="14636" style="140" width="11.5"/>
    <col collapsed="false" customWidth="true" hidden="false" outlineLevel="0" max="14637" min="14637" style="140" width="54"/>
    <col collapsed="false" customWidth="true" hidden="false" outlineLevel="0" max="14638" min="14638" style="140" width="43.51"/>
    <col collapsed="false" customWidth="true" hidden="false" outlineLevel="0" max="14639" min="14639" style="140" width="44.51"/>
    <col collapsed="false" customWidth="false" hidden="false" outlineLevel="0" max="14849" min="14640" style="140" width="6.51"/>
    <col collapsed="false" customWidth="true" hidden="false" outlineLevel="0" max="14851" min="14850" style="140" width="2.5"/>
    <col collapsed="false" customWidth="true" hidden="true" outlineLevel="0" max="14852" min="14852" style="140" width="11.53"/>
    <col collapsed="false" customWidth="true" hidden="false" outlineLevel="0" max="14855" min="14853" style="140" width="12.5"/>
    <col collapsed="false" customWidth="true" hidden="false" outlineLevel="0" max="14856" min="14856" style="140" width="12"/>
    <col collapsed="false" customWidth="true" hidden="false" outlineLevel="0" max="14857" min="14857" style="140" width="12.5"/>
    <col collapsed="false" customWidth="true" hidden="false" outlineLevel="0" max="14858" min="14858" style="140" width="13.5"/>
    <col collapsed="false" customWidth="true" hidden="true" outlineLevel="0" max="14859" min="14859" style="140" width="11.53"/>
    <col collapsed="false" customWidth="true" hidden="false" outlineLevel="0" max="14862" min="14860" style="140" width="13"/>
    <col collapsed="false" customWidth="true" hidden="false" outlineLevel="0" max="14863" min="14863" style="140" width="14.51"/>
    <col collapsed="false" customWidth="true" hidden="false" outlineLevel="0" max="14865" min="14864" style="140" width="13.5"/>
    <col collapsed="false" customWidth="true" hidden="false" outlineLevel="0" max="14866" min="14866" style="140" width="2.5"/>
    <col collapsed="false" customWidth="true" hidden="false" outlineLevel="0" max="14867" min="14867" style="140" width="13.5"/>
    <col collapsed="false" customWidth="true" hidden="false" outlineLevel="0" max="14868" min="14868" style="140" width="10.51"/>
    <col collapsed="false" customWidth="true" hidden="false" outlineLevel="0" max="14869" min="14869" style="140" width="12"/>
    <col collapsed="false" customWidth="true" hidden="false" outlineLevel="0" max="14870" min="14870" style="140" width="11.5"/>
    <col collapsed="false" customWidth="true" hidden="false" outlineLevel="0" max="14871" min="14871" style="140" width="16"/>
    <col collapsed="false" customWidth="true" hidden="false" outlineLevel="0" max="14873" min="14872" style="140" width="10.51"/>
    <col collapsed="false" customWidth="true" hidden="false" outlineLevel="0" max="14874" min="14874" style="140" width="15.51"/>
    <col collapsed="false" customWidth="true" hidden="false" outlineLevel="0" max="14875" min="14875" style="140" width="11.5"/>
    <col collapsed="false" customWidth="true" hidden="false" outlineLevel="0" max="14876" min="14876" style="140" width="12"/>
    <col collapsed="false" customWidth="true" hidden="false" outlineLevel="0" max="14877" min="14877" style="140" width="11.5"/>
    <col collapsed="false" customWidth="true" hidden="false" outlineLevel="0" max="14878" min="14878" style="140" width="12"/>
    <col collapsed="false" customWidth="true" hidden="false" outlineLevel="0" max="14879" min="14879" style="140" width="11.5"/>
    <col collapsed="false" customWidth="true" hidden="false" outlineLevel="0" max="14880" min="14880" style="140" width="12.5"/>
    <col collapsed="false" customWidth="true" hidden="false" outlineLevel="0" max="14881" min="14881" style="140" width="10.51"/>
    <col collapsed="false" customWidth="true" hidden="false" outlineLevel="0" max="14882" min="14882" style="140" width="19"/>
    <col collapsed="false" customWidth="true" hidden="false" outlineLevel="0" max="14883" min="14883" style="140" width="13.5"/>
    <col collapsed="false" customWidth="true" hidden="false" outlineLevel="0" max="14884" min="14884" style="140" width="18"/>
    <col collapsed="false" customWidth="true" hidden="false" outlineLevel="0" max="14885" min="14885" style="140" width="42.5"/>
    <col collapsed="false" customWidth="true" hidden="false" outlineLevel="0" max="14886" min="14886" style="140" width="31"/>
    <col collapsed="false" customWidth="true" hidden="false" outlineLevel="0" max="14887" min="14887" style="140" width="35"/>
    <col collapsed="false" customWidth="true" hidden="false" outlineLevel="0" max="14888" min="14888" style="140" width="31"/>
    <col collapsed="false" customWidth="true" hidden="false" outlineLevel="0" max="14889" min="14889" style="140" width="35"/>
    <col collapsed="false" customWidth="true" hidden="false" outlineLevel="0" max="14890" min="14890" style="140" width="31"/>
    <col collapsed="false" customWidth="true" hidden="false" outlineLevel="0" max="14891" min="14891" style="140" width="37.5"/>
    <col collapsed="false" customWidth="true" hidden="false" outlineLevel="0" max="14892" min="14892" style="140" width="11.5"/>
    <col collapsed="false" customWidth="true" hidden="false" outlineLevel="0" max="14893" min="14893" style="140" width="54"/>
    <col collapsed="false" customWidth="true" hidden="false" outlineLevel="0" max="14894" min="14894" style="140" width="43.51"/>
    <col collapsed="false" customWidth="true" hidden="false" outlineLevel="0" max="14895" min="14895" style="140" width="44.51"/>
    <col collapsed="false" customWidth="false" hidden="false" outlineLevel="0" max="15105" min="14896" style="140" width="6.51"/>
    <col collapsed="false" customWidth="true" hidden="false" outlineLevel="0" max="15107" min="15106" style="140" width="2.5"/>
    <col collapsed="false" customWidth="true" hidden="true" outlineLevel="0" max="15108" min="15108" style="140" width="11.53"/>
    <col collapsed="false" customWidth="true" hidden="false" outlineLevel="0" max="15111" min="15109" style="140" width="12.5"/>
    <col collapsed="false" customWidth="true" hidden="false" outlineLevel="0" max="15112" min="15112" style="140" width="12"/>
    <col collapsed="false" customWidth="true" hidden="false" outlineLevel="0" max="15113" min="15113" style="140" width="12.5"/>
    <col collapsed="false" customWidth="true" hidden="false" outlineLevel="0" max="15114" min="15114" style="140" width="13.5"/>
    <col collapsed="false" customWidth="true" hidden="true" outlineLevel="0" max="15115" min="15115" style="140" width="11.53"/>
    <col collapsed="false" customWidth="true" hidden="false" outlineLevel="0" max="15118" min="15116" style="140" width="13"/>
    <col collapsed="false" customWidth="true" hidden="false" outlineLevel="0" max="15119" min="15119" style="140" width="14.51"/>
    <col collapsed="false" customWidth="true" hidden="false" outlineLevel="0" max="15121" min="15120" style="140" width="13.5"/>
    <col collapsed="false" customWidth="true" hidden="false" outlineLevel="0" max="15122" min="15122" style="140" width="2.5"/>
    <col collapsed="false" customWidth="true" hidden="false" outlineLevel="0" max="15123" min="15123" style="140" width="13.5"/>
    <col collapsed="false" customWidth="true" hidden="false" outlineLevel="0" max="15124" min="15124" style="140" width="10.51"/>
    <col collapsed="false" customWidth="true" hidden="false" outlineLevel="0" max="15125" min="15125" style="140" width="12"/>
    <col collapsed="false" customWidth="true" hidden="false" outlineLevel="0" max="15126" min="15126" style="140" width="11.5"/>
    <col collapsed="false" customWidth="true" hidden="false" outlineLevel="0" max="15127" min="15127" style="140" width="16"/>
    <col collapsed="false" customWidth="true" hidden="false" outlineLevel="0" max="15129" min="15128" style="140" width="10.51"/>
    <col collapsed="false" customWidth="true" hidden="false" outlineLevel="0" max="15130" min="15130" style="140" width="15.51"/>
    <col collapsed="false" customWidth="true" hidden="false" outlineLevel="0" max="15131" min="15131" style="140" width="11.5"/>
    <col collapsed="false" customWidth="true" hidden="false" outlineLevel="0" max="15132" min="15132" style="140" width="12"/>
    <col collapsed="false" customWidth="true" hidden="false" outlineLevel="0" max="15133" min="15133" style="140" width="11.5"/>
    <col collapsed="false" customWidth="true" hidden="false" outlineLevel="0" max="15134" min="15134" style="140" width="12"/>
    <col collapsed="false" customWidth="true" hidden="false" outlineLevel="0" max="15135" min="15135" style="140" width="11.5"/>
    <col collapsed="false" customWidth="true" hidden="false" outlineLevel="0" max="15136" min="15136" style="140" width="12.5"/>
    <col collapsed="false" customWidth="true" hidden="false" outlineLevel="0" max="15137" min="15137" style="140" width="10.51"/>
    <col collapsed="false" customWidth="true" hidden="false" outlineLevel="0" max="15138" min="15138" style="140" width="19"/>
    <col collapsed="false" customWidth="true" hidden="false" outlineLevel="0" max="15139" min="15139" style="140" width="13.5"/>
    <col collapsed="false" customWidth="true" hidden="false" outlineLevel="0" max="15140" min="15140" style="140" width="18"/>
    <col collapsed="false" customWidth="true" hidden="false" outlineLevel="0" max="15141" min="15141" style="140" width="42.5"/>
    <col collapsed="false" customWidth="true" hidden="false" outlineLevel="0" max="15142" min="15142" style="140" width="31"/>
    <col collapsed="false" customWidth="true" hidden="false" outlineLevel="0" max="15143" min="15143" style="140" width="35"/>
    <col collapsed="false" customWidth="true" hidden="false" outlineLevel="0" max="15144" min="15144" style="140" width="31"/>
    <col collapsed="false" customWidth="true" hidden="false" outlineLevel="0" max="15145" min="15145" style="140" width="35"/>
    <col collapsed="false" customWidth="true" hidden="false" outlineLevel="0" max="15146" min="15146" style="140" width="31"/>
    <col collapsed="false" customWidth="true" hidden="false" outlineLevel="0" max="15147" min="15147" style="140" width="37.5"/>
    <col collapsed="false" customWidth="true" hidden="false" outlineLevel="0" max="15148" min="15148" style="140" width="11.5"/>
    <col collapsed="false" customWidth="true" hidden="false" outlineLevel="0" max="15149" min="15149" style="140" width="54"/>
    <col collapsed="false" customWidth="true" hidden="false" outlineLevel="0" max="15150" min="15150" style="140" width="43.51"/>
    <col collapsed="false" customWidth="true" hidden="false" outlineLevel="0" max="15151" min="15151" style="140" width="44.51"/>
    <col collapsed="false" customWidth="false" hidden="false" outlineLevel="0" max="15361" min="15152" style="140" width="6.51"/>
    <col collapsed="false" customWidth="true" hidden="false" outlineLevel="0" max="15363" min="15362" style="140" width="2.5"/>
    <col collapsed="false" customWidth="true" hidden="true" outlineLevel="0" max="15364" min="15364" style="140" width="11.53"/>
    <col collapsed="false" customWidth="true" hidden="false" outlineLevel="0" max="15367" min="15365" style="140" width="12.5"/>
    <col collapsed="false" customWidth="true" hidden="false" outlineLevel="0" max="15368" min="15368" style="140" width="12"/>
    <col collapsed="false" customWidth="true" hidden="false" outlineLevel="0" max="15369" min="15369" style="140" width="12.5"/>
    <col collapsed="false" customWidth="true" hidden="false" outlineLevel="0" max="15370" min="15370" style="140" width="13.5"/>
    <col collapsed="false" customWidth="true" hidden="true" outlineLevel="0" max="15371" min="15371" style="140" width="11.53"/>
    <col collapsed="false" customWidth="true" hidden="false" outlineLevel="0" max="15374" min="15372" style="140" width="13"/>
    <col collapsed="false" customWidth="true" hidden="false" outlineLevel="0" max="15375" min="15375" style="140" width="14.51"/>
    <col collapsed="false" customWidth="true" hidden="false" outlineLevel="0" max="15377" min="15376" style="140" width="13.5"/>
    <col collapsed="false" customWidth="true" hidden="false" outlineLevel="0" max="15378" min="15378" style="140" width="2.5"/>
    <col collapsed="false" customWidth="true" hidden="false" outlineLevel="0" max="15379" min="15379" style="140" width="13.5"/>
    <col collapsed="false" customWidth="true" hidden="false" outlineLevel="0" max="15380" min="15380" style="140" width="10.51"/>
    <col collapsed="false" customWidth="true" hidden="false" outlineLevel="0" max="15381" min="15381" style="140" width="12"/>
    <col collapsed="false" customWidth="true" hidden="false" outlineLevel="0" max="15382" min="15382" style="140" width="11.5"/>
    <col collapsed="false" customWidth="true" hidden="false" outlineLevel="0" max="15383" min="15383" style="140" width="16"/>
    <col collapsed="false" customWidth="true" hidden="false" outlineLevel="0" max="15385" min="15384" style="140" width="10.51"/>
    <col collapsed="false" customWidth="true" hidden="false" outlineLevel="0" max="15386" min="15386" style="140" width="15.51"/>
    <col collapsed="false" customWidth="true" hidden="false" outlineLevel="0" max="15387" min="15387" style="140" width="11.5"/>
    <col collapsed="false" customWidth="true" hidden="false" outlineLevel="0" max="15388" min="15388" style="140" width="12"/>
    <col collapsed="false" customWidth="true" hidden="false" outlineLevel="0" max="15389" min="15389" style="140" width="11.5"/>
    <col collapsed="false" customWidth="true" hidden="false" outlineLevel="0" max="15390" min="15390" style="140" width="12"/>
    <col collapsed="false" customWidth="true" hidden="false" outlineLevel="0" max="15391" min="15391" style="140" width="11.5"/>
    <col collapsed="false" customWidth="true" hidden="false" outlineLevel="0" max="15392" min="15392" style="140" width="12.5"/>
    <col collapsed="false" customWidth="true" hidden="false" outlineLevel="0" max="15393" min="15393" style="140" width="10.51"/>
    <col collapsed="false" customWidth="true" hidden="false" outlineLevel="0" max="15394" min="15394" style="140" width="19"/>
    <col collapsed="false" customWidth="true" hidden="false" outlineLevel="0" max="15395" min="15395" style="140" width="13.5"/>
    <col collapsed="false" customWidth="true" hidden="false" outlineLevel="0" max="15396" min="15396" style="140" width="18"/>
    <col collapsed="false" customWidth="true" hidden="false" outlineLevel="0" max="15397" min="15397" style="140" width="42.5"/>
    <col collapsed="false" customWidth="true" hidden="false" outlineLevel="0" max="15398" min="15398" style="140" width="31"/>
    <col collapsed="false" customWidth="true" hidden="false" outlineLevel="0" max="15399" min="15399" style="140" width="35"/>
    <col collapsed="false" customWidth="true" hidden="false" outlineLevel="0" max="15400" min="15400" style="140" width="31"/>
    <col collapsed="false" customWidth="true" hidden="false" outlineLevel="0" max="15401" min="15401" style="140" width="35"/>
    <col collapsed="false" customWidth="true" hidden="false" outlineLevel="0" max="15402" min="15402" style="140" width="31"/>
    <col collapsed="false" customWidth="true" hidden="false" outlineLevel="0" max="15403" min="15403" style="140" width="37.5"/>
    <col collapsed="false" customWidth="true" hidden="false" outlineLevel="0" max="15404" min="15404" style="140" width="11.5"/>
    <col collapsed="false" customWidth="true" hidden="false" outlineLevel="0" max="15405" min="15405" style="140" width="54"/>
    <col collapsed="false" customWidth="true" hidden="false" outlineLevel="0" max="15406" min="15406" style="140" width="43.51"/>
    <col collapsed="false" customWidth="true" hidden="false" outlineLevel="0" max="15407" min="15407" style="140" width="44.51"/>
    <col collapsed="false" customWidth="false" hidden="false" outlineLevel="0" max="15617" min="15408" style="140" width="6.51"/>
    <col collapsed="false" customWidth="true" hidden="false" outlineLevel="0" max="15619" min="15618" style="140" width="2.5"/>
    <col collapsed="false" customWidth="true" hidden="true" outlineLevel="0" max="15620" min="15620" style="140" width="11.53"/>
    <col collapsed="false" customWidth="true" hidden="false" outlineLevel="0" max="15623" min="15621" style="140" width="12.5"/>
    <col collapsed="false" customWidth="true" hidden="false" outlineLevel="0" max="15624" min="15624" style="140" width="12"/>
    <col collapsed="false" customWidth="true" hidden="false" outlineLevel="0" max="15625" min="15625" style="140" width="12.5"/>
    <col collapsed="false" customWidth="true" hidden="false" outlineLevel="0" max="15626" min="15626" style="140" width="13.5"/>
    <col collapsed="false" customWidth="true" hidden="true" outlineLevel="0" max="15627" min="15627" style="140" width="11.53"/>
    <col collapsed="false" customWidth="true" hidden="false" outlineLevel="0" max="15630" min="15628" style="140" width="13"/>
    <col collapsed="false" customWidth="true" hidden="false" outlineLevel="0" max="15631" min="15631" style="140" width="14.51"/>
    <col collapsed="false" customWidth="true" hidden="false" outlineLevel="0" max="15633" min="15632" style="140" width="13.5"/>
    <col collapsed="false" customWidth="true" hidden="false" outlineLevel="0" max="15634" min="15634" style="140" width="2.5"/>
    <col collapsed="false" customWidth="true" hidden="false" outlineLevel="0" max="15635" min="15635" style="140" width="13.5"/>
    <col collapsed="false" customWidth="true" hidden="false" outlineLevel="0" max="15636" min="15636" style="140" width="10.51"/>
    <col collapsed="false" customWidth="true" hidden="false" outlineLevel="0" max="15637" min="15637" style="140" width="12"/>
    <col collapsed="false" customWidth="true" hidden="false" outlineLevel="0" max="15638" min="15638" style="140" width="11.5"/>
    <col collapsed="false" customWidth="true" hidden="false" outlineLevel="0" max="15639" min="15639" style="140" width="16"/>
    <col collapsed="false" customWidth="true" hidden="false" outlineLevel="0" max="15641" min="15640" style="140" width="10.51"/>
    <col collapsed="false" customWidth="true" hidden="false" outlineLevel="0" max="15642" min="15642" style="140" width="15.51"/>
    <col collapsed="false" customWidth="true" hidden="false" outlineLevel="0" max="15643" min="15643" style="140" width="11.5"/>
    <col collapsed="false" customWidth="true" hidden="false" outlineLevel="0" max="15644" min="15644" style="140" width="12"/>
    <col collapsed="false" customWidth="true" hidden="false" outlineLevel="0" max="15645" min="15645" style="140" width="11.5"/>
    <col collapsed="false" customWidth="true" hidden="false" outlineLevel="0" max="15646" min="15646" style="140" width="12"/>
    <col collapsed="false" customWidth="true" hidden="false" outlineLevel="0" max="15647" min="15647" style="140" width="11.5"/>
    <col collapsed="false" customWidth="true" hidden="false" outlineLevel="0" max="15648" min="15648" style="140" width="12.5"/>
    <col collapsed="false" customWidth="true" hidden="false" outlineLevel="0" max="15649" min="15649" style="140" width="10.51"/>
    <col collapsed="false" customWidth="true" hidden="false" outlineLevel="0" max="15650" min="15650" style="140" width="19"/>
    <col collapsed="false" customWidth="true" hidden="false" outlineLevel="0" max="15651" min="15651" style="140" width="13.5"/>
    <col collapsed="false" customWidth="true" hidden="false" outlineLevel="0" max="15652" min="15652" style="140" width="18"/>
    <col collapsed="false" customWidth="true" hidden="false" outlineLevel="0" max="15653" min="15653" style="140" width="42.5"/>
    <col collapsed="false" customWidth="true" hidden="false" outlineLevel="0" max="15654" min="15654" style="140" width="31"/>
    <col collapsed="false" customWidth="true" hidden="false" outlineLevel="0" max="15655" min="15655" style="140" width="35"/>
    <col collapsed="false" customWidth="true" hidden="false" outlineLevel="0" max="15656" min="15656" style="140" width="31"/>
    <col collapsed="false" customWidth="true" hidden="false" outlineLevel="0" max="15657" min="15657" style="140" width="35"/>
    <col collapsed="false" customWidth="true" hidden="false" outlineLevel="0" max="15658" min="15658" style="140" width="31"/>
    <col collapsed="false" customWidth="true" hidden="false" outlineLevel="0" max="15659" min="15659" style="140" width="37.5"/>
    <col collapsed="false" customWidth="true" hidden="false" outlineLevel="0" max="15660" min="15660" style="140" width="11.5"/>
    <col collapsed="false" customWidth="true" hidden="false" outlineLevel="0" max="15661" min="15661" style="140" width="54"/>
    <col collapsed="false" customWidth="true" hidden="false" outlineLevel="0" max="15662" min="15662" style="140" width="43.51"/>
    <col collapsed="false" customWidth="true" hidden="false" outlineLevel="0" max="15663" min="15663" style="140" width="44.51"/>
    <col collapsed="false" customWidth="false" hidden="false" outlineLevel="0" max="15873" min="15664" style="140" width="6.51"/>
    <col collapsed="false" customWidth="true" hidden="false" outlineLevel="0" max="15875" min="15874" style="140" width="2.5"/>
    <col collapsed="false" customWidth="true" hidden="true" outlineLevel="0" max="15876" min="15876" style="140" width="11.53"/>
    <col collapsed="false" customWidth="true" hidden="false" outlineLevel="0" max="15879" min="15877" style="140" width="12.5"/>
    <col collapsed="false" customWidth="true" hidden="false" outlineLevel="0" max="15880" min="15880" style="140" width="12"/>
    <col collapsed="false" customWidth="true" hidden="false" outlineLevel="0" max="15881" min="15881" style="140" width="12.5"/>
    <col collapsed="false" customWidth="true" hidden="false" outlineLevel="0" max="15882" min="15882" style="140" width="13.5"/>
    <col collapsed="false" customWidth="true" hidden="true" outlineLevel="0" max="15883" min="15883" style="140" width="11.53"/>
    <col collapsed="false" customWidth="true" hidden="false" outlineLevel="0" max="15886" min="15884" style="140" width="13"/>
    <col collapsed="false" customWidth="true" hidden="false" outlineLevel="0" max="15887" min="15887" style="140" width="14.51"/>
    <col collapsed="false" customWidth="true" hidden="false" outlineLevel="0" max="15889" min="15888" style="140" width="13.5"/>
    <col collapsed="false" customWidth="true" hidden="false" outlineLevel="0" max="15890" min="15890" style="140" width="2.5"/>
    <col collapsed="false" customWidth="true" hidden="false" outlineLevel="0" max="15891" min="15891" style="140" width="13.5"/>
    <col collapsed="false" customWidth="true" hidden="false" outlineLevel="0" max="15892" min="15892" style="140" width="10.51"/>
    <col collapsed="false" customWidth="true" hidden="false" outlineLevel="0" max="15893" min="15893" style="140" width="12"/>
    <col collapsed="false" customWidth="true" hidden="false" outlineLevel="0" max="15894" min="15894" style="140" width="11.5"/>
    <col collapsed="false" customWidth="true" hidden="false" outlineLevel="0" max="15895" min="15895" style="140" width="16"/>
    <col collapsed="false" customWidth="true" hidden="false" outlineLevel="0" max="15897" min="15896" style="140" width="10.51"/>
    <col collapsed="false" customWidth="true" hidden="false" outlineLevel="0" max="15898" min="15898" style="140" width="15.51"/>
    <col collapsed="false" customWidth="true" hidden="false" outlineLevel="0" max="15899" min="15899" style="140" width="11.5"/>
    <col collapsed="false" customWidth="true" hidden="false" outlineLevel="0" max="15900" min="15900" style="140" width="12"/>
    <col collapsed="false" customWidth="true" hidden="false" outlineLevel="0" max="15901" min="15901" style="140" width="11.5"/>
    <col collapsed="false" customWidth="true" hidden="false" outlineLevel="0" max="15902" min="15902" style="140" width="12"/>
    <col collapsed="false" customWidth="true" hidden="false" outlineLevel="0" max="15903" min="15903" style="140" width="11.5"/>
    <col collapsed="false" customWidth="true" hidden="false" outlineLevel="0" max="15904" min="15904" style="140" width="12.5"/>
    <col collapsed="false" customWidth="true" hidden="false" outlineLevel="0" max="15905" min="15905" style="140" width="10.51"/>
    <col collapsed="false" customWidth="true" hidden="false" outlineLevel="0" max="15906" min="15906" style="140" width="19"/>
    <col collapsed="false" customWidth="true" hidden="false" outlineLevel="0" max="15907" min="15907" style="140" width="13.5"/>
    <col collapsed="false" customWidth="true" hidden="false" outlineLevel="0" max="15908" min="15908" style="140" width="18"/>
    <col collapsed="false" customWidth="true" hidden="false" outlineLevel="0" max="15909" min="15909" style="140" width="42.5"/>
    <col collapsed="false" customWidth="true" hidden="false" outlineLevel="0" max="15910" min="15910" style="140" width="31"/>
    <col collapsed="false" customWidth="true" hidden="false" outlineLevel="0" max="15911" min="15911" style="140" width="35"/>
    <col collapsed="false" customWidth="true" hidden="false" outlineLevel="0" max="15912" min="15912" style="140" width="31"/>
    <col collapsed="false" customWidth="true" hidden="false" outlineLevel="0" max="15913" min="15913" style="140" width="35"/>
    <col collapsed="false" customWidth="true" hidden="false" outlineLevel="0" max="15914" min="15914" style="140" width="31"/>
    <col collapsed="false" customWidth="true" hidden="false" outlineLevel="0" max="15915" min="15915" style="140" width="37.5"/>
    <col collapsed="false" customWidth="true" hidden="false" outlineLevel="0" max="15916" min="15916" style="140" width="11.5"/>
    <col collapsed="false" customWidth="true" hidden="false" outlineLevel="0" max="15917" min="15917" style="140" width="54"/>
    <col collapsed="false" customWidth="true" hidden="false" outlineLevel="0" max="15918" min="15918" style="140" width="43.51"/>
    <col collapsed="false" customWidth="true" hidden="false" outlineLevel="0" max="15919" min="15919" style="140" width="44.51"/>
    <col collapsed="false" customWidth="false" hidden="false" outlineLevel="0" max="16129" min="15920" style="140" width="6.51"/>
    <col collapsed="false" customWidth="true" hidden="false" outlineLevel="0" max="16131" min="16130" style="140" width="2.5"/>
    <col collapsed="false" customWidth="true" hidden="true" outlineLevel="0" max="16132" min="16132" style="140" width="11.53"/>
    <col collapsed="false" customWidth="true" hidden="false" outlineLevel="0" max="16135" min="16133" style="140" width="12.5"/>
    <col collapsed="false" customWidth="true" hidden="false" outlineLevel="0" max="16136" min="16136" style="140" width="12"/>
    <col collapsed="false" customWidth="true" hidden="false" outlineLevel="0" max="16137" min="16137" style="140" width="12.5"/>
    <col collapsed="false" customWidth="true" hidden="false" outlineLevel="0" max="16138" min="16138" style="140" width="13.5"/>
    <col collapsed="false" customWidth="true" hidden="true" outlineLevel="0" max="16139" min="16139" style="140" width="11.53"/>
    <col collapsed="false" customWidth="true" hidden="false" outlineLevel="0" max="16142" min="16140" style="140" width="13"/>
    <col collapsed="false" customWidth="true" hidden="false" outlineLevel="0" max="16143" min="16143" style="140" width="14.51"/>
    <col collapsed="false" customWidth="true" hidden="false" outlineLevel="0" max="16145" min="16144" style="140" width="13.5"/>
    <col collapsed="false" customWidth="true" hidden="false" outlineLevel="0" max="16146" min="16146" style="140" width="2.5"/>
    <col collapsed="false" customWidth="true" hidden="false" outlineLevel="0" max="16147" min="16147" style="140" width="13.5"/>
    <col collapsed="false" customWidth="true" hidden="false" outlineLevel="0" max="16148" min="16148" style="140" width="10.51"/>
    <col collapsed="false" customWidth="true" hidden="false" outlineLevel="0" max="16149" min="16149" style="140" width="12"/>
    <col collapsed="false" customWidth="true" hidden="false" outlineLevel="0" max="16150" min="16150" style="140" width="11.5"/>
    <col collapsed="false" customWidth="true" hidden="false" outlineLevel="0" max="16151" min="16151" style="140" width="16"/>
    <col collapsed="false" customWidth="true" hidden="false" outlineLevel="0" max="16153" min="16152" style="140" width="10.51"/>
    <col collapsed="false" customWidth="true" hidden="false" outlineLevel="0" max="16154" min="16154" style="140" width="15.51"/>
    <col collapsed="false" customWidth="true" hidden="false" outlineLevel="0" max="16155" min="16155" style="140" width="11.5"/>
    <col collapsed="false" customWidth="true" hidden="false" outlineLevel="0" max="16156" min="16156" style="140" width="12"/>
    <col collapsed="false" customWidth="true" hidden="false" outlineLevel="0" max="16157" min="16157" style="140" width="11.5"/>
    <col collapsed="false" customWidth="true" hidden="false" outlineLevel="0" max="16158" min="16158" style="140" width="12"/>
    <col collapsed="false" customWidth="true" hidden="false" outlineLevel="0" max="16159" min="16159" style="140" width="11.5"/>
    <col collapsed="false" customWidth="true" hidden="false" outlineLevel="0" max="16160" min="16160" style="140" width="12.5"/>
    <col collapsed="false" customWidth="true" hidden="false" outlineLevel="0" max="16161" min="16161" style="140" width="10.51"/>
    <col collapsed="false" customWidth="true" hidden="false" outlineLevel="0" max="16162" min="16162" style="140" width="19"/>
    <col collapsed="false" customWidth="true" hidden="false" outlineLevel="0" max="16163" min="16163" style="140" width="13.5"/>
    <col collapsed="false" customWidth="true" hidden="false" outlineLevel="0" max="16164" min="16164" style="140" width="18"/>
    <col collapsed="false" customWidth="true" hidden="false" outlineLevel="0" max="16165" min="16165" style="140" width="42.5"/>
    <col collapsed="false" customWidth="true" hidden="false" outlineLevel="0" max="16166" min="16166" style="140" width="31"/>
    <col collapsed="false" customWidth="true" hidden="false" outlineLevel="0" max="16167" min="16167" style="140" width="35"/>
    <col collapsed="false" customWidth="true" hidden="false" outlineLevel="0" max="16168" min="16168" style="140" width="31"/>
    <col collapsed="false" customWidth="true" hidden="false" outlineLevel="0" max="16169" min="16169" style="140" width="35"/>
    <col collapsed="false" customWidth="true" hidden="false" outlineLevel="0" max="16170" min="16170" style="140" width="31"/>
    <col collapsed="false" customWidth="true" hidden="false" outlineLevel="0" max="16171" min="16171" style="140" width="37.5"/>
    <col collapsed="false" customWidth="true" hidden="false" outlineLevel="0" max="16172" min="16172" style="140" width="11.5"/>
    <col collapsed="false" customWidth="true" hidden="false" outlineLevel="0" max="16173" min="16173" style="140" width="54"/>
    <col collapsed="false" customWidth="true" hidden="false" outlineLevel="0" max="16174" min="16174" style="140" width="43.51"/>
    <col collapsed="false" customWidth="true" hidden="false" outlineLevel="0" max="16175" min="16175" style="140" width="44.51"/>
    <col collapsed="false" customWidth="false" hidden="false" outlineLevel="0" max="16384" min="16176" style="140" width="6.51"/>
  </cols>
  <sheetData>
    <row r="2" customFormat="false" ht="15" hidden="false" customHeight="false" outlineLevel="0" collapsed="false">
      <c r="B2" s="141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3"/>
      <c r="Q2" s="143"/>
      <c r="R2" s="144"/>
    </row>
    <row r="3" customFormat="false" ht="15" hidden="false" customHeight="true" outlineLevel="0" collapsed="false">
      <c r="B3" s="145"/>
      <c r="C3" s="146"/>
      <c r="D3" s="147"/>
      <c r="E3" s="147"/>
      <c r="F3" s="148" t="s">
        <v>172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9"/>
    </row>
    <row r="4" customFormat="false" ht="15" hidden="false" customHeight="false" outlineLevel="0" collapsed="false">
      <c r="B4" s="145"/>
      <c r="C4" s="146"/>
      <c r="D4" s="147"/>
      <c r="E4" s="147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9"/>
    </row>
    <row r="5" customFormat="false" ht="15" hidden="false" customHeight="true" outlineLevel="0" collapsed="false">
      <c r="B5" s="145"/>
      <c r="C5" s="146"/>
      <c r="D5" s="147"/>
      <c r="E5" s="147"/>
      <c r="F5" s="150" t="s">
        <v>173</v>
      </c>
      <c r="G5" s="150"/>
      <c r="H5" s="150"/>
      <c r="I5" s="150"/>
      <c r="J5" s="150"/>
      <c r="K5" s="150"/>
      <c r="L5" s="150"/>
      <c r="M5" s="150" t="s">
        <v>174</v>
      </c>
      <c r="N5" s="150"/>
      <c r="O5" s="151"/>
      <c r="P5" s="152" t="n">
        <v>45915</v>
      </c>
      <c r="Q5" s="152"/>
      <c r="R5" s="149"/>
    </row>
    <row r="6" customFormat="false" ht="15" hidden="false" customHeight="false" outlineLevel="0" collapsed="false">
      <c r="B6" s="145"/>
      <c r="C6" s="146"/>
      <c r="D6" s="147"/>
      <c r="E6" s="147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2"/>
      <c r="Q6" s="152"/>
      <c r="R6" s="149"/>
    </row>
    <row r="7" customFormat="false" ht="15" hidden="false" customHeight="false" outlineLevel="0" collapsed="false">
      <c r="B7" s="145"/>
      <c r="C7" s="146"/>
      <c r="D7" s="153"/>
      <c r="E7" s="153"/>
      <c r="F7" s="153"/>
      <c r="G7" s="153"/>
      <c r="H7" s="153"/>
      <c r="I7" s="153"/>
      <c r="J7" s="153"/>
      <c r="K7" s="153"/>
      <c r="L7" s="153"/>
      <c r="M7" s="154"/>
      <c r="N7" s="146"/>
      <c r="O7" s="146"/>
      <c r="R7" s="149"/>
    </row>
    <row r="8" customFormat="false" ht="15" hidden="false" customHeight="true" outlineLevel="0" collapsed="false">
      <c r="B8" s="155"/>
      <c r="C8" s="156"/>
      <c r="D8" s="157"/>
      <c r="E8" s="157"/>
      <c r="F8" s="157"/>
      <c r="G8" s="158" t="s">
        <v>175</v>
      </c>
      <c r="H8" s="158"/>
      <c r="I8" s="158" t="s">
        <v>176</v>
      </c>
      <c r="J8" s="159" t="s">
        <v>177</v>
      </c>
      <c r="K8" s="160"/>
      <c r="L8" s="160"/>
      <c r="M8" s="160"/>
      <c r="N8" s="158" t="s">
        <v>175</v>
      </c>
      <c r="O8" s="158"/>
      <c r="P8" s="158" t="s">
        <v>176</v>
      </c>
      <c r="Q8" s="159" t="s">
        <v>177</v>
      </c>
      <c r="R8" s="149"/>
    </row>
    <row r="9" customFormat="false" ht="15" hidden="false" customHeight="false" outlineLevel="0" collapsed="false">
      <c r="B9" s="155"/>
      <c r="C9" s="156"/>
      <c r="D9" s="157"/>
      <c r="E9" s="157"/>
      <c r="F9" s="157"/>
      <c r="G9" s="161" t="s">
        <v>94</v>
      </c>
      <c r="H9" s="161" t="s">
        <v>178</v>
      </c>
      <c r="I9" s="161" t="s">
        <v>179</v>
      </c>
      <c r="J9" s="162" t="s">
        <v>180</v>
      </c>
      <c r="K9" s="160"/>
      <c r="L9" s="160"/>
      <c r="M9" s="160"/>
      <c r="N9" s="161" t="s">
        <v>94</v>
      </c>
      <c r="O9" s="161" t="s">
        <v>178</v>
      </c>
      <c r="P9" s="161" t="s">
        <v>179</v>
      </c>
      <c r="Q9" s="162" t="s">
        <v>180</v>
      </c>
      <c r="R9" s="149"/>
    </row>
    <row r="10" customFormat="false" ht="15" hidden="false" customHeight="false" outlineLevel="0" collapsed="false">
      <c r="B10" s="155"/>
      <c r="C10" s="156"/>
      <c r="D10" s="163" t="s">
        <v>123</v>
      </c>
      <c r="E10" s="163"/>
      <c r="F10" s="163"/>
      <c r="G10" s="163"/>
      <c r="H10" s="163"/>
      <c r="I10" s="163"/>
      <c r="J10" s="163"/>
      <c r="K10" s="164" t="s">
        <v>181</v>
      </c>
      <c r="L10" s="164"/>
      <c r="M10" s="164"/>
      <c r="N10" s="164"/>
      <c r="O10" s="164"/>
      <c r="P10" s="164"/>
      <c r="Q10" s="164"/>
      <c r="R10" s="149"/>
    </row>
    <row r="11" customFormat="false" ht="15" hidden="false" customHeight="false" outlineLevel="0" collapsed="false">
      <c r="B11" s="155"/>
      <c r="C11" s="156" t="s">
        <v>182</v>
      </c>
      <c r="D11" s="165" t="s">
        <v>183</v>
      </c>
      <c r="E11" s="165"/>
      <c r="F11" s="165"/>
      <c r="G11" s="166" t="n">
        <f aca="false">Flujos!G4</f>
        <v>150420</v>
      </c>
      <c r="H11" s="166" t="n">
        <f aca="false">G11/(1-'Datos Extra'!D19)</f>
        <v>150420</v>
      </c>
      <c r="I11" s="167" t="n">
        <f aca="false">Flujos!H4</f>
        <v>0.2388</v>
      </c>
      <c r="J11" s="168" t="n">
        <f aca="false">+I11*G11</f>
        <v>35920.296</v>
      </c>
      <c r="K11" s="169" t="s">
        <v>184</v>
      </c>
      <c r="L11" s="169"/>
      <c r="M11" s="169"/>
      <c r="N11" s="170" t="n">
        <f aca="false">Flujos!G20</f>
        <v>66012</v>
      </c>
      <c r="O11" s="170" t="n">
        <f aca="false">N11/(1-'Datos Extra'!D29)</f>
        <v>72276.1761904241</v>
      </c>
      <c r="P11" s="171" t="n">
        <f aca="false">Flujos!H20</f>
        <v>0.6468568112</v>
      </c>
      <c r="Q11" s="170" t="n">
        <f aca="false">+P11*N11</f>
        <v>42700.3118209344</v>
      </c>
      <c r="R11" s="149"/>
      <c r="T11" s="172"/>
    </row>
    <row r="12" customFormat="false" ht="15" hidden="false" customHeight="false" outlineLevel="0" collapsed="false">
      <c r="B12" s="155"/>
      <c r="C12" s="156"/>
      <c r="D12" s="169" t="s">
        <v>185</v>
      </c>
      <c r="E12" s="169"/>
      <c r="F12" s="169"/>
      <c r="G12" s="173" t="n">
        <f aca="false">Flujos!G5</f>
        <v>0</v>
      </c>
      <c r="H12" s="173" t="n">
        <f aca="false">G12/(1-'Datos Extra'!D20)</f>
        <v>0</v>
      </c>
      <c r="I12" s="174" t="n">
        <f aca="false">Flujos!H5</f>
        <v>0</v>
      </c>
      <c r="J12" s="173" t="n">
        <f aca="false">+I12*G12</f>
        <v>0</v>
      </c>
      <c r="K12" s="164" t="s">
        <v>186</v>
      </c>
      <c r="L12" s="164"/>
      <c r="M12" s="164"/>
      <c r="N12" s="164"/>
      <c r="O12" s="164"/>
      <c r="P12" s="164"/>
      <c r="Q12" s="164"/>
      <c r="R12" s="149"/>
      <c r="T12" s="172"/>
    </row>
    <row r="13" customFormat="false" ht="15" hidden="false" customHeight="false" outlineLevel="0" collapsed="false">
      <c r="B13" s="155"/>
      <c r="C13" s="156"/>
      <c r="D13" s="165" t="s">
        <v>67</v>
      </c>
      <c r="E13" s="165"/>
      <c r="F13" s="165"/>
      <c r="G13" s="166" t="n">
        <f aca="false">Flujos!G8</f>
        <v>0</v>
      </c>
      <c r="H13" s="166" t="n">
        <f aca="false">G13/(1-'Datos Extra'!D21)</f>
        <v>0</v>
      </c>
      <c r="I13" s="175" t="n">
        <f aca="false">Flujos!H8</f>
        <v>0</v>
      </c>
      <c r="J13" s="166" t="n">
        <f aca="false">+I13*G13</f>
        <v>0</v>
      </c>
      <c r="K13" s="176" t="s">
        <v>79</v>
      </c>
      <c r="L13" s="176"/>
      <c r="M13" s="176"/>
      <c r="N13" s="166" t="n">
        <f aca="false">Flujos!G6</f>
        <v>60303</v>
      </c>
      <c r="O13" s="166" t="n">
        <f aca="false">N13*1/(1-'Datos Extra'!D36)</f>
        <v>60303</v>
      </c>
      <c r="P13" s="167" t="n">
        <f aca="false">Flujos!H6</f>
        <v>0.13205</v>
      </c>
      <c r="Q13" s="166" t="n">
        <f aca="false">+P13*N13</f>
        <v>7963.01115</v>
      </c>
      <c r="R13" s="149"/>
    </row>
    <row r="14" customFormat="false" ht="15" hidden="false" customHeight="false" outlineLevel="0" collapsed="false">
      <c r="B14" s="155"/>
      <c r="C14" s="156"/>
      <c r="D14" s="169" t="s">
        <v>68</v>
      </c>
      <c r="E14" s="169"/>
      <c r="F14" s="169"/>
      <c r="G14" s="173" t="n">
        <f aca="false">Flujos!G55</f>
        <v>37855</v>
      </c>
      <c r="H14" s="173" t="n">
        <f aca="false">G14/(1-'Datos Extra'!D22)</f>
        <v>38999.3380775402</v>
      </c>
      <c r="I14" s="177" t="n">
        <f aca="false">Flujos!H55</f>
        <v>0.5036</v>
      </c>
      <c r="J14" s="173" t="n">
        <f aca="false">+I14*G14</f>
        <v>19063.778</v>
      </c>
      <c r="K14" s="178" t="s">
        <v>80</v>
      </c>
      <c r="L14" s="178"/>
      <c r="M14" s="178"/>
      <c r="N14" s="179" t="n">
        <f aca="false">Flujos!G12</f>
        <v>24875.066453</v>
      </c>
      <c r="O14" s="179" t="n">
        <f aca="false">N14/(1-'Datos Extra'!D37)</f>
        <v>26967.7650184302</v>
      </c>
      <c r="P14" s="171" t="n">
        <f aca="false">Flujos!H12</f>
        <v>0.19247</v>
      </c>
      <c r="Q14" s="173" t="n">
        <f aca="false">+P14*N14</f>
        <v>4787.70404020891</v>
      </c>
      <c r="R14" s="149"/>
    </row>
    <row r="15" customFormat="false" ht="15" hidden="false" customHeight="false" outlineLevel="0" collapsed="false">
      <c r="B15" s="155"/>
      <c r="C15" s="156"/>
      <c r="D15" s="165" t="s">
        <v>69</v>
      </c>
      <c r="E15" s="165"/>
      <c r="F15" s="165"/>
      <c r="G15" s="166" t="n">
        <f aca="false">Flujos!G31</f>
        <v>0</v>
      </c>
      <c r="H15" s="166" t="n">
        <f aca="false">G15*'Datos Extra'!D23+Report!G15</f>
        <v>0</v>
      </c>
      <c r="I15" s="175" t="n">
        <f aca="false">Flujos!H31</f>
        <v>0</v>
      </c>
      <c r="J15" s="166" t="n">
        <f aca="false">+I15*G15</f>
        <v>0</v>
      </c>
      <c r="K15" s="176" t="s">
        <v>81</v>
      </c>
      <c r="L15" s="176"/>
      <c r="M15" s="176"/>
      <c r="N15" s="180" t="n">
        <f aca="false">Flujos!G13</f>
        <v>15456.336685</v>
      </c>
      <c r="O15" s="166"/>
      <c r="P15" s="181" t="n">
        <f aca="false">Flujos!H13</f>
        <v>0.108585</v>
      </c>
      <c r="Q15" s="166" t="n">
        <f aca="false">+P15*N15</f>
        <v>1678.32631894072</v>
      </c>
      <c r="R15" s="149"/>
    </row>
    <row r="16" customFormat="false" ht="15" hidden="false" customHeight="false" outlineLevel="0" collapsed="false">
      <c r="B16" s="155"/>
      <c r="C16" s="156"/>
      <c r="D16" s="169"/>
      <c r="E16" s="169"/>
      <c r="F16" s="169"/>
      <c r="G16" s="173"/>
      <c r="H16" s="173"/>
      <c r="I16" s="174"/>
      <c r="J16" s="173"/>
      <c r="K16" s="178" t="s">
        <v>82</v>
      </c>
      <c r="L16" s="178"/>
      <c r="M16" s="178"/>
      <c r="N16" s="179" t="n">
        <f aca="false">Flujos!G19</f>
        <v>43841</v>
      </c>
      <c r="O16" s="179"/>
      <c r="P16" s="171" t="n">
        <f aca="false">Flujos!H19</f>
        <v>0.093195</v>
      </c>
      <c r="Q16" s="173" t="n">
        <f aca="false">+P16*N16</f>
        <v>4085.761995</v>
      </c>
      <c r="R16" s="149"/>
    </row>
    <row r="17" customFormat="false" ht="15" hidden="false" customHeight="false" outlineLevel="0" collapsed="false">
      <c r="B17" s="155"/>
      <c r="C17" s="156"/>
      <c r="D17" s="165"/>
      <c r="E17" s="165"/>
      <c r="F17" s="165"/>
      <c r="G17" s="166"/>
      <c r="H17" s="166"/>
      <c r="I17" s="175"/>
      <c r="J17" s="166"/>
      <c r="K17" s="176"/>
      <c r="L17" s="176"/>
      <c r="M17" s="176"/>
      <c r="N17" s="180"/>
      <c r="O17" s="166"/>
      <c r="P17" s="181"/>
      <c r="Q17" s="166"/>
      <c r="R17" s="149"/>
    </row>
    <row r="18" customFormat="false" ht="15" hidden="false" customHeight="false" outlineLevel="0" collapsed="false">
      <c r="B18" s="155"/>
      <c r="C18" s="156"/>
      <c r="D18" s="169"/>
      <c r="E18" s="169"/>
      <c r="F18" s="169"/>
      <c r="G18" s="173"/>
      <c r="H18" s="173"/>
      <c r="I18" s="174"/>
      <c r="J18" s="173"/>
      <c r="K18" s="178"/>
      <c r="L18" s="178"/>
      <c r="M18" s="178"/>
      <c r="N18" s="179"/>
      <c r="O18" s="179"/>
      <c r="P18" s="171"/>
      <c r="Q18" s="173"/>
      <c r="R18" s="149"/>
    </row>
    <row r="19" customFormat="false" ht="15" hidden="false" customHeight="true" outlineLevel="0" collapsed="false">
      <c r="B19" s="155"/>
      <c r="C19" s="156" t="s">
        <v>187</v>
      </c>
      <c r="D19" s="182" t="s">
        <v>188</v>
      </c>
      <c r="E19" s="182"/>
      <c r="F19" s="182"/>
      <c r="G19" s="183" t="n">
        <f aca="false">+SUM(G11:G15)</f>
        <v>188275</v>
      </c>
      <c r="H19" s="183" t="n">
        <f aca="false">+SUM(H11:H15)</f>
        <v>189419.33807754</v>
      </c>
      <c r="I19" s="183"/>
      <c r="J19" s="183" t="n">
        <f aca="false">+SUM(J11:J15)</f>
        <v>54984.074</v>
      </c>
      <c r="K19" s="182" t="s">
        <v>188</v>
      </c>
      <c r="L19" s="182"/>
      <c r="M19" s="182"/>
      <c r="N19" s="183" t="n">
        <f aca="false">+SUM(N13:N16)</f>
        <v>144475.403138</v>
      </c>
      <c r="O19" s="183" t="n">
        <f aca="false">+SUM(O13:O16)</f>
        <v>87270.7650184302</v>
      </c>
      <c r="P19" s="183"/>
      <c r="Q19" s="184" t="n">
        <f aca="false">+SUM(Q13:Q16)</f>
        <v>18514.8035041496</v>
      </c>
      <c r="R19" s="149"/>
      <c r="S19" s="185"/>
      <c r="T19" s="186"/>
    </row>
    <row r="20" customFormat="false" ht="15" hidden="false" customHeight="false" outlineLevel="0" collapsed="false">
      <c r="B20" s="155"/>
      <c r="C20" s="156"/>
      <c r="D20" s="187" t="s">
        <v>189</v>
      </c>
      <c r="E20" s="187"/>
      <c r="F20" s="187"/>
      <c r="G20" s="187"/>
      <c r="H20" s="187"/>
      <c r="I20" s="187"/>
      <c r="J20" s="187"/>
      <c r="K20" s="164" t="s">
        <v>190</v>
      </c>
      <c r="L20" s="164"/>
      <c r="M20" s="164"/>
      <c r="N20" s="164"/>
      <c r="O20" s="164"/>
      <c r="P20" s="164"/>
      <c r="Q20" s="164"/>
      <c r="R20" s="149"/>
      <c r="S20" s="188"/>
    </row>
    <row r="21" customFormat="false" ht="15" hidden="false" customHeight="false" outlineLevel="0" collapsed="false">
      <c r="B21" s="155"/>
      <c r="C21" s="156"/>
      <c r="D21" s="165" t="s">
        <v>65</v>
      </c>
      <c r="E21" s="165"/>
      <c r="F21" s="165"/>
      <c r="G21" s="189" t="n">
        <f aca="false">'Mapa de Procesos'!P102</f>
        <v>73127</v>
      </c>
      <c r="H21" s="189" t="n">
        <f aca="false">G21/(1-'Datos Extra'!D24)</f>
        <v>80030.4244095695</v>
      </c>
      <c r="I21" s="190" t="n">
        <f aca="false">Flujos!H27</f>
        <v>0.6514</v>
      </c>
      <c r="J21" s="166" t="n">
        <f aca="false">+I21*G21</f>
        <v>47634.9278</v>
      </c>
      <c r="K21" s="191" t="s">
        <v>74</v>
      </c>
      <c r="L21" s="191"/>
      <c r="M21" s="191"/>
      <c r="N21" s="166" t="n">
        <f aca="false">Flujos!G25</f>
        <v>69689</v>
      </c>
      <c r="O21" s="166" t="n">
        <f aca="false">N21/(1-'Datos Extra'!D28)</f>
        <v>76766.6281666448</v>
      </c>
      <c r="P21" s="167" t="n">
        <f aca="false">Flujos!H25</f>
        <v>0.64981910904</v>
      </c>
      <c r="Q21" s="166" t="n">
        <f aca="false">+P21*N21</f>
        <v>45285.2438898886</v>
      </c>
      <c r="R21" s="149"/>
      <c r="S21" s="192"/>
    </row>
    <row r="22" customFormat="false" ht="15" hidden="false" customHeight="false" outlineLevel="0" collapsed="false">
      <c r="B22" s="155"/>
      <c r="C22" s="156"/>
      <c r="D22" s="169" t="s">
        <v>191</v>
      </c>
      <c r="E22" s="169"/>
      <c r="F22" s="169"/>
      <c r="G22" s="193" t="n">
        <f aca="false">Flujos!G33</f>
        <v>0</v>
      </c>
      <c r="H22" s="193" t="n">
        <f aca="false">G22/(1-'Datos Extra'!D25)</f>
        <v>0</v>
      </c>
      <c r="I22" s="194" t="n">
        <f aca="false">Flujos!H33</f>
        <v>0</v>
      </c>
      <c r="J22" s="173" t="n">
        <f aca="false">+I22*G22</f>
        <v>0</v>
      </c>
      <c r="K22" s="195" t="s">
        <v>76</v>
      </c>
      <c r="L22" s="196"/>
      <c r="M22" s="197"/>
      <c r="N22" s="170" t="n">
        <f aca="false">Flujos!G35</f>
        <v>0</v>
      </c>
      <c r="O22" s="170" t="n">
        <f aca="false">N22/(1-'Datos Extra'!D31)</f>
        <v>0</v>
      </c>
      <c r="P22" s="174" t="n">
        <f aca="false">Flujos!H35</f>
        <v>0</v>
      </c>
      <c r="Q22" s="170" t="n">
        <f aca="false">+P22*N22</f>
        <v>0</v>
      </c>
      <c r="R22" s="149"/>
      <c r="S22" s="192"/>
    </row>
    <row r="23" customFormat="false" ht="15" hidden="false" customHeight="false" outlineLevel="0" collapsed="false">
      <c r="B23" s="155"/>
      <c r="C23" s="156"/>
      <c r="D23" s="165" t="s">
        <v>192</v>
      </c>
      <c r="E23" s="165"/>
      <c r="F23" s="165"/>
      <c r="G23" s="189" t="n">
        <f aca="false">Flujos!G40</f>
        <v>0</v>
      </c>
      <c r="H23" s="189" t="n">
        <f aca="false">G23/(1-'Datos Extra'!D26)</f>
        <v>0</v>
      </c>
      <c r="I23" s="198" t="n">
        <f aca="false">Flujos!H40</f>
        <v>0</v>
      </c>
      <c r="J23" s="166" t="n">
        <f aca="false">+I23*G23</f>
        <v>0</v>
      </c>
      <c r="K23" s="199" t="s">
        <v>77</v>
      </c>
      <c r="L23" s="200"/>
      <c r="M23" s="201"/>
      <c r="N23" s="166" t="n">
        <f aca="false">Flujos!G36</f>
        <v>0</v>
      </c>
      <c r="O23" s="166" t="n">
        <f aca="false">N23/(1-'Datos Extra'!D32)</f>
        <v>0</v>
      </c>
      <c r="P23" s="175" t="n">
        <f aca="false">Flujos!H36</f>
        <v>0</v>
      </c>
      <c r="Q23" s="166" t="n">
        <f aca="false">+P23*N23</f>
        <v>0</v>
      </c>
      <c r="R23" s="149"/>
      <c r="S23" s="192"/>
    </row>
    <row r="24" customFormat="false" ht="15" hidden="false" customHeight="false" outlineLevel="0" collapsed="false">
      <c r="B24" s="155"/>
      <c r="C24" s="156"/>
      <c r="D24" s="169" t="s">
        <v>73</v>
      </c>
      <c r="E24" s="169"/>
      <c r="F24" s="169"/>
      <c r="G24" s="193" t="n">
        <f aca="false">Flujos!G58</f>
        <v>0</v>
      </c>
      <c r="H24" s="193" t="n">
        <f aca="false">G24/(1-'Datos Extra'!D42)</f>
        <v>0</v>
      </c>
      <c r="I24" s="194" t="n">
        <f aca="false">Flujos!H58</f>
        <v>0</v>
      </c>
      <c r="J24" s="173" t="n">
        <f aca="false">G24*I24</f>
        <v>0</v>
      </c>
      <c r="K24" s="195" t="s">
        <v>193</v>
      </c>
      <c r="L24" s="196"/>
      <c r="M24" s="197"/>
      <c r="N24" s="170" t="n">
        <f aca="false">Flujos!G57</f>
        <v>3157</v>
      </c>
      <c r="O24" s="170" t="n">
        <f aca="false">N24/(1-'Datos Extra'!D40)</f>
        <v>3185.02824858757</v>
      </c>
      <c r="P24" s="202" t="n">
        <f aca="false">Flujos!H57</f>
        <v>0.6346</v>
      </c>
      <c r="Q24" s="170" t="n">
        <f aca="false">+P24*N24</f>
        <v>2003.4322</v>
      </c>
      <c r="R24" s="149"/>
      <c r="S24" s="192"/>
    </row>
    <row r="25" customFormat="false" ht="15" hidden="false" customHeight="false" outlineLevel="0" collapsed="false">
      <c r="B25" s="155"/>
      <c r="C25" s="156"/>
      <c r="D25" s="165" t="s">
        <v>116</v>
      </c>
      <c r="E25" s="165"/>
      <c r="F25" s="165"/>
      <c r="G25" s="189" t="n">
        <f aca="false">Flujos!G68</f>
        <v>0</v>
      </c>
      <c r="H25" s="189" t="n">
        <f aca="false">G25/(1-'Datos Extra'!D29)</f>
        <v>0</v>
      </c>
      <c r="I25" s="198" t="n">
        <f aca="false">Flujos!H68</f>
        <v>0</v>
      </c>
      <c r="J25" s="166" t="n">
        <f aca="false">G25*I25</f>
        <v>0</v>
      </c>
      <c r="K25" s="199" t="s">
        <v>194</v>
      </c>
      <c r="L25" s="200"/>
      <c r="M25" s="201"/>
      <c r="N25" s="166" t="n">
        <f aca="false">Flujos!G60</f>
        <v>3069</v>
      </c>
      <c r="O25" s="166" t="n">
        <f aca="false">N25/(1-'Datos Extra'!D41)</f>
        <v>3108.47766636281</v>
      </c>
      <c r="P25" s="167" t="n">
        <f aca="false">Flujos!H60</f>
        <v>0.63</v>
      </c>
      <c r="Q25" s="166" t="n">
        <f aca="false">+P25*N25</f>
        <v>1933.47</v>
      </c>
      <c r="R25" s="149"/>
      <c r="S25" s="188"/>
    </row>
    <row r="26" customFormat="false" ht="15" hidden="false" customHeight="false" outlineLevel="0" collapsed="false">
      <c r="B26" s="155"/>
      <c r="C26" s="156"/>
      <c r="D26" s="199"/>
      <c r="E26" s="200"/>
      <c r="F26" s="201"/>
      <c r="G26" s="189"/>
      <c r="H26" s="189"/>
      <c r="I26" s="198"/>
      <c r="J26" s="166"/>
      <c r="K26" s="195" t="s">
        <v>195</v>
      </c>
      <c r="L26" s="196"/>
      <c r="M26" s="197"/>
      <c r="N26" s="170" t="n">
        <f aca="false">Flujos!G66</f>
        <v>0</v>
      </c>
      <c r="O26" s="170" t="n">
        <f aca="false">N26/(1-'Datos Extra'!D42)</f>
        <v>0</v>
      </c>
      <c r="P26" s="202" t="n">
        <f aca="false">Flujos!H66</f>
        <v>0</v>
      </c>
      <c r="Q26" s="170" t="n">
        <f aca="false">+P26*N26</f>
        <v>0</v>
      </c>
      <c r="R26" s="149"/>
      <c r="S26" s="188"/>
    </row>
    <row r="27" customFormat="false" ht="15" hidden="false" customHeight="false" outlineLevel="0" collapsed="false">
      <c r="B27" s="155"/>
      <c r="C27" s="156"/>
      <c r="D27" s="199"/>
      <c r="E27" s="200"/>
      <c r="F27" s="201"/>
      <c r="G27" s="189"/>
      <c r="H27" s="189"/>
      <c r="I27" s="198"/>
      <c r="J27" s="166"/>
      <c r="K27" s="199" t="s">
        <v>196</v>
      </c>
      <c r="L27" s="200"/>
      <c r="M27" s="201"/>
      <c r="N27" s="166" t="n">
        <f aca="false">Flujos!G67</f>
        <v>0</v>
      </c>
      <c r="O27" s="166" t="n">
        <f aca="false">N27/(1-'Datos Extra'!D43)</f>
        <v>0</v>
      </c>
      <c r="P27" s="167" t="n">
        <f aca="false">Flujos!H67</f>
        <v>0</v>
      </c>
      <c r="Q27" s="166" t="n">
        <f aca="false">+P27*N27</f>
        <v>0</v>
      </c>
      <c r="R27" s="149"/>
      <c r="S27" s="188"/>
    </row>
    <row r="28" customFormat="false" ht="15" hidden="false" customHeight="false" outlineLevel="0" collapsed="false">
      <c r="B28" s="155"/>
      <c r="C28" s="156"/>
      <c r="D28" s="199"/>
      <c r="E28" s="200"/>
      <c r="F28" s="201"/>
      <c r="G28" s="189"/>
      <c r="H28" s="189"/>
      <c r="I28" s="198"/>
      <c r="J28" s="166"/>
      <c r="K28" s="195" t="s">
        <v>116</v>
      </c>
      <c r="L28" s="196"/>
      <c r="M28" s="197"/>
      <c r="N28" s="170" t="n">
        <f aca="false">Flujos!G65</f>
        <v>0</v>
      </c>
      <c r="O28" s="170" t="n">
        <f aca="false">N28/(1-'Datos Extra'!D42)</f>
        <v>0</v>
      </c>
      <c r="P28" s="202" t="n">
        <f aca="false">Flujos!H65</f>
        <v>0</v>
      </c>
      <c r="Q28" s="170" t="n">
        <f aca="false">+P28*N28</f>
        <v>0</v>
      </c>
      <c r="R28" s="149"/>
      <c r="S28" s="188"/>
    </row>
    <row r="29" customFormat="false" ht="15" hidden="false" customHeight="false" outlineLevel="0" collapsed="false">
      <c r="B29" s="155"/>
      <c r="C29" s="156"/>
      <c r="D29" s="199"/>
      <c r="E29" s="200"/>
      <c r="F29" s="201"/>
      <c r="G29" s="189"/>
      <c r="H29" s="189"/>
      <c r="I29" s="198"/>
      <c r="J29" s="166"/>
      <c r="K29" s="195" t="s">
        <v>62</v>
      </c>
      <c r="L29" s="196"/>
      <c r="M29" s="197"/>
      <c r="N29" s="170" t="n">
        <f aca="false">Flujos!G37</f>
        <v>0</v>
      </c>
      <c r="O29" s="170" t="n">
        <f aca="false">N29/(1-'Datos Extra'!D34)</f>
        <v>0</v>
      </c>
      <c r="P29" s="203" t="n">
        <f aca="false">Flujos!H37</f>
        <v>0</v>
      </c>
      <c r="Q29" s="170" t="n">
        <f aca="false">+P29*N29</f>
        <v>0</v>
      </c>
      <c r="R29" s="149"/>
      <c r="S29" s="188"/>
    </row>
    <row r="30" customFormat="false" ht="15" hidden="false" customHeight="false" outlineLevel="0" collapsed="false">
      <c r="B30" s="155"/>
      <c r="C30" s="156"/>
      <c r="D30" s="169"/>
      <c r="E30" s="169"/>
      <c r="F30" s="169"/>
      <c r="G30" s="193"/>
      <c r="H30" s="193"/>
      <c r="I30" s="194"/>
      <c r="J30" s="173"/>
      <c r="K30" s="199" t="s">
        <v>63</v>
      </c>
      <c r="L30" s="200"/>
      <c r="M30" s="201"/>
      <c r="N30" s="166" t="n">
        <f aca="false">Flujos!G38</f>
        <v>0</v>
      </c>
      <c r="O30" s="166" t="n">
        <f aca="false">N30/(1-'Datos Extra'!D35)</f>
        <v>0</v>
      </c>
      <c r="P30" s="175" t="n">
        <f aca="false">Flujos!H38</f>
        <v>0</v>
      </c>
      <c r="Q30" s="166" t="n">
        <f aca="false">+P30*N30</f>
        <v>0</v>
      </c>
      <c r="R30" s="149"/>
    </row>
    <row r="31" customFormat="false" ht="15" hidden="false" customHeight="false" outlineLevel="0" collapsed="false">
      <c r="B31" s="155"/>
      <c r="C31" s="156"/>
      <c r="D31" s="165"/>
      <c r="E31" s="165"/>
      <c r="F31" s="165"/>
      <c r="G31" s="189"/>
      <c r="H31" s="189"/>
      <c r="I31" s="198"/>
      <c r="J31" s="166"/>
      <c r="R31" s="149"/>
      <c r="S31" s="192"/>
    </row>
    <row r="32" customFormat="false" ht="15" hidden="false" customHeight="true" outlineLevel="0" collapsed="false">
      <c r="B32" s="155"/>
      <c r="C32" s="156"/>
      <c r="D32" s="182" t="s">
        <v>188</v>
      </c>
      <c r="E32" s="182"/>
      <c r="F32" s="182"/>
      <c r="G32" s="183" t="n">
        <f aca="false">+SUM(G21:G24)</f>
        <v>73127</v>
      </c>
      <c r="H32" s="183" t="n">
        <f aca="false">+SUM(H21:H24)</f>
        <v>80030.4244095695</v>
      </c>
      <c r="I32" s="204"/>
      <c r="J32" s="183" t="n">
        <f aca="false">+SUM(J21:J24)</f>
        <v>47634.9278</v>
      </c>
      <c r="K32" s="182" t="s">
        <v>188</v>
      </c>
      <c r="L32" s="182"/>
      <c r="M32" s="182"/>
      <c r="N32" s="183" t="n">
        <f aca="false">SUM(N21:N30)</f>
        <v>75915</v>
      </c>
      <c r="O32" s="183" t="n">
        <f aca="false">SUM(O21:O30)</f>
        <v>83060.1340815951</v>
      </c>
      <c r="P32" s="183"/>
      <c r="Q32" s="184" t="n">
        <f aca="false">SUM(Q21:Q30)</f>
        <v>49222.1460898886</v>
      </c>
      <c r="R32" s="149"/>
      <c r="S32" s="192"/>
    </row>
    <row r="33" customFormat="false" ht="15" hidden="false" customHeight="false" outlineLevel="0" collapsed="false">
      <c r="B33" s="155"/>
      <c r="C33" s="156"/>
      <c r="D33" s="205"/>
      <c r="E33" s="205"/>
      <c r="F33" s="205"/>
      <c r="G33" s="206"/>
      <c r="H33" s="206"/>
      <c r="I33" s="207"/>
      <c r="J33" s="206"/>
      <c r="R33" s="149"/>
      <c r="S33" s="192"/>
    </row>
    <row r="34" customFormat="false" ht="14.25" hidden="false" customHeight="true" outlineLevel="0" collapsed="false">
      <c r="B34" s="155"/>
      <c r="C34" s="156"/>
      <c r="D34" s="208" t="s">
        <v>197</v>
      </c>
      <c r="E34" s="208"/>
      <c r="F34" s="208"/>
      <c r="G34" s="208"/>
      <c r="H34" s="208"/>
      <c r="R34" s="209"/>
    </row>
    <row r="35" customFormat="false" ht="15" hidden="false" customHeight="false" outlineLevel="0" collapsed="false">
      <c r="B35" s="155"/>
      <c r="C35" s="156"/>
      <c r="D35" s="210"/>
      <c r="E35" s="210"/>
      <c r="F35" s="210"/>
      <c r="G35" s="211" t="s">
        <v>178</v>
      </c>
      <c r="H35" s="212" t="s">
        <v>94</v>
      </c>
      <c r="I35" s="213" t="s">
        <v>198</v>
      </c>
      <c r="J35" s="213" t="s">
        <v>199</v>
      </c>
      <c r="L35" s="214"/>
      <c r="M35" s="214"/>
      <c r="N35" s="214"/>
      <c r="O35" s="214"/>
      <c r="P35" s="214"/>
      <c r="Q35" s="214"/>
      <c r="R35" s="149"/>
      <c r="U35" s="215"/>
    </row>
    <row r="36" customFormat="false" ht="15" hidden="false" customHeight="false" outlineLevel="0" collapsed="false">
      <c r="B36" s="155"/>
      <c r="C36" s="156"/>
      <c r="D36" s="195" t="s">
        <v>50</v>
      </c>
      <c r="E36" s="195"/>
      <c r="F36" s="195"/>
      <c r="G36" s="216" t="n">
        <f aca="false">'Datos Extra'!B2</f>
        <v>11665</v>
      </c>
      <c r="H36" s="217" t="n">
        <f aca="false">G36*(1-'Datos Extra'!D2)</f>
        <v>11548.35</v>
      </c>
      <c r="I36" s="218" t="n">
        <f aca="false">Flujos!G9</f>
        <v>-34429.130716</v>
      </c>
      <c r="J36" s="218" t="n">
        <f aca="false">'Mapa de Procesos'!L128</f>
        <v>-11044.0044054249</v>
      </c>
      <c r="K36" s="214"/>
      <c r="L36" s="214"/>
      <c r="M36" s="214"/>
      <c r="N36" s="214"/>
      <c r="O36" s="214"/>
      <c r="P36" s="214"/>
      <c r="Q36" s="214"/>
      <c r="R36" s="209"/>
      <c r="U36" s="215"/>
    </row>
    <row r="37" customFormat="false" ht="15" hidden="false" customHeight="false" outlineLevel="0" collapsed="false">
      <c r="B37" s="155"/>
      <c r="C37" s="156"/>
      <c r="D37" s="195" t="s">
        <v>51</v>
      </c>
      <c r="E37" s="195"/>
      <c r="F37" s="195"/>
      <c r="G37" s="219" t="n">
        <f aca="false">'Datos Extra'!B3</f>
        <v>32218.6416985633</v>
      </c>
      <c r="H37" s="220" t="n">
        <f aca="false">G37*(1-'Datos Extra'!D3)</f>
        <v>31896.4552815777</v>
      </c>
      <c r="I37" s="218" t="n">
        <f aca="false">Flujos!G17</f>
        <v>12216.727578</v>
      </c>
      <c r="J37" s="218" t="n">
        <f aca="false">'Mapa de Procesos'!L129</f>
        <v>4812.96308026677</v>
      </c>
      <c r="K37" s="214"/>
      <c r="L37" s="214"/>
      <c r="M37" s="214" t="s">
        <v>123</v>
      </c>
      <c r="N37" s="214" t="s">
        <v>125</v>
      </c>
      <c r="O37" s="214" t="s">
        <v>200</v>
      </c>
      <c r="P37" s="214" t="s">
        <v>201</v>
      </c>
      <c r="Q37" s="214"/>
      <c r="R37" s="149"/>
      <c r="U37" s="215"/>
    </row>
    <row r="38" customFormat="false" ht="15" hidden="false" customHeight="false" outlineLevel="0" collapsed="false">
      <c r="B38" s="155"/>
      <c r="C38" s="156"/>
      <c r="D38" s="195" t="s">
        <v>52</v>
      </c>
      <c r="E38" s="195"/>
      <c r="F38" s="195"/>
      <c r="G38" s="219" t="n">
        <f aca="false">'Datos Extra'!B4</f>
        <v>33</v>
      </c>
      <c r="H38" s="220" t="n">
        <f aca="false">G38*(1-'Datos Extra'!D4)</f>
        <v>30.0486997982942</v>
      </c>
      <c r="I38" s="218" t="n">
        <f aca="false">Flujos!G21</f>
        <v>-5099</v>
      </c>
      <c r="J38" s="218" t="n">
        <f aca="false">'Mapa de Procesos'!L131</f>
        <v>-3482.744475</v>
      </c>
      <c r="K38" s="214"/>
      <c r="L38" s="214" t="s">
        <v>94</v>
      </c>
      <c r="M38" s="221" t="n">
        <f aca="false">G19+N22+N23+N24+N29+N30</f>
        <v>191432</v>
      </c>
      <c r="N38" s="221" t="n">
        <f aca="false">G21+G22+G23+N19+G24</f>
        <v>217602.403138</v>
      </c>
      <c r="O38" s="222" t="n">
        <f aca="false">I43</f>
        <v>-24523.403138</v>
      </c>
      <c r="P38" s="221" t="n">
        <f aca="false">M38-N38-O38</f>
        <v>-1646.99999999999</v>
      </c>
      <c r="Q38" s="214"/>
      <c r="R38" s="149"/>
      <c r="U38" s="215"/>
    </row>
    <row r="39" customFormat="false" ht="15" hidden="false" customHeight="false" outlineLevel="0" collapsed="false">
      <c r="B39" s="155"/>
      <c r="C39" s="156"/>
      <c r="D39" s="195" t="s">
        <v>53</v>
      </c>
      <c r="E39" s="195"/>
      <c r="F39" s="195"/>
      <c r="G39" s="219" t="n">
        <f aca="false">'Datos Extra'!B5</f>
        <v>0</v>
      </c>
      <c r="H39" s="220" t="n">
        <f aca="false">G39*(1-'Datos Extra'!D5)</f>
        <v>0</v>
      </c>
      <c r="I39" s="218" t="n">
        <f aca="false">Flujos!G31</f>
        <v>0</v>
      </c>
      <c r="J39" s="218" t="n">
        <f aca="false">'Mapa de Procesos'!L132</f>
        <v>0</v>
      </c>
      <c r="K39" s="214"/>
      <c r="L39" s="214" t="s">
        <v>180</v>
      </c>
      <c r="M39" s="221" t="n">
        <f aca="false">J19+Q22+Q23+Q24+Q29+Q30</f>
        <v>56987.5062</v>
      </c>
      <c r="N39" s="221" t="n">
        <f aca="false">Q19+J21+J22+J23+J24</f>
        <v>66149.7313041496</v>
      </c>
      <c r="O39" s="223" t="n">
        <f aca="false">J43</f>
        <v>-8126.56751018255</v>
      </c>
      <c r="P39" s="221" t="n">
        <f aca="false">M39-N39-O39</f>
        <v>-1035.65759396709</v>
      </c>
      <c r="Q39" s="214"/>
      <c r="R39" s="209"/>
      <c r="U39" s="215"/>
    </row>
    <row r="40" customFormat="false" ht="15" hidden="false" customHeight="false" outlineLevel="0" collapsed="false">
      <c r="B40" s="155"/>
      <c r="C40" s="156"/>
      <c r="D40" s="195" t="s">
        <v>202</v>
      </c>
      <c r="E40" s="195"/>
      <c r="F40" s="195"/>
      <c r="G40" s="219" t="n">
        <f aca="false">'Datos Extra'!B6</f>
        <v>108658.53</v>
      </c>
      <c r="H40" s="220" t="n">
        <f aca="false">G40*(1-'Datos Extra'!D6)</f>
        <v>98640.5744007939</v>
      </c>
      <c r="I40" s="218" t="n">
        <f aca="false">Flujos!G26</f>
        <v>-3438</v>
      </c>
      <c r="J40" s="218" t="n">
        <f aca="false">'Mapa de Procesos'!L138</f>
        <v>-2349.68391</v>
      </c>
      <c r="K40" s="214"/>
      <c r="L40" s="221"/>
      <c r="M40" s="214"/>
      <c r="N40" s="214"/>
      <c r="O40" s="214"/>
      <c r="P40" s="214"/>
      <c r="Q40" s="214"/>
      <c r="R40" s="149"/>
      <c r="U40" s="215"/>
    </row>
    <row r="41" customFormat="false" ht="15" hidden="false" customHeight="false" outlineLevel="0" collapsed="false">
      <c r="B41" s="155"/>
      <c r="C41" s="156"/>
      <c r="D41" s="195" t="s">
        <v>203</v>
      </c>
      <c r="E41" s="195"/>
      <c r="F41" s="195"/>
      <c r="G41" s="219" t="n">
        <f aca="false">'Datos Extra'!B7</f>
        <v>60226.45</v>
      </c>
      <c r="H41" s="220" t="n">
        <f aca="false">G41*(1-'Datos Extra'!D7)</f>
        <v>60226.45</v>
      </c>
      <c r="I41" s="218" t="n">
        <f aca="false">Flujos!G34</f>
        <v>6226</v>
      </c>
      <c r="J41" s="218" t="n">
        <f aca="false">'Mapa de Procesos'!L139</f>
        <v>3936.90219997558</v>
      </c>
      <c r="L41" s="224"/>
      <c r="M41" s="189"/>
      <c r="N41" s="224"/>
      <c r="O41" s="224"/>
      <c r="P41" s="224"/>
      <c r="Q41" s="225"/>
      <c r="R41" s="209"/>
      <c r="U41" s="215"/>
    </row>
    <row r="42" customFormat="false" ht="15" hidden="false" customHeight="false" outlineLevel="0" collapsed="false">
      <c r="B42" s="155"/>
      <c r="C42" s="156"/>
      <c r="D42" s="226" t="s">
        <v>204</v>
      </c>
      <c r="E42" s="226"/>
      <c r="F42" s="226"/>
      <c r="G42" s="227" t="n">
        <f aca="false">'Datos Extra'!B8</f>
        <v>64802</v>
      </c>
      <c r="H42" s="228" t="n">
        <f aca="false">G42*(1-'Datos Extra'!D8)</f>
        <v>64802</v>
      </c>
      <c r="I42" s="218" t="n">
        <f aca="false">Flujos!G39</f>
        <v>0</v>
      </c>
      <c r="J42" s="218" t="n">
        <f aca="false">'Mapa de Procesos'!L140</f>
        <v>0</v>
      </c>
      <c r="L42" s="225"/>
      <c r="M42" s="225"/>
      <c r="N42" s="225"/>
      <c r="O42" s="225"/>
      <c r="P42" s="225"/>
      <c r="Q42" s="225"/>
      <c r="R42" s="149"/>
      <c r="U42" s="215"/>
    </row>
    <row r="43" customFormat="false" ht="15" hidden="false" customHeight="false" outlineLevel="0" collapsed="false">
      <c r="B43" s="229"/>
      <c r="C43" s="230"/>
      <c r="D43" s="226" t="s">
        <v>205</v>
      </c>
      <c r="E43" s="226"/>
      <c r="F43" s="226"/>
      <c r="G43" s="227" t="n">
        <f aca="false">'Datos Extra'!B9</f>
        <v>71110.9575524111</v>
      </c>
      <c r="H43" s="228" t="n">
        <f aca="false">G43*(1-'Datos Extra'!D9)</f>
        <v>70399.847976887</v>
      </c>
      <c r="I43" s="231" t="n">
        <f aca="false">SUM(I36:I42)</f>
        <v>-24523.403138</v>
      </c>
      <c r="J43" s="231" t="n">
        <f aca="false">SUM(J36:J42)</f>
        <v>-8126.56751018255</v>
      </c>
      <c r="K43" s="230"/>
      <c r="L43" s="230"/>
      <c r="M43" s="230"/>
      <c r="N43" s="230"/>
      <c r="O43" s="230"/>
      <c r="P43" s="230"/>
      <c r="Q43" s="230"/>
      <c r="R43" s="232"/>
    </row>
    <row r="46" customFormat="false" ht="15" hidden="false" customHeight="true" outlineLevel="0" collapsed="false">
      <c r="E46" s="233"/>
      <c r="F46" s="233"/>
      <c r="G46" s="233"/>
      <c r="H46" s="233"/>
      <c r="I46" s="234"/>
      <c r="J46" s="234"/>
    </row>
    <row r="47" customFormat="false" ht="13.5" hidden="false" customHeight="false" outlineLevel="0" collapsed="false">
      <c r="E47" s="233"/>
      <c r="F47" s="233"/>
      <c r="G47" s="233"/>
      <c r="H47" s="233"/>
      <c r="I47" s="234"/>
      <c r="J47" s="234"/>
    </row>
    <row r="48" customFormat="false" ht="13.5" hidden="false" customHeight="false" outlineLevel="0" collapsed="false">
      <c r="E48" s="235"/>
      <c r="F48" s="235"/>
      <c r="G48" s="235"/>
      <c r="H48" s="235"/>
      <c r="I48" s="235"/>
      <c r="J48" s="235"/>
      <c r="K48" s="235"/>
    </row>
    <row r="49" customFormat="false" ht="15" hidden="false" customHeight="true" outlineLevel="0" collapsed="false">
      <c r="E49" s="236"/>
      <c r="F49" s="236"/>
      <c r="G49" s="236"/>
      <c r="H49" s="237"/>
      <c r="I49" s="206"/>
      <c r="J49" s="238"/>
      <c r="K49" s="172"/>
    </row>
  </sheetData>
  <mergeCells count="52">
    <mergeCell ref="D3:E6"/>
    <mergeCell ref="F3:Q4"/>
    <mergeCell ref="F5:L6"/>
    <mergeCell ref="M5:N6"/>
    <mergeCell ref="P5:Q6"/>
    <mergeCell ref="D8:F9"/>
    <mergeCell ref="G8:H8"/>
    <mergeCell ref="K8:M9"/>
    <mergeCell ref="N8:O8"/>
    <mergeCell ref="D10:J10"/>
    <mergeCell ref="K10:Q10"/>
    <mergeCell ref="D11:F11"/>
    <mergeCell ref="K11:M11"/>
    <mergeCell ref="D12:F12"/>
    <mergeCell ref="K12:Q12"/>
    <mergeCell ref="D13:F13"/>
    <mergeCell ref="K13:M13"/>
    <mergeCell ref="D14:F14"/>
    <mergeCell ref="K14:M14"/>
    <mergeCell ref="D15:F15"/>
    <mergeCell ref="K15:M15"/>
    <mergeCell ref="D16:F16"/>
    <mergeCell ref="K16:M16"/>
    <mergeCell ref="D17:F17"/>
    <mergeCell ref="K17:M17"/>
    <mergeCell ref="D18:F18"/>
    <mergeCell ref="K18:M18"/>
    <mergeCell ref="D19:F19"/>
    <mergeCell ref="K19:M19"/>
    <mergeCell ref="D20:J20"/>
    <mergeCell ref="K20:Q20"/>
    <mergeCell ref="D21:F21"/>
    <mergeCell ref="K21:M21"/>
    <mergeCell ref="D22:F22"/>
    <mergeCell ref="D23:F23"/>
    <mergeCell ref="D24:F24"/>
    <mergeCell ref="D25:F25"/>
    <mergeCell ref="D30:F30"/>
    <mergeCell ref="D31:F31"/>
    <mergeCell ref="D32:F32"/>
    <mergeCell ref="K32:M32"/>
    <mergeCell ref="D34:H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E49:G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53f264-df38-4c5e-a089-ad7f07a2b911">
      <Terms xmlns="http://schemas.microsoft.com/office/infopath/2007/PartnerControls"/>
    </lcf76f155ced4ddcb4097134ff3c332f>
    <TaxCatchAll xmlns="1490ee3b-8825-4a14-a799-bb341372937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756668BF342349B2041C16AA74819C" ma:contentTypeVersion="16" ma:contentTypeDescription="Crear nuevo documento." ma:contentTypeScope="" ma:versionID="ef17328499b5dd1fe73808920c9c3ce3">
  <xsd:schema xmlns:xsd="http://www.w3.org/2001/XMLSchema" xmlns:xs="http://www.w3.org/2001/XMLSchema" xmlns:p="http://schemas.microsoft.com/office/2006/metadata/properties" xmlns:ns2="6f53f264-df38-4c5e-a089-ad7f07a2b911" xmlns:ns3="1490ee3b-8825-4a14-a799-bb3413729370" targetNamespace="http://schemas.microsoft.com/office/2006/metadata/properties" ma:root="true" ma:fieldsID="5e3c7ce1721102a54cf77062aa02d40a" ns2:_="" ns3:_="">
    <xsd:import namespace="6f53f264-df38-4c5e-a089-ad7f07a2b911"/>
    <xsd:import namespace="1490ee3b-8825-4a14-a799-bb34137293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3f264-df38-4c5e-a089-ad7f07a2b9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73516ef-4520-404e-ac3f-ac1cf3bdf1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0ee3b-8825-4a14-a799-bb341372937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863dda92-6f1d-4962-b131-17191bdb72a0}" ma:internalName="TaxCatchAll" ma:showField="CatchAllData" ma:web="1490ee3b-8825-4a14-a799-bb34137293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FCA9A7-8661-43F7-BFD7-3C6B027F5C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956576-308D-4576-AFE1-2F4C0F3C33E9}">
  <ds:schemaRefs>
    <ds:schemaRef ds:uri="1490ee3b-8825-4a14-a799-bb3413729370"/>
    <ds:schemaRef ds:uri="http://purl.org/dc/elements/1.1/"/>
    <ds:schemaRef ds:uri="6f53f264-df38-4c5e-a089-ad7f07a2b911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59EF74B-C642-4BF6-A2E4-02733809A0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53f264-df38-4c5e-a089-ad7f07a2b911"/>
    <ds:schemaRef ds:uri="1490ee3b-8825-4a14-a799-bb34137293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2021-08-15T22:35:05Z</dcterms:created>
  <dc:creator>Marco Arru</dc:creator>
  <dc:description/>
  <dc:language>es-CL</dc:language>
  <cp:lastModifiedBy/>
  <cp:lastPrinted>2025-09-17T12:37:41Z</cp:lastPrinted>
  <dcterms:modified xsi:type="dcterms:W3CDTF">2026-01-28T11:49:14Z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0x010100A6756668BF342349B2041C16AA74819C</vt:lpwstr>
  </property>
  <property fmtid="{D5CDD505-2E9C-101B-9397-08002B2CF9AE}" pid="3" name="MediaServiceImageTags">
    <vt:lpwstr/>
  </property>
</Properties>
</file>